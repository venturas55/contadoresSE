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www\contadoresse\database\"/>
    </mc:Choice>
  </mc:AlternateContent>
  <xr:revisionPtr revIDLastSave="0" documentId="13_ncr:1_{B3A53D90-D2A1-4B25-B21A-9682FA51F8BA}" xr6:coauthVersionLast="47" xr6:coauthVersionMax="47" xr10:uidLastSave="{00000000-0000-0000-0000-000000000000}"/>
  <bookViews>
    <workbookView xWindow="-120" yWindow="-120" windowWidth="29040" windowHeight="17640" tabRatio="925" xr2:uid="{00000000-000D-0000-FFFF-FFFF00000000}"/>
  </bookViews>
  <sheets>
    <sheet name="Lecturas" sheetId="18" r:id="rId1"/>
    <sheet name="Facturacion" sheetId="10" r:id="rId2"/>
    <sheet name="AuxAutoCon" sheetId="11" r:id="rId3"/>
    <sheet name="AutoConsumos" sheetId="28" r:id="rId4"/>
    <sheet name="Resumen" sheetId="6" r:id="rId5"/>
    <sheet name="Plantilla" sheetId="13" r:id="rId6"/>
    <sheet name="A Ozaeta" sheetId="19" r:id="rId7"/>
    <sheet name="Plantilla Sagunto" sheetId="25" r:id="rId8"/>
    <sheet name="Plantilla Gandia" sheetId="23" r:id="rId9"/>
    <sheet name="Movimientos" sheetId="15" r:id="rId10"/>
    <sheet name="Contratos" sheetId="22" r:id="rId11"/>
  </sheets>
  <externalReferences>
    <externalReference r:id="rId12"/>
  </externalReferences>
  <definedNames>
    <definedName name="_xlnm._FilterDatabase" localSheetId="0" hidden="1">Lecturas!$AT$3:$AT$545</definedName>
    <definedName name="_xlnm.Print_Area" localSheetId="3">AutoConsumos!$A$1:$AI$414</definedName>
    <definedName name="_xlnm.Print_Area" localSheetId="0">Lecturas!$A$1:$AR$545</definedName>
    <definedName name="_xlnm.Print_Area" localSheetId="5">Plantilla!$A$1:$G$245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48" i="18" l="1"/>
  <c r="Z548" i="18"/>
  <c r="AA548" i="18"/>
  <c r="AB548" i="18"/>
  <c r="AC548" i="18"/>
  <c r="AD548" i="18"/>
  <c r="AE548" i="18"/>
  <c r="AF548" i="18"/>
  <c r="AG548" i="18"/>
  <c r="AH548" i="18"/>
  <c r="AI548" i="18"/>
  <c r="AJ548" i="18"/>
  <c r="AL548" i="18"/>
  <c r="AM548" i="18"/>
  <c r="Y547" i="18"/>
  <c r="Z547" i="18"/>
  <c r="AA547" i="18"/>
  <c r="AB547" i="18"/>
  <c r="AC547" i="18"/>
  <c r="AD547" i="18"/>
  <c r="AE547" i="18"/>
  <c r="AF547" i="18"/>
  <c r="AG547" i="18"/>
  <c r="AH547" i="18"/>
  <c r="AI547" i="18"/>
  <c r="AJ547" i="18"/>
  <c r="AL547" i="18"/>
  <c r="AM547" i="18"/>
  <c r="Y546" i="18"/>
  <c r="Z546" i="18"/>
  <c r="AA546" i="18"/>
  <c r="AB546" i="18"/>
  <c r="AC546" i="18"/>
  <c r="AD546" i="18"/>
  <c r="AE546" i="18"/>
  <c r="AF546" i="18"/>
  <c r="AG546" i="18"/>
  <c r="AH546" i="18"/>
  <c r="AI546" i="18"/>
  <c r="AJ546" i="18"/>
  <c r="AL546" i="18"/>
  <c r="AM546" i="18"/>
  <c r="K323" i="18"/>
  <c r="AR548" i="18" l="1"/>
  <c r="AR547" i="18"/>
  <c r="AR546" i="18"/>
  <c r="AN548" i="18"/>
  <c r="AN546" i="18"/>
  <c r="AN547" i="18"/>
  <c r="J323" i="18"/>
  <c r="AM298" i="18"/>
  <c r="AL298" i="18"/>
  <c r="AJ298" i="18"/>
  <c r="AI298" i="18"/>
  <c r="AH298" i="18"/>
  <c r="AG298" i="18"/>
  <c r="AF298" i="18"/>
  <c r="AE298" i="18"/>
  <c r="AD298" i="18"/>
  <c r="AC298" i="18"/>
  <c r="AB298" i="18"/>
  <c r="AA298" i="18"/>
  <c r="Z298" i="18"/>
  <c r="Y298" i="18"/>
  <c r="Y300" i="18"/>
  <c r="Z300" i="18"/>
  <c r="AA300" i="18"/>
  <c r="AB300" i="18"/>
  <c r="AT300" i="18" s="1"/>
  <c r="AC300" i="18"/>
  <c r="AD300" i="18"/>
  <c r="AE300" i="18"/>
  <c r="AF300" i="18"/>
  <c r="AG300" i="18"/>
  <c r="AH300" i="18"/>
  <c r="AI300" i="18"/>
  <c r="AJ300" i="18"/>
  <c r="AL300" i="18"/>
  <c r="AM300" i="18"/>
  <c r="Y292" i="18"/>
  <c r="Z292" i="18"/>
  <c r="AA292" i="18"/>
  <c r="AB292" i="18"/>
  <c r="AT292" i="18" s="1"/>
  <c r="AC292" i="18"/>
  <c r="AD292" i="18"/>
  <c r="AE292" i="18"/>
  <c r="AF292" i="18"/>
  <c r="AG292" i="18"/>
  <c r="AH292" i="18"/>
  <c r="AI292" i="18"/>
  <c r="AJ292" i="18"/>
  <c r="AL292" i="18"/>
  <c r="AM292" i="18"/>
  <c r="AM392" i="18"/>
  <c r="AL392" i="18"/>
  <c r="AJ392" i="18"/>
  <c r="AI392" i="18"/>
  <c r="AH392" i="18"/>
  <c r="AG392" i="18"/>
  <c r="AF392" i="18"/>
  <c r="AE392" i="18"/>
  <c r="AD392" i="18"/>
  <c r="AC392" i="18"/>
  <c r="AB392" i="18"/>
  <c r="AA392" i="18"/>
  <c r="Z392" i="18"/>
  <c r="Y392" i="18"/>
  <c r="AM121" i="18"/>
  <c r="AL121" i="18"/>
  <c r="AJ121" i="18"/>
  <c r="AI121" i="18"/>
  <c r="AH121" i="18"/>
  <c r="AG121" i="18"/>
  <c r="AF121" i="18"/>
  <c r="AE121" i="18"/>
  <c r="AD121" i="18"/>
  <c r="AC121" i="18"/>
  <c r="AB121" i="18"/>
  <c r="AA121" i="18"/>
  <c r="Z121" i="18"/>
  <c r="Y121" i="18"/>
  <c r="Y56" i="18"/>
  <c r="Z56" i="18"/>
  <c r="AA56" i="18"/>
  <c r="AB56" i="18"/>
  <c r="AT56" i="18" s="1"/>
  <c r="AC56" i="18"/>
  <c r="AD56" i="18"/>
  <c r="AE56" i="18"/>
  <c r="AF56" i="18"/>
  <c r="AG56" i="18"/>
  <c r="AH56" i="18"/>
  <c r="AI56" i="18"/>
  <c r="AJ56" i="18"/>
  <c r="AL56" i="18"/>
  <c r="AM56" i="18"/>
  <c r="Y214" i="18"/>
  <c r="Z214" i="18"/>
  <c r="AA214" i="18"/>
  <c r="AB214" i="18"/>
  <c r="AT214" i="18" s="1"/>
  <c r="AC214" i="18"/>
  <c r="AD214" i="18"/>
  <c r="AE214" i="18"/>
  <c r="AF214" i="18"/>
  <c r="AG214" i="18"/>
  <c r="AH214" i="18"/>
  <c r="AI214" i="18"/>
  <c r="AJ214" i="18"/>
  <c r="AL214" i="18"/>
  <c r="AM214" i="18"/>
  <c r="AM427" i="18"/>
  <c r="AL427" i="18"/>
  <c r="AJ427" i="18"/>
  <c r="AI427" i="18"/>
  <c r="AH427" i="18"/>
  <c r="AG427" i="18"/>
  <c r="AF427" i="18"/>
  <c r="AE427" i="18"/>
  <c r="AD427" i="18"/>
  <c r="AC427" i="18"/>
  <c r="AB427" i="18"/>
  <c r="AT427" i="18" s="1"/>
  <c r="AA427" i="18"/>
  <c r="Z427" i="18"/>
  <c r="Y427" i="18"/>
  <c r="Y487" i="18"/>
  <c r="Z487" i="18"/>
  <c r="AA487" i="18"/>
  <c r="AB487" i="18"/>
  <c r="AC487" i="18"/>
  <c r="AD487" i="18"/>
  <c r="AE487" i="18"/>
  <c r="AF487" i="18"/>
  <c r="AG487" i="18"/>
  <c r="AH487" i="18"/>
  <c r="AI487" i="18"/>
  <c r="AJ487" i="18"/>
  <c r="AL487" i="18"/>
  <c r="AM487" i="18"/>
  <c r="AF515" i="18"/>
  <c r="AG515" i="18"/>
  <c r="AH515" i="18"/>
  <c r="AF448" i="18"/>
  <c r="AG448" i="18"/>
  <c r="AH448" i="18"/>
  <c r="AF424" i="18"/>
  <c r="AG424" i="18"/>
  <c r="AH424" i="18"/>
  <c r="AF416" i="18"/>
  <c r="AG416" i="18"/>
  <c r="AH416" i="18"/>
  <c r="AG391" i="18"/>
  <c r="AH391" i="18"/>
  <c r="AG387" i="18"/>
  <c r="AH387" i="18"/>
  <c r="AG379" i="18"/>
  <c r="AH379" i="18"/>
  <c r="AF375" i="18"/>
  <c r="AG375" i="18"/>
  <c r="AH375" i="18"/>
  <c r="AH373" i="18"/>
  <c r="AG369" i="18"/>
  <c r="AH369" i="18"/>
  <c r="AG367" i="18"/>
  <c r="AH367" i="18"/>
  <c r="AG365" i="18"/>
  <c r="AH365" i="18"/>
  <c r="AH328" i="18"/>
  <c r="AG315" i="18"/>
  <c r="AH315" i="18"/>
  <c r="AG309" i="18"/>
  <c r="AH309" i="18"/>
  <c r="AG307" i="18"/>
  <c r="AH307" i="18"/>
  <c r="AF286" i="18"/>
  <c r="AG286" i="18"/>
  <c r="AH286" i="18"/>
  <c r="AG285" i="18"/>
  <c r="AH285" i="18"/>
  <c r="AF277" i="18"/>
  <c r="AG277" i="18"/>
  <c r="AH277" i="18"/>
  <c r="AG269" i="18"/>
  <c r="AH269" i="18"/>
  <c r="AF263" i="18"/>
  <c r="AG263" i="18"/>
  <c r="AH263" i="18"/>
  <c r="AH262" i="18"/>
  <c r="AG260" i="18"/>
  <c r="AH260" i="18"/>
  <c r="AF259" i="18"/>
  <c r="AG259" i="18"/>
  <c r="AH259" i="18"/>
  <c r="AG258" i="18"/>
  <c r="AH258" i="18"/>
  <c r="AG255" i="18"/>
  <c r="AH255" i="18"/>
  <c r="AG254" i="18"/>
  <c r="AH254" i="18"/>
  <c r="AG252" i="18"/>
  <c r="AH252" i="18"/>
  <c r="AG246" i="18"/>
  <c r="AH246" i="18"/>
  <c r="AG241" i="18"/>
  <c r="AH241" i="18"/>
  <c r="AG237" i="18"/>
  <c r="AH237" i="18"/>
  <c r="AG293" i="18"/>
  <c r="AH293" i="18"/>
  <c r="AF293" i="18"/>
  <c r="AE313" i="18"/>
  <c r="AF313" i="18"/>
  <c r="AG313" i="18"/>
  <c r="AH313" i="18"/>
  <c r="AE314" i="18"/>
  <c r="AF314" i="18"/>
  <c r="AG314" i="18"/>
  <c r="AH314" i="18"/>
  <c r="AI314" i="18"/>
  <c r="AM67" i="18"/>
  <c r="AL67" i="18"/>
  <c r="AJ67" i="18"/>
  <c r="AI67" i="18"/>
  <c r="AH67" i="18"/>
  <c r="AG67" i="18"/>
  <c r="AF67" i="18"/>
  <c r="AE67" i="18"/>
  <c r="AD67" i="18"/>
  <c r="AC67" i="18"/>
  <c r="AB67" i="18"/>
  <c r="AA67" i="18"/>
  <c r="Z67" i="18"/>
  <c r="Y67" i="18"/>
  <c r="AM103" i="18"/>
  <c r="AM310" i="18"/>
  <c r="AL310" i="18"/>
  <c r="AJ310" i="18"/>
  <c r="AI310" i="18"/>
  <c r="AH310" i="18"/>
  <c r="AG310" i="18"/>
  <c r="AF310" i="18"/>
  <c r="AE310" i="18"/>
  <c r="AD310" i="18"/>
  <c r="AC310" i="18"/>
  <c r="AB310" i="18"/>
  <c r="AT310" i="18" s="1"/>
  <c r="AA310" i="18"/>
  <c r="Z310" i="18"/>
  <c r="Y310" i="18"/>
  <c r="AM534" i="18"/>
  <c r="AL534" i="18"/>
  <c r="AJ534" i="18"/>
  <c r="AI534" i="18"/>
  <c r="AH534" i="18"/>
  <c r="AG534" i="18"/>
  <c r="AF534" i="18"/>
  <c r="AE534" i="18"/>
  <c r="AD534" i="18"/>
  <c r="AC534" i="18"/>
  <c r="AB534" i="18"/>
  <c r="AT534" i="18" s="1"/>
  <c r="AA534" i="18"/>
  <c r="Z534" i="18"/>
  <c r="Y534" i="18"/>
  <c r="AM221" i="18"/>
  <c r="AL221" i="18"/>
  <c r="AJ221" i="18"/>
  <c r="AI221" i="18"/>
  <c r="AH221" i="18"/>
  <c r="AG221" i="18"/>
  <c r="AF221" i="18"/>
  <c r="AE221" i="18"/>
  <c r="AD221" i="18"/>
  <c r="AC221" i="18"/>
  <c r="AB221" i="18"/>
  <c r="AA221" i="18"/>
  <c r="Z221" i="18"/>
  <c r="Y221" i="18"/>
  <c r="AM47" i="18"/>
  <c r="AL47" i="18"/>
  <c r="AJ47" i="18"/>
  <c r="AI47" i="18"/>
  <c r="AH47" i="18"/>
  <c r="AG47" i="18"/>
  <c r="AF47" i="18"/>
  <c r="AE47" i="18"/>
  <c r="AD47" i="18"/>
  <c r="AC47" i="18"/>
  <c r="AB47" i="18"/>
  <c r="AT47" i="18" s="1"/>
  <c r="AA47" i="18"/>
  <c r="Z47" i="18"/>
  <c r="Y47" i="18"/>
  <c r="AM81" i="18"/>
  <c r="AL81" i="18"/>
  <c r="AJ81" i="18"/>
  <c r="AI81" i="18"/>
  <c r="AH81" i="18"/>
  <c r="AG81" i="18"/>
  <c r="AF81" i="18"/>
  <c r="AE81" i="18"/>
  <c r="AD81" i="18"/>
  <c r="AC81" i="18"/>
  <c r="AB81" i="18"/>
  <c r="AT81" i="18" s="1"/>
  <c r="AA81" i="18"/>
  <c r="Z81" i="18"/>
  <c r="Y81" i="18"/>
  <c r="AT67" i="18" l="1"/>
  <c r="AT392" i="18"/>
  <c r="AT221" i="18"/>
  <c r="AT487" i="18"/>
  <c r="AT121" i="18"/>
  <c r="AT298" i="18"/>
  <c r="AR298" i="18"/>
  <c r="AN298" i="18"/>
  <c r="AR300" i="18"/>
  <c r="AN300" i="18"/>
  <c r="AR292" i="18"/>
  <c r="AN292" i="18"/>
  <c r="AR392" i="18"/>
  <c r="AN392" i="18"/>
  <c r="AR121" i="18"/>
  <c r="AN121" i="18"/>
  <c r="AR56" i="18"/>
  <c r="AN56" i="18"/>
  <c r="AR487" i="18"/>
  <c r="AR427" i="18"/>
  <c r="AR214" i="18"/>
  <c r="AN214" i="18"/>
  <c r="AN427" i="18"/>
  <c r="AN487" i="18"/>
  <c r="AR67" i="18"/>
  <c r="AN67" i="18"/>
  <c r="AN310" i="18"/>
  <c r="AN81" i="18"/>
  <c r="AN534" i="18"/>
  <c r="AN47" i="18"/>
  <c r="AN221" i="18"/>
  <c r="AR310" i="18"/>
  <c r="AR534" i="18"/>
  <c r="AR81" i="18"/>
  <c r="AR221" i="18"/>
  <c r="AR47" i="18"/>
  <c r="Y364" i="18" l="1"/>
  <c r="AM297" i="18"/>
  <c r="AL297" i="18"/>
  <c r="AJ297" i="18"/>
  <c r="AI297" i="18"/>
  <c r="AH297" i="18"/>
  <c r="AG297" i="18"/>
  <c r="AF297" i="18"/>
  <c r="AE297" i="18"/>
  <c r="AD297" i="18"/>
  <c r="AC297" i="18"/>
  <c r="AB297" i="18"/>
  <c r="AT297" i="18" s="1"/>
  <c r="AA297" i="18"/>
  <c r="Z297" i="18"/>
  <c r="Y297" i="18"/>
  <c r="AM302" i="18"/>
  <c r="AL302" i="18"/>
  <c r="AJ302" i="18"/>
  <c r="AI302" i="18"/>
  <c r="AH302" i="18"/>
  <c r="AG302" i="18"/>
  <c r="AF302" i="18"/>
  <c r="AE302" i="18"/>
  <c r="AD302" i="18"/>
  <c r="AC302" i="18"/>
  <c r="AB302" i="18"/>
  <c r="AA302" i="18"/>
  <c r="Z302" i="18"/>
  <c r="Y302" i="18"/>
  <c r="AM64" i="18"/>
  <c r="AL64" i="18"/>
  <c r="AJ64" i="18"/>
  <c r="AI64" i="18"/>
  <c r="AH64" i="18"/>
  <c r="AG64" i="18"/>
  <c r="AF64" i="18"/>
  <c r="AE64" i="18"/>
  <c r="AD64" i="18"/>
  <c r="AC64" i="18"/>
  <c r="AB64" i="18"/>
  <c r="AA64" i="18"/>
  <c r="Z64" i="18"/>
  <c r="Y64" i="18"/>
  <c r="AM44" i="18"/>
  <c r="AL44" i="18"/>
  <c r="AJ44" i="18"/>
  <c r="AI44" i="18"/>
  <c r="AH44" i="18"/>
  <c r="AG44" i="18"/>
  <c r="AF44" i="18"/>
  <c r="AE44" i="18"/>
  <c r="AD44" i="18"/>
  <c r="AC44" i="18"/>
  <c r="AB44" i="18"/>
  <c r="AT44" i="18" s="1"/>
  <c r="AA44" i="18"/>
  <c r="Z44" i="18"/>
  <c r="Y44" i="18"/>
  <c r="AM415" i="18"/>
  <c r="AL415" i="18"/>
  <c r="AJ415" i="18"/>
  <c r="AI415" i="18"/>
  <c r="AH415" i="18"/>
  <c r="AG415" i="18"/>
  <c r="AF415" i="18"/>
  <c r="AE415" i="18"/>
  <c r="AD415" i="18"/>
  <c r="AC415" i="18"/>
  <c r="AB415" i="18"/>
  <c r="AT415" i="18" s="1"/>
  <c r="AA415" i="18"/>
  <c r="Z415" i="18"/>
  <c r="Y415" i="18"/>
  <c r="AM491" i="18"/>
  <c r="AL491" i="18"/>
  <c r="AJ491" i="18"/>
  <c r="AI491" i="18"/>
  <c r="AH491" i="18"/>
  <c r="AG491" i="18"/>
  <c r="AF491" i="18"/>
  <c r="AE491" i="18"/>
  <c r="AD491" i="18"/>
  <c r="AC491" i="18"/>
  <c r="AB491" i="18"/>
  <c r="AT491" i="18" s="1"/>
  <c r="AA491" i="18"/>
  <c r="Z491" i="18"/>
  <c r="Y491" i="18"/>
  <c r="AM345" i="18"/>
  <c r="AL345" i="18"/>
  <c r="AJ345" i="18"/>
  <c r="AI345" i="18"/>
  <c r="AH345" i="18"/>
  <c r="AG345" i="18"/>
  <c r="AF345" i="18"/>
  <c r="AE345" i="18"/>
  <c r="AD345" i="18"/>
  <c r="AC345" i="18"/>
  <c r="AB345" i="18"/>
  <c r="AA345" i="18"/>
  <c r="Z345" i="18"/>
  <c r="Y345" i="18"/>
  <c r="AM272" i="18"/>
  <c r="AL272" i="18"/>
  <c r="AJ272" i="18"/>
  <c r="AI272" i="18"/>
  <c r="AH272" i="18"/>
  <c r="AG272" i="18"/>
  <c r="AF272" i="18"/>
  <c r="AE272" i="18"/>
  <c r="AD272" i="18"/>
  <c r="AC272" i="18"/>
  <c r="AB272" i="18"/>
  <c r="AT272" i="18" s="1"/>
  <c r="AA272" i="18"/>
  <c r="Z272" i="18"/>
  <c r="Y272" i="18"/>
  <c r="Y273" i="18"/>
  <c r="Z273" i="18"/>
  <c r="AA273" i="18"/>
  <c r="AB273" i="18"/>
  <c r="AC273" i="18"/>
  <c r="AD273" i="18"/>
  <c r="AE273" i="18"/>
  <c r="AF273" i="18"/>
  <c r="AG273" i="18"/>
  <c r="AH273" i="18"/>
  <c r="AI273" i="18"/>
  <c r="AJ273" i="18"/>
  <c r="AL273" i="18"/>
  <c r="AM273" i="18"/>
  <c r="AA463" i="18"/>
  <c r="AB463" i="18"/>
  <c r="AC463" i="18"/>
  <c r="AA366" i="18"/>
  <c r="AB366" i="18"/>
  <c r="AT366" i="18" s="1"/>
  <c r="AC366" i="18"/>
  <c r="AA365" i="18"/>
  <c r="AB365" i="18"/>
  <c r="AT365" i="18" s="1"/>
  <c r="AC365" i="18"/>
  <c r="AA346" i="18"/>
  <c r="AB346" i="18"/>
  <c r="AT346" i="18" s="1"/>
  <c r="AC346" i="18"/>
  <c r="AA250" i="18"/>
  <c r="AB250" i="18"/>
  <c r="AC250" i="18"/>
  <c r="AA218" i="18"/>
  <c r="AB218" i="18"/>
  <c r="AT218" i="18" s="1"/>
  <c r="AC218" i="18"/>
  <c r="Z78" i="18"/>
  <c r="AA78" i="18"/>
  <c r="AB78" i="18"/>
  <c r="AT78" i="18" s="1"/>
  <c r="AC78" i="18"/>
  <c r="AC433" i="18"/>
  <c r="AA433" i="18"/>
  <c r="AB433" i="18"/>
  <c r="AT433" i="18" s="1"/>
  <c r="Z142" i="18"/>
  <c r="AA142" i="18"/>
  <c r="AB142" i="18"/>
  <c r="AC142" i="18"/>
  <c r="AB102" i="18"/>
  <c r="AC102" i="18"/>
  <c r="AA15" i="18"/>
  <c r="AB15" i="18"/>
  <c r="AT15" i="18" s="1"/>
  <c r="AC15" i="18"/>
  <c r="AA80" i="18"/>
  <c r="AB80" i="18"/>
  <c r="AC80" i="18"/>
  <c r="AM456" i="18"/>
  <c r="AL456" i="18"/>
  <c r="AJ456" i="18"/>
  <c r="AI456" i="18"/>
  <c r="AH456" i="18"/>
  <c r="AG456" i="18"/>
  <c r="AF456" i="18"/>
  <c r="AE456" i="18"/>
  <c r="AD456" i="18"/>
  <c r="AC456" i="18"/>
  <c r="AB456" i="18"/>
  <c r="AT456" i="18" s="1"/>
  <c r="AA456" i="18"/>
  <c r="Z456" i="18"/>
  <c r="Y456" i="18"/>
  <c r="Y142" i="18"/>
  <c r="AD142" i="18"/>
  <c r="AE142" i="18"/>
  <c r="AF142" i="18"/>
  <c r="AG142" i="18"/>
  <c r="AH142" i="18"/>
  <c r="AI142" i="18"/>
  <c r="AJ142" i="18"/>
  <c r="AL142" i="18"/>
  <c r="AM142" i="18"/>
  <c r="AT345" i="18" l="1"/>
  <c r="AT64" i="18"/>
  <c r="AT102" i="18"/>
  <c r="AT250" i="18"/>
  <c r="AT273" i="18"/>
  <c r="AT80" i="18"/>
  <c r="AT142" i="18"/>
  <c r="AT302" i="18"/>
  <c r="AT463" i="18"/>
  <c r="AN297" i="18"/>
  <c r="AR297" i="18"/>
  <c r="AR302" i="18"/>
  <c r="AN302" i="18"/>
  <c r="AR64" i="18"/>
  <c r="AN64" i="18"/>
  <c r="AR44" i="18"/>
  <c r="AN44" i="18"/>
  <c r="AR491" i="18"/>
  <c r="AR415" i="18"/>
  <c r="AN415" i="18"/>
  <c r="AN491" i="18"/>
  <c r="AR345" i="18"/>
  <c r="AN345" i="18"/>
  <c r="AR273" i="18"/>
  <c r="AR272" i="18"/>
  <c r="AN272" i="18"/>
  <c r="AN273" i="18"/>
  <c r="AR456" i="18"/>
  <c r="AN456" i="18"/>
  <c r="AR142" i="18"/>
  <c r="AN142" i="18"/>
  <c r="AM407" i="18"/>
  <c r="AL407" i="18"/>
  <c r="AJ407" i="18"/>
  <c r="AI407" i="18"/>
  <c r="AH407" i="18"/>
  <c r="AG407" i="18"/>
  <c r="AF407" i="18"/>
  <c r="AE407" i="18"/>
  <c r="AD407" i="18"/>
  <c r="AC407" i="18"/>
  <c r="AB407" i="18"/>
  <c r="AA407" i="18"/>
  <c r="Z407" i="18"/>
  <c r="Y407" i="18"/>
  <c r="AB352" i="18"/>
  <c r="AT352" i="18" s="1"/>
  <c r="Y352" i="18"/>
  <c r="Z352" i="18"/>
  <c r="AA352" i="18"/>
  <c r="AC352" i="18"/>
  <c r="AD352" i="18"/>
  <c r="AE352" i="18"/>
  <c r="AF352" i="18"/>
  <c r="AG352" i="18"/>
  <c r="AH352" i="18"/>
  <c r="AI352" i="18"/>
  <c r="AJ352" i="18"/>
  <c r="AL352" i="18"/>
  <c r="AM352" i="18"/>
  <c r="Z88" i="18"/>
  <c r="AA88" i="18"/>
  <c r="AB88" i="18"/>
  <c r="AC88" i="18"/>
  <c r="AD88" i="18"/>
  <c r="AE88" i="18"/>
  <c r="AF88" i="18"/>
  <c r="AG88" i="18"/>
  <c r="AH88" i="18"/>
  <c r="AI88" i="18"/>
  <c r="AJ88" i="18"/>
  <c r="Y87" i="18"/>
  <c r="Z87" i="18"/>
  <c r="AA87" i="18"/>
  <c r="AB87" i="18"/>
  <c r="AT87" i="18" s="1"/>
  <c r="AC87" i="18"/>
  <c r="AD87" i="18"/>
  <c r="AE87" i="18"/>
  <c r="AF87" i="18"/>
  <c r="AG87" i="18"/>
  <c r="AH87" i="18"/>
  <c r="AI87" i="18"/>
  <c r="AJ87" i="18"/>
  <c r="AA89" i="18"/>
  <c r="AB89" i="18"/>
  <c r="AT89" i="18" s="1"/>
  <c r="AC89" i="18"/>
  <c r="AD89" i="18"/>
  <c r="AE89" i="18"/>
  <c r="AF89" i="18"/>
  <c r="AG89" i="18"/>
  <c r="AH89" i="18"/>
  <c r="AI89" i="18"/>
  <c r="AJ89" i="18"/>
  <c r="AA92" i="18"/>
  <c r="AB92" i="18"/>
  <c r="AC92" i="18"/>
  <c r="AD92" i="18"/>
  <c r="AE92" i="18"/>
  <c r="AF92" i="18"/>
  <c r="AG92" i="18"/>
  <c r="AH92" i="18"/>
  <c r="AI92" i="18"/>
  <c r="AJ92" i="18"/>
  <c r="AC91" i="18"/>
  <c r="AD91" i="18"/>
  <c r="AE91" i="18"/>
  <c r="AF91" i="18"/>
  <c r="AG91" i="18"/>
  <c r="AH91" i="18"/>
  <c r="AI91" i="18"/>
  <c r="AJ91" i="18"/>
  <c r="AA91" i="18"/>
  <c r="AB91" i="18"/>
  <c r="AB93" i="18"/>
  <c r="AT93" i="18" s="1"/>
  <c r="AC93" i="18"/>
  <c r="AD93" i="18"/>
  <c r="AE93" i="18"/>
  <c r="AF93" i="18"/>
  <c r="AG93" i="18"/>
  <c r="AH93" i="18"/>
  <c r="AI93" i="18"/>
  <c r="AJ93" i="18"/>
  <c r="AA93" i="18"/>
  <c r="AB269" i="18"/>
  <c r="AM87" i="18"/>
  <c r="AL87" i="18"/>
  <c r="AM88" i="18"/>
  <c r="AL88" i="18"/>
  <c r="Y88" i="18"/>
  <c r="AM92" i="18"/>
  <c r="AL92" i="18"/>
  <c r="Z92" i="18"/>
  <c r="Y92" i="18"/>
  <c r="Y93" i="18"/>
  <c r="Y91" i="18"/>
  <c r="Z93" i="18"/>
  <c r="AL93" i="18"/>
  <c r="AM93" i="18"/>
  <c r="Z91" i="18"/>
  <c r="AL91" i="18"/>
  <c r="AM91" i="18"/>
  <c r="Y89" i="18"/>
  <c r="Z89" i="18"/>
  <c r="AL89" i="18"/>
  <c r="AM89" i="18"/>
  <c r="Z212" i="18"/>
  <c r="AA212" i="18"/>
  <c r="AM212" i="18"/>
  <c r="AL212" i="18"/>
  <c r="AJ212" i="18"/>
  <c r="AI212" i="18"/>
  <c r="AH212" i="18"/>
  <c r="AG212" i="18"/>
  <c r="AF212" i="18"/>
  <c r="AE212" i="18"/>
  <c r="AD212" i="18"/>
  <c r="AC212" i="18"/>
  <c r="AB212" i="18"/>
  <c r="Y212" i="18"/>
  <c r="AM153" i="18"/>
  <c r="AL153" i="18"/>
  <c r="AJ153" i="18"/>
  <c r="AI153" i="18"/>
  <c r="AH153" i="18"/>
  <c r="AG153" i="18"/>
  <c r="AF153" i="18"/>
  <c r="AE153" i="18"/>
  <c r="AD153" i="18"/>
  <c r="AC153" i="18"/>
  <c r="AB153" i="18"/>
  <c r="AT153" i="18" s="1"/>
  <c r="AA153" i="18"/>
  <c r="Z153" i="18"/>
  <c r="Y153" i="18"/>
  <c r="AM246" i="18"/>
  <c r="AL246" i="18"/>
  <c r="AJ246" i="18"/>
  <c r="AI246" i="18"/>
  <c r="AF246" i="18"/>
  <c r="AE246" i="18"/>
  <c r="AD246" i="18"/>
  <c r="AC246" i="18"/>
  <c r="AB246" i="18"/>
  <c r="AA246" i="18"/>
  <c r="Z246" i="18"/>
  <c r="Y246" i="18"/>
  <c r="AM271" i="18"/>
  <c r="AL271" i="18"/>
  <c r="AJ271" i="18"/>
  <c r="AI271" i="18"/>
  <c r="AH271" i="18"/>
  <c r="AG271" i="18"/>
  <c r="AF271" i="18"/>
  <c r="AE271" i="18"/>
  <c r="AD271" i="18"/>
  <c r="AC271" i="18"/>
  <c r="AB271" i="18"/>
  <c r="AT271" i="18" s="1"/>
  <c r="AA271" i="18"/>
  <c r="Z271" i="18"/>
  <c r="Y271" i="18"/>
  <c r="AT91" i="18" l="1"/>
  <c r="AT92" i="18"/>
  <c r="AT88" i="18"/>
  <c r="AT246" i="18"/>
  <c r="AT212" i="18"/>
  <c r="AT407" i="18"/>
  <c r="AR407" i="18"/>
  <c r="AN407" i="18"/>
  <c r="AR352" i="18"/>
  <c r="AN352" i="18"/>
  <c r="AR93" i="18"/>
  <c r="AR87" i="18"/>
  <c r="AR88" i="18"/>
  <c r="AR92" i="18"/>
  <c r="AR91" i="18"/>
  <c r="AN87" i="18"/>
  <c r="AN88" i="18"/>
  <c r="AN92" i="18"/>
  <c r="AN93" i="18"/>
  <c r="AN91" i="18"/>
  <c r="AR89" i="18"/>
  <c r="AN89" i="18"/>
  <c r="AR153" i="18"/>
  <c r="AR212" i="18"/>
  <c r="AN212" i="18"/>
  <c r="AN153" i="18"/>
  <c r="AR271" i="18"/>
  <c r="AR246" i="18"/>
  <c r="AN271" i="18"/>
  <c r="AN246" i="18"/>
  <c r="AA269" i="18"/>
  <c r="Z130" i="18" l="1"/>
  <c r="Z109" i="18"/>
  <c r="Y109" i="18"/>
  <c r="Z102" i="18" l="1"/>
  <c r="AA102" i="18"/>
  <c r="Y104" i="18" l="1"/>
  <c r="Z104" i="18"/>
  <c r="AA104" i="18"/>
  <c r="AB104" i="18"/>
  <c r="AT104" i="18" s="1"/>
  <c r="AC104" i="18"/>
  <c r="AD104" i="18"/>
  <c r="AE104" i="18"/>
  <c r="AF104" i="18"/>
  <c r="AG104" i="18"/>
  <c r="AH104" i="18"/>
  <c r="AI104" i="18"/>
  <c r="AJ104" i="18"/>
  <c r="AL104" i="18"/>
  <c r="AM104" i="18"/>
  <c r="AR104" i="18" l="1"/>
  <c r="AN104" i="18"/>
  <c r="Y463" i="18"/>
  <c r="Z463" i="18"/>
  <c r="AD463" i="18"/>
  <c r="AE463" i="18"/>
  <c r="AF463" i="18"/>
  <c r="AG463" i="18"/>
  <c r="AH463" i="18"/>
  <c r="AI463" i="18"/>
  <c r="AJ463" i="18"/>
  <c r="AL463" i="18"/>
  <c r="AM463" i="18"/>
  <c r="Y269" i="18"/>
  <c r="Z269" i="18"/>
  <c r="AC269" i="18"/>
  <c r="AT269" i="18" s="1"/>
  <c r="AD269" i="18"/>
  <c r="AE269" i="18"/>
  <c r="AF269" i="18"/>
  <c r="AI269" i="18"/>
  <c r="AJ269" i="18"/>
  <c r="AL269" i="18"/>
  <c r="AM269" i="18"/>
  <c r="Y250" i="18"/>
  <c r="Z250" i="18"/>
  <c r="AD250" i="18"/>
  <c r="AE250" i="18"/>
  <c r="AF250" i="18"/>
  <c r="AG250" i="18"/>
  <c r="AH250" i="18"/>
  <c r="AI250" i="18"/>
  <c r="AJ250" i="18"/>
  <c r="AL250" i="18"/>
  <c r="AM250" i="18"/>
  <c r="AR269" i="18" l="1"/>
  <c r="AR250" i="18"/>
  <c r="AR463" i="18"/>
  <c r="AN463" i="18"/>
  <c r="AN269" i="18"/>
  <c r="AN250" i="18"/>
  <c r="Y366" i="18"/>
  <c r="Z366" i="18"/>
  <c r="AD366" i="18"/>
  <c r="AE366" i="18"/>
  <c r="AF366" i="18"/>
  <c r="AG366" i="18"/>
  <c r="AH366" i="18"/>
  <c r="AI366" i="18"/>
  <c r="AJ366" i="18"/>
  <c r="AL366" i="18"/>
  <c r="AM366" i="18"/>
  <c r="AR366" i="18" l="1"/>
  <c r="AN366" i="18"/>
  <c r="Y218" i="18"/>
  <c r="Z218" i="18"/>
  <c r="AD218" i="18"/>
  <c r="AE218" i="18"/>
  <c r="AF218" i="18"/>
  <c r="AG218" i="18"/>
  <c r="AH218" i="18"/>
  <c r="AI218" i="18"/>
  <c r="AJ218" i="18"/>
  <c r="AL218" i="18"/>
  <c r="AM218" i="18"/>
  <c r="AR218" i="18" l="1"/>
  <c r="AN218" i="18"/>
  <c r="AC323" i="18" l="1"/>
  <c r="AB323" i="18"/>
  <c r="AT323" i="18" s="1"/>
  <c r="AA323" i="18"/>
  <c r="Z323" i="18"/>
  <c r="Y536" i="18"/>
  <c r="Y535" i="18"/>
  <c r="AH95" i="18"/>
  <c r="Z66" i="18"/>
  <c r="AA66" i="18"/>
  <c r="AH23" i="18"/>
  <c r="AA24" i="18"/>
  <c r="AB24" i="18"/>
  <c r="AA23" i="18"/>
  <c r="AB23" i="18"/>
  <c r="AF240" i="10" l="1"/>
  <c r="AI23" i="18" l="1"/>
  <c r="AJ23" i="18"/>
  <c r="AM207" i="18" l="1"/>
  <c r="AL207" i="18"/>
  <c r="AJ207" i="18"/>
  <c r="AI207" i="18"/>
  <c r="AH207" i="18"/>
  <c r="AG207" i="18"/>
  <c r="AF207" i="18"/>
  <c r="AE207" i="18"/>
  <c r="AD207" i="18"/>
  <c r="AC207" i="18"/>
  <c r="AB207" i="18"/>
  <c r="AA207" i="18"/>
  <c r="Z207" i="18"/>
  <c r="Y207" i="18"/>
  <c r="AM210" i="18"/>
  <c r="AL210" i="18"/>
  <c r="AJ210" i="18"/>
  <c r="AI210" i="18"/>
  <c r="AH210" i="18"/>
  <c r="AG210" i="18"/>
  <c r="AF210" i="18"/>
  <c r="AE210" i="18"/>
  <c r="AD210" i="18"/>
  <c r="AC210" i="18"/>
  <c r="AB210" i="18"/>
  <c r="AA210" i="18"/>
  <c r="Z210" i="18"/>
  <c r="Y210" i="18"/>
  <c r="AM209" i="18"/>
  <c r="AL209" i="18"/>
  <c r="AJ209" i="18"/>
  <c r="AI209" i="18"/>
  <c r="AH209" i="18"/>
  <c r="AG209" i="18"/>
  <c r="AF209" i="18"/>
  <c r="AE209" i="18"/>
  <c r="AD209" i="18"/>
  <c r="AC209" i="18"/>
  <c r="AB209" i="18"/>
  <c r="AT209" i="18" s="1"/>
  <c r="AA209" i="18"/>
  <c r="Z209" i="18"/>
  <c r="Y209" i="18"/>
  <c r="AJ208" i="18"/>
  <c r="AI208" i="18"/>
  <c r="AH208" i="18"/>
  <c r="AG208" i="18"/>
  <c r="AF208" i="18"/>
  <c r="AE208" i="18"/>
  <c r="AD208" i="18"/>
  <c r="AC208" i="18"/>
  <c r="AB208" i="18"/>
  <c r="AA208" i="18"/>
  <c r="Z208" i="18"/>
  <c r="Y208" i="18"/>
  <c r="AL208" i="18"/>
  <c r="AM208" i="18"/>
  <c r="AT208" i="18" l="1"/>
  <c r="AT207" i="18"/>
  <c r="AT210" i="18"/>
  <c r="AR210" i="18"/>
  <c r="AR209" i="18"/>
  <c r="AR207" i="18"/>
  <c r="AN207" i="18"/>
  <c r="AN210" i="18"/>
  <c r="AN209" i="18"/>
  <c r="AR208" i="18"/>
  <c r="AN208" i="18"/>
  <c r="AM23" i="18" l="1"/>
  <c r="AL23" i="18"/>
  <c r="AG23" i="18"/>
  <c r="AF23" i="18"/>
  <c r="AE23" i="18"/>
  <c r="AD23" i="18"/>
  <c r="AC23" i="18"/>
  <c r="AT23" i="18" s="1"/>
  <c r="Z23" i="18"/>
  <c r="Y23" i="18"/>
  <c r="AR23" i="18" l="1"/>
  <c r="AN23" i="18"/>
  <c r="AM61" i="18"/>
  <c r="AL61" i="18"/>
  <c r="AJ61" i="18"/>
  <c r="AI61" i="18"/>
  <c r="AH61" i="18"/>
  <c r="AG61" i="18"/>
  <c r="AF61" i="18"/>
  <c r="AE61" i="18"/>
  <c r="AD61" i="18"/>
  <c r="AC61" i="18"/>
  <c r="AB61" i="18"/>
  <c r="AT61" i="18" s="1"/>
  <c r="AA61" i="18"/>
  <c r="Z61" i="18"/>
  <c r="Y61" i="18"/>
  <c r="AR61" i="18" l="1"/>
  <c r="AN61" i="18"/>
  <c r="AJ126" i="18"/>
  <c r="AH126" i="18"/>
  <c r="AI126" i="18"/>
  <c r="AI122" i="18"/>
  <c r="AF122" i="18"/>
  <c r="AG122" i="18"/>
  <c r="AH122" i="18"/>
  <c r="AH102" i="18" l="1"/>
  <c r="AG102" i="18"/>
  <c r="Y102" i="18"/>
  <c r="AD102" i="18"/>
  <c r="AE102" i="18"/>
  <c r="AF102" i="18"/>
  <c r="AI102" i="18"/>
  <c r="AJ102" i="18"/>
  <c r="AL102" i="18"/>
  <c r="AM102" i="18"/>
  <c r="AM228" i="18"/>
  <c r="AL228" i="18"/>
  <c r="AR102" i="18" l="1"/>
  <c r="AN102" i="18"/>
  <c r="AN228" i="18"/>
  <c r="AD52" i="28"/>
  <c r="Y84" i="18" l="1"/>
  <c r="Z84" i="18"/>
  <c r="AA84" i="18"/>
  <c r="AB84" i="18"/>
  <c r="AT84" i="18" s="1"/>
  <c r="AC84" i="18"/>
  <c r="AD84" i="18"/>
  <c r="AE84" i="18"/>
  <c r="AF84" i="18"/>
  <c r="AG84" i="18"/>
  <c r="AH84" i="18"/>
  <c r="AI84" i="18"/>
  <c r="AJ84" i="18"/>
  <c r="AL84" i="18"/>
  <c r="AM84" i="18"/>
  <c r="AR84" i="18" l="1"/>
  <c r="AN84" i="18"/>
  <c r="AL78" i="18" l="1"/>
  <c r="AM78" i="18"/>
  <c r="Y78" i="18"/>
  <c r="AD78" i="18"/>
  <c r="AE78" i="18"/>
  <c r="AF78" i="18"/>
  <c r="AG78" i="18"/>
  <c r="AH78" i="18"/>
  <c r="AI78" i="18"/>
  <c r="AJ78" i="18"/>
  <c r="AM49" i="18"/>
  <c r="AL49" i="18"/>
  <c r="AJ49" i="18"/>
  <c r="AI49" i="18"/>
  <c r="AH49" i="18"/>
  <c r="AG49" i="18"/>
  <c r="AF49" i="18"/>
  <c r="AE49" i="18"/>
  <c r="AD49" i="18"/>
  <c r="AC49" i="18"/>
  <c r="AB49" i="18"/>
  <c r="AT49" i="18" s="1"/>
  <c r="AA49" i="18"/>
  <c r="Z49" i="18"/>
  <c r="Y49" i="18"/>
  <c r="AR78" i="18" l="1"/>
  <c r="AN78" i="18"/>
  <c r="AR49" i="18"/>
  <c r="AN49" i="18"/>
  <c r="AM90" i="18"/>
  <c r="AL90" i="18"/>
  <c r="AJ90" i="18"/>
  <c r="AI90" i="18"/>
  <c r="AH90" i="18"/>
  <c r="AG90" i="18"/>
  <c r="AF90" i="18"/>
  <c r="AE90" i="18"/>
  <c r="AD90" i="18"/>
  <c r="AC90" i="18"/>
  <c r="AB90" i="18"/>
  <c r="AT90" i="18" s="1"/>
  <c r="AA90" i="18"/>
  <c r="Z90" i="18"/>
  <c r="Y90" i="18"/>
  <c r="AN90" i="18" l="1"/>
  <c r="AR90" i="18"/>
  <c r="AM132" i="18" l="1"/>
  <c r="AL132" i="18"/>
  <c r="AJ132" i="18"/>
  <c r="AI132" i="18"/>
  <c r="AH132" i="18"/>
  <c r="AG132" i="18"/>
  <c r="AF132" i="18"/>
  <c r="AE132" i="18"/>
  <c r="AD132" i="18"/>
  <c r="AC132" i="18"/>
  <c r="AB132" i="18"/>
  <c r="AT132" i="18" s="1"/>
  <c r="AA132" i="18"/>
  <c r="Z132" i="18"/>
  <c r="Y132" i="18"/>
  <c r="AR132" i="18" l="1"/>
  <c r="AN132" i="18"/>
  <c r="AE74" i="18" l="1"/>
  <c r="W323" i="18" l="1"/>
  <c r="Z486" i="18" l="1"/>
  <c r="AA486" i="18"/>
  <c r="Y323" i="18"/>
  <c r="AA317" i="18"/>
  <c r="AB317" i="18"/>
  <c r="AA173" i="18"/>
  <c r="AB173" i="18"/>
  <c r="AT173" i="18" s="1"/>
  <c r="AC173" i="18"/>
  <c r="AA485" i="18"/>
  <c r="AB485" i="18"/>
  <c r="AT485" i="18" s="1"/>
  <c r="AC485" i="18"/>
  <c r="AA248" i="18"/>
  <c r="AB248" i="18"/>
  <c r="AT248" i="18" s="1"/>
  <c r="AC248" i="18"/>
  <c r="AA304" i="18"/>
  <c r="AB304" i="18"/>
  <c r="AT304" i="18" s="1"/>
  <c r="AC304" i="18"/>
  <c r="AA131" i="18"/>
  <c r="AB131" i="18"/>
  <c r="AT131" i="18" s="1"/>
  <c r="AC131" i="18"/>
  <c r="AA370" i="18"/>
  <c r="AB370" i="18"/>
  <c r="AT370" i="18" s="1"/>
  <c r="AC370" i="18"/>
  <c r="AM86" i="18" l="1"/>
  <c r="AL86" i="18"/>
  <c r="AJ86" i="18"/>
  <c r="AI86" i="18"/>
  <c r="AH86" i="18"/>
  <c r="AG86" i="18"/>
  <c r="AF86" i="18"/>
  <c r="AE86" i="18"/>
  <c r="AD86" i="18"/>
  <c r="AC86" i="18"/>
  <c r="AB86" i="18"/>
  <c r="AT86" i="18" s="1"/>
  <c r="AA86" i="18"/>
  <c r="Z86" i="18"/>
  <c r="Y86" i="18"/>
  <c r="AR86" i="18" l="1"/>
  <c r="AN86" i="18"/>
  <c r="Y24" i="18"/>
  <c r="Z24" i="18"/>
  <c r="AC24" i="18"/>
  <c r="AT24" i="18" s="1"/>
  <c r="AD24" i="18"/>
  <c r="AE24" i="18"/>
  <c r="AF24" i="18"/>
  <c r="AG24" i="18"/>
  <c r="AH24" i="18"/>
  <c r="AI24" i="18"/>
  <c r="AJ24" i="18"/>
  <c r="AL24" i="18"/>
  <c r="AM24" i="18"/>
  <c r="Y80" i="18"/>
  <c r="Z80" i="18"/>
  <c r="AD80" i="18"/>
  <c r="AE80" i="18"/>
  <c r="AF80" i="18"/>
  <c r="AG80" i="18"/>
  <c r="AH80" i="18"/>
  <c r="AI80" i="18"/>
  <c r="AJ80" i="18"/>
  <c r="AL80" i="18"/>
  <c r="AM80" i="18"/>
  <c r="AR24" i="18" l="1"/>
  <c r="AR80" i="18"/>
  <c r="AN24" i="18"/>
  <c r="AN80" i="18"/>
  <c r="AD323" i="18"/>
  <c r="Y365" i="18" l="1"/>
  <c r="Z365" i="18"/>
  <c r="AD365" i="18"/>
  <c r="AE365" i="18"/>
  <c r="AF365" i="18"/>
  <c r="AI365" i="18"/>
  <c r="AJ365" i="18"/>
  <c r="AL365" i="18"/>
  <c r="AM365" i="18"/>
  <c r="AN365" i="18" l="1"/>
  <c r="AR365" i="18"/>
  <c r="AM408" i="18"/>
  <c r="AJ408" i="18"/>
  <c r="AI408" i="18"/>
  <c r="AH408" i="18"/>
  <c r="AG408" i="18"/>
  <c r="AF408" i="18"/>
  <c r="AE408" i="18"/>
  <c r="AD408" i="18"/>
  <c r="AA408" i="18"/>
  <c r="Z408" i="18"/>
  <c r="Y408" i="18"/>
  <c r="AL408" i="18"/>
  <c r="AM406" i="18"/>
  <c r="AL406" i="18"/>
  <c r="AJ406" i="18"/>
  <c r="AI406" i="18"/>
  <c r="AH406" i="18"/>
  <c r="AG406" i="18"/>
  <c r="AF406" i="18"/>
  <c r="AE406" i="18"/>
  <c r="AD406" i="18"/>
  <c r="AC406" i="18"/>
  <c r="AB406" i="18"/>
  <c r="AA406" i="18"/>
  <c r="Z406" i="18"/>
  <c r="Y406" i="18"/>
  <c r="AT406" i="18" l="1"/>
  <c r="AR406" i="18"/>
  <c r="AN408" i="18"/>
  <c r="AB408" i="18"/>
  <c r="AT408" i="18" s="1"/>
  <c r="AC408" i="18"/>
  <c r="AN406" i="18"/>
  <c r="AJ228" i="18"/>
  <c r="AI228" i="18"/>
  <c r="AH228" i="18"/>
  <c r="AG228" i="18"/>
  <c r="AF228" i="18"/>
  <c r="AE228" i="18"/>
  <c r="AD228" i="18"/>
  <c r="AC228" i="18"/>
  <c r="AB228" i="18"/>
  <c r="AT228" i="18" s="1"/>
  <c r="AA228" i="18"/>
  <c r="Z228" i="18"/>
  <c r="Y228" i="18"/>
  <c r="AR228" i="18" l="1"/>
  <c r="AR408" i="18"/>
  <c r="Y346" i="18" l="1"/>
  <c r="Z346" i="18"/>
  <c r="AD346" i="18"/>
  <c r="AE346" i="18"/>
  <c r="AF346" i="18"/>
  <c r="AG346" i="18"/>
  <c r="AH346" i="18"/>
  <c r="AI346" i="18"/>
  <c r="AJ346" i="18"/>
  <c r="AL346" i="18"/>
  <c r="AM346" i="18"/>
  <c r="AM148" i="18"/>
  <c r="AL148" i="18"/>
  <c r="AJ148" i="18"/>
  <c r="AI148" i="18"/>
  <c r="AH148" i="18"/>
  <c r="AG148" i="18"/>
  <c r="AF148" i="18"/>
  <c r="AE148" i="18"/>
  <c r="AD148" i="18"/>
  <c r="AC148" i="18"/>
  <c r="AB148" i="18"/>
  <c r="AT148" i="18" s="1"/>
  <c r="AA148" i="18"/>
  <c r="Z148" i="18"/>
  <c r="Y148" i="18"/>
  <c r="AM191" i="18"/>
  <c r="AL191" i="18"/>
  <c r="AJ191" i="18"/>
  <c r="AI191" i="18"/>
  <c r="AH191" i="18"/>
  <c r="AG191" i="18"/>
  <c r="AF191" i="18"/>
  <c r="AE191" i="18"/>
  <c r="AD191" i="18"/>
  <c r="AC191" i="18"/>
  <c r="AB191" i="18"/>
  <c r="AT191" i="18" s="1"/>
  <c r="AA191" i="18"/>
  <c r="Z191" i="18"/>
  <c r="Y191" i="18"/>
  <c r="AR346" i="18" l="1"/>
  <c r="AN346" i="18"/>
  <c r="AR148" i="18"/>
  <c r="AN148" i="18"/>
  <c r="AN191" i="18"/>
  <c r="AR191" i="18"/>
  <c r="AI213" i="18" l="1"/>
  <c r="Y304" i="18" l="1"/>
  <c r="Z304" i="18"/>
  <c r="AD304" i="18"/>
  <c r="AE304" i="18"/>
  <c r="AF304" i="18"/>
  <c r="AG304" i="18"/>
  <c r="AH304" i="18"/>
  <c r="AI304" i="18"/>
  <c r="AJ304" i="18"/>
  <c r="AL304" i="18"/>
  <c r="AM304" i="18"/>
  <c r="AR304" i="18" l="1"/>
  <c r="AN304" i="18"/>
  <c r="AM512" i="18" l="1"/>
  <c r="AL512" i="18"/>
  <c r="AJ512" i="18"/>
  <c r="AI512" i="18"/>
  <c r="AH512" i="18"/>
  <c r="AG512" i="18"/>
  <c r="AF512" i="18"/>
  <c r="AE512" i="18"/>
  <c r="AD512" i="18"/>
  <c r="AC512" i="18"/>
  <c r="AB512" i="18"/>
  <c r="AT512" i="18" s="1"/>
  <c r="AA512" i="18"/>
  <c r="Z512" i="18"/>
  <c r="Y512" i="18"/>
  <c r="AM161" i="18"/>
  <c r="AL161" i="18"/>
  <c r="AJ161" i="18"/>
  <c r="AI161" i="18"/>
  <c r="AH161" i="18"/>
  <c r="AG161" i="18"/>
  <c r="AF161" i="18"/>
  <c r="AE161" i="18"/>
  <c r="AD161" i="18"/>
  <c r="AC161" i="18"/>
  <c r="AB161" i="18"/>
  <c r="AT161" i="18" s="1"/>
  <c r="AA161" i="18"/>
  <c r="Z161" i="18"/>
  <c r="Y161" i="18"/>
  <c r="AR512" i="18" l="1"/>
  <c r="AR161" i="18"/>
  <c r="AN512" i="18"/>
  <c r="AN161" i="18"/>
  <c r="AM188" i="18"/>
  <c r="AL188" i="18"/>
  <c r="AJ188" i="18"/>
  <c r="AI188" i="18"/>
  <c r="AH188" i="18"/>
  <c r="AG188" i="18"/>
  <c r="AF188" i="18"/>
  <c r="AE188" i="18"/>
  <c r="AD188" i="18"/>
  <c r="AC188" i="18"/>
  <c r="AB188" i="18"/>
  <c r="AT188" i="18" s="1"/>
  <c r="AA188" i="18"/>
  <c r="Z188" i="18"/>
  <c r="Y188" i="18"/>
  <c r="AR188" i="18" l="1"/>
  <c r="AN188" i="18"/>
  <c r="AM8" i="18" l="1"/>
  <c r="AM26" i="18"/>
  <c r="AM29" i="18"/>
  <c r="AM35" i="18"/>
  <c r="AM36" i="18"/>
  <c r="AM79" i="18"/>
  <c r="AM82" i="18"/>
  <c r="AM83" i="18"/>
  <c r="AM115" i="18"/>
  <c r="AM7" i="18"/>
  <c r="AM322" i="18"/>
  <c r="AM381" i="18"/>
  <c r="AM232" i="18"/>
  <c r="AM235" i="18"/>
  <c r="AM270" i="18"/>
  <c r="AM326" i="18"/>
  <c r="AM364" i="18"/>
  <c r="AM375" i="18"/>
  <c r="AM405" i="18"/>
  <c r="AM454" i="18"/>
  <c r="AM133" i="18"/>
  <c r="AM134" i="18"/>
  <c r="AM135" i="18"/>
  <c r="AM136" i="18"/>
  <c r="AM139" i="18"/>
  <c r="AM149" i="18"/>
  <c r="AM152" i="18"/>
  <c r="AM150" i="18"/>
  <c r="AM154" i="18"/>
  <c r="AM155" i="18"/>
  <c r="AM156" i="18"/>
  <c r="AM158" i="18"/>
  <c r="AM164" i="18"/>
  <c r="AM165" i="18"/>
  <c r="AM168" i="18"/>
  <c r="AM174" i="18"/>
  <c r="AM176" i="18"/>
  <c r="AM177" i="18"/>
  <c r="AM178" i="18"/>
  <c r="AM179" i="18"/>
  <c r="AM180" i="18"/>
  <c r="AM185" i="18"/>
  <c r="AM186" i="18"/>
  <c r="AM198" i="18"/>
  <c r="AM199" i="18"/>
  <c r="AM200" i="18"/>
  <c r="AM201" i="18"/>
  <c r="AM202" i="18"/>
  <c r="AM203" i="18"/>
  <c r="AM204" i="18"/>
  <c r="AM219" i="18"/>
  <c r="AM220" i="18"/>
  <c r="AM222" i="18"/>
  <c r="AM223" i="18"/>
  <c r="AM224" i="18"/>
  <c r="AM225" i="18"/>
  <c r="AM226" i="18"/>
  <c r="AM227" i="18"/>
  <c r="AM9" i="18"/>
  <c r="AM10" i="18"/>
  <c r="AM20" i="18"/>
  <c r="AM25" i="18"/>
  <c r="AM28" i="18"/>
  <c r="AM30" i="18"/>
  <c r="AM32" i="18"/>
  <c r="AM33" i="18"/>
  <c r="AM34" i="18"/>
  <c r="AM37" i="18"/>
  <c r="AM38" i="18"/>
  <c r="AM40" i="18"/>
  <c r="AM42" i="18"/>
  <c r="AM50" i="18"/>
  <c r="AM54" i="18"/>
  <c r="AM60" i="18"/>
  <c r="AM62" i="18"/>
  <c r="AM63" i="18"/>
  <c r="AM71" i="18"/>
  <c r="AM75" i="18"/>
  <c r="AM76" i="18"/>
  <c r="AM77" i="18"/>
  <c r="AM254" i="18"/>
  <c r="AM255" i="18"/>
  <c r="AM258" i="18"/>
  <c r="AM259" i="18"/>
  <c r="AM262" i="18"/>
  <c r="AM263" i="18"/>
  <c r="AM266" i="18"/>
  <c r="AM252" i="18"/>
  <c r="AM363" i="18"/>
  <c r="AM301" i="18"/>
  <c r="AM306" i="18"/>
  <c r="AM337" i="18"/>
  <c r="AM400" i="18"/>
  <c r="AM412" i="18"/>
  <c r="AM417" i="18"/>
  <c r="AM426" i="18"/>
  <c r="AM449" i="18"/>
  <c r="AM455" i="18"/>
  <c r="AM462" i="18"/>
  <c r="AM464" i="18"/>
  <c r="AM516" i="18"/>
  <c r="AM521" i="18"/>
  <c r="AM530" i="18"/>
  <c r="AM539" i="18"/>
  <c r="AM540" i="18"/>
  <c r="AM543" i="18"/>
  <c r="AM286" i="18"/>
  <c r="AM289" i="18"/>
  <c r="AM327" i="18"/>
  <c r="AM350" i="18"/>
  <c r="AM368" i="18"/>
  <c r="AM380" i="18"/>
  <c r="AM383" i="18"/>
  <c r="AM401" i="18"/>
  <c r="AM486" i="18"/>
  <c r="AM522" i="18"/>
  <c r="AM525" i="18"/>
  <c r="AM529" i="18"/>
  <c r="AM538" i="18"/>
  <c r="AM541" i="18"/>
  <c r="AM253" i="18"/>
  <c r="AM256" i="18"/>
  <c r="AM265" i="18"/>
  <c r="AM267" i="18"/>
  <c r="AM303" i="18"/>
  <c r="AM305" i="18"/>
  <c r="AM307" i="18"/>
  <c r="AM308" i="18"/>
  <c r="AM309" i="18"/>
  <c r="AM316" i="18"/>
  <c r="AM318" i="18"/>
  <c r="AM323" i="18"/>
  <c r="AM333" i="18"/>
  <c r="AM336" i="18"/>
  <c r="AM356" i="18"/>
  <c r="AM357" i="18"/>
  <c r="AM388" i="18"/>
  <c r="AM389" i="18"/>
  <c r="AM394" i="18"/>
  <c r="AM410" i="18"/>
  <c r="AM421" i="18"/>
  <c r="AM428" i="18"/>
  <c r="AM429" i="18"/>
  <c r="AM458" i="18"/>
  <c r="AM460" i="18"/>
  <c r="AM508" i="18"/>
  <c r="AM510" i="18"/>
  <c r="AM511" i="18"/>
  <c r="AM544" i="18"/>
  <c r="AM293" i="18"/>
  <c r="AM355" i="18"/>
  <c r="AM382" i="18"/>
  <c r="AM531" i="18"/>
  <c r="AM299" i="18"/>
  <c r="AM404" i="18"/>
  <c r="AM418" i="18"/>
  <c r="AM461" i="18"/>
  <c r="AM229" i="18"/>
  <c r="AM230" i="18"/>
  <c r="AM275" i="18"/>
  <c r="AM276" i="18"/>
  <c r="AM291" i="18"/>
  <c r="AM312" i="18"/>
  <c r="AM362" i="18"/>
  <c r="AM371" i="18"/>
  <c r="AM416" i="18"/>
  <c r="AM425" i="18"/>
  <c r="AM450" i="18"/>
  <c r="AM45" i="18"/>
  <c r="AM234" i="18"/>
  <c r="AM238" i="18"/>
  <c r="AM241" i="18"/>
  <c r="AM251" i="18"/>
  <c r="AM294" i="18"/>
  <c r="AM374" i="18"/>
  <c r="AM419" i="18"/>
  <c r="AM441" i="18"/>
  <c r="AM515" i="18"/>
  <c r="AM520" i="18"/>
  <c r="AM528" i="18"/>
  <c r="AM537" i="18"/>
  <c r="AM542" i="18"/>
  <c r="AM110" i="18"/>
  <c r="AM475" i="18"/>
  <c r="AM514" i="18"/>
  <c r="AM393" i="18"/>
  <c r="AM465" i="18"/>
  <c r="AM378" i="18"/>
  <c r="AM287" i="18"/>
  <c r="AM106" i="18"/>
  <c r="AM473" i="18"/>
  <c r="AM506" i="18"/>
  <c r="AM349" i="18"/>
  <c r="AM338" i="18"/>
  <c r="AM472" i="18"/>
  <c r="AM468" i="18"/>
  <c r="AM112" i="18"/>
  <c r="AM171" i="18"/>
  <c r="AM233" i="18"/>
  <c r="AM239" i="18"/>
  <c r="AM453" i="18"/>
  <c r="AM471" i="18"/>
  <c r="AM469" i="18"/>
  <c r="AM386" i="18"/>
  <c r="AM422" i="18"/>
  <c r="AM342" i="18"/>
  <c r="AM414" i="18"/>
  <c r="AM114" i="18"/>
  <c r="AM330" i="18"/>
  <c r="AM331" i="18"/>
  <c r="AM169" i="18"/>
  <c r="AM170" i="18"/>
  <c r="AM53" i="18"/>
  <c r="AM236" i="18"/>
  <c r="AM240" i="18"/>
  <c r="AM231" i="18"/>
  <c r="AM274" i="18"/>
  <c r="AM313" i="18"/>
  <c r="AM122" i="18"/>
  <c r="AM390" i="18"/>
  <c r="AM398" i="18"/>
  <c r="AM509" i="18"/>
  <c r="AM452" i="18"/>
  <c r="AM424" i="18"/>
  <c r="AM354" i="18"/>
  <c r="AM470" i="18"/>
  <c r="AM474" i="18"/>
  <c r="AM324" i="18"/>
  <c r="AM107" i="18"/>
  <c r="AM361" i="18"/>
  <c r="AM360" i="18"/>
  <c r="AM344" i="18"/>
  <c r="AM192" i="18"/>
  <c r="AM314" i="18"/>
  <c r="AM490" i="18"/>
  <c r="AM488" i="18"/>
  <c r="AM373" i="18"/>
  <c r="AM125" i="18"/>
  <c r="AM395" i="18"/>
  <c r="AM329" i="18"/>
  <c r="AM116" i="18"/>
  <c r="AM123" i="18"/>
  <c r="AM446" i="18"/>
  <c r="AM261" i="18"/>
  <c r="AM264" i="18"/>
  <c r="AM334" i="18"/>
  <c r="AM409" i="18"/>
  <c r="AM370" i="18"/>
  <c r="AM311" i="18"/>
  <c r="AM315" i="18"/>
  <c r="AM319" i="18"/>
  <c r="AM402" i="18"/>
  <c r="AM403" i="18"/>
  <c r="AM505" i="18"/>
  <c r="AM242" i="18"/>
  <c r="AM423" i="18"/>
  <c r="AM111" i="18"/>
  <c r="AM489" i="18"/>
  <c r="AM215" i="18"/>
  <c r="AM377" i="18"/>
  <c r="AM459" i="18"/>
  <c r="AM193" i="18"/>
  <c r="AM498" i="18"/>
  <c r="AM495" i="18"/>
  <c r="AM496" i="18"/>
  <c r="AM499" i="18"/>
  <c r="AM482" i="18"/>
  <c r="AM484" i="18"/>
  <c r="AM483" i="18"/>
  <c r="AM481" i="18"/>
  <c r="AM476" i="18"/>
  <c r="AM39" i="18"/>
  <c r="AM206" i="18"/>
  <c r="AM205" i="18"/>
  <c r="AM437" i="18"/>
  <c r="AM183" i="18"/>
  <c r="AM439" i="18"/>
  <c r="AM467" i="18"/>
  <c r="AM124" i="18"/>
  <c r="AM480" i="18"/>
  <c r="AM477" i="18"/>
  <c r="AM478" i="18"/>
  <c r="AM479" i="18"/>
  <c r="AM358" i="18"/>
  <c r="AM43" i="18"/>
  <c r="AM290" i="18"/>
  <c r="AM296" i="18"/>
  <c r="AM295" i="18"/>
  <c r="AM277" i="18"/>
  <c r="AM284" i="18"/>
  <c r="AM285" i="18"/>
  <c r="AM282" i="18"/>
  <c r="AM182" i="18"/>
  <c r="AM343" i="18"/>
  <c r="AM448" i="18"/>
  <c r="AM163" i="18"/>
  <c r="AM146" i="18"/>
  <c r="AM247" i="18"/>
  <c r="AM466" i="18"/>
  <c r="AM167" i="18"/>
  <c r="AM507" i="18"/>
  <c r="AM433" i="18"/>
  <c r="AM144" i="18"/>
  <c r="AM194" i="18"/>
  <c r="AM457" i="18"/>
  <c r="AM359" i="18"/>
  <c r="AM517" i="18"/>
  <c r="AM513" i="18"/>
  <c r="AM320" i="18"/>
  <c r="AM245" i="18"/>
  <c r="AM244" i="18"/>
  <c r="AM321" i="18"/>
  <c r="AM447" i="18"/>
  <c r="AM159" i="18"/>
  <c r="AM127" i="18"/>
  <c r="AM369" i="18"/>
  <c r="AM113" i="18"/>
  <c r="AM160" i="18"/>
  <c r="AM278" i="18"/>
  <c r="AM288" i="18"/>
  <c r="AM181" i="18"/>
  <c r="AM100" i="18"/>
  <c r="AM281" i="18"/>
  <c r="AM279" i="18"/>
  <c r="AM420" i="18"/>
  <c r="AM175" i="18"/>
  <c r="AM339" i="18"/>
  <c r="AM444" i="18"/>
  <c r="AM15" i="18"/>
  <c r="AM492" i="18"/>
  <c r="AM493" i="18"/>
  <c r="AM494" i="18"/>
  <c r="AM497" i="18"/>
  <c r="AM500" i="18"/>
  <c r="AM501" i="18"/>
  <c r="AM502" i="18"/>
  <c r="AM503" i="18"/>
  <c r="AM504" i="18"/>
  <c r="AM443" i="18"/>
  <c r="AM105" i="18"/>
  <c r="AM117" i="18"/>
  <c r="AM435" i="18"/>
  <c r="AM436" i="18"/>
  <c r="AM13" i="18"/>
  <c r="AM97" i="18"/>
  <c r="AM187" i="18"/>
  <c r="AM119" i="18"/>
  <c r="AM118" i="18"/>
  <c r="AM197" i="18"/>
  <c r="AM283" i="18"/>
  <c r="AM237" i="18"/>
  <c r="AM411" i="18"/>
  <c r="AM94" i="18"/>
  <c r="AM325" i="18"/>
  <c r="AM527" i="18"/>
  <c r="AM518" i="18"/>
  <c r="AM129" i="18"/>
  <c r="AM147" i="18"/>
  <c r="AM120" i="18"/>
  <c r="AM526" i="18"/>
  <c r="AM523" i="18"/>
  <c r="AM524" i="18"/>
  <c r="AM367" i="18"/>
  <c r="AM535" i="18"/>
  <c r="AM95" i="18"/>
  <c r="AM533" i="18"/>
  <c r="AM532" i="18"/>
  <c r="AM536" i="18"/>
  <c r="AM376" i="18"/>
  <c r="AM372" i="18"/>
  <c r="AM440" i="18"/>
  <c r="AM442" i="18"/>
  <c r="AM140" i="18"/>
  <c r="AM195" i="18"/>
  <c r="AM438" i="18"/>
  <c r="AM131" i="18"/>
  <c r="AM397" i="18"/>
  <c r="AM351" i="18"/>
  <c r="AM280" i="18"/>
  <c r="AM387" i="18"/>
  <c r="AM379" i="18"/>
  <c r="AM66" i="18"/>
  <c r="AM257" i="18"/>
  <c r="AM260" i="18"/>
  <c r="AM268" i="18"/>
  <c r="AM341" i="18"/>
  <c r="AM347" i="18"/>
  <c r="AM399" i="18"/>
  <c r="AM57" i="18"/>
  <c r="AM431" i="18"/>
  <c r="AM385" i="18"/>
  <c r="AM384" i="18"/>
  <c r="AM108" i="18"/>
  <c r="AM128" i="18"/>
  <c r="AM130" i="18"/>
  <c r="AM249" i="18"/>
  <c r="AM248" i="18"/>
  <c r="AM485" i="18"/>
  <c r="AM335" i="18"/>
  <c r="AM519" i="18"/>
  <c r="AM340" i="18"/>
  <c r="AM332" i="18"/>
  <c r="AM391" i="18"/>
  <c r="AM109" i="18"/>
  <c r="AM328" i="18"/>
  <c r="AM348" i="18"/>
  <c r="AM396" i="18"/>
  <c r="AM126" i="18"/>
  <c r="AM353" i="18"/>
  <c r="AM430" i="18"/>
  <c r="AM413" i="18"/>
  <c r="AM445" i="18"/>
  <c r="AM41" i="18"/>
  <c r="AM16" i="18"/>
  <c r="AM73" i="18"/>
  <c r="AM74" i="18"/>
  <c r="AM172" i="18"/>
  <c r="AM85" i="18"/>
  <c r="AM11" i="18"/>
  <c r="AM190" i="18"/>
  <c r="AM31" i="18"/>
  <c r="AM3" i="18"/>
  <c r="AM17" i="18"/>
  <c r="AM55" i="18"/>
  <c r="AM196" i="18"/>
  <c r="AM243" i="18"/>
  <c r="AM211" i="18"/>
  <c r="AM19" i="18"/>
  <c r="AM14" i="18"/>
  <c r="AM68" i="18"/>
  <c r="AM70" i="18"/>
  <c r="AM69" i="18"/>
  <c r="AM58" i="18"/>
  <c r="AM12" i="18"/>
  <c r="AM72" i="18"/>
  <c r="AM21" i="18"/>
  <c r="AM51" i="18"/>
  <c r="AM52" i="18"/>
  <c r="AM46" i="18"/>
  <c r="AM48" i="18"/>
  <c r="AM18" i="18"/>
  <c r="AM22" i="18"/>
  <c r="AM27" i="18"/>
  <c r="AM65" i="18"/>
  <c r="AM151" i="18"/>
  <c r="AM141" i="18"/>
  <c r="AM184" i="18"/>
  <c r="AM432" i="18"/>
  <c r="AM434" i="18"/>
  <c r="AM162" i="18"/>
  <c r="AM138" i="18"/>
  <c r="AM59" i="18"/>
  <c r="AM137" i="18"/>
  <c r="AM98" i="18"/>
  <c r="AM166" i="18"/>
  <c r="AM143" i="18"/>
  <c r="AM145" i="18"/>
  <c r="AM101" i="18"/>
  <c r="AM99" i="18"/>
  <c r="AM157" i="18"/>
  <c r="AM213" i="18"/>
  <c r="AM217" i="18"/>
  <c r="AM216" i="18"/>
  <c r="AM173" i="18"/>
  <c r="AM4" i="18"/>
  <c r="AM5" i="18"/>
  <c r="AM6" i="18"/>
  <c r="AM96" i="18"/>
  <c r="AM317" i="18"/>
  <c r="AM189" i="18"/>
  <c r="AM451" i="18"/>
  <c r="AM545" i="18"/>
  <c r="AJ366" i="28"/>
  <c r="AJ367" i="28"/>
  <c r="AJ368" i="28"/>
  <c r="AJ369" i="28"/>
  <c r="AJ370" i="28"/>
  <c r="AJ371" i="28"/>
  <c r="AJ372" i="28"/>
  <c r="AJ373" i="28"/>
  <c r="AJ374" i="28"/>
  <c r="AJ375" i="28"/>
  <c r="AJ376" i="28"/>
  <c r="AJ377" i="28"/>
  <c r="AJ378" i="28"/>
  <c r="AJ379" i="28"/>
  <c r="AJ380" i="28"/>
  <c r="AJ381" i="28"/>
  <c r="AJ382" i="28"/>
  <c r="AJ383" i="28"/>
  <c r="AJ384" i="28"/>
  <c r="AJ385" i="28"/>
  <c r="AJ386" i="28"/>
  <c r="AJ227" i="28"/>
  <c r="AJ6" i="28"/>
  <c r="AJ7" i="28"/>
  <c r="AJ8" i="28"/>
  <c r="AJ9" i="28"/>
  <c r="AJ10" i="28"/>
  <c r="AJ11" i="28"/>
  <c r="AJ12" i="28"/>
  <c r="AJ13" i="28"/>
  <c r="AJ14" i="28"/>
  <c r="AJ15" i="28"/>
  <c r="AJ16" i="28"/>
  <c r="AJ17" i="28"/>
  <c r="AJ18" i="28"/>
  <c r="AJ19" i="28"/>
  <c r="AJ20" i="28"/>
  <c r="AJ21" i="28"/>
  <c r="AJ22" i="28"/>
  <c r="AJ23" i="28"/>
  <c r="AJ24" i="28"/>
  <c r="AJ25" i="28"/>
  <c r="AJ26" i="28"/>
  <c r="AJ27" i="28"/>
  <c r="AJ28" i="28"/>
  <c r="AJ29" i="28"/>
  <c r="AJ30" i="28"/>
  <c r="AJ31" i="28"/>
  <c r="AJ32" i="28"/>
  <c r="AJ33" i="28"/>
  <c r="AJ34" i="28"/>
  <c r="AJ35" i="28"/>
  <c r="AJ36" i="28"/>
  <c r="AJ37" i="28"/>
  <c r="AJ38" i="28"/>
  <c r="AJ39" i="28"/>
  <c r="AJ40" i="28"/>
  <c r="AJ41" i="28"/>
  <c r="AJ42" i="28"/>
  <c r="AJ43" i="28"/>
  <c r="AJ44" i="28"/>
  <c r="AJ45" i="28"/>
  <c r="AJ46" i="28"/>
  <c r="AJ47" i="28"/>
  <c r="AJ48" i="28"/>
  <c r="AJ49" i="28"/>
  <c r="AJ50" i="28"/>
  <c r="AJ51" i="28"/>
  <c r="AJ5" i="28"/>
  <c r="AJ58" i="28"/>
  <c r="AJ59" i="28"/>
  <c r="AJ60" i="28"/>
  <c r="AJ61" i="28"/>
  <c r="AJ62" i="28"/>
  <c r="AJ63" i="28"/>
  <c r="AJ64" i="28"/>
  <c r="AJ65" i="28"/>
  <c r="AJ66" i="28"/>
  <c r="AJ67" i="28"/>
  <c r="AJ68" i="28"/>
  <c r="AJ69" i="28"/>
  <c r="AJ70" i="28"/>
  <c r="AJ71" i="28"/>
  <c r="AJ72" i="28"/>
  <c r="AJ73" i="28"/>
  <c r="AJ74" i="28"/>
  <c r="AJ75" i="28"/>
  <c r="AJ76" i="28"/>
  <c r="AJ77" i="28"/>
  <c r="AJ78" i="28"/>
  <c r="AJ79" i="28"/>
  <c r="AJ80" i="28"/>
  <c r="AJ81" i="28"/>
  <c r="AJ82" i="28"/>
  <c r="AJ83" i="28"/>
  <c r="AJ84" i="28"/>
  <c r="AJ85" i="28"/>
  <c r="AJ86" i="28"/>
  <c r="AJ87" i="28"/>
  <c r="AJ88" i="28"/>
  <c r="AJ89" i="28"/>
  <c r="AJ90" i="28"/>
  <c r="AJ91" i="28"/>
  <c r="AJ92" i="28"/>
  <c r="AJ93" i="28"/>
  <c r="AJ94" i="28"/>
  <c r="AJ95" i="28"/>
  <c r="AJ96" i="28"/>
  <c r="AJ97" i="28"/>
  <c r="AJ98" i="28"/>
  <c r="AJ99" i="28"/>
  <c r="AJ100" i="28"/>
  <c r="AJ101" i="28"/>
  <c r="AJ102" i="28"/>
  <c r="AJ103" i="28"/>
  <c r="AJ104" i="28"/>
  <c r="AJ57" i="28"/>
  <c r="Y140" i="28"/>
  <c r="Z140" i="28"/>
  <c r="AA140" i="28"/>
  <c r="AB140" i="28"/>
  <c r="AC140" i="28"/>
  <c r="AD140" i="28"/>
  <c r="AE140" i="28"/>
  <c r="AF140" i="28"/>
  <c r="AG140" i="28"/>
  <c r="AH140" i="28"/>
  <c r="AI140" i="28"/>
  <c r="X140" i="28"/>
  <c r="AJ111" i="28"/>
  <c r="AJ112" i="28"/>
  <c r="AJ113" i="28"/>
  <c r="AJ114" i="28"/>
  <c r="AJ115" i="28"/>
  <c r="AJ116" i="28"/>
  <c r="AJ117" i="28"/>
  <c r="AJ118" i="28"/>
  <c r="AJ119" i="28"/>
  <c r="AJ120" i="28"/>
  <c r="AJ121" i="28"/>
  <c r="AJ122" i="28"/>
  <c r="AJ123" i="28"/>
  <c r="AJ124" i="28"/>
  <c r="AJ125" i="28"/>
  <c r="AJ126" i="28"/>
  <c r="AJ127" i="28"/>
  <c r="AJ128" i="28"/>
  <c r="AJ129" i="28"/>
  <c r="AJ130" i="28"/>
  <c r="AJ131" i="28"/>
  <c r="AJ132" i="28"/>
  <c r="AJ133" i="28"/>
  <c r="AJ134" i="28"/>
  <c r="AJ135" i="28"/>
  <c r="AJ136" i="28"/>
  <c r="AJ137" i="28"/>
  <c r="AJ138" i="28"/>
  <c r="AJ139" i="28"/>
  <c r="AJ110" i="28"/>
  <c r="AJ146" i="28"/>
  <c r="AJ147" i="28"/>
  <c r="AJ148" i="28"/>
  <c r="AJ149" i="28"/>
  <c r="AJ150" i="28"/>
  <c r="AJ151" i="28"/>
  <c r="AJ152" i="28"/>
  <c r="AJ153" i="28"/>
  <c r="AJ154" i="28"/>
  <c r="AJ155" i="28"/>
  <c r="AJ156" i="28"/>
  <c r="AJ157" i="28"/>
  <c r="AJ158" i="28"/>
  <c r="AJ159" i="28"/>
  <c r="AJ160" i="28"/>
  <c r="AJ161" i="28"/>
  <c r="AJ162" i="28"/>
  <c r="AJ163" i="28"/>
  <c r="AJ164" i="28"/>
  <c r="AJ165" i="28"/>
  <c r="AJ166" i="28"/>
  <c r="AJ167" i="28"/>
  <c r="AJ168" i="28"/>
  <c r="AJ169" i="28"/>
  <c r="AJ170" i="28"/>
  <c r="AJ171" i="28"/>
  <c r="AJ172" i="28"/>
  <c r="AJ173" i="28"/>
  <c r="AJ174" i="28"/>
  <c r="AJ175" i="28"/>
  <c r="AJ176" i="28"/>
  <c r="AJ177" i="28"/>
  <c r="AJ178" i="28"/>
  <c r="AJ179" i="28"/>
  <c r="AJ180" i="28"/>
  <c r="AJ181" i="28"/>
  <c r="AJ182" i="28"/>
  <c r="AJ183" i="28"/>
  <c r="AJ184" i="28"/>
  <c r="AJ185" i="28"/>
  <c r="AJ186" i="28"/>
  <c r="AJ187" i="28"/>
  <c r="AJ188" i="28"/>
  <c r="AJ189" i="28"/>
  <c r="AJ190" i="28"/>
  <c r="AJ191" i="28"/>
  <c r="AJ192" i="28"/>
  <c r="AJ193" i="28"/>
  <c r="AJ194" i="28"/>
  <c r="AJ195" i="28"/>
  <c r="AJ196" i="28"/>
  <c r="AJ197" i="28"/>
  <c r="AJ198" i="28"/>
  <c r="AJ199" i="28"/>
  <c r="AJ200" i="28"/>
  <c r="AJ201" i="28"/>
  <c r="AJ202" i="28"/>
  <c r="AJ203" i="28"/>
  <c r="AJ204" i="28"/>
  <c r="AJ205" i="28"/>
  <c r="AJ206" i="28"/>
  <c r="AJ207" i="28"/>
  <c r="AJ208" i="28"/>
  <c r="AJ209" i="28"/>
  <c r="AJ210" i="28"/>
  <c r="AJ211" i="28"/>
  <c r="AJ212" i="28"/>
  <c r="AJ213" i="28"/>
  <c r="AJ214" i="28"/>
  <c r="AJ215" i="28"/>
  <c r="AJ216" i="28"/>
  <c r="AJ217" i="28"/>
  <c r="AJ218" i="28"/>
  <c r="AJ219" i="28"/>
  <c r="AJ220" i="28"/>
  <c r="AJ145" i="28"/>
  <c r="Y221" i="28"/>
  <c r="Z221" i="28"/>
  <c r="AA221" i="28"/>
  <c r="AB221" i="28"/>
  <c r="AC221" i="28"/>
  <c r="AD221" i="28"/>
  <c r="AE221" i="28"/>
  <c r="AF221" i="28"/>
  <c r="AG221" i="28"/>
  <c r="AH221" i="28"/>
  <c r="AI221" i="28"/>
  <c r="X221" i="28"/>
  <c r="Y240" i="10"/>
  <c r="Z240" i="10"/>
  <c r="AA240" i="10"/>
  <c r="AB240" i="10"/>
  <c r="AC240" i="10"/>
  <c r="AD240" i="10"/>
  <c r="AE240" i="10"/>
  <c r="AG240" i="10"/>
  <c r="AH240" i="10"/>
  <c r="AI240" i="10"/>
  <c r="AJ240" i="10"/>
  <c r="X240" i="10"/>
  <c r="X265" i="28"/>
  <c r="Y265" i="28"/>
  <c r="Z265" i="28"/>
  <c r="AA265" i="28"/>
  <c r="AB265" i="28"/>
  <c r="AC265" i="28"/>
  <c r="AD265" i="28"/>
  <c r="AE265" i="28"/>
  <c r="AF265" i="28"/>
  <c r="AG265" i="28"/>
  <c r="AH265" i="28"/>
  <c r="AI265" i="28"/>
  <c r="AJ237" i="28"/>
  <c r="AJ238" i="28"/>
  <c r="AJ239" i="28"/>
  <c r="AJ240" i="28"/>
  <c r="AJ241" i="28"/>
  <c r="AJ242" i="28"/>
  <c r="AJ243" i="28"/>
  <c r="AJ244" i="28"/>
  <c r="AJ245" i="28"/>
  <c r="AJ246" i="28"/>
  <c r="AJ247" i="28"/>
  <c r="AJ248" i="28"/>
  <c r="AJ249" i="28"/>
  <c r="AJ250" i="28"/>
  <c r="AJ251" i="28"/>
  <c r="AJ252" i="28"/>
  <c r="AJ253" i="28"/>
  <c r="AJ254" i="28"/>
  <c r="AJ255" i="28"/>
  <c r="AJ256" i="28"/>
  <c r="AJ257" i="28"/>
  <c r="AJ258" i="28"/>
  <c r="AJ259" i="28"/>
  <c r="AJ260" i="28"/>
  <c r="AJ261" i="28"/>
  <c r="AJ262" i="28"/>
  <c r="AJ263" i="28"/>
  <c r="AJ264" i="28"/>
  <c r="AJ228" i="28"/>
  <c r="AJ229" i="28"/>
  <c r="AJ230" i="28"/>
  <c r="AJ231" i="28"/>
  <c r="AJ232" i="28"/>
  <c r="AJ233" i="28"/>
  <c r="AJ234" i="28"/>
  <c r="AJ235" i="28"/>
  <c r="AJ236" i="28"/>
  <c r="AJ226" i="28"/>
  <c r="AJ288" i="28"/>
  <c r="AJ289" i="28"/>
  <c r="AJ290" i="28"/>
  <c r="AJ291" i="28"/>
  <c r="AJ292" i="28"/>
  <c r="AJ293" i="28"/>
  <c r="AJ294" i="28"/>
  <c r="AJ295" i="28"/>
  <c r="AJ296" i="28"/>
  <c r="AJ297" i="28"/>
  <c r="AJ298" i="28"/>
  <c r="AJ299" i="28"/>
  <c r="AJ300" i="28"/>
  <c r="AJ301" i="28"/>
  <c r="AJ302" i="28"/>
  <c r="AJ303" i="28"/>
  <c r="AJ304" i="28"/>
  <c r="AJ305" i="28"/>
  <c r="AJ306" i="28"/>
  <c r="AJ307" i="28"/>
  <c r="AJ308" i="28"/>
  <c r="AJ309" i="28"/>
  <c r="AJ310" i="28"/>
  <c r="AJ311" i="28"/>
  <c r="AJ312" i="28"/>
  <c r="AJ313" i="28"/>
  <c r="AJ314" i="28"/>
  <c r="AJ315" i="28"/>
  <c r="AJ316" i="28"/>
  <c r="AJ317" i="28"/>
  <c r="AJ318" i="28"/>
  <c r="AJ319" i="28"/>
  <c r="AJ320" i="28"/>
  <c r="AJ321" i="28"/>
  <c r="AJ322" i="28"/>
  <c r="AJ323" i="28"/>
  <c r="AJ324" i="28"/>
  <c r="AJ325" i="28"/>
  <c r="AJ326" i="28"/>
  <c r="AJ327" i="28"/>
  <c r="AJ328" i="28"/>
  <c r="AJ329" i="28"/>
  <c r="AJ330" i="28"/>
  <c r="AJ331" i="28"/>
  <c r="AJ332" i="28"/>
  <c r="AJ333" i="28"/>
  <c r="AJ334" i="28"/>
  <c r="AJ335" i="28"/>
  <c r="AJ336" i="28"/>
  <c r="AJ337" i="28"/>
  <c r="AJ338" i="28"/>
  <c r="AJ339" i="28"/>
  <c r="AJ340" i="28"/>
  <c r="AJ341" i="28"/>
  <c r="AJ342" i="28"/>
  <c r="AJ343" i="28"/>
  <c r="AJ344" i="28"/>
  <c r="AJ345" i="28"/>
  <c r="AJ346" i="28"/>
  <c r="AJ347" i="28"/>
  <c r="AJ348" i="28"/>
  <c r="AJ349" i="28"/>
  <c r="AJ350" i="28"/>
  <c r="AJ351" i="28"/>
  <c r="AJ352" i="28"/>
  <c r="AJ353" i="28"/>
  <c r="AJ354" i="28"/>
  <c r="AJ355" i="28"/>
  <c r="AJ287" i="28"/>
  <c r="Y356" i="28"/>
  <c r="Z356" i="28"/>
  <c r="AA356" i="28"/>
  <c r="AB356" i="28"/>
  <c r="AC356" i="28"/>
  <c r="AD356" i="28"/>
  <c r="AE356" i="28"/>
  <c r="AF356" i="28"/>
  <c r="AG356" i="28"/>
  <c r="AH356" i="28"/>
  <c r="AI356" i="28"/>
  <c r="X356" i="28"/>
  <c r="AJ221" i="28" l="1"/>
  <c r="AJ265" i="28"/>
  <c r="AJ356" i="28"/>
  <c r="AL244" i="18"/>
  <c r="AJ244" i="18"/>
  <c r="AI244" i="18"/>
  <c r="AH244" i="18"/>
  <c r="AG244" i="18"/>
  <c r="AF244" i="18"/>
  <c r="AE244" i="18"/>
  <c r="AD244" i="18"/>
  <c r="AC244" i="18"/>
  <c r="AB244" i="18"/>
  <c r="AT244" i="18" s="1"/>
  <c r="AA244" i="18"/>
  <c r="Z244" i="18"/>
  <c r="Y244" i="18"/>
  <c r="AR244" i="18" l="1"/>
  <c r="AN244" i="18"/>
  <c r="AL249" i="18"/>
  <c r="AJ249" i="18"/>
  <c r="AI249" i="18"/>
  <c r="AH249" i="18"/>
  <c r="AG249" i="18"/>
  <c r="AF249" i="18"/>
  <c r="AE249" i="18"/>
  <c r="AD249" i="18"/>
  <c r="AC249" i="18"/>
  <c r="AB249" i="18"/>
  <c r="AT249" i="18" s="1"/>
  <c r="AA249" i="18"/>
  <c r="Z249" i="18"/>
  <c r="Y249" i="18"/>
  <c r="AR249" i="18" l="1"/>
  <c r="AN249" i="18"/>
  <c r="Y131" i="18" l="1"/>
  <c r="Z131" i="18"/>
  <c r="AD131" i="18"/>
  <c r="AE131" i="18"/>
  <c r="AF131" i="18"/>
  <c r="AG131" i="18"/>
  <c r="AH131" i="18"/>
  <c r="AI131" i="18"/>
  <c r="AJ131" i="18"/>
  <c r="AL131" i="18"/>
  <c r="AL450" i="18"/>
  <c r="AJ450" i="18"/>
  <c r="AI450" i="18"/>
  <c r="AH450" i="18"/>
  <c r="AG450" i="18"/>
  <c r="AF450" i="18"/>
  <c r="AE450" i="18"/>
  <c r="AD450" i="18"/>
  <c r="AC450" i="18"/>
  <c r="AB450" i="18"/>
  <c r="AT450" i="18" s="1"/>
  <c r="AA450" i="18"/>
  <c r="Z450" i="18"/>
  <c r="Y450" i="18"/>
  <c r="AR450" i="18" l="1"/>
  <c r="AR131" i="18"/>
  <c r="AN131" i="18"/>
  <c r="AN450" i="18"/>
  <c r="Y370" i="18" l="1"/>
  <c r="Z370" i="18"/>
  <c r="AD370" i="18"/>
  <c r="AE370" i="18"/>
  <c r="AF370" i="18"/>
  <c r="AG370" i="18"/>
  <c r="AH370" i="18"/>
  <c r="AI370" i="18"/>
  <c r="AJ370" i="18"/>
  <c r="AL370" i="18"/>
  <c r="AL230" i="18"/>
  <c r="AJ230" i="18"/>
  <c r="AI230" i="18"/>
  <c r="AH230" i="18"/>
  <c r="AG230" i="18"/>
  <c r="AF230" i="18"/>
  <c r="AE230" i="18"/>
  <c r="AD230" i="18"/>
  <c r="AC230" i="18"/>
  <c r="AB230" i="18"/>
  <c r="AT230" i="18" s="1"/>
  <c r="AA230" i="18"/>
  <c r="Z230" i="18"/>
  <c r="Y230" i="18"/>
  <c r="AR230" i="18" l="1"/>
  <c r="AN370" i="18"/>
  <c r="AR370" i="18"/>
  <c r="AN230" i="18"/>
  <c r="AL54" i="18"/>
  <c r="AJ54" i="18"/>
  <c r="AI54" i="18"/>
  <c r="AH54" i="18"/>
  <c r="AG54" i="18"/>
  <c r="AF54" i="18"/>
  <c r="AE54" i="18"/>
  <c r="AD54" i="18"/>
  <c r="AC54" i="18"/>
  <c r="AB54" i="18"/>
  <c r="AT54" i="18" s="1"/>
  <c r="AA54" i="18"/>
  <c r="Z54" i="18"/>
  <c r="Y54" i="18"/>
  <c r="AR54" i="18" l="1"/>
  <c r="AN54" i="18"/>
  <c r="AG328" i="18" l="1"/>
  <c r="I1" i="13" l="1"/>
  <c r="Y340" i="18"/>
  <c r="Z340" i="18"/>
  <c r="AA340" i="18"/>
  <c r="AB340" i="18"/>
  <c r="AT340" i="18" s="1"/>
  <c r="AC340" i="18"/>
  <c r="AD340" i="18"/>
  <c r="AE340" i="18"/>
  <c r="AF340" i="18"/>
  <c r="AG340" i="18"/>
  <c r="AH340" i="18"/>
  <c r="AI340" i="18"/>
  <c r="AJ340" i="18"/>
  <c r="AL340" i="18"/>
  <c r="AR340" i="18" l="1"/>
  <c r="AN340" i="18"/>
  <c r="Y173" i="18"/>
  <c r="Z173" i="18"/>
  <c r="AD173" i="18"/>
  <c r="AE173" i="18"/>
  <c r="AF173" i="18"/>
  <c r="AG173" i="18"/>
  <c r="AH173" i="18"/>
  <c r="AI173" i="18"/>
  <c r="AJ173" i="18"/>
  <c r="AL173" i="18"/>
  <c r="AL128" i="18"/>
  <c r="AJ128" i="18"/>
  <c r="AI128" i="18"/>
  <c r="AH128" i="18"/>
  <c r="AG128" i="18"/>
  <c r="AB128" i="18"/>
  <c r="AT128" i="18" s="1"/>
  <c r="AA128" i="18"/>
  <c r="Z128" i="18"/>
  <c r="Y128" i="18"/>
  <c r="AF128" i="18"/>
  <c r="AC128" i="18"/>
  <c r="AD128" i="18" l="1"/>
  <c r="AR173" i="18"/>
  <c r="AN173" i="18"/>
  <c r="AN128" i="18"/>
  <c r="AE128" i="18"/>
  <c r="AR128" i="18" l="1"/>
  <c r="Y85" i="18"/>
  <c r="Z85" i="18"/>
  <c r="AA85" i="18"/>
  <c r="AB85" i="18"/>
  <c r="AT85" i="18" s="1"/>
  <c r="AC85" i="18"/>
  <c r="AD85" i="18"/>
  <c r="AE85" i="18"/>
  <c r="AF85" i="18"/>
  <c r="AG85" i="18"/>
  <c r="AH85" i="18"/>
  <c r="AI85" i="18"/>
  <c r="AJ85" i="18"/>
  <c r="AL85" i="18"/>
  <c r="AN85" i="18" l="1"/>
  <c r="AR85" i="18"/>
  <c r="C13" i="6"/>
  <c r="W52" i="28"/>
  <c r="X52" i="28"/>
  <c r="Y52" i="28"/>
  <c r="Z52" i="28"/>
  <c r="AA52" i="28"/>
  <c r="AB52" i="28"/>
  <c r="AC52" i="28"/>
  <c r="AE52" i="28"/>
  <c r="AF52" i="28"/>
  <c r="AG52" i="28"/>
  <c r="AH52" i="28"/>
  <c r="AI52" i="28"/>
  <c r="G105" i="28"/>
  <c r="W105" i="28"/>
  <c r="X105" i="28"/>
  <c r="Y105" i="28"/>
  <c r="Z105" i="28"/>
  <c r="AA105" i="28"/>
  <c r="AB105" i="28"/>
  <c r="AC105" i="28"/>
  <c r="AD105" i="28"/>
  <c r="AE105" i="28"/>
  <c r="AF105" i="28"/>
  <c r="AG105" i="28"/>
  <c r="AH105" i="28"/>
  <c r="AI105" i="28"/>
  <c r="G140" i="28"/>
  <c r="W140" i="28"/>
  <c r="G265" i="28"/>
  <c r="H265" i="28"/>
  <c r="AJ271" i="28"/>
  <c r="AJ272" i="28"/>
  <c r="AJ273" i="28"/>
  <c r="AJ274" i="28"/>
  <c r="AJ275" i="28"/>
  <c r="AJ276" i="28"/>
  <c r="AJ277" i="28"/>
  <c r="Y278" i="28"/>
  <c r="Z278" i="28"/>
  <c r="AA278" i="28"/>
  <c r="AB278" i="28"/>
  <c r="AC278" i="28"/>
  <c r="AD278" i="28"/>
  <c r="AE278" i="28"/>
  <c r="AF278" i="28"/>
  <c r="AG278" i="28"/>
  <c r="AH278" i="28"/>
  <c r="AI278" i="28"/>
  <c r="D13" i="6"/>
  <c r="E13" i="6"/>
  <c r="F13" i="6"/>
  <c r="G13" i="6"/>
  <c r="H13" i="6"/>
  <c r="I13" i="6"/>
  <c r="J13" i="6"/>
  <c r="K13" i="6"/>
  <c r="L13" i="6"/>
  <c r="M13" i="6"/>
  <c r="N13" i="6"/>
  <c r="AJ365" i="28"/>
  <c r="AJ387" i="28"/>
  <c r="AJ388" i="28"/>
  <c r="AJ389" i="28"/>
  <c r="AJ390" i="28"/>
  <c r="AJ391" i="28"/>
  <c r="AJ392" i="28"/>
  <c r="AJ393" i="28"/>
  <c r="AJ394" i="28"/>
  <c r="AJ395" i="28"/>
  <c r="AJ396" i="28"/>
  <c r="AJ397" i="28"/>
  <c r="AJ398" i="28"/>
  <c r="AJ399" i="28"/>
  <c r="AJ400" i="28"/>
  <c r="AJ401" i="28"/>
  <c r="AJ402" i="28"/>
  <c r="AJ403" i="28"/>
  <c r="AJ404" i="28"/>
  <c r="AJ405" i="28"/>
  <c r="AJ406" i="28"/>
  <c r="AJ407" i="28"/>
  <c r="AJ408" i="28"/>
  <c r="AJ409" i="28"/>
  <c r="AJ410" i="28"/>
  <c r="AJ411" i="28"/>
  <c r="AJ412" i="28"/>
  <c r="X413" i="28"/>
  <c r="C21" i="6" s="1"/>
  <c r="Y413" i="28"/>
  <c r="D21" i="6" s="1"/>
  <c r="Z413" i="28"/>
  <c r="E21" i="6" s="1"/>
  <c r="AA413" i="28"/>
  <c r="F21" i="6" s="1"/>
  <c r="AB413" i="28"/>
  <c r="G21" i="6" s="1"/>
  <c r="AC413" i="28"/>
  <c r="H21" i="6" s="1"/>
  <c r="AD413" i="28"/>
  <c r="I21" i="6" s="1"/>
  <c r="AE413" i="28"/>
  <c r="J21" i="6" s="1"/>
  <c r="AF413" i="28"/>
  <c r="K21" i="6" s="1"/>
  <c r="AG413" i="28"/>
  <c r="L21" i="6" s="1"/>
  <c r="AH413" i="28"/>
  <c r="M21" i="6" s="1"/>
  <c r="AI413" i="28"/>
  <c r="N21" i="6" s="1"/>
  <c r="AF280" i="28" l="1"/>
  <c r="K5" i="6" s="1"/>
  <c r="AI280" i="28"/>
  <c r="N5" i="6" s="1"/>
  <c r="AE280" i="28"/>
  <c r="J5" i="6" s="1"/>
  <c r="AA280" i="28"/>
  <c r="F5" i="6" s="1"/>
  <c r="AH280" i="28"/>
  <c r="M5" i="6" s="1"/>
  <c r="AD280" i="28"/>
  <c r="I5" i="6" s="1"/>
  <c r="Z280" i="28"/>
  <c r="E5" i="6" s="1"/>
  <c r="AG280" i="28"/>
  <c r="L5" i="6" s="1"/>
  <c r="AC280" i="28"/>
  <c r="H5" i="6" s="1"/>
  <c r="Y280" i="28"/>
  <c r="D5" i="6" s="1"/>
  <c r="AB280" i="28"/>
  <c r="G5" i="6" s="1"/>
  <c r="AJ278" i="28"/>
  <c r="AJ140" i="28"/>
  <c r="O21" i="6"/>
  <c r="AJ413" i="28"/>
  <c r="O13" i="6"/>
  <c r="X278" i="28"/>
  <c r="AJ105" i="28"/>
  <c r="AJ52" i="28"/>
  <c r="AL402" i="18"/>
  <c r="AJ402" i="18"/>
  <c r="AI402" i="18"/>
  <c r="AH402" i="18"/>
  <c r="AG402" i="18"/>
  <c r="AF402" i="18"/>
  <c r="AE402" i="18"/>
  <c r="AD402" i="18"/>
  <c r="AC402" i="18"/>
  <c r="AB402" i="18"/>
  <c r="AT402" i="18" s="1"/>
  <c r="AA402" i="18"/>
  <c r="Z402" i="18"/>
  <c r="Y402" i="18"/>
  <c r="X280" i="28" l="1"/>
  <c r="C5" i="6" s="1"/>
  <c r="O5" i="6" s="1"/>
  <c r="AJ280" i="28"/>
  <c r="AR402" i="18"/>
  <c r="AN402" i="18"/>
  <c r="AL426" i="18" l="1"/>
  <c r="AJ426" i="18"/>
  <c r="AI426" i="18"/>
  <c r="AH426" i="18"/>
  <c r="AG426" i="18"/>
  <c r="AF426" i="18"/>
  <c r="AE426" i="18"/>
  <c r="AD426" i="18"/>
  <c r="AC426" i="18"/>
  <c r="AB426" i="18"/>
  <c r="AT426" i="18" s="1"/>
  <c r="AA426" i="18"/>
  <c r="Z426" i="18"/>
  <c r="Y426" i="18"/>
  <c r="AL522" i="18"/>
  <c r="AJ522" i="18"/>
  <c r="AI522" i="18"/>
  <c r="AH522" i="18"/>
  <c r="AG522" i="18"/>
  <c r="AF522" i="18"/>
  <c r="AE522" i="18"/>
  <c r="AD522" i="18"/>
  <c r="AC522" i="18"/>
  <c r="AB522" i="18"/>
  <c r="AT522" i="18" s="1"/>
  <c r="AA522" i="18"/>
  <c r="Z522" i="18"/>
  <c r="Y522" i="18"/>
  <c r="AL443" i="18"/>
  <c r="AJ443" i="18"/>
  <c r="AI443" i="18"/>
  <c r="AH443" i="18"/>
  <c r="AG443" i="18"/>
  <c r="AF443" i="18"/>
  <c r="AE443" i="18"/>
  <c r="AD443" i="18"/>
  <c r="AC443" i="18"/>
  <c r="AB443" i="18"/>
  <c r="AT443" i="18" s="1"/>
  <c r="AA443" i="18"/>
  <c r="Z443" i="18"/>
  <c r="Y443" i="18"/>
  <c r="AR426" i="18" l="1"/>
  <c r="AR443" i="18"/>
  <c r="AN426" i="18"/>
  <c r="AR522" i="18"/>
  <c r="AN522" i="18"/>
  <c r="AN443" i="18"/>
  <c r="AA529" i="18"/>
  <c r="AB529" i="18"/>
  <c r="AB486" i="18"/>
  <c r="AA439" i="18"/>
  <c r="AB431" i="18"/>
  <c r="AA431" i="18"/>
  <c r="AA383" i="18"/>
  <c r="AA384" i="18"/>
  <c r="AB383" i="18"/>
  <c r="AB384" i="18"/>
  <c r="AA380" i="18"/>
  <c r="AB380" i="18"/>
  <c r="AB379" i="18"/>
  <c r="AA379" i="18"/>
  <c r="AB286" i="18"/>
  <c r="AA267" i="18"/>
  <c r="AB267" i="18"/>
  <c r="AA265" i="18"/>
  <c r="AB265" i="18"/>
  <c r="AA256" i="18"/>
  <c r="AB256" i="18"/>
  <c r="AA245" i="18"/>
  <c r="AB245" i="18"/>
  <c r="AA241" i="18"/>
  <c r="AB241" i="18"/>
  <c r="AA240" i="18"/>
  <c r="AB240" i="18"/>
  <c r="AA239" i="18"/>
  <c r="AB239" i="18"/>
  <c r="AA211" i="18"/>
  <c r="AB211" i="18"/>
  <c r="AA183" i="18"/>
  <c r="AB183" i="18"/>
  <c r="AA119" i="18"/>
  <c r="AB119" i="18"/>
  <c r="AA100" i="18"/>
  <c r="AB100" i="18"/>
  <c r="AA83" i="18"/>
  <c r="AB83" i="18"/>
  <c r="AA48" i="18"/>
  <c r="AB48" i="18"/>
  <c r="AA43" i="18"/>
  <c r="AB43" i="18"/>
  <c r="AA10" i="18"/>
  <c r="AB10" i="18"/>
  <c r="Y357" i="18" l="1"/>
  <c r="Z357" i="18"/>
  <c r="AA357" i="18"/>
  <c r="AB357" i="18"/>
  <c r="AT357" i="18" s="1"/>
  <c r="AC357" i="18"/>
  <c r="AD357" i="18"/>
  <c r="AE357" i="18"/>
  <c r="AF357" i="18"/>
  <c r="AG357" i="18"/>
  <c r="AH357" i="18"/>
  <c r="AI357" i="18"/>
  <c r="AJ357" i="18"/>
  <c r="AL357" i="18"/>
  <c r="AL356" i="18"/>
  <c r="AJ356" i="18"/>
  <c r="AI356" i="18"/>
  <c r="AH356" i="18"/>
  <c r="AG356" i="18"/>
  <c r="AF356" i="18"/>
  <c r="AE356" i="18"/>
  <c r="AD356" i="18"/>
  <c r="AC356" i="18"/>
  <c r="AB356" i="18"/>
  <c r="AT356" i="18" s="1"/>
  <c r="AA356" i="18"/>
  <c r="Z356" i="18"/>
  <c r="Y356" i="18"/>
  <c r="AL285" i="18"/>
  <c r="AJ285" i="18"/>
  <c r="AI285" i="18"/>
  <c r="AF285" i="18"/>
  <c r="AE285" i="18"/>
  <c r="AD285" i="18"/>
  <c r="AC285" i="18"/>
  <c r="AB285" i="18"/>
  <c r="AT285" i="18" s="1"/>
  <c r="AA285" i="18"/>
  <c r="Z285" i="18"/>
  <c r="Y285" i="18"/>
  <c r="AL286" i="18"/>
  <c r="AJ286" i="18"/>
  <c r="AI286" i="18"/>
  <c r="AE286" i="18"/>
  <c r="AD286" i="18"/>
  <c r="AC286" i="18"/>
  <c r="AT286" i="18" s="1"/>
  <c r="AA286" i="18"/>
  <c r="Z286" i="18"/>
  <c r="Y286" i="18"/>
  <c r="AR357" i="18" l="1"/>
  <c r="AR356" i="18"/>
  <c r="AN356" i="18"/>
  <c r="AN357" i="18"/>
  <c r="AR285" i="18"/>
  <c r="AN285" i="18"/>
  <c r="AN286" i="18"/>
  <c r="AR286" i="18"/>
  <c r="Y317" i="18"/>
  <c r="Z317" i="18"/>
  <c r="AC317" i="18"/>
  <c r="AT317" i="18" s="1"/>
  <c r="AD317" i="18"/>
  <c r="AE317" i="18"/>
  <c r="AF317" i="18"/>
  <c r="AG317" i="18"/>
  <c r="AH317" i="18"/>
  <c r="AI317" i="18"/>
  <c r="AJ317" i="18"/>
  <c r="AL317" i="18"/>
  <c r="Y486" i="18"/>
  <c r="AC486" i="18"/>
  <c r="AT486" i="18" s="1"/>
  <c r="AD486" i="18"/>
  <c r="AE486" i="18"/>
  <c r="AF486" i="18"/>
  <c r="AG486" i="18"/>
  <c r="AH486" i="18"/>
  <c r="AI486" i="18"/>
  <c r="AJ486" i="18"/>
  <c r="AL486" i="18"/>
  <c r="Y485" i="18"/>
  <c r="Z485" i="18"/>
  <c r="AD485" i="18"/>
  <c r="AE485" i="18"/>
  <c r="AF485" i="18"/>
  <c r="AG485" i="18"/>
  <c r="AH485" i="18"/>
  <c r="AI485" i="18"/>
  <c r="AJ485" i="18"/>
  <c r="AL485" i="18"/>
  <c r="AR486" i="18" l="1"/>
  <c r="AR485" i="18"/>
  <c r="AR317" i="18"/>
  <c r="AN317" i="18"/>
  <c r="AN486" i="18"/>
  <c r="AN485" i="18"/>
  <c r="AL66" i="18"/>
  <c r="AJ66" i="18"/>
  <c r="AI66" i="18"/>
  <c r="AH66" i="18"/>
  <c r="AG66" i="18"/>
  <c r="AF66" i="18"/>
  <c r="AE66" i="18"/>
  <c r="AD66" i="18"/>
  <c r="AC66" i="18"/>
  <c r="AB66" i="18"/>
  <c r="AT66" i="18" s="1"/>
  <c r="Y66" i="18"/>
  <c r="AR66" i="18" l="1"/>
  <c r="AN66" i="18"/>
  <c r="AB387" i="18" l="1"/>
  <c r="AA387" i="18"/>
  <c r="AJ383" i="18"/>
  <c r="AJ384" i="18"/>
  <c r="AJ385" i="18"/>
  <c r="AJ387" i="18"/>
  <c r="AI383" i="18"/>
  <c r="AI384" i="18"/>
  <c r="AI385" i="18"/>
  <c r="AI387" i="18"/>
  <c r="AH383" i="18"/>
  <c r="AH384" i="18"/>
  <c r="AH385" i="18"/>
  <c r="AG383" i="18"/>
  <c r="AG384" i="18"/>
  <c r="AG385" i="18"/>
  <c r="AF383" i="18"/>
  <c r="AF384" i="18"/>
  <c r="AF385" i="18"/>
  <c r="AF387" i="18"/>
  <c r="AE383" i="18"/>
  <c r="AE384" i="18"/>
  <c r="AE385" i="18"/>
  <c r="AE387" i="18"/>
  <c r="AD383" i="18"/>
  <c r="AD384" i="18"/>
  <c r="AD385" i="18"/>
  <c r="AD387" i="18"/>
  <c r="AC385" i="18"/>
  <c r="AC387" i="18"/>
  <c r="AC386" i="18"/>
  <c r="Y387" i="18"/>
  <c r="Z387" i="18"/>
  <c r="AL387" i="18"/>
  <c r="AT387" i="18" l="1"/>
  <c r="AR387" i="18"/>
  <c r="AN387" i="18"/>
  <c r="I21" i="13" l="1"/>
  <c r="AB369" i="18" l="1"/>
  <c r="AL57" i="18"/>
  <c r="AJ57" i="18"/>
  <c r="AI57" i="18"/>
  <c r="AH57" i="18"/>
  <c r="AG57" i="18"/>
  <c r="AF57" i="18"/>
  <c r="AE57" i="18"/>
  <c r="AD57" i="18"/>
  <c r="AC57" i="18"/>
  <c r="AB57" i="18"/>
  <c r="AT57" i="18" s="1"/>
  <c r="AA57" i="18"/>
  <c r="Z57" i="18"/>
  <c r="Y57" i="18"/>
  <c r="Y59" i="18"/>
  <c r="Z59" i="18"/>
  <c r="AA59" i="18"/>
  <c r="AB59" i="18"/>
  <c r="AT59" i="18" s="1"/>
  <c r="AC59" i="18"/>
  <c r="AD59" i="18"/>
  <c r="AE59" i="18"/>
  <c r="AF59" i="18"/>
  <c r="AG59" i="18"/>
  <c r="AH59" i="18"/>
  <c r="AI59" i="18"/>
  <c r="AJ59" i="18"/>
  <c r="AL59" i="18"/>
  <c r="AA369" i="18" l="1"/>
  <c r="Z369" i="18"/>
  <c r="AR57" i="18"/>
  <c r="AN59" i="18"/>
  <c r="AR59" i="18"/>
  <c r="AN57" i="18"/>
  <c r="Y415" i="10"/>
  <c r="Z415" i="10"/>
  <c r="AA415" i="10"/>
  <c r="AB415" i="10"/>
  <c r="AC415" i="10"/>
  <c r="AD415" i="10"/>
  <c r="AE415" i="10"/>
  <c r="AF415" i="10"/>
  <c r="AG415" i="10"/>
  <c r="AH415" i="10"/>
  <c r="AI415" i="10"/>
  <c r="AJ415" i="10"/>
  <c r="X415" i="10"/>
  <c r="AI315" i="18" l="1"/>
  <c r="AJ315" i="18"/>
  <c r="AL268" i="18" l="1"/>
  <c r="AJ268" i="18"/>
  <c r="AI268" i="18"/>
  <c r="AH268" i="18"/>
  <c r="AG268" i="18"/>
  <c r="AF268" i="18"/>
  <c r="AE268" i="18"/>
  <c r="AD268" i="18"/>
  <c r="AC268" i="18"/>
  <c r="AB268" i="18"/>
  <c r="AT268" i="18" s="1"/>
  <c r="AA268" i="18"/>
  <c r="Z268" i="18"/>
  <c r="Y268" i="18"/>
  <c r="Y267" i="18"/>
  <c r="Z267" i="18"/>
  <c r="AC267" i="18"/>
  <c r="AT267" i="18" s="1"/>
  <c r="AD267" i="18"/>
  <c r="AE267" i="18"/>
  <c r="AF267" i="18"/>
  <c r="AG267" i="18"/>
  <c r="AH267" i="18"/>
  <c r="AL267" i="18"/>
  <c r="AJ267" i="18"/>
  <c r="AI267" i="18"/>
  <c r="Y211" i="18"/>
  <c r="Z211" i="18"/>
  <c r="AC211" i="18"/>
  <c r="AT211" i="18" s="1"/>
  <c r="AD211" i="18"/>
  <c r="AE211" i="18"/>
  <c r="AF211" i="18"/>
  <c r="AG211" i="18"/>
  <c r="AH211" i="18"/>
  <c r="AI211" i="18"/>
  <c r="AJ211" i="18"/>
  <c r="AL211" i="18"/>
  <c r="Y183" i="18"/>
  <c r="Z183" i="18"/>
  <c r="AC183" i="18"/>
  <c r="AT183" i="18" s="1"/>
  <c r="AD183" i="18"/>
  <c r="AE183" i="18"/>
  <c r="AF183" i="18"/>
  <c r="AG183" i="18"/>
  <c r="AH183" i="18"/>
  <c r="AI183" i="18"/>
  <c r="AJ183" i="18"/>
  <c r="AL183" i="18"/>
  <c r="Y245" i="18"/>
  <c r="Z245" i="18"/>
  <c r="AC245" i="18"/>
  <c r="AT245" i="18" s="1"/>
  <c r="AD245" i="18"/>
  <c r="AE245" i="18"/>
  <c r="AF245" i="18"/>
  <c r="AG245" i="18"/>
  <c r="AH245" i="18"/>
  <c r="AI245" i="18"/>
  <c r="AJ245" i="18"/>
  <c r="AL245" i="18"/>
  <c r="AR211" i="18" l="1"/>
  <c r="AR267" i="18"/>
  <c r="AR268" i="18"/>
  <c r="AN268" i="18"/>
  <c r="AN267" i="18"/>
  <c r="AR245" i="18"/>
  <c r="AR183" i="18"/>
  <c r="AN211" i="18"/>
  <c r="AN183" i="18"/>
  <c r="AN245" i="18"/>
  <c r="Y431" i="18"/>
  <c r="Z431" i="18"/>
  <c r="AC431" i="18"/>
  <c r="AT431" i="18" s="1"/>
  <c r="AD431" i="18"/>
  <c r="AE431" i="18"/>
  <c r="AF431" i="18"/>
  <c r="AG431" i="18"/>
  <c r="AH431" i="18"/>
  <c r="AI431" i="18"/>
  <c r="AJ431" i="18"/>
  <c r="AL431" i="18"/>
  <c r="AN431" i="18" l="1"/>
  <c r="AR431" i="18"/>
  <c r="Y83" i="18"/>
  <c r="Z83" i="18"/>
  <c r="AC83" i="18"/>
  <c r="AT83" i="18" s="1"/>
  <c r="AD83" i="18"/>
  <c r="AE83" i="18"/>
  <c r="AF83" i="18"/>
  <c r="AG83" i="18"/>
  <c r="AH83" i="18"/>
  <c r="AI83" i="18"/>
  <c r="AJ83" i="18"/>
  <c r="AL83" i="18"/>
  <c r="AR83" i="18" l="1"/>
  <c r="AN83" i="18"/>
  <c r="Y369" i="18"/>
  <c r="AC369" i="18"/>
  <c r="AT369" i="18" s="1"/>
  <c r="AD369" i="18"/>
  <c r="AE369" i="18"/>
  <c r="AF369" i="18"/>
  <c r="AI369" i="18"/>
  <c r="AJ369" i="18"/>
  <c r="AL369" i="18"/>
  <c r="AR369" i="18" l="1"/>
  <c r="AN369" i="18"/>
  <c r="AL385" i="18"/>
  <c r="AL388" i="18"/>
  <c r="AJ388" i="18"/>
  <c r="AI388" i="18"/>
  <c r="AH388" i="18"/>
  <c r="AG388" i="18"/>
  <c r="AF388" i="18"/>
  <c r="AE388" i="18"/>
  <c r="AD388" i="18"/>
  <c r="AC388" i="18"/>
  <c r="AB388" i="18"/>
  <c r="AT388" i="18" s="1"/>
  <c r="AA388" i="18"/>
  <c r="Z388" i="18"/>
  <c r="Y388" i="18"/>
  <c r="AA385" i="18" l="1"/>
  <c r="AB385" i="18"/>
  <c r="AT385" i="18" s="1"/>
  <c r="Z385" i="18"/>
  <c r="Y385" i="18"/>
  <c r="AR388" i="18"/>
  <c r="AN385" i="18"/>
  <c r="AN388" i="18"/>
  <c r="AR385" i="18" l="1"/>
  <c r="Y43" i="18"/>
  <c r="Z43" i="18"/>
  <c r="AC43" i="18"/>
  <c r="AT43" i="18" s="1"/>
  <c r="AD43" i="18"/>
  <c r="AE43" i="18"/>
  <c r="AF43" i="18"/>
  <c r="AG43" i="18"/>
  <c r="AH43" i="18"/>
  <c r="AI43" i="18"/>
  <c r="AJ43" i="18"/>
  <c r="AL43" i="18"/>
  <c r="Y243" i="18"/>
  <c r="Z243" i="18"/>
  <c r="AA243" i="18"/>
  <c r="AB243" i="18"/>
  <c r="AT243" i="18" s="1"/>
  <c r="AC243" i="18"/>
  <c r="AD243" i="18"/>
  <c r="AE243" i="18"/>
  <c r="AF243" i="18"/>
  <c r="AG243" i="18"/>
  <c r="AH243" i="18"/>
  <c r="AI243" i="18"/>
  <c r="AJ243" i="18"/>
  <c r="AL243" i="18"/>
  <c r="AR43" i="18" l="1"/>
  <c r="AN43" i="18"/>
  <c r="AR243" i="18"/>
  <c r="AN243" i="18"/>
  <c r="Y100" i="18" l="1"/>
  <c r="Z100" i="18"/>
  <c r="AC100" i="18"/>
  <c r="AT100" i="18" s="1"/>
  <c r="AD100" i="18"/>
  <c r="AE100" i="18"/>
  <c r="AF100" i="18"/>
  <c r="AG100" i="18"/>
  <c r="AH100" i="18"/>
  <c r="AI100" i="18"/>
  <c r="AJ100" i="18"/>
  <c r="AL100" i="18"/>
  <c r="AR100" i="18" l="1"/>
  <c r="AN100" i="18"/>
  <c r="Y248" i="18"/>
  <c r="Z248" i="18"/>
  <c r="AD248" i="18"/>
  <c r="AE248" i="18"/>
  <c r="AF248" i="18"/>
  <c r="AG248" i="18"/>
  <c r="AH248" i="18"/>
  <c r="AI248" i="18"/>
  <c r="AJ248" i="18"/>
  <c r="AL248" i="18"/>
  <c r="AR248" i="18" l="1"/>
  <c r="AN248" i="18"/>
  <c r="Y10" i="18"/>
  <c r="Z10" i="18"/>
  <c r="AC10" i="18"/>
  <c r="AT10" i="18" s="1"/>
  <c r="AD10" i="18"/>
  <c r="AE10" i="18"/>
  <c r="AF10" i="18"/>
  <c r="AG10" i="18"/>
  <c r="AH10" i="18"/>
  <c r="AI10" i="18"/>
  <c r="AJ10" i="18"/>
  <c r="AL10" i="18"/>
  <c r="AR10" i="18" l="1"/>
  <c r="AN10" i="18"/>
  <c r="Y48" i="18" l="1"/>
  <c r="Z48" i="18"/>
  <c r="AC48" i="18"/>
  <c r="AT48" i="18" s="1"/>
  <c r="AD48" i="18"/>
  <c r="AE48" i="18"/>
  <c r="AF48" i="18"/>
  <c r="AG48" i="18"/>
  <c r="AH48" i="18"/>
  <c r="AI48" i="18"/>
  <c r="AJ48" i="18"/>
  <c r="AL48" i="18"/>
  <c r="Y9" i="18"/>
  <c r="Z9" i="18"/>
  <c r="AA9" i="18"/>
  <c r="AB9" i="18"/>
  <c r="AT9" i="18" s="1"/>
  <c r="AC9" i="18"/>
  <c r="AD9" i="18"/>
  <c r="AE9" i="18"/>
  <c r="AF9" i="18"/>
  <c r="AG9" i="18"/>
  <c r="AH9" i="18"/>
  <c r="AI9" i="18"/>
  <c r="AJ9" i="18"/>
  <c r="AL9" i="18"/>
  <c r="AR48" i="18" l="1"/>
  <c r="AR9" i="18"/>
  <c r="AN48" i="18"/>
  <c r="AN9" i="18"/>
  <c r="Y337" i="10" l="1"/>
  <c r="Z337" i="10"/>
  <c r="AA337" i="10"/>
  <c r="AB337" i="10"/>
  <c r="AC337" i="10"/>
  <c r="AD337" i="10"/>
  <c r="AD244" i="10" s="1"/>
  <c r="AE337" i="10"/>
  <c r="AF337" i="10"/>
  <c r="AG337" i="10"/>
  <c r="AH337" i="10"/>
  <c r="AI337" i="10"/>
  <c r="X337" i="10"/>
  <c r="I12" i="6" l="1"/>
  <c r="Y241" i="18"/>
  <c r="Z241" i="18"/>
  <c r="AC241" i="18"/>
  <c r="AT241" i="18" s="1"/>
  <c r="AD241" i="18"/>
  <c r="AE241" i="18"/>
  <c r="AF241" i="18"/>
  <c r="AI241" i="18"/>
  <c r="AJ241" i="18"/>
  <c r="AL241" i="18"/>
  <c r="Y240" i="18"/>
  <c r="Z240" i="18"/>
  <c r="AC240" i="18"/>
  <c r="AT240" i="18" s="1"/>
  <c r="AD240" i="18"/>
  <c r="AE240" i="18"/>
  <c r="AF240" i="18"/>
  <c r="AG240" i="18"/>
  <c r="AH240" i="18"/>
  <c r="AI240" i="18"/>
  <c r="AJ240" i="18"/>
  <c r="AL240" i="18"/>
  <c r="Y239" i="18"/>
  <c r="Z239" i="18"/>
  <c r="AC239" i="18"/>
  <c r="AT239" i="18" s="1"/>
  <c r="AD239" i="18"/>
  <c r="AE239" i="18"/>
  <c r="AF239" i="18"/>
  <c r="AG239" i="18"/>
  <c r="AH239" i="18"/>
  <c r="AI239" i="18"/>
  <c r="AJ239" i="18"/>
  <c r="AL239" i="18"/>
  <c r="AR240" i="18" l="1"/>
  <c r="AR241" i="18"/>
  <c r="AR239" i="18"/>
  <c r="AN241" i="18"/>
  <c r="AN240" i="18"/>
  <c r="AN239" i="18"/>
  <c r="AC299" i="18"/>
  <c r="AD299" i="18"/>
  <c r="AC301" i="18"/>
  <c r="AD301" i="18"/>
  <c r="AC303" i="18"/>
  <c r="AD303" i="18"/>
  <c r="AC305" i="18"/>
  <c r="AD305" i="18"/>
  <c r="AC306" i="18"/>
  <c r="AD306" i="18"/>
  <c r="AC307" i="18"/>
  <c r="AD307" i="18"/>
  <c r="Y119" i="18"/>
  <c r="Z119" i="18"/>
  <c r="AC119" i="18"/>
  <c r="AT119" i="18" s="1"/>
  <c r="AD119" i="18"/>
  <c r="AE119" i="18"/>
  <c r="AF119" i="18"/>
  <c r="AG119" i="18"/>
  <c r="AH119" i="18"/>
  <c r="AI119" i="18"/>
  <c r="AJ119" i="18"/>
  <c r="AL119" i="18"/>
  <c r="AR119" i="18" l="1"/>
  <c r="AN119" i="18"/>
  <c r="Y383" i="18"/>
  <c r="Z383" i="18"/>
  <c r="AC383" i="18"/>
  <c r="AT383" i="18" s="1"/>
  <c r="AL383" i="18"/>
  <c r="Y380" i="18"/>
  <c r="Z380" i="18"/>
  <c r="AC380" i="18"/>
  <c r="AT380" i="18" s="1"/>
  <c r="AD380" i="18"/>
  <c r="AE380" i="18"/>
  <c r="AF380" i="18"/>
  <c r="AG380" i="18"/>
  <c r="AH380" i="18"/>
  <c r="AI380" i="18"/>
  <c r="AJ380" i="18"/>
  <c r="AL380" i="18"/>
  <c r="Y384" i="18"/>
  <c r="Z384" i="18"/>
  <c r="AC384" i="18"/>
  <c r="AT384" i="18" s="1"/>
  <c r="AL384" i="18"/>
  <c r="Y379" i="18"/>
  <c r="Z379" i="18"/>
  <c r="AC379" i="18"/>
  <c r="AT379" i="18" s="1"/>
  <c r="AD379" i="18"/>
  <c r="AE379" i="18"/>
  <c r="AF379" i="18"/>
  <c r="AI379" i="18"/>
  <c r="AJ379" i="18"/>
  <c r="AL379" i="18"/>
  <c r="AR384" i="18" l="1"/>
  <c r="AR383" i="18"/>
  <c r="AR379" i="18"/>
  <c r="AR380" i="18"/>
  <c r="AN383" i="18"/>
  <c r="AN380" i="18"/>
  <c r="AN384" i="18"/>
  <c r="AN379" i="18"/>
  <c r="Y529" i="18" l="1"/>
  <c r="Z529" i="18"/>
  <c r="AC529" i="18"/>
  <c r="AT529" i="18" s="1"/>
  <c r="AD529" i="18"/>
  <c r="AE529" i="18"/>
  <c r="AF529" i="18"/>
  <c r="AG529" i="18"/>
  <c r="AH529" i="18"/>
  <c r="AI529" i="18"/>
  <c r="AJ529" i="18"/>
  <c r="AL529" i="18"/>
  <c r="AR529" i="18" l="1"/>
  <c r="AN529" i="18"/>
  <c r="AE265" i="18"/>
  <c r="AA420" i="18" l="1"/>
  <c r="AB420" i="18"/>
  <c r="AC296" i="18"/>
  <c r="AB296" i="18"/>
  <c r="AT296" i="18" s="1"/>
  <c r="AA296" i="18"/>
  <c r="Z296" i="18"/>
  <c r="AC295" i="18"/>
  <c r="AB295" i="18"/>
  <c r="AA295" i="18"/>
  <c r="Z295" i="18"/>
  <c r="AC294" i="18"/>
  <c r="AB294" i="18"/>
  <c r="AT294" i="18" s="1"/>
  <c r="AA294" i="18"/>
  <c r="Z294" i="18"/>
  <c r="AC336" i="18"/>
  <c r="AB336" i="18"/>
  <c r="AT336" i="18" s="1"/>
  <c r="AA336" i="18"/>
  <c r="Z336" i="18"/>
  <c r="AC414" i="18"/>
  <c r="AB414" i="18"/>
  <c r="AT414" i="18" s="1"/>
  <c r="AA414" i="18"/>
  <c r="Z414" i="18"/>
  <c r="AC420" i="18"/>
  <c r="Z420" i="18"/>
  <c r="Z192" i="18"/>
  <c r="AA192" i="18"/>
  <c r="AB192" i="18"/>
  <c r="AC192" i="18"/>
  <c r="Z193" i="18"/>
  <c r="AA193" i="18"/>
  <c r="AB193" i="18"/>
  <c r="AC193" i="18"/>
  <c r="Z194" i="18"/>
  <c r="AA194" i="18"/>
  <c r="AB194" i="18"/>
  <c r="AC194" i="18"/>
  <c r="Z195" i="18"/>
  <c r="AA195" i="18"/>
  <c r="AB195" i="18"/>
  <c r="AC195" i="18"/>
  <c r="Z196" i="18"/>
  <c r="AA196" i="18"/>
  <c r="AB196" i="18"/>
  <c r="AC196" i="18"/>
  <c r="Z197" i="18"/>
  <c r="AA197" i="18"/>
  <c r="AB197" i="18"/>
  <c r="AC197" i="18"/>
  <c r="Z206" i="18"/>
  <c r="AA206" i="18"/>
  <c r="AB206" i="18"/>
  <c r="AC206" i="18"/>
  <c r="Z205" i="18"/>
  <c r="AA205" i="18"/>
  <c r="AB205" i="18"/>
  <c r="AT205" i="18" s="1"/>
  <c r="AC205" i="18"/>
  <c r="Z189" i="18"/>
  <c r="AA189" i="18"/>
  <c r="AB189" i="18"/>
  <c r="AC189" i="18"/>
  <c r="Z182" i="18"/>
  <c r="AA182" i="18"/>
  <c r="AB182" i="18"/>
  <c r="AT182" i="18" s="1"/>
  <c r="AC182" i="18"/>
  <c r="Z181" i="18"/>
  <c r="AA181" i="18"/>
  <c r="AB181" i="18"/>
  <c r="AC181" i="18"/>
  <c r="Z190" i="18"/>
  <c r="AA190" i="18"/>
  <c r="AB190" i="18"/>
  <c r="AT190" i="18" s="1"/>
  <c r="AC190" i="18"/>
  <c r="Z186" i="18"/>
  <c r="AA186" i="18"/>
  <c r="AB186" i="18"/>
  <c r="AC186" i="18"/>
  <c r="Z187" i="18"/>
  <c r="AA187" i="18"/>
  <c r="AB187" i="18"/>
  <c r="AT187" i="18" s="1"/>
  <c r="AC187" i="18"/>
  <c r="AT295" i="18" l="1"/>
  <c r="AT197" i="18"/>
  <c r="AT193" i="18"/>
  <c r="AT195" i="18"/>
  <c r="AT186" i="18"/>
  <c r="AT189" i="18"/>
  <c r="AT194" i="18"/>
  <c r="AT192" i="18"/>
  <c r="AT181" i="18"/>
  <c r="AT206" i="18"/>
  <c r="AT420" i="18"/>
  <c r="AT196" i="18"/>
  <c r="AC291" i="18"/>
  <c r="AC293" i="18"/>
  <c r="AC308" i="18"/>
  <c r="AC309" i="18"/>
  <c r="AC311" i="18"/>
  <c r="AC51" i="18" l="1"/>
  <c r="AB51" i="18"/>
  <c r="AT51" i="18" s="1"/>
  <c r="AA51" i="18"/>
  <c r="AC50" i="18"/>
  <c r="AB50" i="18"/>
  <c r="AT50" i="18" s="1"/>
  <c r="AA50" i="18"/>
  <c r="AC46" i="18"/>
  <c r="AB46" i="18"/>
  <c r="AA46" i="18"/>
  <c r="AC42" i="18"/>
  <c r="AB42" i="18"/>
  <c r="AA42" i="18"/>
  <c r="AC45" i="18"/>
  <c r="AB45" i="18"/>
  <c r="AA45" i="18"/>
  <c r="AC40" i="18"/>
  <c r="AB40" i="18"/>
  <c r="AA40" i="18"/>
  <c r="AC39" i="18"/>
  <c r="AB39" i="18"/>
  <c r="AT39" i="18" s="1"/>
  <c r="AA39" i="18"/>
  <c r="AC38" i="18"/>
  <c r="AB38" i="18"/>
  <c r="AT38" i="18" s="1"/>
  <c r="AA38" i="18"/>
  <c r="AC37" i="18"/>
  <c r="AB37" i="18"/>
  <c r="AT37" i="18" s="1"/>
  <c r="AA37" i="18"/>
  <c r="AC36" i="18"/>
  <c r="AB36" i="18"/>
  <c r="AT36" i="18" s="1"/>
  <c r="AA36" i="18"/>
  <c r="AC35" i="18"/>
  <c r="AB35" i="18"/>
  <c r="AA35" i="18"/>
  <c r="AC34" i="18"/>
  <c r="AB34" i="18"/>
  <c r="AA34" i="18"/>
  <c r="AC33" i="18"/>
  <c r="AB33" i="18"/>
  <c r="AA33" i="18"/>
  <c r="AC32" i="18"/>
  <c r="AB32" i="18"/>
  <c r="AT32" i="18" s="1"/>
  <c r="AA32" i="18"/>
  <c r="AC31" i="18"/>
  <c r="AB31" i="18"/>
  <c r="AT31" i="18" s="1"/>
  <c r="AA31" i="18"/>
  <c r="AC30" i="18"/>
  <c r="AB30" i="18"/>
  <c r="AT30" i="18" s="1"/>
  <c r="AA30" i="18"/>
  <c r="AC29" i="18"/>
  <c r="AB29" i="18"/>
  <c r="AA29" i="18"/>
  <c r="AC28" i="18"/>
  <c r="AB28" i="18"/>
  <c r="AT28" i="18" s="1"/>
  <c r="AA28" i="18"/>
  <c r="AC27" i="18"/>
  <c r="AB27" i="18"/>
  <c r="AA27" i="18"/>
  <c r="AC26" i="18"/>
  <c r="AB26" i="18"/>
  <c r="AA26" i="18"/>
  <c r="AC25" i="18"/>
  <c r="AB25" i="18"/>
  <c r="AA25" i="18"/>
  <c r="AC22" i="18"/>
  <c r="AB22" i="18"/>
  <c r="AT22" i="18" s="1"/>
  <c r="AA22" i="18"/>
  <c r="AC21" i="18"/>
  <c r="AB21" i="18"/>
  <c r="AT21" i="18" s="1"/>
  <c r="AA21" i="18"/>
  <c r="AC20" i="18"/>
  <c r="AB20" i="18"/>
  <c r="AT20" i="18" s="1"/>
  <c r="AA20" i="18"/>
  <c r="AC19" i="18"/>
  <c r="AB19" i="18"/>
  <c r="AT19" i="18" s="1"/>
  <c r="AA19" i="18"/>
  <c r="AC14" i="18"/>
  <c r="AB14" i="18"/>
  <c r="AT14" i="18" s="1"/>
  <c r="AA14" i="18"/>
  <c r="AC13" i="18"/>
  <c r="AB13" i="18"/>
  <c r="AA13" i="18"/>
  <c r="AC12" i="18"/>
  <c r="AB12" i="18"/>
  <c r="AA12" i="18"/>
  <c r="AC11" i="18"/>
  <c r="AB11" i="18"/>
  <c r="AT11" i="18" s="1"/>
  <c r="AA11" i="18"/>
  <c r="AC8" i="18"/>
  <c r="AB8" i="18"/>
  <c r="AT8" i="18" s="1"/>
  <c r="AA8" i="18"/>
  <c r="AA3" i="18"/>
  <c r="AB3" i="18"/>
  <c r="AT13" i="18" l="1"/>
  <c r="AT27" i="18"/>
  <c r="AT35" i="18"/>
  <c r="AT46" i="18"/>
  <c r="AT25" i="18"/>
  <c r="AT33" i="18"/>
  <c r="AT45" i="18"/>
  <c r="AT12" i="18"/>
  <c r="AT26" i="18"/>
  <c r="AT34" i="18"/>
  <c r="AT42" i="18"/>
  <c r="AT29" i="18"/>
  <c r="AT40" i="18"/>
  <c r="Y197" i="18"/>
  <c r="AD197" i="18"/>
  <c r="AE197" i="18"/>
  <c r="AF197" i="18"/>
  <c r="AG197" i="18"/>
  <c r="AH197" i="18"/>
  <c r="AI197" i="18"/>
  <c r="AJ197" i="18"/>
  <c r="AL197" i="18"/>
  <c r="Y192" i="18"/>
  <c r="Y193" i="18"/>
  <c r="Y194" i="18"/>
  <c r="Y195" i="18"/>
  <c r="Y196" i="18"/>
  <c r="Y206" i="18"/>
  <c r="Y205" i="18"/>
  <c r="Y189" i="18"/>
  <c r="AD192" i="18"/>
  <c r="AD193" i="18"/>
  <c r="AD194" i="18"/>
  <c r="AD195" i="18"/>
  <c r="AD196" i="18"/>
  <c r="AD206" i="18"/>
  <c r="AD205" i="18"/>
  <c r="AD189" i="18"/>
  <c r="AE192" i="18"/>
  <c r="AE193" i="18"/>
  <c r="AE194" i="18"/>
  <c r="AE195" i="18"/>
  <c r="AE196" i="18"/>
  <c r="AE206" i="18"/>
  <c r="AE205" i="18"/>
  <c r="AE189" i="18"/>
  <c r="AF192" i="18"/>
  <c r="AF193" i="18"/>
  <c r="AF194" i="18"/>
  <c r="AF195" i="18"/>
  <c r="AF196" i="18"/>
  <c r="AF206" i="18"/>
  <c r="AF205" i="18"/>
  <c r="AF189" i="18"/>
  <c r="AG192" i="18"/>
  <c r="AG193" i="18"/>
  <c r="AG194" i="18"/>
  <c r="AG195" i="18"/>
  <c r="AG196" i="18"/>
  <c r="AG206" i="18"/>
  <c r="AG205" i="18"/>
  <c r="AG189" i="18"/>
  <c r="AH192" i="18"/>
  <c r="AH193" i="18"/>
  <c r="AH194" i="18"/>
  <c r="AH195" i="18"/>
  <c r="AH196" i="18"/>
  <c r="AH206" i="18"/>
  <c r="AH205" i="18"/>
  <c r="AH189" i="18"/>
  <c r="AI192" i="18"/>
  <c r="AI193" i="18"/>
  <c r="AI194" i="18"/>
  <c r="AI195" i="18"/>
  <c r="AI196" i="18"/>
  <c r="AI206" i="18"/>
  <c r="AI205" i="18"/>
  <c r="AI189" i="18"/>
  <c r="AJ192" i="18"/>
  <c r="AJ193" i="18"/>
  <c r="AJ194" i="18"/>
  <c r="AJ195" i="18"/>
  <c r="AJ196" i="18"/>
  <c r="AJ206" i="18"/>
  <c r="AJ205" i="18"/>
  <c r="AJ189" i="18"/>
  <c r="AL192" i="18"/>
  <c r="AL193" i="18"/>
  <c r="AL194" i="18"/>
  <c r="AL195" i="18"/>
  <c r="AL196" i="18"/>
  <c r="AL206" i="18"/>
  <c r="AL205" i="18"/>
  <c r="AL189" i="18"/>
  <c r="Y182" i="18"/>
  <c r="Y181" i="18"/>
  <c r="Y190" i="18"/>
  <c r="AD182" i="18"/>
  <c r="AD181" i="18"/>
  <c r="AD190" i="18"/>
  <c r="AE182" i="18"/>
  <c r="AE181" i="18"/>
  <c r="AE190" i="18"/>
  <c r="AF182" i="18"/>
  <c r="AF181" i="18"/>
  <c r="AF190" i="18"/>
  <c r="AG182" i="18"/>
  <c r="AG181" i="18"/>
  <c r="AG190" i="18"/>
  <c r="AH182" i="18"/>
  <c r="AH181" i="18"/>
  <c r="AH190" i="18"/>
  <c r="AI182" i="18"/>
  <c r="AI181" i="18"/>
  <c r="AI190" i="18"/>
  <c r="AJ182" i="18"/>
  <c r="AJ181" i="18"/>
  <c r="AJ190" i="18"/>
  <c r="AL182" i="18"/>
  <c r="AL181" i="18"/>
  <c r="AL190" i="18"/>
  <c r="AN195" i="18" l="1"/>
  <c r="AN205" i="18"/>
  <c r="AN189" i="18"/>
  <c r="AN196" i="18"/>
  <c r="AR205" i="18"/>
  <c r="AR194" i="18"/>
  <c r="AN194" i="18"/>
  <c r="AR193" i="18"/>
  <c r="AN192" i="18"/>
  <c r="AR196" i="18"/>
  <c r="AR197" i="18"/>
  <c r="AN206" i="18"/>
  <c r="AR206" i="18"/>
  <c r="AR192" i="18"/>
  <c r="AR190" i="18"/>
  <c r="AN190" i="18"/>
  <c r="AN181" i="18"/>
  <c r="AR189" i="18"/>
  <c r="AR195" i="18"/>
  <c r="AN182" i="18"/>
  <c r="AN197" i="18"/>
  <c r="AR182" i="18"/>
  <c r="AN193" i="18"/>
  <c r="AR181" i="18"/>
  <c r="AB139" i="18" l="1"/>
  <c r="AB141" i="18"/>
  <c r="AB140" i="18"/>
  <c r="AB143" i="18"/>
  <c r="AB145" i="18"/>
  <c r="AB144" i="18"/>
  <c r="AB146" i="18"/>
  <c r="AB149" i="18"/>
  <c r="AB151" i="18"/>
  <c r="AB152" i="18"/>
  <c r="AB150" i="18"/>
  <c r="AB435" i="18" l="1"/>
  <c r="AB442" i="18"/>
  <c r="AB438" i="18"/>
  <c r="AB439" i="18"/>
  <c r="AB440" i="18"/>
  <c r="AB434" i="18"/>
  <c r="AC261" i="18" l="1"/>
  <c r="AC263" i="18"/>
  <c r="AC260" i="18"/>
  <c r="AC259" i="18"/>
  <c r="AC257" i="18"/>
  <c r="AC256" i="18"/>
  <c r="AT256" i="18" s="1"/>
  <c r="AC254" i="18"/>
  <c r="AC255" i="18"/>
  <c r="AC253" i="18"/>
  <c r="AC252" i="18"/>
  <c r="AC251" i="18"/>
  <c r="AC247" i="18"/>
  <c r="AC242" i="18"/>
  <c r="AB263" i="18"/>
  <c r="AT263" i="18" s="1"/>
  <c r="AB260" i="18"/>
  <c r="AT260" i="18" s="1"/>
  <c r="AB259" i="18"/>
  <c r="AT259" i="18" s="1"/>
  <c r="AB257" i="18"/>
  <c r="AT257" i="18" s="1"/>
  <c r="AB254" i="18"/>
  <c r="AB255" i="18"/>
  <c r="AT255" i="18" s="1"/>
  <c r="AB253" i="18"/>
  <c r="AB252" i="18"/>
  <c r="AT252" i="18" s="1"/>
  <c r="AT254" i="18" l="1"/>
  <c r="AT253" i="18"/>
  <c r="AB409" i="18"/>
  <c r="AB343" i="18"/>
  <c r="Y439" i="18" l="1"/>
  <c r="Z439" i="18"/>
  <c r="AC439" i="18"/>
  <c r="AT439" i="18" s="1"/>
  <c r="AD439" i="18"/>
  <c r="AE439" i="18"/>
  <c r="AF439" i="18"/>
  <c r="AG439" i="18"/>
  <c r="AH439" i="18"/>
  <c r="AI439" i="18"/>
  <c r="AJ439" i="18"/>
  <c r="AL439" i="18"/>
  <c r="AN439" i="18" l="1"/>
  <c r="AR439" i="18"/>
  <c r="Y256" i="18"/>
  <c r="Z256" i="18"/>
  <c r="AD256" i="18"/>
  <c r="AE256" i="18"/>
  <c r="AF256" i="18"/>
  <c r="AG256" i="18"/>
  <c r="AH256" i="18"/>
  <c r="AI256" i="18"/>
  <c r="AJ256" i="18"/>
  <c r="AL256" i="18"/>
  <c r="Y265" i="18"/>
  <c r="Y253" i="18"/>
  <c r="Z265" i="18"/>
  <c r="Z253" i="18"/>
  <c r="AA253" i="18"/>
  <c r="AC265" i="18"/>
  <c r="AT265" i="18" s="1"/>
  <c r="AD265" i="18"/>
  <c r="AD253" i="18"/>
  <c r="AE253" i="18"/>
  <c r="AF265" i="18"/>
  <c r="AF253" i="18"/>
  <c r="AG265" i="18"/>
  <c r="AG253" i="18"/>
  <c r="AH265" i="18"/>
  <c r="AH253" i="18"/>
  <c r="AI265" i="18"/>
  <c r="AI253" i="18"/>
  <c r="AJ265" i="18"/>
  <c r="AJ253" i="18"/>
  <c r="AL265" i="18"/>
  <c r="AL253" i="18"/>
  <c r="AN256" i="18" l="1"/>
  <c r="AR256" i="18"/>
  <c r="AR253" i="18"/>
  <c r="AR265" i="18"/>
  <c r="AN253" i="18"/>
  <c r="AN265" i="18"/>
  <c r="AA144" i="18" l="1"/>
  <c r="AA138" i="18"/>
  <c r="AA137" i="18"/>
  <c r="AA143" i="18"/>
  <c r="AA140" i="18"/>
  <c r="Z151" i="18"/>
  <c r="AA151" i="18"/>
  <c r="AC151" i="18"/>
  <c r="AT151" i="18" s="1"/>
  <c r="Y144" i="18"/>
  <c r="Z144" i="18"/>
  <c r="AC144" i="18"/>
  <c r="AT144" i="18" s="1"/>
  <c r="AD144" i="18"/>
  <c r="AE144" i="18"/>
  <c r="AF144" i="18"/>
  <c r="AG144" i="18"/>
  <c r="AH144" i="18"/>
  <c r="AI144" i="18"/>
  <c r="AJ144" i="18"/>
  <c r="AL144" i="18"/>
  <c r="Y140" i="18"/>
  <c r="Z140" i="18"/>
  <c r="AC140" i="18"/>
  <c r="AT140" i="18" s="1"/>
  <c r="AD140" i="18"/>
  <c r="AE140" i="18"/>
  <c r="AF140" i="18"/>
  <c r="AG140" i="18"/>
  <c r="AH140" i="18"/>
  <c r="AI140" i="18"/>
  <c r="AJ140" i="18"/>
  <c r="AL140" i="18"/>
  <c r="AR140" i="18" l="1"/>
  <c r="AR144" i="18"/>
  <c r="AN144" i="18"/>
  <c r="AN140" i="18"/>
  <c r="AB425" i="18" l="1"/>
  <c r="AA425" i="18"/>
  <c r="Z425" i="18"/>
  <c r="AB424" i="18"/>
  <c r="AA424" i="18"/>
  <c r="Z424" i="18"/>
  <c r="AB421" i="18"/>
  <c r="AA421" i="18"/>
  <c r="Z421" i="18"/>
  <c r="AB423" i="18"/>
  <c r="AA423" i="18"/>
  <c r="Z423" i="18"/>
  <c r="AB422" i="18"/>
  <c r="AA422" i="18"/>
  <c r="Z422" i="18"/>
  <c r="AB413" i="18"/>
  <c r="AA413" i="18"/>
  <c r="Z413" i="18"/>
  <c r="AB418" i="18"/>
  <c r="AA418" i="18"/>
  <c r="Z418" i="18"/>
  <c r="AB416" i="18"/>
  <c r="AA416" i="18"/>
  <c r="Z416" i="18"/>
  <c r="AB417" i="18"/>
  <c r="AA417" i="18"/>
  <c r="Z417" i="18"/>
  <c r="AB410" i="18"/>
  <c r="AA410" i="18"/>
  <c r="Z410" i="18"/>
  <c r="AB411" i="18"/>
  <c r="AA411" i="18"/>
  <c r="Z411" i="18"/>
  <c r="AA409" i="18"/>
  <c r="Z409" i="18"/>
  <c r="AB412" i="18"/>
  <c r="AA412" i="18"/>
  <c r="Z412" i="18"/>
  <c r="Z349" i="18"/>
  <c r="AA349" i="18"/>
  <c r="Z350" i="18"/>
  <c r="AA350" i="18"/>
  <c r="Z355" i="18"/>
  <c r="AA355" i="18"/>
  <c r="AB355" i="18"/>
  <c r="AB350" i="18"/>
  <c r="AB349" i="18"/>
  <c r="AB351" i="18"/>
  <c r="AA351" i="18"/>
  <c r="Z351" i="18"/>
  <c r="AB353" i="18"/>
  <c r="AA353" i="18"/>
  <c r="Z353" i="18"/>
  <c r="AB348" i="18"/>
  <c r="AA348" i="18"/>
  <c r="Z348" i="18"/>
  <c r="AB361" i="18"/>
  <c r="AA361" i="18"/>
  <c r="Z361" i="18"/>
  <c r="Y150" i="18" l="1"/>
  <c r="Z150" i="18"/>
  <c r="AA150" i="18"/>
  <c r="AC150" i="18"/>
  <c r="AT150" i="18" s="1"/>
  <c r="AD150" i="18"/>
  <c r="AE150" i="18"/>
  <c r="AF150" i="18"/>
  <c r="AG150" i="18"/>
  <c r="AH150" i="18"/>
  <c r="AI150" i="18"/>
  <c r="AJ150" i="18"/>
  <c r="AL150" i="18"/>
  <c r="Y139" i="18"/>
  <c r="Z139" i="18"/>
  <c r="AA139" i="18"/>
  <c r="AC139" i="18"/>
  <c r="AT139" i="18" s="1"/>
  <c r="AD139" i="18"/>
  <c r="AE139" i="18"/>
  <c r="AF139" i="18"/>
  <c r="AG139" i="18"/>
  <c r="AH139" i="18"/>
  <c r="AI139" i="18"/>
  <c r="AJ139" i="18"/>
  <c r="AL139" i="18"/>
  <c r="Y177" i="18"/>
  <c r="Z177" i="18"/>
  <c r="AA177" i="18"/>
  <c r="AB177" i="18"/>
  <c r="AC177" i="18"/>
  <c r="AD177" i="18"/>
  <c r="AE177" i="18"/>
  <c r="AF177" i="18"/>
  <c r="AG177" i="18"/>
  <c r="AH177" i="18"/>
  <c r="AI177" i="18"/>
  <c r="AJ177" i="18"/>
  <c r="AL177" i="18"/>
  <c r="Y178" i="18"/>
  <c r="Z178" i="18"/>
  <c r="AA178" i="18"/>
  <c r="AB178" i="18"/>
  <c r="AT178" i="18" s="1"/>
  <c r="AC178" i="18"/>
  <c r="AD178" i="18"/>
  <c r="AE178" i="18"/>
  <c r="AF178" i="18"/>
  <c r="AG178" i="18"/>
  <c r="AH178" i="18"/>
  <c r="AI178" i="18"/>
  <c r="AJ178" i="18"/>
  <c r="AL178" i="18"/>
  <c r="Y220" i="18"/>
  <c r="Z220" i="18"/>
  <c r="AA220" i="18"/>
  <c r="AB220" i="18"/>
  <c r="AT220" i="18" s="1"/>
  <c r="AC220" i="18"/>
  <c r="AD220" i="18"/>
  <c r="AE220" i="18"/>
  <c r="AF220" i="18"/>
  <c r="AG220" i="18"/>
  <c r="AH220" i="18"/>
  <c r="AI220" i="18"/>
  <c r="AJ220" i="18"/>
  <c r="AL220" i="18"/>
  <c r="Y222" i="18"/>
  <c r="Z222" i="18"/>
  <c r="AA222" i="18"/>
  <c r="AB222" i="18"/>
  <c r="AC222" i="18"/>
  <c r="AD222" i="18"/>
  <c r="AE222" i="18"/>
  <c r="AF222" i="18"/>
  <c r="AG222" i="18"/>
  <c r="AH222" i="18"/>
  <c r="AI222" i="18"/>
  <c r="AJ222" i="18"/>
  <c r="AL222" i="18"/>
  <c r="Y224" i="18"/>
  <c r="Z224" i="18"/>
  <c r="AA224" i="18"/>
  <c r="AB224" i="18"/>
  <c r="AT224" i="18" s="1"/>
  <c r="AC224" i="18"/>
  <c r="AD224" i="18"/>
  <c r="AE224" i="18"/>
  <c r="AF224" i="18"/>
  <c r="AG224" i="18"/>
  <c r="AH224" i="18"/>
  <c r="AI224" i="18"/>
  <c r="AJ224" i="18"/>
  <c r="AL224" i="18"/>
  <c r="Y225" i="18"/>
  <c r="Z225" i="18"/>
  <c r="AA225" i="18"/>
  <c r="AB225" i="18"/>
  <c r="AT225" i="18" s="1"/>
  <c r="AC225" i="18"/>
  <c r="AD225" i="18"/>
  <c r="AE225" i="18"/>
  <c r="AF225" i="18"/>
  <c r="AG225" i="18"/>
  <c r="AH225" i="18"/>
  <c r="AI225" i="18"/>
  <c r="AJ225" i="18"/>
  <c r="AL225" i="18"/>
  <c r="Y223" i="18"/>
  <c r="Z223" i="18"/>
  <c r="AA223" i="18"/>
  <c r="AB223" i="18"/>
  <c r="AC223" i="18"/>
  <c r="AD223" i="18"/>
  <c r="AE223" i="18"/>
  <c r="AF223" i="18"/>
  <c r="AG223" i="18"/>
  <c r="AH223" i="18"/>
  <c r="AI223" i="18"/>
  <c r="AJ223" i="18"/>
  <c r="AL223" i="18"/>
  <c r="AT177" i="18" l="1"/>
  <c r="AT222" i="18"/>
  <c r="AT223" i="18"/>
  <c r="AR177" i="18"/>
  <c r="AR225" i="18"/>
  <c r="AR178" i="18"/>
  <c r="AR224" i="18"/>
  <c r="AR223" i="18"/>
  <c r="AR222" i="18"/>
  <c r="AR150" i="18"/>
  <c r="AR139" i="18"/>
  <c r="AR220" i="18"/>
  <c r="AN150" i="18"/>
  <c r="AN139" i="18"/>
  <c r="AN177" i="18"/>
  <c r="AN178" i="18"/>
  <c r="AN220" i="18"/>
  <c r="AN222" i="18"/>
  <c r="AN224" i="18"/>
  <c r="AN225" i="18"/>
  <c r="AN223" i="18"/>
  <c r="Y381" i="18" l="1"/>
  <c r="Z381" i="18"/>
  <c r="AA94" i="18"/>
  <c r="Z94" i="18"/>
  <c r="Y94" i="18"/>
  <c r="AA95" i="18"/>
  <c r="Z95" i="18"/>
  <c r="Y95" i="18"/>
  <c r="AA98" i="18"/>
  <c r="Z98" i="18"/>
  <c r="Y98" i="18"/>
  <c r="AA97" i="18"/>
  <c r="Z97" i="18"/>
  <c r="Y97" i="18"/>
  <c r="AA146" i="18"/>
  <c r="Z146" i="18"/>
  <c r="Y146" i="18"/>
  <c r="Y135" i="18"/>
  <c r="Z135" i="18"/>
  <c r="AA135" i="18"/>
  <c r="Y137" i="18"/>
  <c r="Z137" i="18"/>
  <c r="Y180" i="18"/>
  <c r="Z180" i="18"/>
  <c r="AA180" i="18"/>
  <c r="AB180" i="18"/>
  <c r="Y184" i="18"/>
  <c r="Z184" i="18"/>
  <c r="AA184" i="18"/>
  <c r="AB184" i="18"/>
  <c r="Y185" i="18"/>
  <c r="Z185" i="18"/>
  <c r="AA185" i="18"/>
  <c r="AB185" i="18"/>
  <c r="Y187" i="18"/>
  <c r="Y186" i="18"/>
  <c r="Y198" i="18"/>
  <c r="Z198" i="18"/>
  <c r="AA198" i="18"/>
  <c r="AB198" i="18"/>
  <c r="Y199" i="18"/>
  <c r="Z199" i="18"/>
  <c r="AA199" i="18"/>
  <c r="AB199" i="18"/>
  <c r="Y200" i="18"/>
  <c r="Z200" i="18"/>
  <c r="AA200" i="18"/>
  <c r="AB200" i="18"/>
  <c r="Y202" i="18"/>
  <c r="Z202" i="18"/>
  <c r="AA202" i="18"/>
  <c r="AB202" i="18"/>
  <c r="Z179" i="18"/>
  <c r="AA179" i="18"/>
  <c r="AB179" i="18"/>
  <c r="J12" i="19" l="1"/>
  <c r="Y545" i="18"/>
  <c r="Z545" i="18"/>
  <c r="AA545" i="18"/>
  <c r="AB545" i="18"/>
  <c r="AT545" i="18" s="1"/>
  <c r="AC545" i="18"/>
  <c r="AD545" i="18"/>
  <c r="AE545" i="18"/>
  <c r="AF545" i="18"/>
  <c r="AG545" i="18"/>
  <c r="AH545" i="18"/>
  <c r="AI545" i="18"/>
  <c r="AJ545" i="18"/>
  <c r="AL545" i="18"/>
  <c r="Y29" i="18"/>
  <c r="Z29" i="18"/>
  <c r="Y30" i="18"/>
  <c r="Z30" i="18"/>
  <c r="Y31" i="18"/>
  <c r="Z31" i="18"/>
  <c r="Y32" i="18"/>
  <c r="Z32" i="18"/>
  <c r="Y33" i="18"/>
  <c r="Z33" i="18"/>
  <c r="Y34" i="18"/>
  <c r="Z34" i="18"/>
  <c r="Y35" i="18"/>
  <c r="Z35" i="18"/>
  <c r="Y36" i="18"/>
  <c r="Z36" i="18"/>
  <c r="Y37" i="18"/>
  <c r="Z37" i="18"/>
  <c r="Y38" i="18"/>
  <c r="Z38" i="18"/>
  <c r="Y39" i="18"/>
  <c r="Z39" i="18"/>
  <c r="AR545" i="18" l="1"/>
  <c r="AN545" i="18"/>
  <c r="AL3" i="18"/>
  <c r="AL4" i="18"/>
  <c r="AL5" i="18"/>
  <c r="AL6" i="18"/>
  <c r="AL397" i="18"/>
  <c r="AL8" i="18"/>
  <c r="AL21" i="18"/>
  <c r="AL27" i="18"/>
  <c r="AL39" i="18"/>
  <c r="AL13" i="18"/>
  <c r="AL45" i="18"/>
  <c r="AL11" i="18"/>
  <c r="AL41" i="18"/>
  <c r="AL40" i="18"/>
  <c r="AL31" i="18"/>
  <c r="AL14" i="18"/>
  <c r="AL19" i="18"/>
  <c r="AL25" i="18"/>
  <c r="AL15" i="18"/>
  <c r="AL16" i="18"/>
  <c r="AL17" i="18"/>
  <c r="AL18" i="18"/>
  <c r="AL22" i="18"/>
  <c r="AL12" i="18"/>
  <c r="AL26" i="18"/>
  <c r="AL28" i="18"/>
  <c r="AL29" i="18"/>
  <c r="AL30" i="18"/>
  <c r="AL32" i="18"/>
  <c r="AL33" i="18"/>
  <c r="AL34" i="18"/>
  <c r="AL35" i="18"/>
  <c r="AL36" i="18"/>
  <c r="AL37" i="18"/>
  <c r="AL38" i="18"/>
  <c r="AL42" i="18"/>
  <c r="AL20" i="18"/>
  <c r="AL51" i="18"/>
  <c r="AL52" i="18"/>
  <c r="AL53" i="18"/>
  <c r="AL58" i="18"/>
  <c r="AL65" i="18"/>
  <c r="AL46" i="18"/>
  <c r="AL50" i="18"/>
  <c r="AL55" i="18"/>
  <c r="AL60" i="18"/>
  <c r="AL62" i="18"/>
  <c r="AL63" i="18"/>
  <c r="AL68" i="18"/>
  <c r="AL73" i="18"/>
  <c r="AL74" i="18"/>
  <c r="AL72" i="18"/>
  <c r="AL70" i="18"/>
  <c r="AL69" i="18"/>
  <c r="AL75" i="18"/>
  <c r="AL71" i="18"/>
  <c r="AL76" i="18"/>
  <c r="AL77" i="18"/>
  <c r="AL79" i="18"/>
  <c r="AL82" i="18"/>
  <c r="AL96" i="18"/>
  <c r="AL95" i="18"/>
  <c r="AL97" i="18"/>
  <c r="AL94" i="18"/>
  <c r="AL103" i="18"/>
  <c r="AL98" i="18"/>
  <c r="AL101" i="18"/>
  <c r="AL99" i="18"/>
  <c r="AL115" i="18"/>
  <c r="AL7" i="18"/>
  <c r="AL110" i="18"/>
  <c r="AL106" i="18"/>
  <c r="AL112" i="18"/>
  <c r="AL114" i="18"/>
  <c r="AL122" i="18"/>
  <c r="AL107" i="18"/>
  <c r="AL125" i="18"/>
  <c r="AL116" i="18"/>
  <c r="AL123" i="18"/>
  <c r="AL111" i="18"/>
  <c r="AL124" i="18"/>
  <c r="AL127" i="18"/>
  <c r="AL113" i="18"/>
  <c r="AL105" i="18"/>
  <c r="AL117" i="18"/>
  <c r="AL118" i="18"/>
  <c r="AL129" i="18"/>
  <c r="AL120" i="18"/>
  <c r="AL108" i="18"/>
  <c r="AL109" i="18"/>
  <c r="AL126" i="18"/>
  <c r="AL133" i="18"/>
  <c r="AL134" i="18"/>
  <c r="AL135" i="18"/>
  <c r="AL149" i="18"/>
  <c r="AL152" i="18"/>
  <c r="AL136" i="18"/>
  <c r="AL154" i="18"/>
  <c r="AL146" i="18"/>
  <c r="AL151" i="18"/>
  <c r="AL138" i="18"/>
  <c r="AL137" i="18"/>
  <c r="AL141" i="18"/>
  <c r="AL143" i="18"/>
  <c r="AL145" i="18"/>
  <c r="AL155" i="18"/>
  <c r="AL158" i="18"/>
  <c r="AL156" i="18"/>
  <c r="AL164" i="18"/>
  <c r="AL160" i="18"/>
  <c r="AL163" i="18"/>
  <c r="AL159" i="18"/>
  <c r="AL157" i="18"/>
  <c r="AL162" i="18"/>
  <c r="AL174" i="18"/>
  <c r="AL168" i="18"/>
  <c r="AL165" i="18"/>
  <c r="AL166" i="18"/>
  <c r="AL167" i="18"/>
  <c r="AL170" i="18"/>
  <c r="AL171" i="18"/>
  <c r="AL169" i="18"/>
  <c r="AL176" i="18"/>
  <c r="AL175" i="18"/>
  <c r="AL179" i="18"/>
  <c r="AL180" i="18"/>
  <c r="AL185" i="18"/>
  <c r="AL184" i="18"/>
  <c r="AL186" i="18"/>
  <c r="AL187" i="18"/>
  <c r="AL198" i="18"/>
  <c r="AL202" i="18"/>
  <c r="AL199" i="18"/>
  <c r="AL200" i="18"/>
  <c r="AL204" i="18"/>
  <c r="AL201" i="18"/>
  <c r="AL203" i="18"/>
  <c r="AL219" i="18"/>
  <c r="AL215" i="18"/>
  <c r="AL216" i="18"/>
  <c r="AL217" i="18"/>
  <c r="AL213" i="18"/>
  <c r="AL227" i="18"/>
  <c r="AL226" i="18"/>
  <c r="AL231" i="18"/>
  <c r="AL229" i="18"/>
  <c r="AL232" i="18"/>
  <c r="AL235" i="18"/>
  <c r="AL270" i="18"/>
  <c r="AL234" i="18"/>
  <c r="AL233" i="18"/>
  <c r="AL236" i="18"/>
  <c r="AL237" i="18"/>
  <c r="AL257" i="18"/>
  <c r="AL266" i="18"/>
  <c r="AL264" i="18"/>
  <c r="AL262" i="18"/>
  <c r="AL258" i="18"/>
  <c r="AL238" i="18"/>
  <c r="AL251" i="18"/>
  <c r="AL242" i="18"/>
  <c r="AL247" i="18"/>
  <c r="AL255" i="18"/>
  <c r="AL263" i="18"/>
  <c r="AL261" i="18"/>
  <c r="AL259" i="18"/>
  <c r="AL254" i="18"/>
  <c r="AL260" i="18"/>
  <c r="AL252" i="18"/>
  <c r="AL274" i="18"/>
  <c r="AL275" i="18"/>
  <c r="AL276" i="18"/>
  <c r="AL277" i="18"/>
  <c r="AL281" i="18"/>
  <c r="AL280" i="18"/>
  <c r="AL279" i="18"/>
  <c r="AL278" i="18"/>
  <c r="AL282" i="18"/>
  <c r="AL283" i="18"/>
  <c r="AL284" i="18"/>
  <c r="AL287" i="18"/>
  <c r="AL288" i="18"/>
  <c r="AL289" i="18"/>
  <c r="AL301" i="18"/>
  <c r="AL290" i="18"/>
  <c r="AL296" i="18"/>
  <c r="AL295" i="18"/>
  <c r="AL294" i="18"/>
  <c r="AL293" i="18"/>
  <c r="AL299" i="18"/>
  <c r="AL291" i="18"/>
  <c r="AL303" i="18"/>
  <c r="AL306" i="18"/>
  <c r="AL311" i="18"/>
  <c r="AL315" i="18"/>
  <c r="AL314" i="18"/>
  <c r="AL319" i="18"/>
  <c r="AL320" i="18"/>
  <c r="AL321" i="18"/>
  <c r="AL313" i="18"/>
  <c r="AL307" i="18"/>
  <c r="AL309" i="18"/>
  <c r="AN309" i="18" s="1"/>
  <c r="AL316" i="18"/>
  <c r="AL305" i="18"/>
  <c r="AL308" i="18"/>
  <c r="AN308" i="18" s="1"/>
  <c r="AL318" i="18"/>
  <c r="AL312" i="18"/>
  <c r="AL322" i="18"/>
  <c r="AL325" i="18"/>
  <c r="AL324" i="18"/>
  <c r="AL326" i="18"/>
  <c r="AL328" i="18"/>
  <c r="AL327" i="18"/>
  <c r="AL337" i="18"/>
  <c r="AL344" i="18"/>
  <c r="AL341" i="18"/>
  <c r="AL330" i="18"/>
  <c r="AL343" i="18"/>
  <c r="AL332" i="18"/>
  <c r="AN332" i="18" s="1"/>
  <c r="AL342" i="18"/>
  <c r="AL331" i="18"/>
  <c r="AL334" i="18"/>
  <c r="AL335" i="18"/>
  <c r="AL338" i="18"/>
  <c r="AL339" i="18"/>
  <c r="AL329" i="18"/>
  <c r="AL336" i="18"/>
  <c r="AL333" i="18"/>
  <c r="AL350" i="18"/>
  <c r="AL348" i="18"/>
  <c r="AL347" i="18"/>
  <c r="AL353" i="18"/>
  <c r="AL351" i="18"/>
  <c r="AL349" i="18"/>
  <c r="AL354" i="18"/>
  <c r="AL355" i="18"/>
  <c r="AL364" i="18"/>
  <c r="AL363" i="18"/>
  <c r="AL361" i="18"/>
  <c r="AL360" i="18"/>
  <c r="AL359" i="18"/>
  <c r="AL358" i="18"/>
  <c r="AL362" i="18"/>
  <c r="AL375" i="18"/>
  <c r="AL368" i="18"/>
  <c r="AL374" i="18"/>
  <c r="AL373" i="18"/>
  <c r="AL376" i="18"/>
  <c r="AL377" i="18"/>
  <c r="AL367" i="18"/>
  <c r="AL371" i="18"/>
  <c r="AL372" i="18"/>
  <c r="AL378" i="18"/>
  <c r="AL381" i="18"/>
  <c r="AL386" i="18"/>
  <c r="AL382" i="18"/>
  <c r="AL405" i="18"/>
  <c r="AL400" i="18"/>
  <c r="AL401" i="18"/>
  <c r="AL390" i="18"/>
  <c r="AL393" i="18"/>
  <c r="AL398" i="18"/>
  <c r="AL403" i="18"/>
  <c r="AL130" i="18"/>
  <c r="AL399" i="18"/>
  <c r="AL391" i="18"/>
  <c r="AN391" i="18" s="1"/>
  <c r="AL395" i="18"/>
  <c r="AL396" i="18"/>
  <c r="AL394" i="18"/>
  <c r="AL389" i="18"/>
  <c r="AL404" i="18"/>
  <c r="AL412" i="18"/>
  <c r="AL409" i="18"/>
  <c r="AL411" i="18"/>
  <c r="AL410" i="18"/>
  <c r="AL417" i="18"/>
  <c r="AL414" i="18"/>
  <c r="AL413" i="18"/>
  <c r="AL418" i="18"/>
  <c r="AL416" i="18"/>
  <c r="AL425" i="18"/>
  <c r="AL421" i="18"/>
  <c r="AL422" i="18"/>
  <c r="AL423" i="18"/>
  <c r="AL420" i="18"/>
  <c r="AL424" i="18"/>
  <c r="AL419" i="18"/>
  <c r="AL449" i="18"/>
  <c r="AL428" i="18"/>
  <c r="AL429" i="18"/>
  <c r="AL447" i="18"/>
  <c r="AL436" i="18"/>
  <c r="AL448" i="18"/>
  <c r="AL434" i="18"/>
  <c r="AL435" i="18"/>
  <c r="AL433" i="18"/>
  <c r="AL446" i="18"/>
  <c r="AL441" i="18"/>
  <c r="AL444" i="18"/>
  <c r="AL442" i="18"/>
  <c r="AL445" i="18"/>
  <c r="AL437" i="18"/>
  <c r="AL440" i="18"/>
  <c r="AL438" i="18"/>
  <c r="AL430" i="18"/>
  <c r="AL451" i="18"/>
  <c r="AL432" i="18"/>
  <c r="AL455" i="18"/>
  <c r="AL454" i="18"/>
  <c r="AL453" i="18"/>
  <c r="AL452" i="18"/>
  <c r="AL462" i="18"/>
  <c r="AL458" i="18"/>
  <c r="AL460" i="18"/>
  <c r="AL457" i="18"/>
  <c r="AL459" i="18"/>
  <c r="AL461" i="18"/>
  <c r="AL464" i="18"/>
  <c r="AL465" i="18"/>
  <c r="AL466" i="18"/>
  <c r="AL475" i="18"/>
  <c r="AL473" i="18"/>
  <c r="AL472" i="18"/>
  <c r="AL470" i="18"/>
  <c r="AL467" i="18"/>
  <c r="AL474" i="18"/>
  <c r="AL468" i="18"/>
  <c r="AL471" i="18"/>
  <c r="AL469" i="18"/>
  <c r="AL489" i="18"/>
  <c r="AL488" i="18"/>
  <c r="AL490" i="18"/>
  <c r="AL480" i="18"/>
  <c r="AL477" i="18"/>
  <c r="AL478" i="18"/>
  <c r="AL479" i="18"/>
  <c r="AL482" i="18"/>
  <c r="AL484" i="18"/>
  <c r="AL483" i="18"/>
  <c r="AL481" i="18"/>
  <c r="AL476" i="18"/>
  <c r="AL505" i="18"/>
  <c r="AL502" i="18"/>
  <c r="AL503" i="18"/>
  <c r="AL504" i="18"/>
  <c r="AL498" i="18"/>
  <c r="AL495" i="18"/>
  <c r="AL496" i="18"/>
  <c r="AL499" i="18"/>
  <c r="AL500" i="18"/>
  <c r="AL501" i="18"/>
  <c r="AL492" i="18"/>
  <c r="AL493" i="18"/>
  <c r="AL494" i="18"/>
  <c r="AL497" i="18"/>
  <c r="AL516" i="18"/>
  <c r="AL508" i="18"/>
  <c r="AL511" i="18"/>
  <c r="AL510" i="18"/>
  <c r="AL507" i="18"/>
  <c r="AL514" i="18"/>
  <c r="AL506" i="18"/>
  <c r="AL513" i="18"/>
  <c r="AL509" i="18"/>
  <c r="AL515" i="18"/>
  <c r="AL521" i="18"/>
  <c r="AL519" i="18"/>
  <c r="AL520" i="18"/>
  <c r="AL518" i="18"/>
  <c r="AL517" i="18"/>
  <c r="AL530" i="18"/>
  <c r="AL525" i="18"/>
  <c r="AL531" i="18"/>
  <c r="AL528" i="18"/>
  <c r="AL523" i="18"/>
  <c r="AL524" i="18"/>
  <c r="AL526" i="18"/>
  <c r="AL527" i="18"/>
  <c r="AL539" i="18"/>
  <c r="AL538" i="18"/>
  <c r="AL537" i="18"/>
  <c r="AL532" i="18"/>
  <c r="AL536" i="18"/>
  <c r="AL533" i="18"/>
  <c r="AL535" i="18"/>
  <c r="AL540" i="18"/>
  <c r="AL541" i="18"/>
  <c r="AL542" i="18"/>
  <c r="AL543" i="18"/>
  <c r="AL544" i="18"/>
  <c r="AL147" i="18"/>
  <c r="AL172" i="18"/>
  <c r="Y113" i="18"/>
  <c r="Z113" i="18"/>
  <c r="AA113" i="18"/>
  <c r="AB113" i="18"/>
  <c r="Y105" i="18"/>
  <c r="Z105" i="18"/>
  <c r="AA105" i="18"/>
  <c r="AB105" i="18"/>
  <c r="Y117" i="18"/>
  <c r="Z117" i="18"/>
  <c r="AA117" i="18"/>
  <c r="AB117" i="18"/>
  <c r="Y118" i="18"/>
  <c r="Z118" i="18"/>
  <c r="AA118" i="18"/>
  <c r="AB118" i="18"/>
  <c r="Y129" i="18"/>
  <c r="Z129" i="18"/>
  <c r="AA129" i="18"/>
  <c r="AB129" i="18"/>
  <c r="Y120" i="18"/>
  <c r="Z120" i="18"/>
  <c r="AA120" i="18"/>
  <c r="AB120" i="18"/>
  <c r="Y108" i="18"/>
  <c r="Z108" i="18"/>
  <c r="AA108" i="18"/>
  <c r="AB108" i="18"/>
  <c r="AA109" i="18"/>
  <c r="AB109" i="18"/>
  <c r="Y126" i="18"/>
  <c r="Z126" i="18"/>
  <c r="AA126" i="18"/>
  <c r="AB126" i="18"/>
  <c r="Y133" i="18"/>
  <c r="Z133" i="18"/>
  <c r="AA133" i="18"/>
  <c r="AB133" i="18"/>
  <c r="Y134" i="18"/>
  <c r="Z134" i="18"/>
  <c r="AA134" i="18"/>
  <c r="AB134" i="18"/>
  <c r="AN65" i="18" l="1"/>
  <c r="Y537" i="18"/>
  <c r="Z537" i="18"/>
  <c r="AA537" i="18"/>
  <c r="AB537" i="18"/>
  <c r="Y532" i="18"/>
  <c r="Z532" i="18"/>
  <c r="AA532" i="18"/>
  <c r="AB532" i="18"/>
  <c r="Z536" i="18"/>
  <c r="AA536" i="18"/>
  <c r="AB536" i="18"/>
  <c r="Y533" i="18"/>
  <c r="Z533" i="18"/>
  <c r="AA533" i="18"/>
  <c r="AB533" i="18"/>
  <c r="Z535" i="18"/>
  <c r="AA535" i="18"/>
  <c r="AB535" i="18"/>
  <c r="Y538" i="18"/>
  <c r="Z538" i="18"/>
  <c r="AA538" i="18"/>
  <c r="AB538" i="18"/>
  <c r="Y539" i="18"/>
  <c r="Z539" i="18"/>
  <c r="AA539" i="18"/>
  <c r="AB539" i="18"/>
  <c r="Y542" i="18"/>
  <c r="Z542" i="18"/>
  <c r="AA542" i="18"/>
  <c r="AB542" i="18"/>
  <c r="Y540" i="18"/>
  <c r="Z540" i="18"/>
  <c r="AA540" i="18"/>
  <c r="AB540" i="18"/>
  <c r="Y541" i="18"/>
  <c r="Z541" i="18"/>
  <c r="AA541" i="18"/>
  <c r="AB541" i="18"/>
  <c r="Y544" i="18"/>
  <c r="Z544" i="18"/>
  <c r="AA544" i="18"/>
  <c r="AB544" i="18"/>
  <c r="Y543" i="18"/>
  <c r="Z543" i="18"/>
  <c r="AA543" i="18"/>
  <c r="AB543" i="18"/>
  <c r="Y440" i="18" l="1"/>
  <c r="Z440" i="18"/>
  <c r="AA440" i="18"/>
  <c r="AC440" i="18"/>
  <c r="AT440" i="18" s="1"/>
  <c r="AD440" i="18"/>
  <c r="AE440" i="18"/>
  <c r="AF440" i="18"/>
  <c r="AG440" i="18"/>
  <c r="AH440" i="18"/>
  <c r="AI440" i="18"/>
  <c r="AJ440" i="18"/>
  <c r="AN440" i="18"/>
  <c r="AR440" i="18" l="1"/>
  <c r="AM1" i="18" l="1"/>
  <c r="Y518" i="18"/>
  <c r="Y517" i="18"/>
  <c r="Y521" i="18"/>
  <c r="Y232" i="18"/>
  <c r="J1" i="13" l="1"/>
  <c r="AL323" i="18"/>
  <c r="Z203" i="18"/>
  <c r="AA203" i="18"/>
  <c r="Z213" i="18"/>
  <c r="AA213" i="18"/>
  <c r="Z215" i="18"/>
  <c r="AA215" i="18"/>
  <c r="Y176" i="18"/>
  <c r="Z176" i="18"/>
  <c r="Y179" i="18"/>
  <c r="Y204" i="18"/>
  <c r="Z204" i="18"/>
  <c r="Y201" i="18"/>
  <c r="Z201" i="18"/>
  <c r="Y203" i="18"/>
  <c r="Z166" i="18"/>
  <c r="Y166" i="18"/>
  <c r="Z164" i="18"/>
  <c r="Y164" i="18"/>
  <c r="Z156" i="18"/>
  <c r="Y156" i="18"/>
  <c r="Z158" i="18"/>
  <c r="Y158" i="18"/>
  <c r="Z163" i="18"/>
  <c r="Y163" i="18"/>
  <c r="Z162" i="18"/>
  <c r="Y162" i="18"/>
  <c r="Z160" i="18"/>
  <c r="Y160" i="18"/>
  <c r="Z159" i="18"/>
  <c r="Y159" i="18"/>
  <c r="Z157" i="18"/>
  <c r="Y157" i="18"/>
  <c r="Z155" i="18"/>
  <c r="Y155" i="18"/>
  <c r="Z154" i="18"/>
  <c r="Y154" i="18"/>
  <c r="Z136" i="18"/>
  <c r="Y136" i="18"/>
  <c r="Z152" i="18"/>
  <c r="Y152" i="18"/>
  <c r="Z149" i="18"/>
  <c r="Y149" i="18"/>
  <c r="Y151" i="18"/>
  <c r="Z145" i="18"/>
  <c r="Y145" i="18"/>
  <c r="Z143" i="18"/>
  <c r="Y143" i="18"/>
  <c r="Z227" i="18"/>
  <c r="Y227" i="18"/>
  <c r="Z219" i="18"/>
  <c r="Y219" i="18"/>
  <c r="Z217" i="18"/>
  <c r="Y217" i="18"/>
  <c r="Z216" i="18"/>
  <c r="Y216" i="18"/>
  <c r="Y215" i="18"/>
  <c r="Y213" i="18"/>
  <c r="Z175" i="18"/>
  <c r="Y175" i="18"/>
  <c r="Z165" i="18"/>
  <c r="Y165" i="18"/>
  <c r="Z168" i="18"/>
  <c r="Y168" i="18"/>
  <c r="Z174" i="18"/>
  <c r="Y174" i="18"/>
  <c r="Z171" i="18"/>
  <c r="Y171" i="18"/>
  <c r="Z170" i="18"/>
  <c r="Y170" i="18"/>
  <c r="Z169" i="18"/>
  <c r="Y169" i="18"/>
  <c r="Y226" i="18"/>
  <c r="Z226" i="18"/>
  <c r="AN171" i="18" l="1"/>
  <c r="AN167" i="18"/>
  <c r="AN95" i="18"/>
  <c r="AN170" i="18"/>
  <c r="AN169" i="18"/>
  <c r="Z41" i="18" l="1"/>
  <c r="AA41" i="18"/>
  <c r="AB41" i="18"/>
  <c r="Z40" i="18"/>
  <c r="Z45" i="18"/>
  <c r="Z42" i="18"/>
  <c r="Z46" i="18"/>
  <c r="Z50" i="18"/>
  <c r="Z51" i="18"/>
  <c r="Z52" i="18"/>
  <c r="AA52" i="18"/>
  <c r="AB52" i="18"/>
  <c r="Z53" i="18"/>
  <c r="AA53" i="18"/>
  <c r="AB53" i="18"/>
  <c r="Z55" i="18"/>
  <c r="AA55" i="18"/>
  <c r="AB55" i="18"/>
  <c r="Z58" i="18"/>
  <c r="AA58" i="18"/>
  <c r="AB58" i="18"/>
  <c r="Z60" i="18"/>
  <c r="AA60" i="18"/>
  <c r="AB60" i="18"/>
  <c r="Z62" i="18"/>
  <c r="AA62" i="18"/>
  <c r="AB62" i="18"/>
  <c r="Z63" i="18"/>
  <c r="AA63" i="18"/>
  <c r="AB63" i="18"/>
  <c r="Z65" i="18"/>
  <c r="AA65" i="18"/>
  <c r="AB65" i="18"/>
  <c r="Y41" i="18"/>
  <c r="Y40" i="18"/>
  <c r="Y45" i="18"/>
  <c r="Y42" i="18"/>
  <c r="Y46" i="18"/>
  <c r="Y50" i="18"/>
  <c r="Y51" i="18"/>
  <c r="Y52" i="18"/>
  <c r="Y53" i="18"/>
  <c r="Y55" i="18"/>
  <c r="Y58" i="18"/>
  <c r="Y60" i="18"/>
  <c r="Y62" i="18"/>
  <c r="Y63" i="18"/>
  <c r="Y65" i="18"/>
  <c r="Y103" i="18" l="1"/>
  <c r="AC113" i="18"/>
  <c r="AT113" i="18" s="1"/>
  <c r="AD113" i="18"/>
  <c r="AE113" i="18"/>
  <c r="AF113" i="18"/>
  <c r="AG113" i="18"/>
  <c r="AC105" i="18"/>
  <c r="AT105" i="18" s="1"/>
  <c r="AD105" i="18"/>
  <c r="AE105" i="18"/>
  <c r="AF105" i="18"/>
  <c r="AG105" i="18"/>
  <c r="AC117" i="18"/>
  <c r="AT117" i="18" s="1"/>
  <c r="AD117" i="18"/>
  <c r="AE117" i="18"/>
  <c r="AF117" i="18"/>
  <c r="AG117" i="18"/>
  <c r="AB97" i="18"/>
  <c r="AC97" i="18"/>
  <c r="AD97" i="18"/>
  <c r="AE97" i="18"/>
  <c r="AF97" i="18"/>
  <c r="AG97" i="18"/>
  <c r="AC118" i="18"/>
  <c r="AT118" i="18" s="1"/>
  <c r="AD118" i="18"/>
  <c r="AE118" i="18"/>
  <c r="AF118" i="18"/>
  <c r="AG118" i="18"/>
  <c r="AB94" i="18"/>
  <c r="AC94" i="18"/>
  <c r="AD94" i="18"/>
  <c r="AE94" i="18"/>
  <c r="AF94" i="18"/>
  <c r="AG94" i="18"/>
  <c r="AC129" i="18"/>
  <c r="AT129" i="18" s="1"/>
  <c r="AD129" i="18"/>
  <c r="AE129" i="18"/>
  <c r="AF129" i="18"/>
  <c r="AG129" i="18"/>
  <c r="AC120" i="18"/>
  <c r="AT120" i="18" s="1"/>
  <c r="AD120" i="18"/>
  <c r="AE120" i="18"/>
  <c r="AF120" i="18"/>
  <c r="AG120" i="18"/>
  <c r="AC108" i="18"/>
  <c r="AT108" i="18" s="1"/>
  <c r="AD108" i="18"/>
  <c r="AE108" i="18"/>
  <c r="AF108" i="18"/>
  <c r="AG108" i="18"/>
  <c r="AC109" i="18"/>
  <c r="AT109" i="18" s="1"/>
  <c r="AD109" i="18"/>
  <c r="AE109" i="18"/>
  <c r="AF109" i="18"/>
  <c r="AG109" i="18"/>
  <c r="AC126" i="18"/>
  <c r="AT126" i="18" s="1"/>
  <c r="AD126" i="18"/>
  <c r="AE126" i="18"/>
  <c r="AF126" i="18"/>
  <c r="AG126" i="18"/>
  <c r="Y68" i="18"/>
  <c r="Z68" i="18"/>
  <c r="AA68" i="18"/>
  <c r="AB68" i="18"/>
  <c r="AC68" i="18"/>
  <c r="AD68" i="18"/>
  <c r="AE68" i="18"/>
  <c r="AF68" i="18"/>
  <c r="AG68" i="18"/>
  <c r="Z103" i="18"/>
  <c r="AA103" i="18"/>
  <c r="AB103" i="18"/>
  <c r="AC103" i="18"/>
  <c r="AD103" i="18"/>
  <c r="AE103" i="18"/>
  <c r="AF103" i="18"/>
  <c r="AG103" i="18"/>
  <c r="AB98" i="18"/>
  <c r="AC98" i="18"/>
  <c r="AD98" i="18"/>
  <c r="AE98" i="18"/>
  <c r="AF98" i="18"/>
  <c r="AG98" i="18"/>
  <c r="Y101" i="18"/>
  <c r="Z101" i="18"/>
  <c r="AA101" i="18"/>
  <c r="AB101" i="18"/>
  <c r="AT101" i="18" s="1"/>
  <c r="AC101" i="18"/>
  <c r="AD101" i="18"/>
  <c r="AE101" i="18"/>
  <c r="AF101" i="18"/>
  <c r="AG101" i="18"/>
  <c r="AT103" i="18" l="1"/>
  <c r="AT68" i="18"/>
  <c r="AT98" i="18"/>
  <c r="AT94" i="18"/>
  <c r="AT97" i="18"/>
  <c r="Z301" i="18"/>
  <c r="AA301" i="18"/>
  <c r="Y293" i="18"/>
  <c r="Z293" i="18"/>
  <c r="Y301" i="18"/>
  <c r="Y420" i="18" l="1"/>
  <c r="Y421" i="18"/>
  <c r="Y422" i="18"/>
  <c r="AN166" i="18"/>
  <c r="Z3" i="18" l="1"/>
  <c r="AC3" i="18"/>
  <c r="AD3" i="18"/>
  <c r="AE3" i="18"/>
  <c r="AF3" i="18"/>
  <c r="AG3" i="18"/>
  <c r="AH3" i="18"/>
  <c r="AI3" i="18"/>
  <c r="AJ3" i="18"/>
  <c r="Z4" i="18"/>
  <c r="AA4" i="18"/>
  <c r="AB4" i="18"/>
  <c r="AT4" i="18" s="1"/>
  <c r="AC4" i="18"/>
  <c r="AD4" i="18"/>
  <c r="AE4" i="18"/>
  <c r="AF4" i="18"/>
  <c r="AG4" i="18"/>
  <c r="AH4" i="18"/>
  <c r="AI4" i="18"/>
  <c r="AJ4" i="18"/>
  <c r="Z5" i="18"/>
  <c r="AA5" i="18"/>
  <c r="AB5" i="18"/>
  <c r="AT5" i="18" s="1"/>
  <c r="AC5" i="18"/>
  <c r="AD5" i="18"/>
  <c r="AE5" i="18"/>
  <c r="AF5" i="18"/>
  <c r="AG5" i="18"/>
  <c r="AH5" i="18"/>
  <c r="AI5" i="18"/>
  <c r="AJ5" i="18"/>
  <c r="Z6" i="18"/>
  <c r="AA6" i="18"/>
  <c r="AB6" i="18"/>
  <c r="AT6" i="18" s="1"/>
  <c r="AC6" i="18"/>
  <c r="AD6" i="18"/>
  <c r="AE6" i="18"/>
  <c r="AF6" i="18"/>
  <c r="AG6" i="18"/>
  <c r="AH6" i="18"/>
  <c r="AI6" i="18"/>
  <c r="AJ6" i="18"/>
  <c r="Z8" i="18"/>
  <c r="AD8" i="18"/>
  <c r="AE8" i="18"/>
  <c r="AF8" i="18"/>
  <c r="AG8" i="18"/>
  <c r="AH8" i="18"/>
  <c r="AI8" i="18"/>
  <c r="AJ8" i="18"/>
  <c r="Z20" i="18"/>
  <c r="AD20" i="18"/>
  <c r="AE20" i="18"/>
  <c r="AF20" i="18"/>
  <c r="AG20" i="18"/>
  <c r="AH20" i="18"/>
  <c r="AI20" i="18"/>
  <c r="AJ20" i="18"/>
  <c r="Z21" i="18"/>
  <c r="AD21" i="18"/>
  <c r="AE21" i="18"/>
  <c r="AF21" i="18"/>
  <c r="AG21" i="18"/>
  <c r="AH21" i="18"/>
  <c r="AI21" i="18"/>
  <c r="AJ21" i="18"/>
  <c r="Z27" i="18"/>
  <c r="AD27" i="18"/>
  <c r="AE27" i="18"/>
  <c r="AF27" i="18"/>
  <c r="AG27" i="18"/>
  <c r="AH27" i="18"/>
  <c r="AI27" i="18"/>
  <c r="AJ27" i="18"/>
  <c r="AD37" i="18"/>
  <c r="AE37" i="18"/>
  <c r="AF37" i="18"/>
  <c r="AG37" i="18"/>
  <c r="AH37" i="18"/>
  <c r="AI37" i="18"/>
  <c r="AJ37" i="18"/>
  <c r="AD39" i="18"/>
  <c r="AE39" i="18"/>
  <c r="AF39" i="18"/>
  <c r="AG39" i="18"/>
  <c r="AH39" i="18"/>
  <c r="AI39" i="18"/>
  <c r="AJ39" i="18"/>
  <c r="Z26" i="18"/>
  <c r="AD26" i="18"/>
  <c r="AE26" i="18"/>
  <c r="AF26" i="18"/>
  <c r="AG26" i="18"/>
  <c r="AH26" i="18"/>
  <c r="AI26" i="18"/>
  <c r="AJ26" i="18"/>
  <c r="Z28" i="18"/>
  <c r="AD28" i="18"/>
  <c r="AE28" i="18"/>
  <c r="AF28" i="18"/>
  <c r="AG28" i="18"/>
  <c r="AH28" i="18"/>
  <c r="AI28" i="18"/>
  <c r="AJ28" i="18"/>
  <c r="AD29" i="18"/>
  <c r="AE29" i="18"/>
  <c r="AF29" i="18"/>
  <c r="AG29" i="18"/>
  <c r="AH29" i="18"/>
  <c r="AI29" i="18"/>
  <c r="AJ29" i="18"/>
  <c r="AD30" i="18"/>
  <c r="AE30" i="18"/>
  <c r="AF30" i="18"/>
  <c r="AG30" i="18"/>
  <c r="AH30" i="18"/>
  <c r="AI30" i="18"/>
  <c r="AJ30" i="18"/>
  <c r="AD32" i="18"/>
  <c r="AE32" i="18"/>
  <c r="AF32" i="18"/>
  <c r="AG32" i="18"/>
  <c r="AH32" i="18"/>
  <c r="AI32" i="18"/>
  <c r="AJ32" i="18"/>
  <c r="AD33" i="18"/>
  <c r="AE33" i="18"/>
  <c r="AF33" i="18"/>
  <c r="AG33" i="18"/>
  <c r="AH33" i="18"/>
  <c r="AI33" i="18"/>
  <c r="AJ33" i="18"/>
  <c r="AD34" i="18"/>
  <c r="AE34" i="18"/>
  <c r="AF34" i="18"/>
  <c r="AG34" i="18"/>
  <c r="AH34" i="18"/>
  <c r="AI34" i="18"/>
  <c r="AJ34" i="18"/>
  <c r="AD35" i="18"/>
  <c r="AE35" i="18"/>
  <c r="AF35" i="18"/>
  <c r="AG35" i="18"/>
  <c r="AH35" i="18"/>
  <c r="AI35" i="18"/>
  <c r="AJ35" i="18"/>
  <c r="AD36" i="18"/>
  <c r="AE36" i="18"/>
  <c r="AF36" i="18"/>
  <c r="AG36" i="18"/>
  <c r="AH36" i="18"/>
  <c r="AI36" i="18"/>
  <c r="AJ36" i="18"/>
  <c r="AD38" i="18"/>
  <c r="AE38" i="18"/>
  <c r="AF38" i="18"/>
  <c r="AG38" i="18"/>
  <c r="AH38" i="18"/>
  <c r="AI38" i="18"/>
  <c r="AJ38" i="18"/>
  <c r="AD42" i="18"/>
  <c r="AE42" i="18"/>
  <c r="AF42" i="18"/>
  <c r="AG42" i="18"/>
  <c r="AH42" i="18"/>
  <c r="AI42" i="18"/>
  <c r="AJ42" i="18"/>
  <c r="Z13" i="18"/>
  <c r="AD13" i="18"/>
  <c r="AE13" i="18"/>
  <c r="AF13" i="18"/>
  <c r="AG13" i="18"/>
  <c r="AH13" i="18"/>
  <c r="AI13" i="18"/>
  <c r="AJ13" i="18"/>
  <c r="AD45" i="18"/>
  <c r="AE45" i="18"/>
  <c r="AF45" i="18"/>
  <c r="AG45" i="18"/>
  <c r="AH45" i="18"/>
  <c r="AI45" i="18"/>
  <c r="AJ45" i="18"/>
  <c r="Z11" i="18"/>
  <c r="AD11" i="18"/>
  <c r="AE11" i="18"/>
  <c r="AF11" i="18"/>
  <c r="AG11" i="18"/>
  <c r="AH11" i="18"/>
  <c r="AI11" i="18"/>
  <c r="AJ11" i="18"/>
  <c r="AC41" i="18"/>
  <c r="AT41" i="18" s="1"/>
  <c r="AD41" i="18"/>
  <c r="AE41" i="18"/>
  <c r="AF41" i="18"/>
  <c r="AG41" i="18"/>
  <c r="AH41" i="18"/>
  <c r="AI41" i="18"/>
  <c r="AJ41" i="18"/>
  <c r="AD40" i="18"/>
  <c r="AE40" i="18"/>
  <c r="AF40" i="18"/>
  <c r="AG40" i="18"/>
  <c r="AH40" i="18"/>
  <c r="AI40" i="18"/>
  <c r="AJ40" i="18"/>
  <c r="AD31" i="18"/>
  <c r="AE31" i="18"/>
  <c r="AF31" i="18"/>
  <c r="AG31" i="18"/>
  <c r="AH31" i="18"/>
  <c r="AI31" i="18"/>
  <c r="AJ31" i="18"/>
  <c r="Z14" i="18"/>
  <c r="AD14" i="18"/>
  <c r="AE14" i="18"/>
  <c r="AF14" i="18"/>
  <c r="AG14" i="18"/>
  <c r="AH14" i="18"/>
  <c r="AI14" i="18"/>
  <c r="AJ14" i="18"/>
  <c r="Z19" i="18"/>
  <c r="AD19" i="18"/>
  <c r="AE19" i="18"/>
  <c r="AF19" i="18"/>
  <c r="AG19" i="18"/>
  <c r="AH19" i="18"/>
  <c r="AI19" i="18"/>
  <c r="AJ19" i="18"/>
  <c r="Z25" i="18"/>
  <c r="AD25" i="18"/>
  <c r="AE25" i="18"/>
  <c r="AF25" i="18"/>
  <c r="AG25" i="18"/>
  <c r="AH25" i="18"/>
  <c r="AI25" i="18"/>
  <c r="AJ25" i="18"/>
  <c r="Z15" i="18"/>
  <c r="AD15" i="18"/>
  <c r="AE15" i="18"/>
  <c r="AF15" i="18"/>
  <c r="AG15" i="18"/>
  <c r="AH15" i="18"/>
  <c r="AI15" i="18"/>
  <c r="AJ15" i="18"/>
  <c r="Z16" i="18"/>
  <c r="AA16" i="18"/>
  <c r="AB16" i="18"/>
  <c r="AT16" i="18" s="1"/>
  <c r="AC16" i="18"/>
  <c r="AD16" i="18"/>
  <c r="AE16" i="18"/>
  <c r="AF16" i="18"/>
  <c r="AG16" i="18"/>
  <c r="AH16" i="18"/>
  <c r="AI16" i="18"/>
  <c r="AJ16" i="18"/>
  <c r="Z17" i="18"/>
  <c r="AA17" i="18"/>
  <c r="AB17" i="18"/>
  <c r="AT17" i="18" s="1"/>
  <c r="AC17" i="18"/>
  <c r="AD17" i="18"/>
  <c r="AE17" i="18"/>
  <c r="AF17" i="18"/>
  <c r="AG17" i="18"/>
  <c r="AH17" i="18"/>
  <c r="AI17" i="18"/>
  <c r="AJ17" i="18"/>
  <c r="Z18" i="18"/>
  <c r="AA18" i="18"/>
  <c r="AB18" i="18"/>
  <c r="AT18" i="18" s="1"/>
  <c r="AC18" i="18"/>
  <c r="AD18" i="18"/>
  <c r="AE18" i="18"/>
  <c r="AF18" i="18"/>
  <c r="AG18" i="18"/>
  <c r="AH18" i="18"/>
  <c r="AI18" i="18"/>
  <c r="AJ18" i="18"/>
  <c r="Z22" i="18"/>
  <c r="AD22" i="18"/>
  <c r="AE22" i="18"/>
  <c r="AF22" i="18"/>
  <c r="AG22" i="18"/>
  <c r="AH22" i="18"/>
  <c r="AI22" i="18"/>
  <c r="AJ22" i="18"/>
  <c r="Z12" i="18"/>
  <c r="AD12" i="18"/>
  <c r="AE12" i="18"/>
  <c r="AF12" i="18"/>
  <c r="AG12" i="18"/>
  <c r="AH12" i="18"/>
  <c r="AI12" i="18"/>
  <c r="AJ12" i="18"/>
  <c r="AC63" i="18"/>
  <c r="AT63" i="18" s="1"/>
  <c r="AD63" i="18"/>
  <c r="AE63" i="18"/>
  <c r="AF63" i="18"/>
  <c r="AG63" i="18"/>
  <c r="AH63" i="18"/>
  <c r="AI63" i="18"/>
  <c r="AJ63" i="18"/>
  <c r="AD51" i="18"/>
  <c r="AE51" i="18"/>
  <c r="AF51" i="18"/>
  <c r="AG51" i="18"/>
  <c r="AH51" i="18"/>
  <c r="AI51" i="18"/>
  <c r="AJ51" i="18"/>
  <c r="AC52" i="18"/>
  <c r="AT52" i="18" s="1"/>
  <c r="AD52" i="18"/>
  <c r="AE52" i="18"/>
  <c r="AF52" i="18"/>
  <c r="AG52" i="18"/>
  <c r="AH52" i="18"/>
  <c r="AI52" i="18"/>
  <c r="AJ52" i="18"/>
  <c r="AD50" i="18"/>
  <c r="AE50" i="18"/>
  <c r="AF50" i="18"/>
  <c r="AG50" i="18"/>
  <c r="AH50" i="18"/>
  <c r="AI50" i="18"/>
  <c r="AJ50" i="18"/>
  <c r="AC53" i="18"/>
  <c r="AT53" i="18" s="1"/>
  <c r="AD53" i="18"/>
  <c r="AE53" i="18"/>
  <c r="AF53" i="18"/>
  <c r="AG53" i="18"/>
  <c r="AH53" i="18"/>
  <c r="AI53" i="18"/>
  <c r="AJ53" i="18"/>
  <c r="AC55" i="18"/>
  <c r="AT55" i="18" s="1"/>
  <c r="AD55" i="18"/>
  <c r="AE55" i="18"/>
  <c r="AF55" i="18"/>
  <c r="AG55" i="18"/>
  <c r="AH55" i="18"/>
  <c r="AI55" i="18"/>
  <c r="AJ55" i="18"/>
  <c r="AC58" i="18"/>
  <c r="AT58" i="18" s="1"/>
  <c r="AD58" i="18"/>
  <c r="AE58" i="18"/>
  <c r="AF58" i="18"/>
  <c r="AG58" i="18"/>
  <c r="AH58" i="18"/>
  <c r="AI58" i="18"/>
  <c r="AJ58" i="18"/>
  <c r="AC65" i="18"/>
  <c r="AT65" i="18" s="1"/>
  <c r="AD65" i="18"/>
  <c r="AE65" i="18"/>
  <c r="AF65" i="18"/>
  <c r="AG65" i="18"/>
  <c r="AH65" i="18"/>
  <c r="AI65" i="18"/>
  <c r="AJ65" i="18"/>
  <c r="AC60" i="18"/>
  <c r="AT60" i="18" s="1"/>
  <c r="AD60" i="18"/>
  <c r="AE60" i="18"/>
  <c r="AF60" i="18"/>
  <c r="AG60" i="18"/>
  <c r="AH60" i="18"/>
  <c r="AI60" i="18"/>
  <c r="AJ60" i="18"/>
  <c r="AC62" i="18"/>
  <c r="AT62" i="18" s="1"/>
  <c r="AD62" i="18"/>
  <c r="AE62" i="18"/>
  <c r="AF62" i="18"/>
  <c r="AG62" i="18"/>
  <c r="AH62" i="18"/>
  <c r="AI62" i="18"/>
  <c r="AJ62" i="18"/>
  <c r="AD46" i="18"/>
  <c r="AE46" i="18"/>
  <c r="AF46" i="18"/>
  <c r="AG46" i="18"/>
  <c r="AH46" i="18"/>
  <c r="AI46" i="18"/>
  <c r="AJ46" i="18"/>
  <c r="AH68" i="18"/>
  <c r="AI68" i="18"/>
  <c r="AJ68" i="18"/>
  <c r="Z73" i="18"/>
  <c r="AA73" i="18"/>
  <c r="AB73" i="18"/>
  <c r="AT73" i="18" s="1"/>
  <c r="AC73" i="18"/>
  <c r="AD73" i="18"/>
  <c r="AE73" i="18"/>
  <c r="AF73" i="18"/>
  <c r="AG73" i="18"/>
  <c r="AH73" i="18"/>
  <c r="AI73" i="18"/>
  <c r="AJ73" i="18"/>
  <c r="Z74" i="18"/>
  <c r="AA74" i="18"/>
  <c r="AB74" i="18"/>
  <c r="AC74" i="18"/>
  <c r="AD74" i="18"/>
  <c r="AF74" i="18"/>
  <c r="AG74" i="18"/>
  <c r="AH74" i="18"/>
  <c r="AI74" i="18"/>
  <c r="AJ74" i="18"/>
  <c r="Z75" i="18"/>
  <c r="AA75" i="18"/>
  <c r="AB75" i="18"/>
  <c r="AT75" i="18" s="1"/>
  <c r="AC75" i="18"/>
  <c r="AD75" i="18"/>
  <c r="AE75" i="18"/>
  <c r="AF75" i="18"/>
  <c r="AG75" i="18"/>
  <c r="AH75" i="18"/>
  <c r="AI75" i="18"/>
  <c r="AJ75" i="18"/>
  <c r="Z72" i="18"/>
  <c r="AA72" i="18"/>
  <c r="AB72" i="18"/>
  <c r="AT72" i="18" s="1"/>
  <c r="AC72" i="18"/>
  <c r="AD72" i="18"/>
  <c r="AE72" i="18"/>
  <c r="AF72" i="18"/>
  <c r="AG72" i="18"/>
  <c r="AH72" i="18"/>
  <c r="AI72" i="18"/>
  <c r="AJ72" i="18"/>
  <c r="Z71" i="18"/>
  <c r="AA71" i="18"/>
  <c r="AB71" i="18"/>
  <c r="AC71" i="18"/>
  <c r="AD71" i="18"/>
  <c r="AE71" i="18"/>
  <c r="AF71" i="18"/>
  <c r="AG71" i="18"/>
  <c r="AH71" i="18"/>
  <c r="AI71" i="18"/>
  <c r="AJ71" i="18"/>
  <c r="Z70" i="18"/>
  <c r="AA70" i="18"/>
  <c r="AB70" i="18"/>
  <c r="AC70" i="18"/>
  <c r="AD70" i="18"/>
  <c r="AE70" i="18"/>
  <c r="AF70" i="18"/>
  <c r="AG70" i="18"/>
  <c r="AH70" i="18"/>
  <c r="AI70" i="18"/>
  <c r="AJ70" i="18"/>
  <c r="Z69" i="18"/>
  <c r="AA69" i="18"/>
  <c r="AB69" i="18"/>
  <c r="AC69" i="18"/>
  <c r="AD69" i="18"/>
  <c r="AE69" i="18"/>
  <c r="AF69" i="18"/>
  <c r="AG69" i="18"/>
  <c r="AH69" i="18"/>
  <c r="AI69" i="18"/>
  <c r="AJ69" i="18"/>
  <c r="Z76" i="18"/>
  <c r="AA76" i="18"/>
  <c r="AB76" i="18"/>
  <c r="AT76" i="18" s="1"/>
  <c r="AC76" i="18"/>
  <c r="AD76" i="18"/>
  <c r="AE76" i="18"/>
  <c r="AF76" i="18"/>
  <c r="AG76" i="18"/>
  <c r="AH76" i="18"/>
  <c r="AI76" i="18"/>
  <c r="AJ76" i="18"/>
  <c r="Z77" i="18"/>
  <c r="AA77" i="18"/>
  <c r="AB77" i="18"/>
  <c r="AT77" i="18" s="1"/>
  <c r="AC77" i="18"/>
  <c r="AD77" i="18"/>
  <c r="AE77" i="18"/>
  <c r="AF77" i="18"/>
  <c r="AG77" i="18"/>
  <c r="AH77" i="18"/>
  <c r="AI77" i="18"/>
  <c r="AJ77" i="18"/>
  <c r="Z79" i="18"/>
  <c r="AA79" i="18"/>
  <c r="AB79" i="18"/>
  <c r="AT79" i="18" s="1"/>
  <c r="AC79" i="18"/>
  <c r="AD79" i="18"/>
  <c r="AE79" i="18"/>
  <c r="AF79" i="18"/>
  <c r="AG79" i="18"/>
  <c r="AH79" i="18"/>
  <c r="AI79" i="18"/>
  <c r="AJ79" i="18"/>
  <c r="Z82" i="18"/>
  <c r="AA82" i="18"/>
  <c r="AB82" i="18"/>
  <c r="AT82" i="18" s="1"/>
  <c r="AC82" i="18"/>
  <c r="AD82" i="18"/>
  <c r="AE82" i="18"/>
  <c r="AF82" i="18"/>
  <c r="AG82" i="18"/>
  <c r="AH82" i="18"/>
  <c r="AI82" i="18"/>
  <c r="AJ82" i="18"/>
  <c r="Z99" i="18"/>
  <c r="AA99" i="18"/>
  <c r="AB99" i="18"/>
  <c r="AT99" i="18" s="1"/>
  <c r="AC99" i="18"/>
  <c r="AD99" i="18"/>
  <c r="AE99" i="18"/>
  <c r="AF99" i="18"/>
  <c r="AG99" i="18"/>
  <c r="AH99" i="18"/>
  <c r="AI99" i="18"/>
  <c r="AJ99" i="18"/>
  <c r="AH101" i="18"/>
  <c r="AI101" i="18"/>
  <c r="AJ101" i="18"/>
  <c r="AH94" i="18"/>
  <c r="AI94" i="18"/>
  <c r="AJ94" i="18"/>
  <c r="AH97" i="18"/>
  <c r="AI97" i="18"/>
  <c r="AJ97" i="18"/>
  <c r="AH98" i="18"/>
  <c r="AI98" i="18"/>
  <c r="AJ98" i="18"/>
  <c r="Z96" i="18"/>
  <c r="AA96" i="18"/>
  <c r="AB96" i="18"/>
  <c r="AT96" i="18" s="1"/>
  <c r="AC96" i="18"/>
  <c r="AD96" i="18"/>
  <c r="AE96" i="18"/>
  <c r="AF96" i="18"/>
  <c r="AG96" i="18"/>
  <c r="AH96" i="18"/>
  <c r="AI96" i="18"/>
  <c r="AJ96" i="18"/>
  <c r="AH103" i="18"/>
  <c r="AI103" i="18"/>
  <c r="AJ103" i="18"/>
  <c r="AH109" i="18"/>
  <c r="AI109" i="18"/>
  <c r="AJ109" i="18"/>
  <c r="Z125" i="18"/>
  <c r="AA125" i="18"/>
  <c r="AB125" i="18"/>
  <c r="AT125" i="18" s="1"/>
  <c r="AC125" i="18"/>
  <c r="AD125" i="18"/>
  <c r="AE125" i="18"/>
  <c r="AF125" i="18"/>
  <c r="AG125" i="18"/>
  <c r="AH125" i="18"/>
  <c r="AI125" i="18"/>
  <c r="AJ12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Z7" i="18"/>
  <c r="AA7" i="18"/>
  <c r="AB7" i="18"/>
  <c r="AC7" i="18"/>
  <c r="AD7" i="18"/>
  <c r="AE7" i="18"/>
  <c r="AF7" i="18"/>
  <c r="AG7" i="18"/>
  <c r="AH7" i="18"/>
  <c r="AI7" i="18"/>
  <c r="AJ7" i="18"/>
  <c r="AH117" i="18"/>
  <c r="AI117" i="18"/>
  <c r="AJ117" i="18"/>
  <c r="Z110" i="18"/>
  <c r="AA110" i="18"/>
  <c r="AB110" i="18"/>
  <c r="AT110" i="18" s="1"/>
  <c r="AC110" i="18"/>
  <c r="AD110" i="18"/>
  <c r="AE110" i="18"/>
  <c r="AF110" i="18"/>
  <c r="AG110" i="18"/>
  <c r="AH110" i="18"/>
  <c r="AI110" i="18"/>
  <c r="AJ110" i="18"/>
  <c r="Z127" i="18"/>
  <c r="AA127" i="18"/>
  <c r="AB127" i="18"/>
  <c r="AT127" i="18" s="1"/>
  <c r="AC127" i="18"/>
  <c r="AD127" i="18"/>
  <c r="AE127" i="18"/>
  <c r="AF127" i="18"/>
  <c r="AG127" i="18"/>
  <c r="AH127" i="18"/>
  <c r="AI127" i="18"/>
  <c r="AJ127" i="18"/>
  <c r="Z114" i="18"/>
  <c r="AA114" i="18"/>
  <c r="AB114" i="18"/>
  <c r="AT114" i="18" s="1"/>
  <c r="AC114" i="18"/>
  <c r="AD114" i="18"/>
  <c r="AE114" i="18"/>
  <c r="AF114" i="18"/>
  <c r="AG114" i="18"/>
  <c r="AH114" i="18"/>
  <c r="AI114" i="18"/>
  <c r="AJ114" i="18"/>
  <c r="AH113" i="18"/>
  <c r="AI113" i="18"/>
  <c r="AJ113" i="18"/>
  <c r="AH105" i="18"/>
  <c r="AI105" i="18"/>
  <c r="AJ105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H118" i="18"/>
  <c r="AI118" i="18"/>
  <c r="AJ118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H108" i="18"/>
  <c r="AI108" i="18"/>
  <c r="AJ108" i="18"/>
  <c r="Z106" i="18"/>
  <c r="AA106" i="18"/>
  <c r="AB106" i="18"/>
  <c r="AT106" i="18" s="1"/>
  <c r="AC106" i="18"/>
  <c r="AD106" i="18"/>
  <c r="AE106" i="18"/>
  <c r="AF106" i="18"/>
  <c r="AG106" i="18"/>
  <c r="AH106" i="18"/>
  <c r="AI106" i="18"/>
  <c r="AJ106" i="18"/>
  <c r="Z112" i="18"/>
  <c r="AA112" i="18"/>
  <c r="AB112" i="18"/>
  <c r="AT112" i="18" s="1"/>
  <c r="AC112" i="18"/>
  <c r="AD112" i="18"/>
  <c r="AE112" i="18"/>
  <c r="AF112" i="18"/>
  <c r="AG112" i="18"/>
  <c r="AH112" i="18"/>
  <c r="AI112" i="18"/>
  <c r="AJ112" i="18"/>
  <c r="AH120" i="18"/>
  <c r="AI120" i="18"/>
  <c r="AJ120" i="18"/>
  <c r="Z124" i="18"/>
  <c r="AA124" i="18"/>
  <c r="AB124" i="18"/>
  <c r="AT124" i="18" s="1"/>
  <c r="AC124" i="18"/>
  <c r="AD124" i="18"/>
  <c r="AE124" i="18"/>
  <c r="AF124" i="18"/>
  <c r="AG124" i="18"/>
  <c r="AH124" i="18"/>
  <c r="AI124" i="18"/>
  <c r="AJ124" i="18"/>
  <c r="AH129" i="18"/>
  <c r="AI129" i="18"/>
  <c r="AJ129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Z122" i="18"/>
  <c r="AA122" i="18"/>
  <c r="AB122" i="18"/>
  <c r="AT122" i="18" s="1"/>
  <c r="AC122" i="18"/>
  <c r="AD122" i="18"/>
  <c r="AE122" i="18"/>
  <c r="AJ122" i="18"/>
  <c r="AC133" i="18"/>
  <c r="AT133" i="18" s="1"/>
  <c r="AD133" i="18"/>
  <c r="AE133" i="18"/>
  <c r="AF133" i="18"/>
  <c r="AG133" i="18"/>
  <c r="AH133" i="18"/>
  <c r="AI133" i="18"/>
  <c r="AJ133" i="18"/>
  <c r="AC134" i="18"/>
  <c r="AT134" i="18" s="1"/>
  <c r="AD134" i="18"/>
  <c r="AE134" i="18"/>
  <c r="AF134" i="18"/>
  <c r="AG134" i="18"/>
  <c r="AH134" i="18"/>
  <c r="AI134" i="18"/>
  <c r="AJ134" i="18"/>
  <c r="AB135" i="18"/>
  <c r="AC135" i="18"/>
  <c r="AD135" i="18"/>
  <c r="AE135" i="18"/>
  <c r="AF135" i="18"/>
  <c r="AG135" i="18"/>
  <c r="AH135" i="18"/>
  <c r="AI135" i="18"/>
  <c r="AJ135" i="18"/>
  <c r="AC146" i="18"/>
  <c r="AT146" i="18" s="1"/>
  <c r="AD146" i="18"/>
  <c r="AE146" i="18"/>
  <c r="AF146" i="18"/>
  <c r="AG146" i="18"/>
  <c r="AH146" i="18"/>
  <c r="AI146" i="18"/>
  <c r="AJ146" i="18"/>
  <c r="AA149" i="18"/>
  <c r="AC149" i="18"/>
  <c r="AT149" i="18" s="1"/>
  <c r="AD149" i="18"/>
  <c r="AE149" i="18"/>
  <c r="AF149" i="18"/>
  <c r="AG149" i="18"/>
  <c r="AH149" i="18"/>
  <c r="AI149" i="18"/>
  <c r="AJ149" i="18"/>
  <c r="AA152" i="18"/>
  <c r="AC152" i="18"/>
  <c r="AT152" i="18" s="1"/>
  <c r="AD152" i="18"/>
  <c r="AE152" i="18"/>
  <c r="AF152" i="18"/>
  <c r="AG152" i="18"/>
  <c r="AH152" i="18"/>
  <c r="AI152" i="18"/>
  <c r="AJ152" i="18"/>
  <c r="AD151" i="18"/>
  <c r="AE151" i="18"/>
  <c r="AF151" i="18"/>
  <c r="AG151" i="18"/>
  <c r="AH151" i="18"/>
  <c r="AI151" i="18"/>
  <c r="AJ151" i="18"/>
  <c r="Z138" i="18"/>
  <c r="AB138" i="18"/>
  <c r="AT138" i="18" s="1"/>
  <c r="AC138" i="18"/>
  <c r="AD138" i="18"/>
  <c r="AE138" i="18"/>
  <c r="AF138" i="18"/>
  <c r="AG138" i="18"/>
  <c r="AH138" i="18"/>
  <c r="AI138" i="18"/>
  <c r="AJ138" i="18"/>
  <c r="AB137" i="18"/>
  <c r="AT137" i="18" s="1"/>
  <c r="AC137" i="18"/>
  <c r="AD137" i="18"/>
  <c r="AE137" i="18"/>
  <c r="AF137" i="18"/>
  <c r="AG137" i="18"/>
  <c r="AH137" i="18"/>
  <c r="AI137" i="18"/>
  <c r="AJ137" i="18"/>
  <c r="AC143" i="18"/>
  <c r="AT143" i="18" s="1"/>
  <c r="AD143" i="18"/>
  <c r="AE143" i="18"/>
  <c r="AF143" i="18"/>
  <c r="AG143" i="18"/>
  <c r="AH143" i="18"/>
  <c r="AI143" i="18"/>
  <c r="AJ143" i="18"/>
  <c r="Z141" i="18"/>
  <c r="AA141" i="18"/>
  <c r="AC141" i="18"/>
  <c r="AT141" i="18" s="1"/>
  <c r="AD141" i="18"/>
  <c r="AE141" i="18"/>
  <c r="AF141" i="18"/>
  <c r="AG141" i="18"/>
  <c r="AH141" i="18"/>
  <c r="AI141" i="18"/>
  <c r="AJ141" i="18"/>
  <c r="AA145" i="18"/>
  <c r="AC145" i="18"/>
  <c r="AT145" i="18" s="1"/>
  <c r="AD145" i="18"/>
  <c r="AE145" i="18"/>
  <c r="AF145" i="18"/>
  <c r="AG145" i="18"/>
  <c r="AH145" i="18"/>
  <c r="AI145" i="18"/>
  <c r="AJ145" i="18"/>
  <c r="AA136" i="18"/>
  <c r="AB136" i="18"/>
  <c r="AT136" i="18" s="1"/>
  <c r="AC136" i="18"/>
  <c r="AD136" i="18"/>
  <c r="AE136" i="18"/>
  <c r="AF136" i="18"/>
  <c r="AG136" i="18"/>
  <c r="AH136" i="18"/>
  <c r="AI136" i="18"/>
  <c r="AJ136" i="18"/>
  <c r="AA154" i="18"/>
  <c r="AB154" i="18"/>
  <c r="AT154" i="18" s="1"/>
  <c r="AC154" i="18"/>
  <c r="AD154" i="18"/>
  <c r="AE154" i="18"/>
  <c r="AF154" i="18"/>
  <c r="AG154" i="18"/>
  <c r="AH154" i="18"/>
  <c r="AI154" i="18"/>
  <c r="AJ154" i="18"/>
  <c r="AA155" i="18"/>
  <c r="AB155" i="18"/>
  <c r="AC155" i="18"/>
  <c r="AD155" i="18"/>
  <c r="AE155" i="18"/>
  <c r="AF155" i="18"/>
  <c r="AG155" i="18"/>
  <c r="AH155" i="18"/>
  <c r="AI155" i="18"/>
  <c r="AJ155" i="18"/>
  <c r="AA160" i="18"/>
  <c r="AB160" i="18"/>
  <c r="AT160" i="18" s="1"/>
  <c r="AC160" i="18"/>
  <c r="AD160" i="18"/>
  <c r="AE160" i="18"/>
  <c r="AF160" i="18"/>
  <c r="AG160" i="18"/>
  <c r="AH160" i="18"/>
  <c r="AI160" i="18"/>
  <c r="AJ160" i="18"/>
  <c r="AA163" i="18"/>
  <c r="AB163" i="18"/>
  <c r="AT163" i="18" s="1"/>
  <c r="AC163" i="18"/>
  <c r="AD163" i="18"/>
  <c r="AE163" i="18"/>
  <c r="AF163" i="18"/>
  <c r="AG163" i="18"/>
  <c r="AH163" i="18"/>
  <c r="AI163" i="18"/>
  <c r="AJ163" i="18"/>
  <c r="AA159" i="18"/>
  <c r="AB159" i="18"/>
  <c r="AT159" i="18" s="1"/>
  <c r="AC159" i="18"/>
  <c r="AD159" i="18"/>
  <c r="AE159" i="18"/>
  <c r="AF159" i="18"/>
  <c r="AG159" i="18"/>
  <c r="AH159" i="18"/>
  <c r="AI159" i="18"/>
  <c r="AJ159" i="18"/>
  <c r="AA157" i="18"/>
  <c r="AB157" i="18"/>
  <c r="AC157" i="18"/>
  <c r="AD157" i="18"/>
  <c r="AE157" i="18"/>
  <c r="AF157" i="18"/>
  <c r="AG157" i="18"/>
  <c r="AH157" i="18"/>
  <c r="AI157" i="18"/>
  <c r="AJ157" i="18"/>
  <c r="AA162" i="18"/>
  <c r="AB162" i="18"/>
  <c r="AT162" i="18" s="1"/>
  <c r="AC162" i="18"/>
  <c r="AD162" i="18"/>
  <c r="AE162" i="18"/>
  <c r="AF162" i="18"/>
  <c r="AG162" i="18"/>
  <c r="AH162" i="18"/>
  <c r="AI162" i="18"/>
  <c r="AJ162" i="18"/>
  <c r="AA158" i="18"/>
  <c r="AB158" i="18"/>
  <c r="AT158" i="18" s="1"/>
  <c r="AC158" i="18"/>
  <c r="AD158" i="18"/>
  <c r="AE158" i="18"/>
  <c r="AF158" i="18"/>
  <c r="AG158" i="18"/>
  <c r="AH158" i="18"/>
  <c r="AI158" i="18"/>
  <c r="AJ158" i="18"/>
  <c r="AA156" i="18"/>
  <c r="AB156" i="18"/>
  <c r="AT156" i="18" s="1"/>
  <c r="AC156" i="18"/>
  <c r="AD156" i="18"/>
  <c r="AE156" i="18"/>
  <c r="AF156" i="18"/>
  <c r="AG156" i="18"/>
  <c r="AH156" i="18"/>
  <c r="AI156" i="18"/>
  <c r="AJ156" i="18"/>
  <c r="AA164" i="18"/>
  <c r="AB164" i="18"/>
  <c r="AT164" i="18" s="1"/>
  <c r="AC164" i="18"/>
  <c r="AD164" i="18"/>
  <c r="AE164" i="18"/>
  <c r="AF164" i="18"/>
  <c r="AG164" i="18"/>
  <c r="AH164" i="18"/>
  <c r="AI164" i="18"/>
  <c r="AJ164" i="18"/>
  <c r="AA166" i="18"/>
  <c r="AB166" i="18"/>
  <c r="AT166" i="18" s="1"/>
  <c r="AC166" i="18"/>
  <c r="AD166" i="18"/>
  <c r="AE166" i="18"/>
  <c r="AF166" i="18"/>
  <c r="AG166" i="18"/>
  <c r="AH166" i="18"/>
  <c r="AI166" i="18"/>
  <c r="AJ166" i="18"/>
  <c r="Z167" i="18"/>
  <c r="AA167" i="18"/>
  <c r="AB167" i="18"/>
  <c r="AC167" i="18"/>
  <c r="AD167" i="18"/>
  <c r="AE167" i="18"/>
  <c r="AF167" i="18"/>
  <c r="AG167" i="18"/>
  <c r="AH167" i="18"/>
  <c r="AI167" i="18"/>
  <c r="AJ167" i="18"/>
  <c r="AA170" i="18"/>
  <c r="AB170" i="18"/>
  <c r="AC170" i="18"/>
  <c r="AD170" i="18"/>
  <c r="AE170" i="18"/>
  <c r="AF170" i="18"/>
  <c r="AG170" i="18"/>
  <c r="AH170" i="18"/>
  <c r="AI170" i="18"/>
  <c r="AJ170" i="18"/>
  <c r="AA171" i="18"/>
  <c r="AB171" i="18"/>
  <c r="AC171" i="18"/>
  <c r="AD171" i="18"/>
  <c r="AE171" i="18"/>
  <c r="AF171" i="18"/>
  <c r="AG171" i="18"/>
  <c r="AH171" i="18"/>
  <c r="AI171" i="18"/>
  <c r="AJ171" i="18"/>
  <c r="AA169" i="18"/>
  <c r="AB169" i="18"/>
  <c r="AC169" i="18"/>
  <c r="AD169" i="18"/>
  <c r="AE169" i="18"/>
  <c r="AF169" i="18"/>
  <c r="AG169" i="18"/>
  <c r="AH169" i="18"/>
  <c r="AI169" i="18"/>
  <c r="AJ169" i="18"/>
  <c r="AB95" i="18"/>
  <c r="AT95" i="18" s="1"/>
  <c r="AC95" i="18"/>
  <c r="AD95" i="18"/>
  <c r="AE95" i="18"/>
  <c r="AF95" i="18"/>
  <c r="AG95" i="18"/>
  <c r="AI95" i="18"/>
  <c r="AJ95" i="18"/>
  <c r="AA174" i="18"/>
  <c r="AB174" i="18"/>
  <c r="AC174" i="18"/>
  <c r="AD174" i="18"/>
  <c r="AE174" i="18"/>
  <c r="AF174" i="18"/>
  <c r="AG174" i="18"/>
  <c r="AH174" i="18"/>
  <c r="AI174" i="18"/>
  <c r="AJ174" i="18"/>
  <c r="AA168" i="18"/>
  <c r="AB168" i="18"/>
  <c r="AC168" i="18"/>
  <c r="AD168" i="18"/>
  <c r="AE168" i="18"/>
  <c r="AF168" i="18"/>
  <c r="AG168" i="18"/>
  <c r="AH168" i="18"/>
  <c r="AI168" i="18"/>
  <c r="AJ168" i="18"/>
  <c r="AA165" i="18"/>
  <c r="AB165" i="18"/>
  <c r="AC165" i="18"/>
  <c r="AD165" i="18"/>
  <c r="AE165" i="18"/>
  <c r="AF165" i="18"/>
  <c r="AG165" i="18"/>
  <c r="AH165" i="18"/>
  <c r="AI165" i="18"/>
  <c r="AJ165" i="18"/>
  <c r="AA175" i="18"/>
  <c r="AB175" i="18"/>
  <c r="AC175" i="18"/>
  <c r="AD175" i="18"/>
  <c r="AE175" i="18"/>
  <c r="AF175" i="18"/>
  <c r="AG175" i="18"/>
  <c r="AH175" i="18"/>
  <c r="AI175" i="18"/>
  <c r="AJ175" i="18"/>
  <c r="AA176" i="18"/>
  <c r="AB176" i="18"/>
  <c r="AC176" i="18"/>
  <c r="AD176" i="18"/>
  <c r="AE176" i="18"/>
  <c r="AF176" i="18"/>
  <c r="AG176" i="18"/>
  <c r="AH176" i="18"/>
  <c r="AI176" i="18"/>
  <c r="AJ176" i="18"/>
  <c r="AC179" i="18"/>
  <c r="AT179" i="18" s="1"/>
  <c r="AD179" i="18"/>
  <c r="AE179" i="18"/>
  <c r="AF179" i="18"/>
  <c r="AG179" i="18"/>
  <c r="AH179" i="18"/>
  <c r="AI179" i="18"/>
  <c r="AJ179" i="18"/>
  <c r="AC180" i="18"/>
  <c r="AT180" i="18" s="1"/>
  <c r="AD180" i="18"/>
  <c r="AE180" i="18"/>
  <c r="AF180" i="18"/>
  <c r="AG180" i="18"/>
  <c r="AH180" i="18"/>
  <c r="AI180" i="18"/>
  <c r="AJ180" i="18"/>
  <c r="AC184" i="18"/>
  <c r="AT184" i="18" s="1"/>
  <c r="AD184" i="18"/>
  <c r="AE184" i="18"/>
  <c r="AF184" i="18"/>
  <c r="AG184" i="18"/>
  <c r="AH184" i="18"/>
  <c r="AI184" i="18"/>
  <c r="AJ184" i="18"/>
  <c r="AC185" i="18"/>
  <c r="AT185" i="18" s="1"/>
  <c r="AD185" i="18"/>
  <c r="AE185" i="18"/>
  <c r="AF185" i="18"/>
  <c r="AG185" i="18"/>
  <c r="AH185" i="18"/>
  <c r="AI185" i="18"/>
  <c r="AJ185" i="18"/>
  <c r="AD187" i="18"/>
  <c r="AE187" i="18"/>
  <c r="AF187" i="18"/>
  <c r="AG187" i="18"/>
  <c r="AH187" i="18"/>
  <c r="AI187" i="18"/>
  <c r="AJ187" i="18"/>
  <c r="AD186" i="18"/>
  <c r="AE186" i="18"/>
  <c r="AF186" i="18"/>
  <c r="AG186" i="18"/>
  <c r="AH186" i="18"/>
  <c r="AI186" i="18"/>
  <c r="AJ186" i="18"/>
  <c r="AC198" i="18"/>
  <c r="AT198" i="18" s="1"/>
  <c r="AD198" i="18"/>
  <c r="AE198" i="18"/>
  <c r="AF198" i="18"/>
  <c r="AG198" i="18"/>
  <c r="AH198" i="18"/>
  <c r="AI198" i="18"/>
  <c r="AJ198" i="18"/>
  <c r="AC202" i="18"/>
  <c r="AT202" i="18" s="1"/>
  <c r="AD202" i="18"/>
  <c r="AE202" i="18"/>
  <c r="AF202" i="18"/>
  <c r="AG202" i="18"/>
  <c r="AH202" i="18"/>
  <c r="AI202" i="18"/>
  <c r="AJ202" i="18"/>
  <c r="AC199" i="18"/>
  <c r="AT199" i="18" s="1"/>
  <c r="AD199" i="18"/>
  <c r="AE199" i="18"/>
  <c r="AF199" i="18"/>
  <c r="AG199" i="18"/>
  <c r="AH199" i="18"/>
  <c r="AI199" i="18"/>
  <c r="AJ199" i="18"/>
  <c r="AC200" i="18"/>
  <c r="AT200" i="18" s="1"/>
  <c r="AD200" i="18"/>
  <c r="AE200" i="18"/>
  <c r="AF200" i="18"/>
  <c r="AG200" i="18"/>
  <c r="AH200" i="18"/>
  <c r="AI200" i="18"/>
  <c r="AJ200" i="18"/>
  <c r="AA204" i="18"/>
  <c r="AB204" i="18"/>
  <c r="AC204" i="18"/>
  <c r="AD204" i="18"/>
  <c r="AE204" i="18"/>
  <c r="AF204" i="18"/>
  <c r="AG204" i="18"/>
  <c r="AH204" i="18"/>
  <c r="AI204" i="18"/>
  <c r="AJ204" i="18"/>
  <c r="AA201" i="18"/>
  <c r="AB201" i="18"/>
  <c r="AC201" i="18"/>
  <c r="AD201" i="18"/>
  <c r="AE201" i="18"/>
  <c r="AF201" i="18"/>
  <c r="AG201" i="18"/>
  <c r="AH201" i="18"/>
  <c r="AI201" i="18"/>
  <c r="AJ201" i="18"/>
  <c r="AB203" i="18"/>
  <c r="AC203" i="18"/>
  <c r="AD203" i="18"/>
  <c r="AE203" i="18"/>
  <c r="AF203" i="18"/>
  <c r="AG203" i="18"/>
  <c r="AH203" i="18"/>
  <c r="AI203" i="18"/>
  <c r="AJ203" i="18"/>
  <c r="AB215" i="18"/>
  <c r="AT215" i="18" s="1"/>
  <c r="AC215" i="18"/>
  <c r="AD215" i="18"/>
  <c r="AE215" i="18"/>
  <c r="AF215" i="18"/>
  <c r="AG215" i="18"/>
  <c r="AH215" i="18"/>
  <c r="AI215" i="18"/>
  <c r="AJ215" i="18"/>
  <c r="AA217" i="18"/>
  <c r="AB217" i="18"/>
  <c r="AC217" i="18"/>
  <c r="AD217" i="18"/>
  <c r="AE217" i="18"/>
  <c r="AF217" i="18"/>
  <c r="AG217" i="18"/>
  <c r="AH217" i="18"/>
  <c r="AI217" i="18"/>
  <c r="AJ217" i="18"/>
  <c r="AA216" i="18"/>
  <c r="AB216" i="18"/>
  <c r="AC216" i="18"/>
  <c r="AD216" i="18"/>
  <c r="AE216" i="18"/>
  <c r="AF216" i="18"/>
  <c r="AG216" i="18"/>
  <c r="AH216" i="18"/>
  <c r="AI216" i="18"/>
  <c r="AJ216" i="18"/>
  <c r="AB213" i="18"/>
  <c r="AT213" i="18" s="1"/>
  <c r="AC213" i="18"/>
  <c r="AD213" i="18"/>
  <c r="AE213" i="18"/>
  <c r="AF213" i="18"/>
  <c r="AG213" i="18"/>
  <c r="AH213" i="18"/>
  <c r="AJ213" i="18"/>
  <c r="AA219" i="18"/>
  <c r="AB219" i="18"/>
  <c r="AC219" i="18"/>
  <c r="AD219" i="18"/>
  <c r="AE219" i="18"/>
  <c r="AF219" i="18"/>
  <c r="AG219" i="18"/>
  <c r="AH219" i="18"/>
  <c r="AI219" i="18"/>
  <c r="AJ219" i="18"/>
  <c r="AA227" i="18"/>
  <c r="AB227" i="18"/>
  <c r="AT227" i="18" s="1"/>
  <c r="AC227" i="18"/>
  <c r="AD227" i="18"/>
  <c r="AE227" i="18"/>
  <c r="AF227" i="18"/>
  <c r="AG227" i="18"/>
  <c r="AH227" i="18"/>
  <c r="AI227" i="18"/>
  <c r="AJ227" i="18"/>
  <c r="AA226" i="18"/>
  <c r="AB226" i="18"/>
  <c r="AC226" i="18"/>
  <c r="AD226" i="18"/>
  <c r="AE226" i="18"/>
  <c r="AF226" i="18"/>
  <c r="AG226" i="18"/>
  <c r="AH226" i="18"/>
  <c r="AI226" i="18"/>
  <c r="AJ226" i="18"/>
  <c r="Z229" i="18"/>
  <c r="AA229" i="18"/>
  <c r="AB229" i="18"/>
  <c r="AT229" i="18" s="1"/>
  <c r="AC229" i="18"/>
  <c r="AD229" i="18"/>
  <c r="AE229" i="18"/>
  <c r="AF229" i="18"/>
  <c r="AG229" i="18"/>
  <c r="AH229" i="18"/>
  <c r="AI229" i="18"/>
  <c r="AJ229" i="18"/>
  <c r="Z231" i="18"/>
  <c r="AA231" i="18"/>
  <c r="AB231" i="18"/>
  <c r="AT231" i="18" s="1"/>
  <c r="AC231" i="18"/>
  <c r="AD231" i="18"/>
  <c r="AE231" i="18"/>
  <c r="AF231" i="18"/>
  <c r="AG231" i="18"/>
  <c r="AH231" i="18"/>
  <c r="AI231" i="18"/>
  <c r="AJ231" i="18"/>
  <c r="Z232" i="18"/>
  <c r="AA232" i="18"/>
  <c r="AB232" i="18"/>
  <c r="AT232" i="18" s="1"/>
  <c r="AC232" i="18"/>
  <c r="AD232" i="18"/>
  <c r="AE232" i="18"/>
  <c r="AF232" i="18"/>
  <c r="AG232" i="18"/>
  <c r="AH232" i="18"/>
  <c r="AI232" i="18"/>
  <c r="AJ232" i="18"/>
  <c r="Z234" i="18"/>
  <c r="AA234" i="18"/>
  <c r="AB234" i="18"/>
  <c r="AC234" i="18"/>
  <c r="AD234" i="18"/>
  <c r="AE234" i="18"/>
  <c r="AF234" i="18"/>
  <c r="AG234" i="18"/>
  <c r="AH234" i="18"/>
  <c r="AI234" i="18"/>
  <c r="AJ234" i="18"/>
  <c r="Z233" i="18"/>
  <c r="AA233" i="18"/>
  <c r="AB233" i="18"/>
  <c r="AT233" i="18" s="1"/>
  <c r="AC233" i="18"/>
  <c r="AD233" i="18"/>
  <c r="AE233" i="18"/>
  <c r="AF233" i="18"/>
  <c r="AG233" i="18"/>
  <c r="AH233" i="18"/>
  <c r="AI233" i="18"/>
  <c r="AJ233" i="18"/>
  <c r="Z236" i="18"/>
  <c r="AA236" i="18"/>
  <c r="AB236" i="18"/>
  <c r="AC236" i="18"/>
  <c r="AD236" i="18"/>
  <c r="AE236" i="18"/>
  <c r="AF236" i="18"/>
  <c r="AG236" i="18"/>
  <c r="AH236" i="18"/>
  <c r="AI236" i="18"/>
  <c r="AJ236" i="18"/>
  <c r="Z237" i="18"/>
  <c r="AA237" i="18"/>
  <c r="AB237" i="18"/>
  <c r="AC237" i="18"/>
  <c r="AD237" i="18"/>
  <c r="AE237" i="18"/>
  <c r="AF237" i="18"/>
  <c r="AI237" i="18"/>
  <c r="AJ237" i="18"/>
  <c r="Z235" i="18"/>
  <c r="AA235" i="18"/>
  <c r="AB235" i="18"/>
  <c r="AT235" i="18" s="1"/>
  <c r="AC235" i="18"/>
  <c r="AD235" i="18"/>
  <c r="AE235" i="18"/>
  <c r="AF235" i="18"/>
  <c r="AG235" i="18"/>
  <c r="AH235" i="18"/>
  <c r="AI235" i="18"/>
  <c r="AJ235" i="18"/>
  <c r="Z270" i="18"/>
  <c r="AA270" i="18"/>
  <c r="AB270" i="18"/>
  <c r="AT270" i="18" s="1"/>
  <c r="AC270" i="18"/>
  <c r="AD270" i="18"/>
  <c r="AE270" i="18"/>
  <c r="AF270" i="18"/>
  <c r="AG270" i="18"/>
  <c r="AH270" i="18"/>
  <c r="AI270" i="18"/>
  <c r="AJ270" i="18"/>
  <c r="Z257" i="18"/>
  <c r="AA257" i="18"/>
  <c r="AD257" i="18"/>
  <c r="AE257" i="18"/>
  <c r="AF257" i="18"/>
  <c r="AG257" i="18"/>
  <c r="AH257" i="18"/>
  <c r="AI257" i="18"/>
  <c r="AJ257" i="18"/>
  <c r="Z266" i="18"/>
  <c r="AA266" i="18"/>
  <c r="AB266" i="18"/>
  <c r="AC266" i="18"/>
  <c r="AD266" i="18"/>
  <c r="AE266" i="18"/>
  <c r="AF266" i="18"/>
  <c r="AG266" i="18"/>
  <c r="AH266" i="18"/>
  <c r="AI266" i="18"/>
  <c r="AJ266" i="18"/>
  <c r="Z264" i="18"/>
  <c r="AA264" i="18"/>
  <c r="AB264" i="18"/>
  <c r="AC264" i="18"/>
  <c r="AD264" i="18"/>
  <c r="AE264" i="18"/>
  <c r="AF264" i="18"/>
  <c r="AG264" i="18"/>
  <c r="AH264" i="18"/>
  <c r="AI264" i="18"/>
  <c r="AJ264" i="18"/>
  <c r="Z262" i="18"/>
  <c r="AA262" i="18"/>
  <c r="AB262" i="18"/>
  <c r="AT262" i="18" s="1"/>
  <c r="AC262" i="18"/>
  <c r="AD262" i="18"/>
  <c r="AE262" i="18"/>
  <c r="AF262" i="18"/>
  <c r="AG262" i="18"/>
  <c r="AI262" i="18"/>
  <c r="AJ262" i="18"/>
  <c r="Z258" i="18"/>
  <c r="AA258" i="18"/>
  <c r="AB258" i="18"/>
  <c r="AC258" i="18"/>
  <c r="AD258" i="18"/>
  <c r="AE258" i="18"/>
  <c r="AF258" i="18"/>
  <c r="AI258" i="18"/>
  <c r="AJ258" i="18"/>
  <c r="Z255" i="18"/>
  <c r="AA255" i="18"/>
  <c r="AD255" i="18"/>
  <c r="AE255" i="18"/>
  <c r="AF255" i="18"/>
  <c r="AI255" i="18"/>
  <c r="AJ255" i="18"/>
  <c r="Z263" i="18"/>
  <c r="AA263" i="18"/>
  <c r="AD263" i="18"/>
  <c r="AE263" i="18"/>
  <c r="AI263" i="18"/>
  <c r="AJ263" i="18"/>
  <c r="Z261" i="18"/>
  <c r="AA261" i="18"/>
  <c r="AB261" i="18"/>
  <c r="AT261" i="18" s="1"/>
  <c r="AD261" i="18"/>
  <c r="AE261" i="18"/>
  <c r="AF261" i="18"/>
  <c r="AG261" i="18"/>
  <c r="AH261" i="18"/>
  <c r="AI261" i="18"/>
  <c r="AJ261" i="18"/>
  <c r="Z259" i="18"/>
  <c r="AA259" i="18"/>
  <c r="AD259" i="18"/>
  <c r="AE259" i="18"/>
  <c r="AI259" i="18"/>
  <c r="AJ259" i="18"/>
  <c r="Z254" i="18"/>
  <c r="AA254" i="18"/>
  <c r="AD254" i="18"/>
  <c r="AE254" i="18"/>
  <c r="AF254" i="18"/>
  <c r="AI254" i="18"/>
  <c r="AJ254" i="18"/>
  <c r="Z260" i="18"/>
  <c r="AA260" i="18"/>
  <c r="AD260" i="18"/>
  <c r="AE260" i="18"/>
  <c r="AF260" i="18"/>
  <c r="AI260" i="18"/>
  <c r="AJ260" i="18"/>
  <c r="Z238" i="18"/>
  <c r="AA238" i="18"/>
  <c r="AB238" i="18"/>
  <c r="AT238" i="18" s="1"/>
  <c r="AC238" i="18"/>
  <c r="AD238" i="18"/>
  <c r="AE238" i="18"/>
  <c r="AF238" i="18"/>
  <c r="AG238" i="18"/>
  <c r="AH238" i="18"/>
  <c r="AI238" i="18"/>
  <c r="AJ238" i="18"/>
  <c r="Z251" i="18"/>
  <c r="AA251" i="18"/>
  <c r="AB251" i="18"/>
  <c r="AT251" i="18" s="1"/>
  <c r="AD251" i="18"/>
  <c r="AE251" i="18"/>
  <c r="AF251" i="18"/>
  <c r="AG251" i="18"/>
  <c r="AH251" i="18"/>
  <c r="AI251" i="18"/>
  <c r="AJ251" i="18"/>
  <c r="Z242" i="18"/>
  <c r="AA242" i="18"/>
  <c r="AB242" i="18"/>
  <c r="AT242" i="18" s="1"/>
  <c r="AD242" i="18"/>
  <c r="AE242" i="18"/>
  <c r="AF242" i="18"/>
  <c r="AG242" i="18"/>
  <c r="AH242" i="18"/>
  <c r="AI242" i="18"/>
  <c r="AJ242" i="18"/>
  <c r="Z247" i="18"/>
  <c r="AA247" i="18"/>
  <c r="AB247" i="18"/>
  <c r="AT247" i="18" s="1"/>
  <c r="AD247" i="18"/>
  <c r="AE247" i="18"/>
  <c r="AF247" i="18"/>
  <c r="AG247" i="18"/>
  <c r="AH247" i="18"/>
  <c r="AI247" i="18"/>
  <c r="AJ247" i="18"/>
  <c r="Z252" i="18"/>
  <c r="AA252" i="18"/>
  <c r="AD252" i="18"/>
  <c r="AE252" i="18"/>
  <c r="AF252" i="18"/>
  <c r="AI252" i="18"/>
  <c r="AJ252" i="18"/>
  <c r="Z274" i="18"/>
  <c r="AA274" i="18"/>
  <c r="AB274" i="18"/>
  <c r="AT274" i="18" s="1"/>
  <c r="AC274" i="18"/>
  <c r="AD274" i="18"/>
  <c r="AE274" i="18"/>
  <c r="AF274" i="18"/>
  <c r="AG274" i="18"/>
  <c r="AH274" i="18"/>
  <c r="AI274" i="18"/>
  <c r="AJ274" i="18"/>
  <c r="Z275" i="18"/>
  <c r="AA275" i="18"/>
  <c r="AB275" i="18"/>
  <c r="AC275" i="18"/>
  <c r="AD275" i="18"/>
  <c r="AE275" i="18"/>
  <c r="AF275" i="18"/>
  <c r="AG275" i="18"/>
  <c r="AH275" i="18"/>
  <c r="AI275" i="18"/>
  <c r="AJ275" i="18"/>
  <c r="Z276" i="18"/>
  <c r="AA276" i="18"/>
  <c r="AB276" i="18"/>
  <c r="AT276" i="18" s="1"/>
  <c r="AC276" i="18"/>
  <c r="AD276" i="18"/>
  <c r="AE276" i="18"/>
  <c r="AF276" i="18"/>
  <c r="AG276" i="18"/>
  <c r="AH276" i="18"/>
  <c r="AI276" i="18"/>
  <c r="AJ276" i="18"/>
  <c r="Z277" i="18"/>
  <c r="AA277" i="18"/>
  <c r="AB277" i="18"/>
  <c r="AC277" i="18"/>
  <c r="AD277" i="18"/>
  <c r="AE277" i="18"/>
  <c r="AI277" i="18"/>
  <c r="AJ277" i="18"/>
  <c r="Z281" i="18"/>
  <c r="AA281" i="18"/>
  <c r="AB281" i="18"/>
  <c r="AC281" i="18"/>
  <c r="AD281" i="18"/>
  <c r="AE281" i="18"/>
  <c r="AF281" i="18"/>
  <c r="AG281" i="18"/>
  <c r="AH281" i="18"/>
  <c r="AI281" i="18"/>
  <c r="AJ281" i="18"/>
  <c r="Z280" i="18"/>
  <c r="AA280" i="18"/>
  <c r="AB280" i="18"/>
  <c r="AC280" i="18"/>
  <c r="AD280" i="18"/>
  <c r="AE280" i="18"/>
  <c r="AF280" i="18"/>
  <c r="AG280" i="18"/>
  <c r="AH280" i="18"/>
  <c r="AI280" i="18"/>
  <c r="AJ280" i="18"/>
  <c r="Z279" i="18"/>
  <c r="AA279" i="18"/>
  <c r="AB279" i="18"/>
  <c r="AC279" i="18"/>
  <c r="AD279" i="18"/>
  <c r="AE279" i="18"/>
  <c r="AF279" i="18"/>
  <c r="AG279" i="18"/>
  <c r="AH279" i="18"/>
  <c r="AI279" i="18"/>
  <c r="AJ279" i="18"/>
  <c r="Z278" i="18"/>
  <c r="AA278" i="18"/>
  <c r="AB278" i="18"/>
  <c r="AT278" i="18" s="1"/>
  <c r="AC278" i="18"/>
  <c r="AD278" i="18"/>
  <c r="AE278" i="18"/>
  <c r="AF278" i="18"/>
  <c r="AG278" i="18"/>
  <c r="AH278" i="18"/>
  <c r="AI278" i="18"/>
  <c r="AJ278" i="18"/>
  <c r="Z282" i="18"/>
  <c r="AA282" i="18"/>
  <c r="AB282" i="18"/>
  <c r="AT282" i="18" s="1"/>
  <c r="AC282" i="18"/>
  <c r="AD282" i="18"/>
  <c r="AE282" i="18"/>
  <c r="AF282" i="18"/>
  <c r="AG282" i="18"/>
  <c r="AH282" i="18"/>
  <c r="AI282" i="18"/>
  <c r="AJ282" i="18"/>
  <c r="Z283" i="18"/>
  <c r="AA283" i="18"/>
  <c r="AB283" i="18"/>
  <c r="AT283" i="18" s="1"/>
  <c r="AC283" i="18"/>
  <c r="AD283" i="18"/>
  <c r="AE283" i="18"/>
  <c r="AF283" i="18"/>
  <c r="AG283" i="18"/>
  <c r="AH283" i="18"/>
  <c r="AI283" i="18"/>
  <c r="AJ283" i="18"/>
  <c r="Z284" i="18"/>
  <c r="AA284" i="18"/>
  <c r="AB284" i="18"/>
  <c r="AC284" i="18"/>
  <c r="AD284" i="18"/>
  <c r="AE284" i="18"/>
  <c r="AF284" i="18"/>
  <c r="AG284" i="18"/>
  <c r="AH284" i="18"/>
  <c r="AI284" i="18"/>
  <c r="AJ284" i="18"/>
  <c r="Z287" i="18"/>
  <c r="AA287" i="18"/>
  <c r="AB287" i="18"/>
  <c r="AT287" i="18" s="1"/>
  <c r="AC287" i="18"/>
  <c r="AD287" i="18"/>
  <c r="AE287" i="18"/>
  <c r="AF287" i="18"/>
  <c r="AG287" i="18"/>
  <c r="AH287" i="18"/>
  <c r="AI287" i="18"/>
  <c r="AJ287" i="18"/>
  <c r="Z288" i="18"/>
  <c r="AA288" i="18"/>
  <c r="AB288" i="18"/>
  <c r="AC288" i="18"/>
  <c r="AD288" i="18"/>
  <c r="AE288" i="18"/>
  <c r="AF288" i="18"/>
  <c r="AG288" i="18"/>
  <c r="AH288" i="18"/>
  <c r="AI288" i="18"/>
  <c r="AJ288" i="18"/>
  <c r="Z289" i="18"/>
  <c r="AA289" i="18"/>
  <c r="AB289" i="18"/>
  <c r="AC289" i="18"/>
  <c r="AD289" i="18"/>
  <c r="AE289" i="18"/>
  <c r="AF289" i="18"/>
  <c r="AG289" i="18"/>
  <c r="AH289" i="18"/>
  <c r="AI289" i="18"/>
  <c r="AJ289" i="18"/>
  <c r="Z291" i="18"/>
  <c r="AA291" i="18"/>
  <c r="AB291" i="18"/>
  <c r="AT291" i="18" s="1"/>
  <c r="AD291" i="18"/>
  <c r="AE291" i="18"/>
  <c r="AF291" i="18"/>
  <c r="AG291" i="18"/>
  <c r="AH291" i="18"/>
  <c r="AI291" i="18"/>
  <c r="AJ291" i="18"/>
  <c r="Z299" i="18"/>
  <c r="AA299" i="18"/>
  <c r="AB299" i="18"/>
  <c r="AT299" i="18" s="1"/>
  <c r="AE299" i="18"/>
  <c r="AF299" i="18"/>
  <c r="AG299" i="18"/>
  <c r="AH299" i="18"/>
  <c r="AI299" i="18"/>
  <c r="AJ299" i="18"/>
  <c r="Z290" i="18"/>
  <c r="AA290" i="18"/>
  <c r="AB290" i="18"/>
  <c r="AT290" i="18" s="1"/>
  <c r="AC290" i="18"/>
  <c r="AD290" i="18"/>
  <c r="AE290" i="18"/>
  <c r="AF290" i="18"/>
  <c r="AG290" i="18"/>
  <c r="AH290" i="18"/>
  <c r="AI290" i="18"/>
  <c r="AJ290" i="18"/>
  <c r="AD296" i="18"/>
  <c r="AE296" i="18"/>
  <c r="AF296" i="18"/>
  <c r="AG296" i="18"/>
  <c r="AH296" i="18"/>
  <c r="AI296" i="18"/>
  <c r="AJ296" i="18"/>
  <c r="AD295" i="18"/>
  <c r="AE295" i="18"/>
  <c r="AF295" i="18"/>
  <c r="AG295" i="18"/>
  <c r="AH295" i="18"/>
  <c r="AI295" i="18"/>
  <c r="AJ295" i="18"/>
  <c r="AA293" i="18"/>
  <c r="AB293" i="18"/>
  <c r="AT293" i="18" s="1"/>
  <c r="AD293" i="18"/>
  <c r="AE293" i="18"/>
  <c r="AI293" i="18"/>
  <c r="AJ293" i="18"/>
  <c r="AB301" i="18"/>
  <c r="AT301" i="18" s="1"/>
  <c r="AE301" i="18"/>
  <c r="AF301" i="18"/>
  <c r="AG301" i="18"/>
  <c r="AH301" i="18"/>
  <c r="AI301" i="18"/>
  <c r="AJ301" i="18"/>
  <c r="AD294" i="18"/>
  <c r="AE294" i="18"/>
  <c r="AF294" i="18"/>
  <c r="AG294" i="18"/>
  <c r="AH294" i="18"/>
  <c r="AI294" i="18"/>
  <c r="AJ294" i="18"/>
  <c r="Z303" i="18"/>
  <c r="AA303" i="18"/>
  <c r="AB303" i="18"/>
  <c r="AT303" i="18" s="1"/>
  <c r="AE303" i="18"/>
  <c r="AF303" i="18"/>
  <c r="AG303" i="18"/>
  <c r="AH303" i="18"/>
  <c r="AI303" i="18"/>
  <c r="AJ303" i="18"/>
  <c r="Z311" i="18"/>
  <c r="AA311" i="18"/>
  <c r="AB311" i="18"/>
  <c r="AT311" i="18" s="1"/>
  <c r="AD311" i="18"/>
  <c r="AE311" i="18"/>
  <c r="AF311" i="18"/>
  <c r="AG311" i="18"/>
  <c r="AH311" i="18"/>
  <c r="AI311" i="18"/>
  <c r="AJ311" i="18"/>
  <c r="Z315" i="18"/>
  <c r="AA315" i="18"/>
  <c r="AB315" i="18"/>
  <c r="AT315" i="18" s="1"/>
  <c r="AC315" i="18"/>
  <c r="AD315" i="18"/>
  <c r="AE315" i="18"/>
  <c r="AF315" i="18"/>
  <c r="Z307" i="18"/>
  <c r="AA307" i="18"/>
  <c r="AB307" i="18"/>
  <c r="AT307" i="18" s="1"/>
  <c r="AE307" i="18"/>
  <c r="AF307" i="18"/>
  <c r="AI307" i="18"/>
  <c r="AJ307" i="18"/>
  <c r="Z309" i="18"/>
  <c r="AA309" i="18"/>
  <c r="AB309" i="18"/>
  <c r="AT309" i="18" s="1"/>
  <c r="AD309" i="18"/>
  <c r="AE309" i="18"/>
  <c r="AF309" i="18"/>
  <c r="AI309" i="18"/>
  <c r="AJ309" i="18"/>
  <c r="Z312" i="18"/>
  <c r="AA312" i="18"/>
  <c r="AB312" i="18"/>
  <c r="AT312" i="18" s="1"/>
  <c r="AC312" i="18"/>
  <c r="AD312" i="18"/>
  <c r="AE312" i="18"/>
  <c r="AF312" i="18"/>
  <c r="AG312" i="18"/>
  <c r="AH312" i="18"/>
  <c r="AI312" i="18"/>
  <c r="AJ312" i="18"/>
  <c r="Z314" i="18"/>
  <c r="AA314" i="18"/>
  <c r="AB314" i="18"/>
  <c r="AC314" i="18"/>
  <c r="AD314" i="18"/>
  <c r="AJ314" i="18"/>
  <c r="Z316" i="18"/>
  <c r="AA316" i="18"/>
  <c r="AB316" i="18"/>
  <c r="AC316" i="18"/>
  <c r="AD316" i="18"/>
  <c r="AE316" i="18"/>
  <c r="AF316" i="18"/>
  <c r="AG316" i="18"/>
  <c r="AH316" i="18"/>
  <c r="AI316" i="18"/>
  <c r="AJ316" i="18"/>
  <c r="Z305" i="18"/>
  <c r="AA305" i="18"/>
  <c r="AB305" i="18"/>
  <c r="AT305" i="18" s="1"/>
  <c r="AE305" i="18"/>
  <c r="AF305" i="18"/>
  <c r="AG305" i="18"/>
  <c r="AH305" i="18"/>
  <c r="AI305" i="18"/>
  <c r="AJ305" i="18"/>
  <c r="Z306" i="18"/>
  <c r="AA306" i="18"/>
  <c r="AB306" i="18"/>
  <c r="AT306" i="18" s="1"/>
  <c r="AE306" i="18"/>
  <c r="AF306" i="18"/>
  <c r="AG306" i="18"/>
  <c r="AH306" i="18"/>
  <c r="AI306" i="18"/>
  <c r="AJ306" i="18"/>
  <c r="Z308" i="18"/>
  <c r="AA308" i="18"/>
  <c r="AB308" i="18"/>
  <c r="AT308" i="18" s="1"/>
  <c r="AD308" i="18"/>
  <c r="AE308" i="18"/>
  <c r="AF308" i="18"/>
  <c r="AG308" i="18"/>
  <c r="AH308" i="18"/>
  <c r="AI308" i="18"/>
  <c r="AJ308" i="18"/>
  <c r="Z318" i="18"/>
  <c r="AA318" i="18"/>
  <c r="AB318" i="18"/>
  <c r="AT318" i="18" s="1"/>
  <c r="AC318" i="18"/>
  <c r="AD318" i="18"/>
  <c r="AE318" i="18"/>
  <c r="AF318" i="18"/>
  <c r="AG318" i="18"/>
  <c r="AH318" i="18"/>
  <c r="AI318" i="18"/>
  <c r="AJ318" i="18"/>
  <c r="Z319" i="18"/>
  <c r="AA319" i="18"/>
  <c r="AB319" i="18"/>
  <c r="AC319" i="18"/>
  <c r="AD319" i="18"/>
  <c r="AE319" i="18"/>
  <c r="AF319" i="18"/>
  <c r="AG319" i="18"/>
  <c r="AH319" i="18"/>
  <c r="AI319" i="18"/>
  <c r="AJ319" i="18"/>
  <c r="Z320" i="18"/>
  <c r="AA320" i="18"/>
  <c r="AB320" i="18"/>
  <c r="AT320" i="18" s="1"/>
  <c r="AC320" i="18"/>
  <c r="AD320" i="18"/>
  <c r="AE320" i="18"/>
  <c r="AF320" i="18"/>
  <c r="AG320" i="18"/>
  <c r="AH320" i="18"/>
  <c r="AI320" i="18"/>
  <c r="AJ320" i="18"/>
  <c r="Z321" i="18"/>
  <c r="AA321" i="18"/>
  <c r="AB321" i="18"/>
  <c r="AC321" i="18"/>
  <c r="AD321" i="18"/>
  <c r="AE321" i="18"/>
  <c r="AF321" i="18"/>
  <c r="AG321" i="18"/>
  <c r="AH321" i="18"/>
  <c r="AI321" i="18"/>
  <c r="AJ321" i="18"/>
  <c r="Z313" i="18"/>
  <c r="AA313" i="18"/>
  <c r="AB313" i="18"/>
  <c r="AC313" i="18"/>
  <c r="AD313" i="18"/>
  <c r="AI313" i="18"/>
  <c r="AJ313" i="18"/>
  <c r="Z322" i="18"/>
  <c r="AA322" i="18"/>
  <c r="AB322" i="18"/>
  <c r="AC322" i="18"/>
  <c r="AD322" i="18"/>
  <c r="AE322" i="18"/>
  <c r="AF322" i="18"/>
  <c r="AG322" i="18"/>
  <c r="AH322" i="18"/>
  <c r="AI322" i="18"/>
  <c r="AJ322" i="18"/>
  <c r="AE323" i="18"/>
  <c r="AF323" i="18"/>
  <c r="AG323" i="18"/>
  <c r="AH323" i="18"/>
  <c r="AI323" i="18"/>
  <c r="AJ323" i="18"/>
  <c r="Z325" i="18"/>
  <c r="AA325" i="18"/>
  <c r="AB325" i="18"/>
  <c r="AC325" i="18"/>
  <c r="AD325" i="18"/>
  <c r="AE325" i="18"/>
  <c r="AF325" i="18"/>
  <c r="AG325" i="18"/>
  <c r="AH325" i="18"/>
  <c r="AI325" i="18"/>
  <c r="AJ325" i="18"/>
  <c r="Z324" i="18"/>
  <c r="AA324" i="18"/>
  <c r="AB324" i="18"/>
  <c r="AC324" i="18"/>
  <c r="AD324" i="18"/>
  <c r="AE324" i="18"/>
  <c r="AF324" i="18"/>
  <c r="AG324" i="18"/>
  <c r="AH324" i="18"/>
  <c r="AI324" i="18"/>
  <c r="AJ324" i="18"/>
  <c r="Z327" i="18"/>
  <c r="AA327" i="18"/>
  <c r="AB327" i="18"/>
  <c r="AT327" i="18" s="1"/>
  <c r="AC327" i="18"/>
  <c r="AD327" i="18"/>
  <c r="AE327" i="18"/>
  <c r="AF327" i="18"/>
  <c r="AG327" i="18"/>
  <c r="AH327" i="18"/>
  <c r="AI327" i="18"/>
  <c r="AJ327" i="18"/>
  <c r="Z326" i="18"/>
  <c r="AA326" i="18"/>
  <c r="AB326" i="18"/>
  <c r="AT326" i="18" s="1"/>
  <c r="AC326" i="18"/>
  <c r="AD326" i="18"/>
  <c r="AE326" i="18"/>
  <c r="AF326" i="18"/>
  <c r="AG326" i="18"/>
  <c r="AH326" i="18"/>
  <c r="AI326" i="18"/>
  <c r="AJ326" i="18"/>
  <c r="Z328" i="18"/>
  <c r="AA328" i="18"/>
  <c r="AB328" i="18"/>
  <c r="AT328" i="18" s="1"/>
  <c r="AC328" i="18"/>
  <c r="AD328" i="18"/>
  <c r="AE328" i="18"/>
  <c r="AF328" i="18"/>
  <c r="AI328" i="18"/>
  <c r="AJ328" i="18"/>
  <c r="Z344" i="18"/>
  <c r="AA344" i="18"/>
  <c r="AB344" i="18"/>
  <c r="AC344" i="18"/>
  <c r="AD344" i="18"/>
  <c r="AE344" i="18"/>
  <c r="AF344" i="18"/>
  <c r="AG344" i="18"/>
  <c r="AH344" i="18"/>
  <c r="AI344" i="18"/>
  <c r="AJ344" i="18"/>
  <c r="Z341" i="18"/>
  <c r="AA341" i="18"/>
  <c r="AB341" i="18"/>
  <c r="AC341" i="18"/>
  <c r="AD341" i="18"/>
  <c r="AE341" i="18"/>
  <c r="AF341" i="18"/>
  <c r="AG341" i="18"/>
  <c r="AH341" i="18"/>
  <c r="AI341" i="18"/>
  <c r="AJ341" i="18"/>
  <c r="Z330" i="18"/>
  <c r="AA330" i="18"/>
  <c r="AB330" i="18"/>
  <c r="AC330" i="18"/>
  <c r="AD330" i="18"/>
  <c r="AE330" i="18"/>
  <c r="AF330" i="18"/>
  <c r="AG330" i="18"/>
  <c r="AH330" i="18"/>
  <c r="AI330" i="18"/>
  <c r="AJ330" i="18"/>
  <c r="Z343" i="18"/>
  <c r="AA343" i="18"/>
  <c r="AC343" i="18"/>
  <c r="AT343" i="18" s="1"/>
  <c r="AD343" i="18"/>
  <c r="AE343" i="18"/>
  <c r="AF343" i="18"/>
  <c r="AG343" i="18"/>
  <c r="AH343" i="18"/>
  <c r="AI343" i="18"/>
  <c r="AJ343" i="18"/>
  <c r="Z332" i="18"/>
  <c r="AA332" i="18"/>
  <c r="AB332" i="18"/>
  <c r="AC332" i="18"/>
  <c r="AD332" i="18"/>
  <c r="AE332" i="18"/>
  <c r="AF332" i="18"/>
  <c r="AG332" i="18"/>
  <c r="AH332" i="18"/>
  <c r="AI332" i="18"/>
  <c r="AJ332" i="18"/>
  <c r="Z342" i="18"/>
  <c r="AA342" i="18"/>
  <c r="AB342" i="18"/>
  <c r="AC342" i="18"/>
  <c r="AD342" i="18"/>
  <c r="AE342" i="18"/>
  <c r="AF342" i="18"/>
  <c r="AG342" i="18"/>
  <c r="AH342" i="18"/>
  <c r="AI342" i="18"/>
  <c r="AJ342" i="18"/>
  <c r="Z331" i="18"/>
  <c r="AA331" i="18"/>
  <c r="AB331" i="18"/>
  <c r="AT331" i="18" s="1"/>
  <c r="AC331" i="18"/>
  <c r="AD331" i="18"/>
  <c r="AE331" i="18"/>
  <c r="AF331" i="18"/>
  <c r="AG331" i="18"/>
  <c r="AH331" i="18"/>
  <c r="AI331" i="18"/>
  <c r="AJ331" i="18"/>
  <c r="Z334" i="18"/>
  <c r="AA334" i="18"/>
  <c r="AB334" i="18"/>
  <c r="AT334" i="18" s="1"/>
  <c r="AC334" i="18"/>
  <c r="AD334" i="18"/>
  <c r="AE334" i="18"/>
  <c r="AF334" i="18"/>
  <c r="AG334" i="18"/>
  <c r="AH334" i="18"/>
  <c r="AI334" i="18"/>
  <c r="AJ334" i="18"/>
  <c r="Z335" i="18"/>
  <c r="AA335" i="18"/>
  <c r="AB335" i="18"/>
  <c r="AT335" i="18" s="1"/>
  <c r="AC335" i="18"/>
  <c r="AD335" i="18"/>
  <c r="AE335" i="18"/>
  <c r="AF335" i="18"/>
  <c r="AG335" i="18"/>
  <c r="AH335" i="18"/>
  <c r="AI335" i="18"/>
  <c r="AJ335" i="18"/>
  <c r="Z338" i="18"/>
  <c r="AA338" i="18"/>
  <c r="AB338" i="18"/>
  <c r="AC338" i="18"/>
  <c r="AD338" i="18"/>
  <c r="AE338" i="18"/>
  <c r="AF338" i="18"/>
  <c r="AG338" i="18"/>
  <c r="AH338" i="18"/>
  <c r="AI338" i="18"/>
  <c r="AJ338" i="18"/>
  <c r="AD336" i="18"/>
  <c r="AE336" i="18"/>
  <c r="AF336" i="18"/>
  <c r="AG336" i="18"/>
  <c r="AH336" i="18"/>
  <c r="AI336" i="18"/>
  <c r="AJ336" i="18"/>
  <c r="Z337" i="18"/>
  <c r="AA337" i="18"/>
  <c r="AB337" i="18"/>
  <c r="AT337" i="18" s="1"/>
  <c r="AC337" i="18"/>
  <c r="AD337" i="18"/>
  <c r="AE337" i="18"/>
  <c r="AF337" i="18"/>
  <c r="AG337" i="18"/>
  <c r="AH337" i="18"/>
  <c r="AI337" i="18"/>
  <c r="AJ337" i="18"/>
  <c r="Z333" i="18"/>
  <c r="AA333" i="18"/>
  <c r="AB333" i="18"/>
  <c r="AT333" i="18" s="1"/>
  <c r="AC333" i="18"/>
  <c r="AD333" i="18"/>
  <c r="AE333" i="18"/>
  <c r="AF333" i="18"/>
  <c r="AG333" i="18"/>
  <c r="AH333" i="18"/>
  <c r="AI333" i="18"/>
  <c r="AJ333" i="18"/>
  <c r="Z339" i="18"/>
  <c r="AA339" i="18"/>
  <c r="AB339" i="18"/>
  <c r="AC339" i="18"/>
  <c r="AD339" i="18"/>
  <c r="AE339" i="18"/>
  <c r="AF339" i="18"/>
  <c r="AG339" i="18"/>
  <c r="AH339" i="18"/>
  <c r="AI339" i="18"/>
  <c r="AJ339" i="18"/>
  <c r="Z329" i="18"/>
  <c r="AA329" i="18"/>
  <c r="AB329" i="18"/>
  <c r="AT329" i="18" s="1"/>
  <c r="AC329" i="18"/>
  <c r="AD329" i="18"/>
  <c r="AE329" i="18"/>
  <c r="AF329" i="18"/>
  <c r="AG329" i="18"/>
  <c r="AH329" i="18"/>
  <c r="AI329" i="18"/>
  <c r="AJ329" i="18"/>
  <c r="AC348" i="18"/>
  <c r="AT348" i="18" s="1"/>
  <c r="AD348" i="18"/>
  <c r="AE348" i="18"/>
  <c r="AF348" i="18"/>
  <c r="AG348" i="18"/>
  <c r="AH348" i="18"/>
  <c r="AI348" i="18"/>
  <c r="AJ348" i="18"/>
  <c r="Z347" i="18"/>
  <c r="AA347" i="18"/>
  <c r="AB347" i="18"/>
  <c r="AC347" i="18"/>
  <c r="AD347" i="18"/>
  <c r="AE347" i="18"/>
  <c r="AF347" i="18"/>
  <c r="AG347" i="18"/>
  <c r="AH347" i="18"/>
  <c r="AI347" i="18"/>
  <c r="AJ347" i="18"/>
  <c r="AC353" i="18"/>
  <c r="AT353" i="18" s="1"/>
  <c r="AD353" i="18"/>
  <c r="AE353" i="18"/>
  <c r="AF353" i="18"/>
  <c r="AG353" i="18"/>
  <c r="AH353" i="18"/>
  <c r="AI353" i="18"/>
  <c r="AJ353" i="18"/>
  <c r="AC351" i="18"/>
  <c r="AT351" i="18" s="1"/>
  <c r="AD351" i="18"/>
  <c r="AE351" i="18"/>
  <c r="AF351" i="18"/>
  <c r="AG351" i="18"/>
  <c r="AH351" i="18"/>
  <c r="AI351" i="18"/>
  <c r="AJ351" i="18"/>
  <c r="AC349" i="18"/>
  <c r="AT349" i="18" s="1"/>
  <c r="AD349" i="18"/>
  <c r="AE349" i="18"/>
  <c r="AF349" i="18"/>
  <c r="AG349" i="18"/>
  <c r="AH349" i="18"/>
  <c r="AI349" i="18"/>
  <c r="AJ349" i="18"/>
  <c r="AC350" i="18"/>
  <c r="AT350" i="18" s="1"/>
  <c r="AD350" i="18"/>
  <c r="AE350" i="18"/>
  <c r="AF350" i="18"/>
  <c r="AG350" i="18"/>
  <c r="AH350" i="18"/>
  <c r="AI350" i="18"/>
  <c r="AJ350" i="18"/>
  <c r="Z354" i="18"/>
  <c r="AA354" i="18"/>
  <c r="AB354" i="18"/>
  <c r="AC354" i="18"/>
  <c r="AD354" i="18"/>
  <c r="AE354" i="18"/>
  <c r="AF354" i="18"/>
  <c r="AG354" i="18"/>
  <c r="AH354" i="18"/>
  <c r="AI354" i="18"/>
  <c r="AJ354" i="18"/>
  <c r="AC355" i="18"/>
  <c r="AT355" i="18" s="1"/>
  <c r="AD355" i="18"/>
  <c r="AE355" i="18"/>
  <c r="AF355" i="18"/>
  <c r="AG355" i="18"/>
  <c r="AH355" i="18"/>
  <c r="AI355" i="18"/>
  <c r="AJ355" i="18"/>
  <c r="AC361" i="18"/>
  <c r="AT361" i="18" s="1"/>
  <c r="AD361" i="18"/>
  <c r="AE361" i="18"/>
  <c r="AF361" i="18"/>
  <c r="AG361" i="18"/>
  <c r="AH361" i="18"/>
  <c r="AI361" i="18"/>
  <c r="AJ361" i="18"/>
  <c r="Z362" i="18"/>
  <c r="AA362" i="18"/>
  <c r="AB362" i="18"/>
  <c r="AC362" i="18"/>
  <c r="AD362" i="18"/>
  <c r="AE362" i="18"/>
  <c r="AF362" i="18"/>
  <c r="AG362" i="18"/>
  <c r="AH362" i="18"/>
  <c r="AI362" i="18"/>
  <c r="AJ362" i="18"/>
  <c r="Z360" i="18"/>
  <c r="AA360" i="18"/>
  <c r="AB360" i="18"/>
  <c r="AT360" i="18" s="1"/>
  <c r="AC360" i="18"/>
  <c r="AD360" i="18"/>
  <c r="AE360" i="18"/>
  <c r="AF360" i="18"/>
  <c r="AG360" i="18"/>
  <c r="AH360" i="18"/>
  <c r="AI360" i="18"/>
  <c r="AJ360" i="18"/>
  <c r="Z364" i="18"/>
  <c r="AA364" i="18"/>
  <c r="AB364" i="18"/>
  <c r="AT364" i="18" s="1"/>
  <c r="AC364" i="18"/>
  <c r="AD364" i="18"/>
  <c r="AE364" i="18"/>
  <c r="AF364" i="18"/>
  <c r="AG364" i="18"/>
  <c r="AH364" i="18"/>
  <c r="AI364" i="18"/>
  <c r="AJ364" i="18"/>
  <c r="Z363" i="18"/>
  <c r="AA363" i="18"/>
  <c r="AB363" i="18"/>
  <c r="AT363" i="18" s="1"/>
  <c r="AC363" i="18"/>
  <c r="AD363" i="18"/>
  <c r="AE363" i="18"/>
  <c r="AF363" i="18"/>
  <c r="AG363" i="18"/>
  <c r="AH363" i="18"/>
  <c r="AI363" i="18"/>
  <c r="AJ363" i="18"/>
  <c r="Z359" i="18"/>
  <c r="AA359" i="18"/>
  <c r="AB359" i="18"/>
  <c r="AC359" i="18"/>
  <c r="AD359" i="18"/>
  <c r="AE359" i="18"/>
  <c r="AF359" i="18"/>
  <c r="AG359" i="18"/>
  <c r="AH359" i="18"/>
  <c r="AI359" i="18"/>
  <c r="AJ359" i="18"/>
  <c r="Z358" i="18"/>
  <c r="AA358" i="18"/>
  <c r="AB358" i="18"/>
  <c r="AC358" i="18"/>
  <c r="AD358" i="18"/>
  <c r="AE358" i="18"/>
  <c r="AF358" i="18"/>
  <c r="AG358" i="18"/>
  <c r="AH358" i="18"/>
  <c r="AI358" i="18"/>
  <c r="AJ358" i="18"/>
  <c r="Z374" i="18"/>
  <c r="AA374" i="18"/>
  <c r="AB374" i="18"/>
  <c r="AC374" i="18"/>
  <c r="AD374" i="18"/>
  <c r="AE374" i="18"/>
  <c r="AF374" i="18"/>
  <c r="AG374" i="18"/>
  <c r="AH374" i="18"/>
  <c r="AI374" i="18"/>
  <c r="AJ374" i="18"/>
  <c r="Z373" i="18"/>
  <c r="AA373" i="18"/>
  <c r="AB373" i="18"/>
  <c r="AC373" i="18"/>
  <c r="AD373" i="18"/>
  <c r="AE373" i="18"/>
  <c r="AF373" i="18"/>
  <c r="AG373" i="18"/>
  <c r="AI373" i="18"/>
  <c r="AJ373" i="18"/>
  <c r="Z371" i="18"/>
  <c r="AA371" i="18"/>
  <c r="AB371" i="18"/>
  <c r="AT371" i="18" s="1"/>
  <c r="AC371" i="18"/>
  <c r="AD371" i="18"/>
  <c r="AE371" i="18"/>
  <c r="AF371" i="18"/>
  <c r="AG371" i="18"/>
  <c r="AH371" i="18"/>
  <c r="AI371" i="18"/>
  <c r="AJ371" i="18"/>
  <c r="Z372" i="18"/>
  <c r="AA372" i="18"/>
  <c r="AB372" i="18"/>
  <c r="AC372" i="18"/>
  <c r="AD372" i="18"/>
  <c r="AE372" i="18"/>
  <c r="AF372" i="18"/>
  <c r="AG372" i="18"/>
  <c r="AH372" i="18"/>
  <c r="AI372" i="18"/>
  <c r="AJ372" i="18"/>
  <c r="Z375" i="18"/>
  <c r="AA375" i="18"/>
  <c r="AB375" i="18"/>
  <c r="AC375" i="18"/>
  <c r="AD375" i="18"/>
  <c r="AE375" i="18"/>
  <c r="AI375" i="18"/>
  <c r="AJ375" i="18"/>
  <c r="Z368" i="18"/>
  <c r="AA368" i="18"/>
  <c r="AB368" i="18"/>
  <c r="AC368" i="18"/>
  <c r="AD368" i="18"/>
  <c r="AE368" i="18"/>
  <c r="AF368" i="18"/>
  <c r="AG368" i="18"/>
  <c r="AH368" i="18"/>
  <c r="AI368" i="18"/>
  <c r="AJ368" i="18"/>
  <c r="Z376" i="18"/>
  <c r="AA376" i="18"/>
  <c r="AB376" i="18"/>
  <c r="AC376" i="18"/>
  <c r="AD376" i="18"/>
  <c r="AE376" i="18"/>
  <c r="AF376" i="18"/>
  <c r="AG376" i="18"/>
  <c r="AH376" i="18"/>
  <c r="AI376" i="18"/>
  <c r="AJ376" i="18"/>
  <c r="Z377" i="18"/>
  <c r="AA377" i="18"/>
  <c r="AB377" i="18"/>
  <c r="AT377" i="18" s="1"/>
  <c r="AC377" i="18"/>
  <c r="AD377" i="18"/>
  <c r="AE377" i="18"/>
  <c r="AF377" i="18"/>
  <c r="AG377" i="18"/>
  <c r="AH377" i="18"/>
  <c r="AI377" i="18"/>
  <c r="AJ377" i="18"/>
  <c r="Z367" i="18"/>
  <c r="AA367" i="18"/>
  <c r="AB367" i="18"/>
  <c r="AT367" i="18" s="1"/>
  <c r="AC367" i="18"/>
  <c r="AD367" i="18"/>
  <c r="AE367" i="18"/>
  <c r="AF367" i="18"/>
  <c r="AI367" i="18"/>
  <c r="AJ367" i="18"/>
  <c r="Z378" i="18"/>
  <c r="AA378" i="18"/>
  <c r="AB378" i="18"/>
  <c r="AT378" i="18" s="1"/>
  <c r="AC378" i="18"/>
  <c r="AD378" i="18"/>
  <c r="AE378" i="18"/>
  <c r="AF378" i="18"/>
  <c r="AG378" i="18"/>
  <c r="AH378" i="18"/>
  <c r="AI378" i="18"/>
  <c r="AJ378" i="18"/>
  <c r="AA381" i="18"/>
  <c r="AB381" i="18"/>
  <c r="AT381" i="18" s="1"/>
  <c r="AC381" i="18"/>
  <c r="AD381" i="18"/>
  <c r="AE381" i="18"/>
  <c r="AF381" i="18"/>
  <c r="AG381" i="18"/>
  <c r="AH381" i="18"/>
  <c r="AI381" i="18"/>
  <c r="AJ381" i="18"/>
  <c r="Z386" i="18"/>
  <c r="AA386" i="18"/>
  <c r="AB386" i="18"/>
  <c r="AT386" i="18" s="1"/>
  <c r="AD386" i="18"/>
  <c r="AE386" i="18"/>
  <c r="AF386" i="18"/>
  <c r="AG386" i="18"/>
  <c r="AH386" i="18"/>
  <c r="AI386" i="18"/>
  <c r="AJ386" i="18"/>
  <c r="Z382" i="18"/>
  <c r="AA382" i="18"/>
  <c r="AB382" i="18"/>
  <c r="AT382" i="18" s="1"/>
  <c r="AC382" i="18"/>
  <c r="AD382" i="18"/>
  <c r="AE382" i="18"/>
  <c r="AF382" i="18"/>
  <c r="AG382" i="18"/>
  <c r="AH382" i="18"/>
  <c r="AI382" i="18"/>
  <c r="AJ382" i="18"/>
  <c r="Z403" i="18"/>
  <c r="AA403" i="18"/>
  <c r="AB403" i="18"/>
  <c r="AT403" i="18" s="1"/>
  <c r="AC403" i="18"/>
  <c r="AD403" i="18"/>
  <c r="AE403" i="18"/>
  <c r="AF403" i="18"/>
  <c r="AG403" i="18"/>
  <c r="AH403" i="18"/>
  <c r="AI403" i="18"/>
  <c r="AJ403" i="18"/>
  <c r="Z390" i="18"/>
  <c r="AA390" i="18"/>
  <c r="AB390" i="18"/>
  <c r="AC390" i="18"/>
  <c r="AD390" i="18"/>
  <c r="AE390" i="18"/>
  <c r="AF390" i="18"/>
  <c r="AG390" i="18"/>
  <c r="AH390" i="18"/>
  <c r="AI390" i="18"/>
  <c r="AJ390" i="18"/>
  <c r="Z393" i="18"/>
  <c r="AA393" i="18"/>
  <c r="AB393" i="18"/>
  <c r="AT393" i="18" s="1"/>
  <c r="AC393" i="18"/>
  <c r="AD393" i="18"/>
  <c r="AE393" i="18"/>
  <c r="AF393" i="18"/>
  <c r="AG393" i="18"/>
  <c r="AH393" i="18"/>
  <c r="AI393" i="18"/>
  <c r="AJ393" i="18"/>
  <c r="Z398" i="18"/>
  <c r="AA398" i="18"/>
  <c r="AB398" i="18"/>
  <c r="AC398" i="18"/>
  <c r="AD398" i="18"/>
  <c r="AE398" i="18"/>
  <c r="AF398" i="18"/>
  <c r="AG398" i="18"/>
  <c r="AH398" i="18"/>
  <c r="AI398" i="18"/>
  <c r="AJ398" i="18"/>
  <c r="AA130" i="18"/>
  <c r="AB130" i="18"/>
  <c r="AC130" i="18"/>
  <c r="AD130" i="18"/>
  <c r="AE130" i="18"/>
  <c r="AF130" i="18"/>
  <c r="AG130" i="18"/>
  <c r="AH130" i="18"/>
  <c r="AI130" i="18"/>
  <c r="AJ130" i="18"/>
  <c r="Z394" i="18"/>
  <c r="AA394" i="18"/>
  <c r="AB394" i="18"/>
  <c r="AT394" i="18" s="1"/>
  <c r="AC394" i="18"/>
  <c r="AD394" i="18"/>
  <c r="AE394" i="18"/>
  <c r="AF394" i="18"/>
  <c r="AG394" i="18"/>
  <c r="AH394" i="18"/>
  <c r="AI394" i="18"/>
  <c r="AJ394" i="18"/>
  <c r="Z389" i="18"/>
  <c r="AA389" i="18"/>
  <c r="AB389" i="18"/>
  <c r="AC389" i="18"/>
  <c r="AD389" i="18"/>
  <c r="AE389" i="18"/>
  <c r="AF389" i="18"/>
  <c r="AG389" i="18"/>
  <c r="AH389" i="18"/>
  <c r="AI389" i="18"/>
  <c r="AJ389" i="18"/>
  <c r="Z401" i="18"/>
  <c r="AA401" i="18"/>
  <c r="AB401" i="18"/>
  <c r="AC401" i="18"/>
  <c r="AD401" i="18"/>
  <c r="AE401" i="18"/>
  <c r="AF401" i="18"/>
  <c r="AG401" i="18"/>
  <c r="AH401" i="18"/>
  <c r="AI401" i="18"/>
  <c r="AJ401" i="18"/>
  <c r="Z400" i="18"/>
  <c r="AA400" i="18"/>
  <c r="AB400" i="18"/>
  <c r="AC400" i="18"/>
  <c r="AD400" i="18"/>
  <c r="AE400" i="18"/>
  <c r="AF400" i="18"/>
  <c r="AG400" i="18"/>
  <c r="AH400" i="18"/>
  <c r="AI400" i="18"/>
  <c r="AJ400" i="18"/>
  <c r="Z404" i="18"/>
  <c r="AA404" i="18"/>
  <c r="AB404" i="18"/>
  <c r="AT404" i="18" s="1"/>
  <c r="AC404" i="18"/>
  <c r="AD404" i="18"/>
  <c r="AE404" i="18"/>
  <c r="AF404" i="18"/>
  <c r="AG404" i="18"/>
  <c r="AH404" i="18"/>
  <c r="AI404" i="18"/>
  <c r="AJ404" i="18"/>
  <c r="Z399" i="18"/>
  <c r="AA399" i="18"/>
  <c r="AB399" i="18"/>
  <c r="AT399" i="18" s="1"/>
  <c r="AC399" i="18"/>
  <c r="AD399" i="18"/>
  <c r="AE399" i="18"/>
  <c r="AF399" i="18"/>
  <c r="AG399" i="18"/>
  <c r="AH399" i="18"/>
  <c r="AI399" i="18"/>
  <c r="AJ399" i="18"/>
  <c r="Z391" i="18"/>
  <c r="AA391" i="18"/>
  <c r="AB391" i="18"/>
  <c r="AT391" i="18" s="1"/>
  <c r="AC391" i="18"/>
  <c r="AD391" i="18"/>
  <c r="AE391" i="18"/>
  <c r="AF391" i="18"/>
  <c r="AI391" i="18"/>
  <c r="AJ391" i="18"/>
  <c r="Z395" i="18"/>
  <c r="AA395" i="18"/>
  <c r="AB395" i="18"/>
  <c r="AC395" i="18"/>
  <c r="AD395" i="18"/>
  <c r="AE395" i="18"/>
  <c r="AF395" i="18"/>
  <c r="AG395" i="18"/>
  <c r="AH395" i="18"/>
  <c r="AI395" i="18"/>
  <c r="AJ395" i="18"/>
  <c r="Z397" i="18"/>
  <c r="AA397" i="18"/>
  <c r="AB397" i="18"/>
  <c r="AC397" i="18"/>
  <c r="AD397" i="18"/>
  <c r="AE397" i="18"/>
  <c r="AF397" i="18"/>
  <c r="AG397" i="18"/>
  <c r="AH397" i="18"/>
  <c r="AI397" i="18"/>
  <c r="AJ397" i="18"/>
  <c r="Z396" i="18"/>
  <c r="AA396" i="18"/>
  <c r="AB396" i="18"/>
  <c r="AC396" i="18"/>
  <c r="AD396" i="18"/>
  <c r="AE396" i="18"/>
  <c r="AF396" i="18"/>
  <c r="AG396" i="18"/>
  <c r="AH396" i="18"/>
  <c r="AI396" i="18"/>
  <c r="AJ396" i="18"/>
  <c r="Z405" i="18"/>
  <c r="AA405" i="18"/>
  <c r="AB405" i="18"/>
  <c r="AT405" i="18" s="1"/>
  <c r="AC405" i="18"/>
  <c r="AD405" i="18"/>
  <c r="AE405" i="18"/>
  <c r="AF405" i="18"/>
  <c r="AG405" i="18"/>
  <c r="AH405" i="18"/>
  <c r="AI405" i="18"/>
  <c r="AJ405" i="18"/>
  <c r="AC412" i="18"/>
  <c r="AT412" i="18" s="1"/>
  <c r="AD412" i="18"/>
  <c r="AE412" i="18"/>
  <c r="AF412" i="18"/>
  <c r="AG412" i="18"/>
  <c r="AH412" i="18"/>
  <c r="AI412" i="18"/>
  <c r="AJ412" i="18"/>
  <c r="AC409" i="18"/>
  <c r="AT409" i="18" s="1"/>
  <c r="AD409" i="18"/>
  <c r="AE409" i="18"/>
  <c r="AF409" i="18"/>
  <c r="AG409" i="18"/>
  <c r="AH409" i="18"/>
  <c r="AI409" i="18"/>
  <c r="AJ409" i="18"/>
  <c r="AC411" i="18"/>
  <c r="AT411" i="18" s="1"/>
  <c r="AD411" i="18"/>
  <c r="AE411" i="18"/>
  <c r="AF411" i="18"/>
  <c r="AG411" i="18"/>
  <c r="AH411" i="18"/>
  <c r="AI411" i="18"/>
  <c r="AJ411" i="18"/>
  <c r="AC410" i="18"/>
  <c r="AT410" i="18" s="1"/>
  <c r="AD410" i="18"/>
  <c r="AE410" i="18"/>
  <c r="AF410" i="18"/>
  <c r="AG410" i="18"/>
  <c r="AH410" i="18"/>
  <c r="AI410" i="18"/>
  <c r="AJ410" i="18"/>
  <c r="AC417" i="18"/>
  <c r="AT417" i="18" s="1"/>
  <c r="AD417" i="18"/>
  <c r="AE417" i="18"/>
  <c r="AF417" i="18"/>
  <c r="AG417" i="18"/>
  <c r="AH417" i="18"/>
  <c r="AI417" i="18"/>
  <c r="AJ417" i="18"/>
  <c r="AD414" i="18"/>
  <c r="AE414" i="18"/>
  <c r="AF414" i="18"/>
  <c r="AG414" i="18"/>
  <c r="AH414" i="18"/>
  <c r="AI414" i="18"/>
  <c r="AJ414" i="18"/>
  <c r="AC416" i="18"/>
  <c r="AT416" i="18" s="1"/>
  <c r="AD416" i="18"/>
  <c r="AE416" i="18"/>
  <c r="AI416" i="18"/>
  <c r="AJ416" i="18"/>
  <c r="AC418" i="18"/>
  <c r="AT418" i="18" s="1"/>
  <c r="AD418" i="18"/>
  <c r="AE418" i="18"/>
  <c r="AF418" i="18"/>
  <c r="AG418" i="18"/>
  <c r="AH418" i="18"/>
  <c r="AI418" i="18"/>
  <c r="AJ418" i="18"/>
  <c r="AC413" i="18"/>
  <c r="AT413" i="18" s="1"/>
  <c r="AD413" i="18"/>
  <c r="AE413" i="18"/>
  <c r="AF413" i="18"/>
  <c r="AG413" i="18"/>
  <c r="AH413" i="18"/>
  <c r="AI413" i="18"/>
  <c r="AJ413" i="18"/>
  <c r="AD420" i="18"/>
  <c r="AE420" i="18"/>
  <c r="AF420" i="18"/>
  <c r="AG420" i="18"/>
  <c r="AH420" i="18"/>
  <c r="AI420" i="18"/>
  <c r="AJ420" i="18"/>
  <c r="AC421" i="18"/>
  <c r="AT421" i="18" s="1"/>
  <c r="AD421" i="18"/>
  <c r="AE421" i="18"/>
  <c r="AF421" i="18"/>
  <c r="AG421" i="18"/>
  <c r="AH421" i="18"/>
  <c r="AI421" i="18"/>
  <c r="AJ421" i="18"/>
  <c r="AC422" i="18"/>
  <c r="AT422" i="18" s="1"/>
  <c r="AD422" i="18"/>
  <c r="AE422" i="18"/>
  <c r="AF422" i="18"/>
  <c r="AG422" i="18"/>
  <c r="AH422" i="18"/>
  <c r="AI422" i="18"/>
  <c r="AJ422" i="18"/>
  <c r="AC423" i="18"/>
  <c r="AT423" i="18" s="1"/>
  <c r="AD423" i="18"/>
  <c r="AE423" i="18"/>
  <c r="AF423" i="18"/>
  <c r="AG423" i="18"/>
  <c r="AH423" i="18"/>
  <c r="AI423" i="18"/>
  <c r="AJ423" i="18"/>
  <c r="AC424" i="18"/>
  <c r="AT424" i="18" s="1"/>
  <c r="AD424" i="18"/>
  <c r="AE424" i="18"/>
  <c r="AI424" i="18"/>
  <c r="AJ424" i="18"/>
  <c r="Z419" i="18"/>
  <c r="AA419" i="18"/>
  <c r="AB419" i="18"/>
  <c r="AT419" i="18" s="1"/>
  <c r="AC419" i="18"/>
  <c r="AD419" i="18"/>
  <c r="AE419" i="18"/>
  <c r="AF419" i="18"/>
  <c r="AG419" i="18"/>
  <c r="AH419" i="18"/>
  <c r="AI419" i="18"/>
  <c r="AJ419" i="18"/>
  <c r="AC425" i="18"/>
  <c r="AT425" i="18" s="1"/>
  <c r="AD425" i="18"/>
  <c r="AE425" i="18"/>
  <c r="AF425" i="18"/>
  <c r="AG425" i="18"/>
  <c r="AH425" i="18"/>
  <c r="AI425" i="18"/>
  <c r="AJ425" i="18"/>
  <c r="Z428" i="18"/>
  <c r="AA428" i="18"/>
  <c r="AB428" i="18"/>
  <c r="AT428" i="18" s="1"/>
  <c r="AC428" i="18"/>
  <c r="AD428" i="18"/>
  <c r="AE428" i="18"/>
  <c r="AF428" i="18"/>
  <c r="AG428" i="18"/>
  <c r="AH428" i="18"/>
  <c r="AI428" i="18"/>
  <c r="AJ428" i="18"/>
  <c r="Z429" i="18"/>
  <c r="AA429" i="18"/>
  <c r="AB429" i="18"/>
  <c r="AT429" i="18" s="1"/>
  <c r="AC429" i="18"/>
  <c r="AD429" i="18"/>
  <c r="AE429" i="18"/>
  <c r="AF429" i="18"/>
  <c r="AG429" i="18"/>
  <c r="AH429" i="18"/>
  <c r="AI429" i="18"/>
  <c r="AJ429" i="18"/>
  <c r="Z447" i="18"/>
  <c r="AA447" i="18"/>
  <c r="AB447" i="18"/>
  <c r="AT447" i="18" s="1"/>
  <c r="AC447" i="18"/>
  <c r="AD447" i="18"/>
  <c r="AE447" i="18"/>
  <c r="AF447" i="18"/>
  <c r="AG447" i="18"/>
  <c r="AH447" i="18"/>
  <c r="AI447" i="18"/>
  <c r="AJ447" i="18"/>
  <c r="Z436" i="18"/>
  <c r="AA436" i="18"/>
  <c r="AB436" i="18"/>
  <c r="AC436" i="18"/>
  <c r="AD436" i="18"/>
  <c r="AE436" i="18"/>
  <c r="AF436" i="18"/>
  <c r="AG436" i="18"/>
  <c r="AH436" i="18"/>
  <c r="AI436" i="18"/>
  <c r="AJ436" i="18"/>
  <c r="Z448" i="18"/>
  <c r="AA448" i="18"/>
  <c r="AB448" i="18"/>
  <c r="AC448" i="18"/>
  <c r="AD448" i="18"/>
  <c r="AE448" i="18"/>
  <c r="AI448" i="18"/>
  <c r="AJ448" i="18"/>
  <c r="Z434" i="18"/>
  <c r="AA434" i="18"/>
  <c r="AC434" i="18"/>
  <c r="AT434" i="18" s="1"/>
  <c r="AD434" i="18"/>
  <c r="AE434" i="18"/>
  <c r="AF434" i="18"/>
  <c r="AG434" i="18"/>
  <c r="AH434" i="18"/>
  <c r="AI434" i="18"/>
  <c r="AJ434" i="18"/>
  <c r="Z435" i="18"/>
  <c r="AA435" i="18"/>
  <c r="AC435" i="18"/>
  <c r="AT435" i="18" s="1"/>
  <c r="AD435" i="18"/>
  <c r="AE435" i="18"/>
  <c r="AF435" i="18"/>
  <c r="AG435" i="18"/>
  <c r="AH435" i="18"/>
  <c r="AI435" i="18"/>
  <c r="AJ435" i="18"/>
  <c r="Z433" i="18"/>
  <c r="AD433" i="18"/>
  <c r="AE433" i="18"/>
  <c r="AF433" i="18"/>
  <c r="AG433" i="18"/>
  <c r="AH433" i="18"/>
  <c r="AI433" i="18"/>
  <c r="AJ433" i="18"/>
  <c r="Z446" i="18"/>
  <c r="AA446" i="18"/>
  <c r="AB446" i="18"/>
  <c r="AT446" i="18" s="1"/>
  <c r="AC446" i="18"/>
  <c r="AD446" i="18"/>
  <c r="AE446" i="18"/>
  <c r="AF446" i="18"/>
  <c r="AG446" i="18"/>
  <c r="AH446" i="18"/>
  <c r="AI446" i="18"/>
  <c r="AJ446" i="18"/>
  <c r="Z441" i="18"/>
  <c r="AA441" i="18"/>
  <c r="AB441" i="18"/>
  <c r="AT441" i="18" s="1"/>
  <c r="AC441" i="18"/>
  <c r="AD441" i="18"/>
  <c r="AE441" i="18"/>
  <c r="AF441" i="18"/>
  <c r="AG441" i="18"/>
  <c r="AH441" i="18"/>
  <c r="AI441" i="18"/>
  <c r="AJ441" i="18"/>
  <c r="Z444" i="18"/>
  <c r="AA444" i="18"/>
  <c r="AB444" i="18"/>
  <c r="AT444" i="18" s="1"/>
  <c r="AC444" i="18"/>
  <c r="AD444" i="18"/>
  <c r="AE444" i="18"/>
  <c r="AF444" i="18"/>
  <c r="AG444" i="18"/>
  <c r="AH444" i="18"/>
  <c r="AI444" i="18"/>
  <c r="AJ444" i="18"/>
  <c r="Z432" i="18"/>
  <c r="AA432" i="18"/>
  <c r="AB432" i="18"/>
  <c r="AC432" i="18"/>
  <c r="AD432" i="18"/>
  <c r="AE432" i="18"/>
  <c r="AF432" i="18"/>
  <c r="AG432" i="18"/>
  <c r="AH432" i="18"/>
  <c r="AI432" i="18"/>
  <c r="AJ432" i="18"/>
  <c r="Z442" i="18"/>
  <c r="AA442" i="18"/>
  <c r="AC442" i="18"/>
  <c r="AT442" i="18" s="1"/>
  <c r="AD442" i="18"/>
  <c r="AE442" i="18"/>
  <c r="AF442" i="18"/>
  <c r="AG442" i="18"/>
  <c r="AH442" i="18"/>
  <c r="AI442" i="18"/>
  <c r="AJ442" i="18"/>
  <c r="Z449" i="18"/>
  <c r="AA449" i="18"/>
  <c r="AB449" i="18"/>
  <c r="AT449" i="18" s="1"/>
  <c r="AC449" i="18"/>
  <c r="AD449" i="18"/>
  <c r="AE449" i="18"/>
  <c r="AF449" i="18"/>
  <c r="AG449" i="18"/>
  <c r="AH449" i="18"/>
  <c r="AI449" i="18"/>
  <c r="AJ449" i="18"/>
  <c r="Z445" i="18"/>
  <c r="AA445" i="18"/>
  <c r="AB445" i="18"/>
  <c r="AC445" i="18"/>
  <c r="AD445" i="18"/>
  <c r="AE445" i="18"/>
  <c r="AF445" i="18"/>
  <c r="AG445" i="18"/>
  <c r="AH445" i="18"/>
  <c r="AI445" i="18"/>
  <c r="AJ445" i="18"/>
  <c r="Z437" i="18"/>
  <c r="AA437" i="18"/>
  <c r="AB437" i="18"/>
  <c r="AC437" i="18"/>
  <c r="AD437" i="18"/>
  <c r="AE437" i="18"/>
  <c r="AF437" i="18"/>
  <c r="AG437" i="18"/>
  <c r="AH437" i="18"/>
  <c r="AI437" i="18"/>
  <c r="AJ437" i="18"/>
  <c r="Z438" i="18"/>
  <c r="AA438" i="18"/>
  <c r="AC438" i="18"/>
  <c r="AT438" i="18" s="1"/>
  <c r="AD438" i="18"/>
  <c r="AE438" i="18"/>
  <c r="AF438" i="18"/>
  <c r="AG438" i="18"/>
  <c r="AH438" i="18"/>
  <c r="AI438" i="18"/>
  <c r="AJ438" i="18"/>
  <c r="Z430" i="18"/>
  <c r="AA430" i="18"/>
  <c r="AB430" i="18"/>
  <c r="AC430" i="18"/>
  <c r="AD430" i="18"/>
  <c r="AE430" i="18"/>
  <c r="AF430" i="18"/>
  <c r="AG430" i="18"/>
  <c r="AH430" i="18"/>
  <c r="AI430" i="18"/>
  <c r="AJ430" i="18"/>
  <c r="Z451" i="18"/>
  <c r="AA451" i="18"/>
  <c r="AB451" i="18"/>
  <c r="AC451" i="18"/>
  <c r="AD451" i="18"/>
  <c r="AE451" i="18"/>
  <c r="AF451" i="18"/>
  <c r="AG451" i="18"/>
  <c r="AH451" i="18"/>
  <c r="AI451" i="18"/>
  <c r="AJ451" i="18"/>
  <c r="Z454" i="18"/>
  <c r="AA454" i="18"/>
  <c r="AB454" i="18"/>
  <c r="AC454" i="18"/>
  <c r="AD454" i="18"/>
  <c r="AE454" i="18"/>
  <c r="AF454" i="18"/>
  <c r="AG454" i="18"/>
  <c r="AH454" i="18"/>
  <c r="AI454" i="18"/>
  <c r="AJ454" i="18"/>
  <c r="Z455" i="18"/>
  <c r="AA455" i="18"/>
  <c r="AB455" i="18"/>
  <c r="AT455" i="18" s="1"/>
  <c r="AC455" i="18"/>
  <c r="AD455" i="18"/>
  <c r="AE455" i="18"/>
  <c r="AF455" i="18"/>
  <c r="AG455" i="18"/>
  <c r="AH455" i="18"/>
  <c r="AI455" i="18"/>
  <c r="AJ455" i="18"/>
  <c r="Z452" i="18"/>
  <c r="AA452" i="18"/>
  <c r="AB452" i="18"/>
  <c r="AC452" i="18"/>
  <c r="AD452" i="18"/>
  <c r="AE452" i="18"/>
  <c r="AF452" i="18"/>
  <c r="AG452" i="18"/>
  <c r="AH452" i="18"/>
  <c r="AI452" i="18"/>
  <c r="AJ452" i="18"/>
  <c r="Z453" i="18"/>
  <c r="AA453" i="18"/>
  <c r="AB453" i="18"/>
  <c r="AT453" i="18" s="1"/>
  <c r="AC453" i="18"/>
  <c r="AD453" i="18"/>
  <c r="AE453" i="18"/>
  <c r="AF453" i="18"/>
  <c r="AG453" i="18"/>
  <c r="AH453" i="18"/>
  <c r="AI453" i="18"/>
  <c r="AJ453" i="18"/>
  <c r="Z461" i="18"/>
  <c r="AA461" i="18"/>
  <c r="AB461" i="18"/>
  <c r="AT461" i="18" s="1"/>
  <c r="AC461" i="18"/>
  <c r="AD461" i="18"/>
  <c r="AE461" i="18"/>
  <c r="AF461" i="18"/>
  <c r="AG461" i="18"/>
  <c r="AH461" i="18"/>
  <c r="AI461" i="18"/>
  <c r="AJ461" i="18"/>
  <c r="Z457" i="18"/>
  <c r="AA457" i="18"/>
  <c r="AB457" i="18"/>
  <c r="AT457" i="18" s="1"/>
  <c r="AC457" i="18"/>
  <c r="AD457" i="18"/>
  <c r="AE457" i="18"/>
  <c r="AF457" i="18"/>
  <c r="AG457" i="18"/>
  <c r="AH457" i="18"/>
  <c r="AI457" i="18"/>
  <c r="AJ457" i="18"/>
  <c r="Z458" i="18"/>
  <c r="AA458" i="18"/>
  <c r="AB458" i="18"/>
  <c r="AC458" i="18"/>
  <c r="AD458" i="18"/>
  <c r="AE458" i="18"/>
  <c r="AF458" i="18"/>
  <c r="AG458" i="18"/>
  <c r="AH458" i="18"/>
  <c r="AI458" i="18"/>
  <c r="AJ458" i="18"/>
  <c r="Z459" i="18"/>
  <c r="AA459" i="18"/>
  <c r="AB459" i="18"/>
  <c r="AC459" i="18"/>
  <c r="AD459" i="18"/>
  <c r="AE459" i="18"/>
  <c r="AF459" i="18"/>
  <c r="AG459" i="18"/>
  <c r="AH459" i="18"/>
  <c r="AI459" i="18"/>
  <c r="AJ459" i="18"/>
  <c r="Z462" i="18"/>
  <c r="AA462" i="18"/>
  <c r="AB462" i="18"/>
  <c r="AC462" i="18"/>
  <c r="AD462" i="18"/>
  <c r="AE462" i="18"/>
  <c r="AF462" i="18"/>
  <c r="AG462" i="18"/>
  <c r="AH462" i="18"/>
  <c r="AI462" i="18"/>
  <c r="AJ462" i="18"/>
  <c r="Z460" i="18"/>
  <c r="AA460" i="18"/>
  <c r="AB460" i="18"/>
  <c r="AT460" i="18" s="1"/>
  <c r="AC460" i="18"/>
  <c r="AD460" i="18"/>
  <c r="AE460" i="18"/>
  <c r="AF460" i="18"/>
  <c r="AG460" i="18"/>
  <c r="AH460" i="18"/>
  <c r="AI460" i="18"/>
  <c r="AJ460" i="18"/>
  <c r="Z464" i="18"/>
  <c r="AA464" i="18"/>
  <c r="AB464" i="18"/>
  <c r="AC464" i="18"/>
  <c r="AD464" i="18"/>
  <c r="AE464" i="18"/>
  <c r="AF464" i="18"/>
  <c r="AG464" i="18"/>
  <c r="AH464" i="18"/>
  <c r="AI464" i="18"/>
  <c r="AJ464" i="18"/>
  <c r="Z465" i="18"/>
  <c r="AA465" i="18"/>
  <c r="AB465" i="18"/>
  <c r="AT465" i="18" s="1"/>
  <c r="AC465" i="18"/>
  <c r="AD465" i="18"/>
  <c r="AE465" i="18"/>
  <c r="AF465" i="18"/>
  <c r="AG465" i="18"/>
  <c r="AH465" i="18"/>
  <c r="AI465" i="18"/>
  <c r="AJ465" i="18"/>
  <c r="Z466" i="18"/>
  <c r="AA466" i="18"/>
  <c r="AB466" i="18"/>
  <c r="AT466" i="18" s="1"/>
  <c r="AC466" i="18"/>
  <c r="AD466" i="18"/>
  <c r="AE466" i="18"/>
  <c r="AF466" i="18"/>
  <c r="AG466" i="18"/>
  <c r="AH466" i="18"/>
  <c r="AI466" i="18"/>
  <c r="AJ466" i="18"/>
  <c r="Z475" i="18"/>
  <c r="AA475" i="18"/>
  <c r="AB475" i="18"/>
  <c r="AT475" i="18" s="1"/>
  <c r="AC475" i="18"/>
  <c r="AD475" i="18"/>
  <c r="AE475" i="18"/>
  <c r="AF475" i="18"/>
  <c r="AG475" i="18"/>
  <c r="AH475" i="18"/>
  <c r="AI475" i="18"/>
  <c r="AJ475" i="18"/>
  <c r="Z473" i="18"/>
  <c r="AA473" i="18"/>
  <c r="AB473" i="18"/>
  <c r="AC473" i="18"/>
  <c r="AD473" i="18"/>
  <c r="AE473" i="18"/>
  <c r="AF473" i="18"/>
  <c r="AG473" i="18"/>
  <c r="AH473" i="18"/>
  <c r="AI473" i="18"/>
  <c r="AJ473" i="18"/>
  <c r="Z472" i="18"/>
  <c r="AA472" i="18"/>
  <c r="AB472" i="18"/>
  <c r="AC472" i="18"/>
  <c r="AD472" i="18"/>
  <c r="AE472" i="18"/>
  <c r="AF472" i="18"/>
  <c r="AG472" i="18"/>
  <c r="AH472" i="18"/>
  <c r="AI472" i="18"/>
  <c r="AJ472" i="18"/>
  <c r="Z470" i="18"/>
  <c r="AA470" i="18"/>
  <c r="AB470" i="18"/>
  <c r="AC470" i="18"/>
  <c r="AD470" i="18"/>
  <c r="AE470" i="18"/>
  <c r="AF470" i="18"/>
  <c r="AG470" i="18"/>
  <c r="AH470" i="18"/>
  <c r="AI470" i="18"/>
  <c r="AJ470" i="18"/>
  <c r="Z467" i="18"/>
  <c r="AA467" i="18"/>
  <c r="AB467" i="18"/>
  <c r="AT467" i="18" s="1"/>
  <c r="AC467" i="18"/>
  <c r="AD467" i="18"/>
  <c r="AE467" i="18"/>
  <c r="AF467" i="18"/>
  <c r="AG467" i="18"/>
  <c r="AH467" i="18"/>
  <c r="AI467" i="18"/>
  <c r="AJ467" i="18"/>
  <c r="Z474" i="18"/>
  <c r="AA474" i="18"/>
  <c r="AB474" i="18"/>
  <c r="AC474" i="18"/>
  <c r="AD474" i="18"/>
  <c r="AE474" i="18"/>
  <c r="AF474" i="18"/>
  <c r="AG474" i="18"/>
  <c r="AH474" i="18"/>
  <c r="AI474" i="18"/>
  <c r="AJ474" i="18"/>
  <c r="Z468" i="18"/>
  <c r="AA468" i="18"/>
  <c r="AB468" i="18"/>
  <c r="AT468" i="18" s="1"/>
  <c r="AC468" i="18"/>
  <c r="AD468" i="18"/>
  <c r="AE468" i="18"/>
  <c r="AF468" i="18"/>
  <c r="AG468" i="18"/>
  <c r="AH468" i="18"/>
  <c r="AI468" i="18"/>
  <c r="AJ468" i="18"/>
  <c r="Z471" i="18"/>
  <c r="AA471" i="18"/>
  <c r="AB471" i="18"/>
  <c r="AT471" i="18" s="1"/>
  <c r="AC471" i="18"/>
  <c r="AD471" i="18"/>
  <c r="AE471" i="18"/>
  <c r="AF471" i="18"/>
  <c r="AG471" i="18"/>
  <c r="AH471" i="18"/>
  <c r="AI471" i="18"/>
  <c r="AJ471" i="18"/>
  <c r="Z469" i="18"/>
  <c r="AA469" i="18"/>
  <c r="AB469" i="18"/>
  <c r="AT469" i="18" s="1"/>
  <c r="AC469" i="18"/>
  <c r="AD469" i="18"/>
  <c r="AE469" i="18"/>
  <c r="AF469" i="18"/>
  <c r="AG469" i="18"/>
  <c r="AH469" i="18"/>
  <c r="AI469" i="18"/>
  <c r="AJ469" i="18"/>
  <c r="Z489" i="18"/>
  <c r="AA489" i="18"/>
  <c r="AB489" i="18"/>
  <c r="AC489" i="18"/>
  <c r="AD489" i="18"/>
  <c r="AE489" i="18"/>
  <c r="AF489" i="18"/>
  <c r="AG489" i="18"/>
  <c r="AH489" i="18"/>
  <c r="AI489" i="18"/>
  <c r="AJ489" i="18"/>
  <c r="Z488" i="18"/>
  <c r="AA488" i="18"/>
  <c r="AB488" i="18"/>
  <c r="AC488" i="18"/>
  <c r="AD488" i="18"/>
  <c r="AE488" i="18"/>
  <c r="AF488" i="18"/>
  <c r="AG488" i="18"/>
  <c r="AH488" i="18"/>
  <c r="AI488" i="18"/>
  <c r="AJ488" i="18"/>
  <c r="Z490" i="18"/>
  <c r="AA490" i="18"/>
  <c r="AB490" i="18"/>
  <c r="AC490" i="18"/>
  <c r="AD490" i="18"/>
  <c r="AE490" i="18"/>
  <c r="AF490" i="18"/>
  <c r="AG490" i="18"/>
  <c r="AH490" i="18"/>
  <c r="AI490" i="18"/>
  <c r="AJ490" i="18"/>
  <c r="Z480" i="18"/>
  <c r="AA480" i="18"/>
  <c r="AB480" i="18"/>
  <c r="AT480" i="18" s="1"/>
  <c r="AC480" i="18"/>
  <c r="AD480" i="18"/>
  <c r="AE480" i="18"/>
  <c r="AF480" i="18"/>
  <c r="AG480" i="18"/>
  <c r="AH480" i="18"/>
  <c r="AI480" i="18"/>
  <c r="AJ480" i="18"/>
  <c r="Z477" i="18"/>
  <c r="AA477" i="18"/>
  <c r="AB477" i="18"/>
  <c r="AC477" i="18"/>
  <c r="AD477" i="18"/>
  <c r="AE477" i="18"/>
  <c r="AF477" i="18"/>
  <c r="AG477" i="18"/>
  <c r="AH477" i="18"/>
  <c r="AI477" i="18"/>
  <c r="AJ477" i="18"/>
  <c r="Z478" i="18"/>
  <c r="AA478" i="18"/>
  <c r="AB478" i="18"/>
  <c r="AT478" i="18" s="1"/>
  <c r="AC478" i="18"/>
  <c r="AD478" i="18"/>
  <c r="AE478" i="18"/>
  <c r="AF478" i="18"/>
  <c r="AG478" i="18"/>
  <c r="AH478" i="18"/>
  <c r="AI478" i="18"/>
  <c r="AJ478" i="18"/>
  <c r="Z479" i="18"/>
  <c r="AA479" i="18"/>
  <c r="AB479" i="18"/>
  <c r="AT479" i="18" s="1"/>
  <c r="AC479" i="18"/>
  <c r="AD479" i="18"/>
  <c r="AE479" i="18"/>
  <c r="AF479" i="18"/>
  <c r="AG479" i="18"/>
  <c r="AH479" i="18"/>
  <c r="AI479" i="18"/>
  <c r="AJ479" i="18"/>
  <c r="Z482" i="18"/>
  <c r="AA482" i="18"/>
  <c r="AB482" i="18"/>
  <c r="AT482" i="18" s="1"/>
  <c r="AC482" i="18"/>
  <c r="AD482" i="18"/>
  <c r="AE482" i="18"/>
  <c r="AF482" i="18"/>
  <c r="AG482" i="18"/>
  <c r="AH482" i="18"/>
  <c r="AI482" i="18"/>
  <c r="AJ482" i="18"/>
  <c r="Z484" i="18"/>
  <c r="AA484" i="18"/>
  <c r="AB484" i="18"/>
  <c r="AC484" i="18"/>
  <c r="AD484" i="18"/>
  <c r="AE484" i="18"/>
  <c r="AF484" i="18"/>
  <c r="AG484" i="18"/>
  <c r="AH484" i="18"/>
  <c r="AI484" i="18"/>
  <c r="AJ484" i="18"/>
  <c r="Z483" i="18"/>
  <c r="AA483" i="18"/>
  <c r="AB483" i="18"/>
  <c r="AC483" i="18"/>
  <c r="AD483" i="18"/>
  <c r="AE483" i="18"/>
  <c r="AF483" i="18"/>
  <c r="AG483" i="18"/>
  <c r="AH483" i="18"/>
  <c r="AI483" i="18"/>
  <c r="AJ483" i="18"/>
  <c r="Z481" i="18"/>
  <c r="AA481" i="18"/>
  <c r="AB481" i="18"/>
  <c r="AC481" i="18"/>
  <c r="AD481" i="18"/>
  <c r="AE481" i="18"/>
  <c r="AF481" i="18"/>
  <c r="AG481" i="18"/>
  <c r="AH481" i="18"/>
  <c r="AI481" i="18"/>
  <c r="AJ481" i="18"/>
  <c r="Z476" i="18"/>
  <c r="AA476" i="18"/>
  <c r="AB476" i="18"/>
  <c r="AT476" i="18" s="1"/>
  <c r="AC476" i="18"/>
  <c r="AD476" i="18"/>
  <c r="AE476" i="18"/>
  <c r="AF476" i="18"/>
  <c r="AG476" i="18"/>
  <c r="AH476" i="18"/>
  <c r="AI476" i="18"/>
  <c r="AJ476" i="18"/>
  <c r="Z505" i="18"/>
  <c r="AA505" i="18"/>
  <c r="AB505" i="18"/>
  <c r="AC505" i="18"/>
  <c r="AD505" i="18"/>
  <c r="AE505" i="18"/>
  <c r="AF505" i="18"/>
  <c r="AG505" i="18"/>
  <c r="AH505" i="18"/>
  <c r="AI505" i="18"/>
  <c r="AJ505" i="18"/>
  <c r="Z502" i="18"/>
  <c r="AA502" i="18"/>
  <c r="AB502" i="18"/>
  <c r="AT502" i="18" s="1"/>
  <c r="AC502" i="18"/>
  <c r="AD502" i="18"/>
  <c r="AE502" i="18"/>
  <c r="AF502" i="18"/>
  <c r="AG502" i="18"/>
  <c r="AH502" i="18"/>
  <c r="AI502" i="18"/>
  <c r="AJ502" i="18"/>
  <c r="Z503" i="18"/>
  <c r="AA503" i="18"/>
  <c r="AB503" i="18"/>
  <c r="AT503" i="18" s="1"/>
  <c r="AC503" i="18"/>
  <c r="AD503" i="18"/>
  <c r="AE503" i="18"/>
  <c r="AF503" i="18"/>
  <c r="AG503" i="18"/>
  <c r="AH503" i="18"/>
  <c r="AI503" i="18"/>
  <c r="AJ503" i="18"/>
  <c r="Z504" i="18"/>
  <c r="AA504" i="18"/>
  <c r="AB504" i="18"/>
  <c r="AT504" i="18" s="1"/>
  <c r="AC504" i="18"/>
  <c r="AD504" i="18"/>
  <c r="AE504" i="18"/>
  <c r="AF504" i="18"/>
  <c r="AG504" i="18"/>
  <c r="AH504" i="18"/>
  <c r="AI504" i="18"/>
  <c r="AJ504" i="18"/>
  <c r="Z498" i="18"/>
  <c r="AA498" i="18"/>
  <c r="AB498" i="18"/>
  <c r="AC498" i="18"/>
  <c r="AD498" i="18"/>
  <c r="AE498" i="18"/>
  <c r="AF498" i="18"/>
  <c r="AG498" i="18"/>
  <c r="AH498" i="18"/>
  <c r="AI498" i="18"/>
  <c r="AJ498" i="18"/>
  <c r="Z495" i="18"/>
  <c r="AA495" i="18"/>
  <c r="AB495" i="18"/>
  <c r="AC495" i="18"/>
  <c r="AD495" i="18"/>
  <c r="AE495" i="18"/>
  <c r="AF495" i="18"/>
  <c r="AG495" i="18"/>
  <c r="AH495" i="18"/>
  <c r="AI495" i="18"/>
  <c r="AJ495" i="18"/>
  <c r="Z496" i="18"/>
  <c r="AA496" i="18"/>
  <c r="AB496" i="18"/>
  <c r="AC496" i="18"/>
  <c r="AD496" i="18"/>
  <c r="AE496" i="18"/>
  <c r="AF496" i="18"/>
  <c r="AG496" i="18"/>
  <c r="AH496" i="18"/>
  <c r="AI496" i="18"/>
  <c r="AJ496" i="18"/>
  <c r="Z499" i="18"/>
  <c r="AA499" i="18"/>
  <c r="AB499" i="18"/>
  <c r="AT499" i="18" s="1"/>
  <c r="AC499" i="18"/>
  <c r="AD499" i="18"/>
  <c r="AE499" i="18"/>
  <c r="AF499" i="18"/>
  <c r="AG499" i="18"/>
  <c r="AH499" i="18"/>
  <c r="AI499" i="18"/>
  <c r="AJ499" i="18"/>
  <c r="Z500" i="18"/>
  <c r="AA500" i="18"/>
  <c r="AB500" i="18"/>
  <c r="AC500" i="18"/>
  <c r="AD500" i="18"/>
  <c r="AE500" i="18"/>
  <c r="AF500" i="18"/>
  <c r="AG500" i="18"/>
  <c r="AH500" i="18"/>
  <c r="AI500" i="18"/>
  <c r="AJ500" i="18"/>
  <c r="Z501" i="18"/>
  <c r="AA501" i="18"/>
  <c r="AB501" i="18"/>
  <c r="AT501" i="18" s="1"/>
  <c r="AC501" i="18"/>
  <c r="AD501" i="18"/>
  <c r="AE501" i="18"/>
  <c r="AF501" i="18"/>
  <c r="AG501" i="18"/>
  <c r="AH501" i="18"/>
  <c r="AI501" i="18"/>
  <c r="AJ501" i="18"/>
  <c r="Z492" i="18"/>
  <c r="AA492" i="18"/>
  <c r="AB492" i="18"/>
  <c r="AT492" i="18" s="1"/>
  <c r="AC492" i="18"/>
  <c r="AD492" i="18"/>
  <c r="AE492" i="18"/>
  <c r="AF492" i="18"/>
  <c r="AG492" i="18"/>
  <c r="AH492" i="18"/>
  <c r="AI492" i="18"/>
  <c r="AJ492" i="18"/>
  <c r="Z493" i="18"/>
  <c r="AA493" i="18"/>
  <c r="AB493" i="18"/>
  <c r="AT493" i="18" s="1"/>
  <c r="AC493" i="18"/>
  <c r="AD493" i="18"/>
  <c r="AE493" i="18"/>
  <c r="AF493" i="18"/>
  <c r="AG493" i="18"/>
  <c r="AH493" i="18"/>
  <c r="AI493" i="18"/>
  <c r="AJ493" i="18"/>
  <c r="Z494" i="18"/>
  <c r="AA494" i="18"/>
  <c r="AB494" i="18"/>
  <c r="AC494" i="18"/>
  <c r="AD494" i="18"/>
  <c r="AE494" i="18"/>
  <c r="AF494" i="18"/>
  <c r="AG494" i="18"/>
  <c r="AH494" i="18"/>
  <c r="AI494" i="18"/>
  <c r="AJ494" i="18"/>
  <c r="Z497" i="18"/>
  <c r="AA497" i="18"/>
  <c r="AB497" i="18"/>
  <c r="AC497" i="18"/>
  <c r="AD497" i="18"/>
  <c r="AE497" i="18"/>
  <c r="AF497" i="18"/>
  <c r="AG497" i="18"/>
  <c r="AH497" i="18"/>
  <c r="AI497" i="18"/>
  <c r="AJ497" i="18"/>
  <c r="Z507" i="18"/>
  <c r="AA507" i="18"/>
  <c r="AB507" i="18"/>
  <c r="AC507" i="18"/>
  <c r="AD507" i="18"/>
  <c r="AE507" i="18"/>
  <c r="AF507" i="18"/>
  <c r="AG507" i="18"/>
  <c r="AH507" i="18"/>
  <c r="AI507" i="18"/>
  <c r="AJ507" i="18"/>
  <c r="Z514" i="18"/>
  <c r="AA514" i="18"/>
  <c r="AB514" i="18"/>
  <c r="AT514" i="18" s="1"/>
  <c r="AC514" i="18"/>
  <c r="AD514" i="18"/>
  <c r="AE514" i="18"/>
  <c r="AF514" i="18"/>
  <c r="AG514" i="18"/>
  <c r="AH514" i="18"/>
  <c r="AI514" i="18"/>
  <c r="AJ514" i="18"/>
  <c r="Z508" i="18"/>
  <c r="AA508" i="18"/>
  <c r="AB508" i="18"/>
  <c r="AC508" i="18"/>
  <c r="AD508" i="18"/>
  <c r="AE508" i="18"/>
  <c r="AF508" i="18"/>
  <c r="AG508" i="18"/>
  <c r="AH508" i="18"/>
  <c r="AI508" i="18"/>
  <c r="AJ508" i="18"/>
  <c r="Z506" i="18"/>
  <c r="AA506" i="18"/>
  <c r="AB506" i="18"/>
  <c r="AT506" i="18" s="1"/>
  <c r="AC506" i="18"/>
  <c r="AD506" i="18"/>
  <c r="AE506" i="18"/>
  <c r="AF506" i="18"/>
  <c r="AG506" i="18"/>
  <c r="AH506" i="18"/>
  <c r="AI506" i="18"/>
  <c r="AJ506" i="18"/>
  <c r="Z513" i="18"/>
  <c r="AA513" i="18"/>
  <c r="AB513" i="18"/>
  <c r="AT513" i="18" s="1"/>
  <c r="AC513" i="18"/>
  <c r="AD513" i="18"/>
  <c r="AE513" i="18"/>
  <c r="AF513" i="18"/>
  <c r="AG513" i="18"/>
  <c r="AH513" i="18"/>
  <c r="AI513" i="18"/>
  <c r="AJ513" i="18"/>
  <c r="Z509" i="18"/>
  <c r="AA509" i="18"/>
  <c r="AB509" i="18"/>
  <c r="AT509" i="18" s="1"/>
  <c r="AC509" i="18"/>
  <c r="AD509" i="18"/>
  <c r="AE509" i="18"/>
  <c r="AF509" i="18"/>
  <c r="AG509" i="18"/>
  <c r="AH509" i="18"/>
  <c r="AI509" i="18"/>
  <c r="AJ509" i="18"/>
  <c r="Z511" i="18"/>
  <c r="AA511" i="18"/>
  <c r="AB511" i="18"/>
  <c r="AC511" i="18"/>
  <c r="AD511" i="18"/>
  <c r="AE511" i="18"/>
  <c r="AF511" i="18"/>
  <c r="AG511" i="18"/>
  <c r="AH511" i="18"/>
  <c r="AI511" i="18"/>
  <c r="AJ511" i="18"/>
  <c r="Z510" i="18"/>
  <c r="AA510" i="18"/>
  <c r="AB510" i="18"/>
  <c r="AC510" i="18"/>
  <c r="AD510" i="18"/>
  <c r="AE510" i="18"/>
  <c r="AF510" i="18"/>
  <c r="AG510" i="18"/>
  <c r="AH510" i="18"/>
  <c r="AI510" i="18"/>
  <c r="AJ510" i="18"/>
  <c r="Z516" i="18"/>
  <c r="AA516" i="18"/>
  <c r="AB516" i="18"/>
  <c r="AC516" i="18"/>
  <c r="AD516" i="18"/>
  <c r="AE516" i="18"/>
  <c r="AF516" i="18"/>
  <c r="AG516" i="18"/>
  <c r="AH516" i="18"/>
  <c r="AI516" i="18"/>
  <c r="AJ516" i="18"/>
  <c r="Z515" i="18"/>
  <c r="AA515" i="18"/>
  <c r="AB515" i="18"/>
  <c r="AT515" i="18" s="1"/>
  <c r="AC515" i="18"/>
  <c r="AD515" i="18"/>
  <c r="AE515" i="18"/>
  <c r="AI515" i="18"/>
  <c r="AJ515" i="18"/>
  <c r="Z520" i="18"/>
  <c r="AA520" i="18"/>
  <c r="AB520" i="18"/>
  <c r="AT520" i="18" s="1"/>
  <c r="AC520" i="18"/>
  <c r="AD520" i="18"/>
  <c r="AE520" i="18"/>
  <c r="AF520" i="18"/>
  <c r="AG520" i="18"/>
  <c r="AH520" i="18"/>
  <c r="AI520" i="18"/>
  <c r="AJ520" i="18"/>
  <c r="Z518" i="18"/>
  <c r="AA518" i="18"/>
  <c r="AB518" i="18"/>
  <c r="AC518" i="18"/>
  <c r="AD518" i="18"/>
  <c r="AE518" i="18"/>
  <c r="AF518" i="18"/>
  <c r="AG518" i="18"/>
  <c r="AH518" i="18"/>
  <c r="AI518" i="18"/>
  <c r="AJ518" i="18"/>
  <c r="Z517" i="18"/>
  <c r="AA517" i="18"/>
  <c r="AB517" i="18"/>
  <c r="AT517" i="18" s="1"/>
  <c r="AC517" i="18"/>
  <c r="AD517" i="18"/>
  <c r="AE517" i="18"/>
  <c r="AF517" i="18"/>
  <c r="AG517" i="18"/>
  <c r="AH517" i="18"/>
  <c r="AI517" i="18"/>
  <c r="AJ517" i="18"/>
  <c r="Z521" i="18"/>
  <c r="AA521" i="18"/>
  <c r="AB521" i="18"/>
  <c r="AT521" i="18" s="1"/>
  <c r="AC521" i="18"/>
  <c r="AD521" i="18"/>
  <c r="AE521" i="18"/>
  <c r="AF521" i="18"/>
  <c r="AG521" i="18"/>
  <c r="AH521" i="18"/>
  <c r="AI521" i="18"/>
  <c r="AJ521" i="18"/>
  <c r="Z519" i="18"/>
  <c r="AA519" i="18"/>
  <c r="AB519" i="18"/>
  <c r="AT519" i="18" s="1"/>
  <c r="AC519" i="18"/>
  <c r="AD519" i="18"/>
  <c r="AE519" i="18"/>
  <c r="AF519" i="18"/>
  <c r="AG519" i="18"/>
  <c r="AH519" i="18"/>
  <c r="AI519" i="18"/>
  <c r="AJ519" i="18"/>
  <c r="Z528" i="18"/>
  <c r="AA528" i="18"/>
  <c r="AB528" i="18"/>
  <c r="AC528" i="18"/>
  <c r="AD528" i="18"/>
  <c r="AE528" i="18"/>
  <c r="AF528" i="18"/>
  <c r="AG528" i="18"/>
  <c r="AH528" i="18"/>
  <c r="AI528" i="18"/>
  <c r="AJ528" i="18"/>
  <c r="Z523" i="18"/>
  <c r="AA523" i="18"/>
  <c r="AB523" i="18"/>
  <c r="AC523" i="18"/>
  <c r="AD523" i="18"/>
  <c r="AE523" i="18"/>
  <c r="AF523" i="18"/>
  <c r="AG523" i="18"/>
  <c r="AH523" i="18"/>
  <c r="AI523" i="18"/>
  <c r="AJ523" i="18"/>
  <c r="Z524" i="18"/>
  <c r="AA524" i="18"/>
  <c r="AB524" i="18"/>
  <c r="AC524" i="18"/>
  <c r="AD524" i="18"/>
  <c r="AE524" i="18"/>
  <c r="AF524" i="18"/>
  <c r="AG524" i="18"/>
  <c r="AH524" i="18"/>
  <c r="AI524" i="18"/>
  <c r="AJ524" i="18"/>
  <c r="Z525" i="18"/>
  <c r="AA525" i="18"/>
  <c r="AB525" i="18"/>
  <c r="AT525" i="18" s="1"/>
  <c r="AC525" i="18"/>
  <c r="AD525" i="18"/>
  <c r="AE525" i="18"/>
  <c r="AF525" i="18"/>
  <c r="AG525" i="18"/>
  <c r="AH525" i="18"/>
  <c r="AI525" i="18"/>
  <c r="AJ525" i="18"/>
  <c r="Z526" i="18"/>
  <c r="AA526" i="18"/>
  <c r="AB526" i="18"/>
  <c r="AC526" i="18"/>
  <c r="AD526" i="18"/>
  <c r="AE526" i="18"/>
  <c r="AF526" i="18"/>
  <c r="AG526" i="18"/>
  <c r="AH526" i="18"/>
  <c r="AI526" i="18"/>
  <c r="AJ526" i="18"/>
  <c r="Z527" i="18"/>
  <c r="AA527" i="18"/>
  <c r="AB527" i="18"/>
  <c r="AT527" i="18" s="1"/>
  <c r="AC527" i="18"/>
  <c r="AD527" i="18"/>
  <c r="AE527" i="18"/>
  <c r="AF527" i="18"/>
  <c r="AG527" i="18"/>
  <c r="AH527" i="18"/>
  <c r="AI527" i="18"/>
  <c r="AJ527" i="18"/>
  <c r="Z530" i="18"/>
  <c r="AA530" i="18"/>
  <c r="AB530" i="18"/>
  <c r="AT530" i="18" s="1"/>
  <c r="AC530" i="18"/>
  <c r="AD530" i="18"/>
  <c r="AE530" i="18"/>
  <c r="AF530" i="18"/>
  <c r="AG530" i="18"/>
  <c r="AH530" i="18"/>
  <c r="AI530" i="18"/>
  <c r="AJ530" i="18"/>
  <c r="Z531" i="18"/>
  <c r="AA531" i="18"/>
  <c r="AB531" i="18"/>
  <c r="AT531" i="18" s="1"/>
  <c r="AC531" i="18"/>
  <c r="AD531" i="18"/>
  <c r="AE531" i="18"/>
  <c r="AF531" i="18"/>
  <c r="AG531" i="18"/>
  <c r="AH531" i="18"/>
  <c r="AI531" i="18"/>
  <c r="AJ531" i="18"/>
  <c r="AC537" i="18"/>
  <c r="AT537" i="18" s="1"/>
  <c r="AD537" i="18"/>
  <c r="AE537" i="18"/>
  <c r="AF537" i="18"/>
  <c r="AG537" i="18"/>
  <c r="AH537" i="18"/>
  <c r="AI537" i="18"/>
  <c r="AJ537" i="18"/>
  <c r="AC532" i="18"/>
  <c r="AT532" i="18" s="1"/>
  <c r="AD532" i="18"/>
  <c r="AE532" i="18"/>
  <c r="AF532" i="18"/>
  <c r="AG532" i="18"/>
  <c r="AH532" i="18"/>
  <c r="AI532" i="18"/>
  <c r="AJ532" i="18"/>
  <c r="AC536" i="18"/>
  <c r="AT536" i="18" s="1"/>
  <c r="AD536" i="18"/>
  <c r="AE536" i="18"/>
  <c r="AF536" i="18"/>
  <c r="AG536" i="18"/>
  <c r="AH536" i="18"/>
  <c r="AI536" i="18"/>
  <c r="AJ536" i="18"/>
  <c r="AC533" i="18"/>
  <c r="AT533" i="18" s="1"/>
  <c r="AD533" i="18"/>
  <c r="AE533" i="18"/>
  <c r="AF533" i="18"/>
  <c r="AG533" i="18"/>
  <c r="AH533" i="18"/>
  <c r="AI533" i="18"/>
  <c r="AJ533" i="18"/>
  <c r="AC535" i="18"/>
  <c r="AT535" i="18" s="1"/>
  <c r="AD535" i="18"/>
  <c r="AE535" i="18"/>
  <c r="AF535" i="18"/>
  <c r="AG535" i="18"/>
  <c r="AH535" i="18"/>
  <c r="AI535" i="18"/>
  <c r="AJ535" i="18"/>
  <c r="AC538" i="18"/>
  <c r="AT538" i="18" s="1"/>
  <c r="AD538" i="18"/>
  <c r="AE538" i="18"/>
  <c r="AF538" i="18"/>
  <c r="AG538" i="18"/>
  <c r="AH538" i="18"/>
  <c r="AI538" i="18"/>
  <c r="AJ538" i="18"/>
  <c r="AC539" i="18"/>
  <c r="AT539" i="18" s="1"/>
  <c r="AD539" i="18"/>
  <c r="AE539" i="18"/>
  <c r="AF539" i="18"/>
  <c r="AG539" i="18"/>
  <c r="AH539" i="18"/>
  <c r="AI539" i="18"/>
  <c r="AJ539" i="18"/>
  <c r="AC542" i="18"/>
  <c r="AT542" i="18" s="1"/>
  <c r="AD542" i="18"/>
  <c r="AE542" i="18"/>
  <c r="AF542" i="18"/>
  <c r="AG542" i="18"/>
  <c r="AH542" i="18"/>
  <c r="AI542" i="18"/>
  <c r="AJ542" i="18"/>
  <c r="AC540" i="18"/>
  <c r="AT540" i="18" s="1"/>
  <c r="AD540" i="18"/>
  <c r="AE540" i="18"/>
  <c r="AF540" i="18"/>
  <c r="AG540" i="18"/>
  <c r="AH540" i="18"/>
  <c r="AI540" i="18"/>
  <c r="AJ540" i="18"/>
  <c r="AC541" i="18"/>
  <c r="AT541" i="18" s="1"/>
  <c r="AD541" i="18"/>
  <c r="AE541" i="18"/>
  <c r="AF541" i="18"/>
  <c r="AG541" i="18"/>
  <c r="AH541" i="18"/>
  <c r="AI541" i="18"/>
  <c r="AJ541" i="18"/>
  <c r="AC544" i="18"/>
  <c r="AT544" i="18" s="1"/>
  <c r="AD544" i="18"/>
  <c r="AE544" i="18"/>
  <c r="AF544" i="18"/>
  <c r="AG544" i="18"/>
  <c r="AH544" i="18"/>
  <c r="AI544" i="18"/>
  <c r="AJ544" i="18"/>
  <c r="AC543" i="18"/>
  <c r="AT543" i="18" s="1"/>
  <c r="AD543" i="18"/>
  <c r="AE543" i="18"/>
  <c r="AF543" i="18"/>
  <c r="AG543" i="18"/>
  <c r="AH543" i="18"/>
  <c r="AI543" i="18"/>
  <c r="AJ543" i="18"/>
  <c r="Z147" i="18"/>
  <c r="AA147" i="18"/>
  <c r="AB147" i="18"/>
  <c r="AC147" i="18"/>
  <c r="AD147" i="18"/>
  <c r="AE147" i="18"/>
  <c r="AF147" i="18"/>
  <c r="AG147" i="18"/>
  <c r="AH147" i="18"/>
  <c r="AI147" i="18"/>
  <c r="AJ147" i="18"/>
  <c r="Z172" i="18"/>
  <c r="AA172" i="18"/>
  <c r="AB172" i="18"/>
  <c r="AC172" i="18"/>
  <c r="AD172" i="18"/>
  <c r="AE172" i="18"/>
  <c r="AF172" i="18"/>
  <c r="AG172" i="18"/>
  <c r="AH172" i="18"/>
  <c r="AI172" i="18"/>
  <c r="AJ172" i="18"/>
  <c r="Y4" i="18"/>
  <c r="Y5" i="18"/>
  <c r="Y6" i="18"/>
  <c r="Y8" i="18"/>
  <c r="Y20" i="18"/>
  <c r="Y21" i="18"/>
  <c r="Y27" i="18"/>
  <c r="Y26" i="18"/>
  <c r="Y28" i="18"/>
  <c r="Y13" i="18"/>
  <c r="Y11" i="18"/>
  <c r="Y14" i="18"/>
  <c r="Y19" i="18"/>
  <c r="Y25" i="18"/>
  <c r="Y15" i="18"/>
  <c r="Y16" i="18"/>
  <c r="Y17" i="18"/>
  <c r="Y18" i="18"/>
  <c r="Y22" i="18"/>
  <c r="Y12" i="18"/>
  <c r="Y73" i="18"/>
  <c r="Y74" i="18"/>
  <c r="Y75" i="18"/>
  <c r="Y72" i="18"/>
  <c r="Y71" i="18"/>
  <c r="Y69" i="18"/>
  <c r="Y76" i="18"/>
  <c r="Y77" i="18"/>
  <c r="Y79" i="18"/>
  <c r="Y82" i="18"/>
  <c r="Y99" i="18"/>
  <c r="Y96" i="18"/>
  <c r="Y125" i="18"/>
  <c r="Y115" i="18"/>
  <c r="Y7" i="18"/>
  <c r="Y110" i="18"/>
  <c r="Y127" i="18"/>
  <c r="Y114" i="18"/>
  <c r="Y123" i="18"/>
  <c r="Y116" i="18"/>
  <c r="Y106" i="18"/>
  <c r="Y112" i="18"/>
  <c r="Y124" i="18"/>
  <c r="Y107" i="18"/>
  <c r="Y111" i="18"/>
  <c r="Y122" i="18"/>
  <c r="Y138" i="18"/>
  <c r="Y141" i="18"/>
  <c r="Y167" i="18"/>
  <c r="Y229" i="18"/>
  <c r="Y231" i="18"/>
  <c r="Y234" i="18"/>
  <c r="Y233" i="18"/>
  <c r="Y236" i="18"/>
  <c r="Y237" i="18"/>
  <c r="Y235" i="18"/>
  <c r="Y270" i="18"/>
  <c r="Y257" i="18"/>
  <c r="Y266" i="18"/>
  <c r="Y264" i="18"/>
  <c r="Y262" i="18"/>
  <c r="Y258" i="18"/>
  <c r="Y255" i="18"/>
  <c r="Y263" i="18"/>
  <c r="Y261" i="18"/>
  <c r="Y259" i="18"/>
  <c r="Y254" i="18"/>
  <c r="Y260" i="18"/>
  <c r="Y238" i="18"/>
  <c r="Y251" i="18"/>
  <c r="Y242" i="18"/>
  <c r="Y247" i="18"/>
  <c r="Y252" i="18"/>
  <c r="Y274" i="18"/>
  <c r="Y275" i="18"/>
  <c r="Y276" i="18"/>
  <c r="Y277" i="18"/>
  <c r="Y281" i="18"/>
  <c r="Y280" i="18"/>
  <c r="Y279" i="18"/>
  <c r="Y278" i="18"/>
  <c r="Y282" i="18"/>
  <c r="Y283" i="18"/>
  <c r="Y284" i="18"/>
  <c r="Y287" i="18"/>
  <c r="Y288" i="18"/>
  <c r="Y289" i="18"/>
  <c r="Y291" i="18"/>
  <c r="Y299" i="18"/>
  <c r="Y290" i="18"/>
  <c r="Y296" i="18"/>
  <c r="Y295" i="18"/>
  <c r="Y294" i="18"/>
  <c r="Y303" i="18"/>
  <c r="Y311" i="18"/>
  <c r="Y315" i="18"/>
  <c r="Y307" i="18"/>
  <c r="Y309" i="18"/>
  <c r="Y312" i="18"/>
  <c r="Y314" i="18"/>
  <c r="Y316" i="18"/>
  <c r="Y305" i="18"/>
  <c r="Y306" i="18"/>
  <c r="Y308" i="18"/>
  <c r="Y318" i="18"/>
  <c r="Y319" i="18"/>
  <c r="Y320" i="18"/>
  <c r="Y321" i="18"/>
  <c r="Y313" i="18"/>
  <c r="Y322" i="18"/>
  <c r="Y325" i="18"/>
  <c r="Y324" i="18"/>
  <c r="Y327" i="18"/>
  <c r="Y326" i="18"/>
  <c r="Y328" i="18"/>
  <c r="Y344" i="18"/>
  <c r="Y341" i="18"/>
  <c r="Y330" i="18"/>
  <c r="Y343" i="18"/>
  <c r="Y332" i="18"/>
  <c r="Y342" i="18"/>
  <c r="Y331" i="18"/>
  <c r="Y334" i="18"/>
  <c r="Y335" i="18"/>
  <c r="Y338" i="18"/>
  <c r="Y336" i="18"/>
  <c r="Y337" i="18"/>
  <c r="Y333" i="18"/>
  <c r="Y339" i="18"/>
  <c r="Y329" i="18"/>
  <c r="Y348" i="18"/>
  <c r="Y347" i="18"/>
  <c r="Y353" i="18"/>
  <c r="Y351" i="18"/>
  <c r="Y349" i="18"/>
  <c r="Y350" i="18"/>
  <c r="Y354" i="18"/>
  <c r="Y355" i="18"/>
  <c r="Y361" i="18"/>
  <c r="Y362" i="18"/>
  <c r="Y360" i="18"/>
  <c r="Y363" i="18"/>
  <c r="Y359" i="18"/>
  <c r="Y358" i="18"/>
  <c r="Y374" i="18"/>
  <c r="Y373" i="18"/>
  <c r="Y371" i="18"/>
  <c r="Y372" i="18"/>
  <c r="Y375" i="18"/>
  <c r="Y368" i="18"/>
  <c r="Y376" i="18"/>
  <c r="Y377" i="18"/>
  <c r="Y367" i="18"/>
  <c r="Y378" i="18"/>
  <c r="Y386" i="18"/>
  <c r="Y382" i="18"/>
  <c r="Y403" i="18"/>
  <c r="Y390" i="18"/>
  <c r="Y393" i="18"/>
  <c r="Y398" i="18"/>
  <c r="Y130" i="18"/>
  <c r="Y394" i="18"/>
  <c r="Y389" i="18"/>
  <c r="Y401" i="18"/>
  <c r="Y400" i="18"/>
  <c r="Y404" i="18"/>
  <c r="Y399" i="18"/>
  <c r="Y391" i="18"/>
  <c r="Y395" i="18"/>
  <c r="Y397" i="18"/>
  <c r="Y396" i="18"/>
  <c r="Y405" i="18"/>
  <c r="Y412" i="18"/>
  <c r="Y409" i="18"/>
  <c r="Y411" i="18"/>
  <c r="Y410" i="18"/>
  <c r="Y417" i="18"/>
  <c r="Y414" i="18"/>
  <c r="Y416" i="18"/>
  <c r="Y418" i="18"/>
  <c r="Y413" i="18"/>
  <c r="Y423" i="18"/>
  <c r="Y424" i="18"/>
  <c r="Y419" i="18"/>
  <c r="Y425" i="18"/>
  <c r="Y428" i="18"/>
  <c r="Y429" i="18"/>
  <c r="Y447" i="18"/>
  <c r="Y436" i="18"/>
  <c r="Y448" i="18"/>
  <c r="Y434" i="18"/>
  <c r="Y435" i="18"/>
  <c r="Y433" i="18"/>
  <c r="Y446" i="18"/>
  <c r="Y441" i="18"/>
  <c r="Y444" i="18"/>
  <c r="Y432" i="18"/>
  <c r="Y442" i="18"/>
  <c r="Y449" i="18"/>
  <c r="Y445" i="18"/>
  <c r="Y437" i="18"/>
  <c r="Y438" i="18"/>
  <c r="Y430" i="18"/>
  <c r="Y451" i="18"/>
  <c r="Y454" i="18"/>
  <c r="Y455" i="18"/>
  <c r="Y452" i="18"/>
  <c r="Y453" i="18"/>
  <c r="Y461" i="18"/>
  <c r="Y457" i="18"/>
  <c r="Y458" i="18"/>
  <c r="Y459" i="18"/>
  <c r="Y462" i="18"/>
  <c r="Y460" i="18"/>
  <c r="Y464" i="18"/>
  <c r="Y465" i="18"/>
  <c r="Y466" i="18"/>
  <c r="Y475" i="18"/>
  <c r="Y473" i="18"/>
  <c r="Y472" i="18"/>
  <c r="Y470" i="18"/>
  <c r="Y467" i="18"/>
  <c r="Y474" i="18"/>
  <c r="Y468" i="18"/>
  <c r="Y471" i="18"/>
  <c r="Y469" i="18"/>
  <c r="Y489" i="18"/>
  <c r="Y488" i="18"/>
  <c r="Y490" i="18"/>
  <c r="Y480" i="18"/>
  <c r="Y477" i="18"/>
  <c r="Y478" i="18"/>
  <c r="Y479" i="18"/>
  <c r="Y482" i="18"/>
  <c r="Y484" i="18"/>
  <c r="Y483" i="18"/>
  <c r="Y481" i="18"/>
  <c r="Y476" i="18"/>
  <c r="Y505" i="18"/>
  <c r="Y502" i="18"/>
  <c r="Y503" i="18"/>
  <c r="Y504" i="18"/>
  <c r="Y498" i="18"/>
  <c r="Y495" i="18"/>
  <c r="Y496" i="18"/>
  <c r="Y499" i="18"/>
  <c r="Y500" i="18"/>
  <c r="Y501" i="18"/>
  <c r="Y492" i="18"/>
  <c r="Y493" i="18"/>
  <c r="Y494" i="18"/>
  <c r="Y497" i="18"/>
  <c r="Y507" i="18"/>
  <c r="Y514" i="18"/>
  <c r="Y508" i="18"/>
  <c r="Y506" i="18"/>
  <c r="Y513" i="18"/>
  <c r="Y509" i="18"/>
  <c r="Y511" i="18"/>
  <c r="Y510" i="18"/>
  <c r="Y516" i="18"/>
  <c r="Y515" i="18"/>
  <c r="Y520" i="18"/>
  <c r="Y519" i="18"/>
  <c r="Y528" i="18"/>
  <c r="Y523" i="18"/>
  <c r="Y524" i="18"/>
  <c r="Y525" i="18"/>
  <c r="Y526" i="18"/>
  <c r="Y527" i="18"/>
  <c r="Y530" i="18"/>
  <c r="Y531" i="18"/>
  <c r="Y147" i="18"/>
  <c r="Y172" i="18"/>
  <c r="Y3" i="18"/>
  <c r="AT358" i="18" l="1"/>
  <c r="AT526" i="18"/>
  <c r="AT518" i="18"/>
  <c r="AT508" i="18"/>
  <c r="AT500" i="18"/>
  <c r="AT505" i="18"/>
  <c r="AT477" i="18"/>
  <c r="AT474" i="18"/>
  <c r="AT464" i="18"/>
  <c r="AT452" i="18"/>
  <c r="AT165" i="18"/>
  <c r="AT171" i="18"/>
  <c r="AT172" i="18"/>
  <c r="AT523" i="18"/>
  <c r="AT510" i="18"/>
  <c r="AT497" i="18"/>
  <c r="AT495" i="18"/>
  <c r="AT483" i="18"/>
  <c r="AT488" i="18"/>
  <c r="AT472" i="18"/>
  <c r="AT459" i="18"/>
  <c r="AT451" i="18"/>
  <c r="AT437" i="18"/>
  <c r="AT448" i="18"/>
  <c r="AT397" i="18"/>
  <c r="AT401" i="18"/>
  <c r="AT368" i="18"/>
  <c r="AT375" i="18"/>
  <c r="AT373" i="18"/>
  <c r="AT354" i="18"/>
  <c r="AT332" i="18"/>
  <c r="AT341" i="18"/>
  <c r="AT325" i="18"/>
  <c r="AT313" i="18"/>
  <c r="AT289" i="18"/>
  <c r="AT280" i="18"/>
  <c r="AT258" i="18"/>
  <c r="AT266" i="18"/>
  <c r="AT237" i="18"/>
  <c r="AT203" i="18"/>
  <c r="AT157" i="18"/>
  <c r="AT155" i="18"/>
  <c r="AT107" i="18"/>
  <c r="AT7" i="18"/>
  <c r="AT70" i="18"/>
  <c r="AT130" i="18"/>
  <c r="AT390" i="18"/>
  <c r="AT359" i="18"/>
  <c r="AT339" i="18"/>
  <c r="AT338" i="18"/>
  <c r="AT322" i="18"/>
  <c r="AT319" i="18"/>
  <c r="AT314" i="18"/>
  <c r="AT284" i="18"/>
  <c r="AT275" i="18"/>
  <c r="AT234" i="18"/>
  <c r="AX231" i="18"/>
  <c r="AT219" i="18"/>
  <c r="AT201" i="18"/>
  <c r="AT168" i="18"/>
  <c r="AT170" i="18"/>
  <c r="AT147" i="18"/>
  <c r="AT528" i="18"/>
  <c r="AT511" i="18"/>
  <c r="AT494" i="18"/>
  <c r="AT498" i="18"/>
  <c r="AT484" i="18"/>
  <c r="AT489" i="18"/>
  <c r="AT473" i="18"/>
  <c r="AT458" i="18"/>
  <c r="AT430" i="18"/>
  <c r="AT445" i="18"/>
  <c r="AT432" i="18"/>
  <c r="AT436" i="18"/>
  <c r="AT395" i="18"/>
  <c r="AT389" i="18"/>
  <c r="AT398" i="18"/>
  <c r="AT372" i="18"/>
  <c r="AT374" i="18"/>
  <c r="AT347" i="18"/>
  <c r="AT344" i="18"/>
  <c r="AT321" i="18"/>
  <c r="AT316" i="18"/>
  <c r="AT288" i="18"/>
  <c r="AT281" i="18"/>
  <c r="AT277" i="18"/>
  <c r="AT236" i="18"/>
  <c r="AT216" i="18"/>
  <c r="AT204" i="18"/>
  <c r="AT176" i="18"/>
  <c r="AT174" i="18"/>
  <c r="AT167" i="18"/>
  <c r="AT123" i="18"/>
  <c r="AT115" i="18"/>
  <c r="AT71" i="18"/>
  <c r="AT74" i="18"/>
  <c r="AT524" i="18"/>
  <c r="AT516" i="18"/>
  <c r="AT507" i="18"/>
  <c r="AT496" i="18"/>
  <c r="AT481" i="18"/>
  <c r="AT490" i="18"/>
  <c r="AT470" i="18"/>
  <c r="AT462" i="18"/>
  <c r="AT454" i="18"/>
  <c r="AT396" i="18"/>
  <c r="AT400" i="18"/>
  <c r="AT376" i="18"/>
  <c r="AT362" i="18"/>
  <c r="AT342" i="18"/>
  <c r="AT330" i="18"/>
  <c r="AT324" i="18"/>
  <c r="AT279" i="18"/>
  <c r="AT264" i="18"/>
  <c r="AT226" i="18"/>
  <c r="AT217" i="18"/>
  <c r="AT175" i="18"/>
  <c r="AT169" i="18"/>
  <c r="AT135" i="18"/>
  <c r="AT111" i="18"/>
  <c r="AT116" i="18"/>
  <c r="AT69" i="18"/>
  <c r="AT3" i="18"/>
  <c r="AR535" i="18"/>
  <c r="AR533" i="18"/>
  <c r="AR536" i="18"/>
  <c r="AR532" i="18"/>
  <c r="AR539" i="18"/>
  <c r="AR538" i="18"/>
  <c r="AR537" i="18"/>
  <c r="AR518" i="18"/>
  <c r="AR438" i="18"/>
  <c r="AR437" i="18"/>
  <c r="AR199" i="18" l="1"/>
  <c r="AR179" i="18"/>
  <c r="AR200" i="18"/>
  <c r="AN438" i="18" l="1"/>
  <c r="AN231" i="18"/>
  <c r="AN179" i="18"/>
  <c r="AN437" i="18"/>
  <c r="AN200" i="18"/>
  <c r="AN199" i="18"/>
  <c r="AN229" i="18"/>
  <c r="AR95" i="18" l="1"/>
  <c r="AR170" i="18"/>
  <c r="AR167" i="18"/>
  <c r="AR442" i="18" l="1"/>
  <c r="AR451" i="18" l="1"/>
  <c r="AN442" i="18" l="1"/>
  <c r="AN451" i="18"/>
  <c r="AR441" i="18" l="1"/>
  <c r="AR40" i="18" l="1"/>
  <c r="AR309" i="18" l="1"/>
  <c r="AR307" i="18"/>
  <c r="AR511" i="18" l="1"/>
  <c r="AR293" i="18" l="1"/>
  <c r="K20" i="6" l="1"/>
  <c r="K22" i="6" s="1"/>
  <c r="L20" i="6"/>
  <c r="L22" i="6" s="1"/>
  <c r="N20" i="6"/>
  <c r="N22" i="6" l="1"/>
  <c r="N23" i="6" s="1"/>
  <c r="N24" i="6"/>
  <c r="AR305" i="18" l="1"/>
  <c r="AR308" i="18"/>
  <c r="AR306" i="18"/>
  <c r="AR435" i="18" l="1"/>
  <c r="AR69" i="18" l="1"/>
  <c r="AR13" i="18" l="1"/>
  <c r="AR436" i="18" l="1"/>
  <c r="AR421" i="18" l="1"/>
  <c r="AR506" i="18" l="1"/>
  <c r="AR15" i="18"/>
  <c r="C4" i="6"/>
  <c r="E4" i="6"/>
  <c r="N4" i="6"/>
  <c r="N6" i="6" s="1"/>
  <c r="D20" i="6"/>
  <c r="E20" i="6"/>
  <c r="F20" i="6"/>
  <c r="G20" i="6"/>
  <c r="H20" i="6"/>
  <c r="C20" i="6"/>
  <c r="C12" i="6"/>
  <c r="D12" i="6"/>
  <c r="E12" i="6"/>
  <c r="M20" i="6"/>
  <c r="J20" i="6"/>
  <c r="I20" i="6"/>
  <c r="F12" i="6"/>
  <c r="G12" i="6"/>
  <c r="H12" i="6"/>
  <c r="J12" i="6"/>
  <c r="K12" i="6"/>
  <c r="K14" i="6" s="1"/>
  <c r="L12" i="6"/>
  <c r="L14" i="6" s="1"/>
  <c r="N12" i="6"/>
  <c r="O19" i="6"/>
  <c r="O11" i="6"/>
  <c r="O3" i="6"/>
  <c r="L4" i="6" l="1"/>
  <c r="L6" i="6" s="1"/>
  <c r="K4" i="6"/>
  <c r="K6" i="6" s="1"/>
  <c r="J4" i="6"/>
  <c r="J6" i="6" s="1"/>
  <c r="G16" i="6"/>
  <c r="M12" i="6"/>
  <c r="M16" i="6" s="1"/>
  <c r="M4" i="6"/>
  <c r="M6" i="6" s="1"/>
  <c r="K16" i="6"/>
  <c r="J16" i="6"/>
  <c r="H16" i="6"/>
  <c r="F16" i="6"/>
  <c r="D16" i="6"/>
  <c r="L16" i="6"/>
  <c r="I16" i="6"/>
  <c r="E16" i="6"/>
  <c r="AN40" i="18"/>
  <c r="AN441" i="18"/>
  <c r="K24" i="6"/>
  <c r="H24" i="6"/>
  <c r="D24" i="6"/>
  <c r="C16" i="6"/>
  <c r="I24" i="6"/>
  <c r="M24" i="6"/>
  <c r="F24" i="6"/>
  <c r="J24" i="6"/>
  <c r="L24" i="6"/>
  <c r="C24" i="6"/>
  <c r="G24" i="6"/>
  <c r="E24" i="6"/>
  <c r="N14" i="6"/>
  <c r="N15" i="6" s="1"/>
  <c r="N16" i="6"/>
  <c r="I4" i="6"/>
  <c r="I6" i="6" s="1"/>
  <c r="AN307" i="18"/>
  <c r="AN293" i="18"/>
  <c r="AN511" i="18"/>
  <c r="G4" i="6"/>
  <c r="F4" i="6"/>
  <c r="D4" i="6"/>
  <c r="L23" i="6"/>
  <c r="H4" i="6"/>
  <c r="AN17" i="18"/>
  <c r="AN16" i="18"/>
  <c r="AN18" i="18"/>
  <c r="AN305" i="18"/>
  <c r="AN306" i="18"/>
  <c r="AN69" i="18"/>
  <c r="AN435" i="18"/>
  <c r="AN13" i="18"/>
  <c r="AN421" i="18"/>
  <c r="AN436" i="18"/>
  <c r="K23" i="6"/>
  <c r="J22" i="6"/>
  <c r="J23" i="6" s="1"/>
  <c r="I22" i="6"/>
  <c r="I23" i="6" s="1"/>
  <c r="M22" i="6"/>
  <c r="M23" i="6" s="1"/>
  <c r="G14" i="6"/>
  <c r="G15" i="6" s="1"/>
  <c r="C14" i="6"/>
  <c r="C15" i="6" s="1"/>
  <c r="G22" i="6"/>
  <c r="G23" i="6" s="1"/>
  <c r="H22" i="6"/>
  <c r="H23" i="6" s="1"/>
  <c r="J14" i="6"/>
  <c r="J15" i="6" s="1"/>
  <c r="F14" i="6"/>
  <c r="F15" i="6" s="1"/>
  <c r="I14" i="6"/>
  <c r="I15" i="6" s="1"/>
  <c r="D14" i="6"/>
  <c r="D15" i="6" s="1"/>
  <c r="L15" i="6"/>
  <c r="H14" i="6"/>
  <c r="H15" i="6" s="1"/>
  <c r="AR172" i="18"/>
  <c r="AR543" i="18"/>
  <c r="AR542" i="18"/>
  <c r="AR79" i="18"/>
  <c r="AR76" i="18"/>
  <c r="AR74" i="18"/>
  <c r="AR72" i="18"/>
  <c r="AR70" i="18"/>
  <c r="AR65" i="18"/>
  <c r="AR62" i="18"/>
  <c r="AR58" i="18"/>
  <c r="AR53" i="18"/>
  <c r="AR51" i="18"/>
  <c r="AR46" i="18"/>
  <c r="AR42" i="18"/>
  <c r="AR41" i="18"/>
  <c r="AR38" i="18"/>
  <c r="AR36" i="18"/>
  <c r="AR34" i="18"/>
  <c r="AR32" i="18"/>
  <c r="AR30" i="18"/>
  <c r="AR28" i="18"/>
  <c r="AR26" i="18"/>
  <c r="AR22" i="18"/>
  <c r="AR20" i="18"/>
  <c r="AR18" i="18"/>
  <c r="F22" i="6"/>
  <c r="F23" i="6" s="1"/>
  <c r="D22" i="6"/>
  <c r="D23" i="6" s="1"/>
  <c r="AR94" i="18"/>
  <c r="AR103" i="18"/>
  <c r="AR99" i="18"/>
  <c r="AR97" i="18"/>
  <c r="AR544" i="18"/>
  <c r="AR541" i="18"/>
  <c r="AR116" i="18"/>
  <c r="AR101" i="18"/>
  <c r="AR98" i="18"/>
  <c r="AR96" i="18"/>
  <c r="AR82" i="18"/>
  <c r="AR77" i="18"/>
  <c r="AR75" i="18"/>
  <c r="AR73" i="18"/>
  <c r="AR71" i="18"/>
  <c r="AR68" i="18"/>
  <c r="AR63" i="18"/>
  <c r="AR60" i="18"/>
  <c r="AR55" i="18"/>
  <c r="AR52" i="18"/>
  <c r="AR50" i="18"/>
  <c r="AR12" i="18"/>
  <c r="AR45" i="18"/>
  <c r="AR39" i="18"/>
  <c r="AR37" i="18"/>
  <c r="AR35" i="18"/>
  <c r="AR33" i="18"/>
  <c r="AR31" i="18"/>
  <c r="AR29" i="18"/>
  <c r="AR27" i="18"/>
  <c r="AR25" i="18"/>
  <c r="AR21" i="18"/>
  <c r="AR19" i="18"/>
  <c r="AR17" i="18"/>
  <c r="AR14" i="18"/>
  <c r="AR3" i="18"/>
  <c r="AR117" i="18"/>
  <c r="AR129" i="18"/>
  <c r="AR118" i="18"/>
  <c r="AR16" i="18"/>
  <c r="AR11" i="18"/>
  <c r="AR540" i="18"/>
  <c r="AN172" i="18"/>
  <c r="AN539" i="18"/>
  <c r="AN540" i="18"/>
  <c r="AN541" i="18"/>
  <c r="AN542" i="18"/>
  <c r="AN544" i="18"/>
  <c r="AN543" i="18"/>
  <c r="AN3" i="18"/>
  <c r="AN11" i="18"/>
  <c r="AN14" i="18"/>
  <c r="AN15" i="18"/>
  <c r="AN19" i="18"/>
  <c r="AN20" i="18"/>
  <c r="AN21" i="18"/>
  <c r="AN22" i="18"/>
  <c r="AN25" i="18"/>
  <c r="AN26" i="18"/>
  <c r="AN27" i="18"/>
  <c r="AN28" i="18"/>
  <c r="AN29" i="18"/>
  <c r="AN30" i="18"/>
  <c r="AN31" i="18"/>
  <c r="AN32" i="18"/>
  <c r="AN33" i="18"/>
  <c r="AN34" i="18"/>
  <c r="AN35" i="18"/>
  <c r="AN36" i="18"/>
  <c r="AN37" i="18"/>
  <c r="AN38" i="18"/>
  <c r="AN39" i="18"/>
  <c r="AN41" i="18"/>
  <c r="AN45" i="18"/>
  <c r="AN42" i="18"/>
  <c r="AN12" i="18"/>
  <c r="AN46" i="18"/>
  <c r="AN50" i="18"/>
  <c r="AN51" i="18"/>
  <c r="AN52" i="18"/>
  <c r="AN53" i="18"/>
  <c r="AN55" i="18"/>
  <c r="AN58" i="18"/>
  <c r="AN60" i="18"/>
  <c r="AN62" i="18"/>
  <c r="AN63" i="18"/>
  <c r="AN68" i="18"/>
  <c r="AN70" i="18"/>
  <c r="AN71" i="18"/>
  <c r="AN72" i="18"/>
  <c r="AN73" i="18"/>
  <c r="AN74" i="18"/>
  <c r="AN75" i="18"/>
  <c r="AN76" i="18"/>
  <c r="AN77" i="18"/>
  <c r="AN79" i="18"/>
  <c r="AN82" i="18"/>
  <c r="AN94" i="18"/>
  <c r="AN96" i="18"/>
  <c r="AN97" i="18"/>
  <c r="AN98" i="18"/>
  <c r="AN99" i="18"/>
  <c r="AN101" i="18"/>
  <c r="AN103" i="18"/>
  <c r="AN129" i="18"/>
  <c r="AN116" i="18"/>
  <c r="AN117" i="18"/>
  <c r="AN118" i="18"/>
  <c r="AN506" i="18"/>
  <c r="AN130" i="18"/>
  <c r="AN315" i="18"/>
  <c r="AN495" i="18"/>
  <c r="AN146" i="18"/>
  <c r="AR281" i="18"/>
  <c r="AR237" i="18"/>
  <c r="AR287" i="18"/>
  <c r="AR280" i="18"/>
  <c r="AR278" i="18"/>
  <c r="AR501" i="18"/>
  <c r="AR353" i="18"/>
  <c r="AR526" i="18"/>
  <c r="AR498" i="18"/>
  <c r="AR412" i="18"/>
  <c r="AR474" i="18"/>
  <c r="AR459" i="18"/>
  <c r="AR399" i="18"/>
  <c r="AR497" i="18"/>
  <c r="AR202" i="18"/>
  <c r="AR186" i="18"/>
  <c r="AR185" i="18"/>
  <c r="AR165" i="18"/>
  <c r="AR163" i="18"/>
  <c r="AN530" i="18"/>
  <c r="AN465" i="18"/>
  <c r="AN336" i="18"/>
  <c r="AN266" i="18"/>
  <c r="AN478" i="18"/>
  <c r="AN520" i="18"/>
  <c r="AN422" i="18"/>
  <c r="AN343" i="18"/>
  <c r="AN227" i="18"/>
  <c r="AR343" i="18"/>
  <c r="AR510" i="18"/>
  <c r="AR203" i="18"/>
  <c r="AR465" i="18"/>
  <c r="AR316" i="18"/>
  <c r="AR242" i="18"/>
  <c r="AR360" i="18"/>
  <c r="AR288" i="18"/>
  <c r="AR247" i="18"/>
  <c r="AR505" i="18"/>
  <c r="AR473" i="18"/>
  <c r="AR453" i="18"/>
  <c r="AR416" i="18"/>
  <c r="AR409" i="18"/>
  <c r="AR344" i="18"/>
  <c r="AR312" i="18"/>
  <c r="AR295" i="18"/>
  <c r="AR479" i="18"/>
  <c r="AR377" i="18"/>
  <c r="AR375" i="18"/>
  <c r="AR363" i="18"/>
  <c r="AR329" i="18"/>
  <c r="AR325" i="18"/>
  <c r="AR254" i="18"/>
  <c r="AR261" i="18"/>
  <c r="AR264" i="18"/>
  <c r="AR257" i="18"/>
  <c r="AR251" i="18"/>
  <c r="AR125" i="18"/>
  <c r="AR122" i="18"/>
  <c r="AR115" i="18"/>
  <c r="AR482" i="18"/>
  <c r="AR112" i="18"/>
  <c r="AR500" i="18"/>
  <c r="AR444" i="18"/>
  <c r="AR411" i="18"/>
  <c r="AR289" i="18"/>
  <c r="AR213" i="18"/>
  <c r="AR528" i="18"/>
  <c r="AR493" i="18"/>
  <c r="AR488" i="18"/>
  <c r="AR458" i="18"/>
  <c r="AR462" i="18"/>
  <c r="AR391" i="18"/>
  <c r="AR389" i="18"/>
  <c r="AR332" i="18"/>
  <c r="AR330" i="18"/>
  <c r="AR158" i="18"/>
  <c r="AR152" i="18"/>
  <c r="AR135" i="18"/>
  <c r="AR164" i="18"/>
  <c r="AN505" i="18"/>
  <c r="AN447" i="18"/>
  <c r="AN364" i="18"/>
  <c r="AN288" i="18"/>
  <c r="AN186" i="18"/>
  <c r="AN110" i="18"/>
  <c r="AR509" i="18"/>
  <c r="AR374" i="18"/>
  <c r="AR338" i="18"/>
  <c r="AR333" i="18"/>
  <c r="AR318" i="18"/>
  <c r="AR313" i="18"/>
  <c r="AR259" i="18"/>
  <c r="AR266" i="18"/>
  <c r="AR149" i="18"/>
  <c r="AR151" i="18"/>
  <c r="AR113" i="18"/>
  <c r="AR107" i="18"/>
  <c r="AR147" i="18"/>
  <c r="AR476" i="18"/>
  <c r="AR445" i="18"/>
  <c r="AR423" i="18"/>
  <c r="AR393" i="18"/>
  <c r="AR331" i="18"/>
  <c r="AR519" i="18"/>
  <c r="AR520" i="18"/>
  <c r="AR468" i="18"/>
  <c r="AR466" i="18"/>
  <c r="AR464" i="18"/>
  <c r="AR457" i="18"/>
  <c r="AR454" i="18"/>
  <c r="AR433" i="18"/>
  <c r="AR449" i="18"/>
  <c r="AR428" i="18"/>
  <c r="AR414" i="18"/>
  <c r="AR417" i="18"/>
  <c r="AR390" i="18"/>
  <c r="AR378" i="18"/>
  <c r="AR367" i="18"/>
  <c r="AR364" i="18"/>
  <c r="AR336" i="18"/>
  <c r="AR337" i="18"/>
  <c r="AR299" i="18"/>
  <c r="AR279" i="18"/>
  <c r="AR275" i="18"/>
  <c r="AR258" i="18"/>
  <c r="AR235" i="18"/>
  <c r="AR232" i="18"/>
  <c r="AR227" i="18"/>
  <c r="AR217" i="18"/>
  <c r="AR215" i="18"/>
  <c r="AR6" i="18"/>
  <c r="AR198" i="18"/>
  <c r="AR184" i="18"/>
  <c r="AR171" i="18"/>
  <c r="AR166" i="18"/>
  <c r="AR157" i="18"/>
  <c r="AR145" i="18"/>
  <c r="AR141" i="18"/>
  <c r="AR137" i="18"/>
  <c r="AR124" i="18"/>
  <c r="AR483" i="18"/>
  <c r="AR448" i="18"/>
  <c r="AR382" i="18"/>
  <c r="AR335" i="18"/>
  <c r="AR527" i="18"/>
  <c r="AR525" i="18"/>
  <c r="AR521" i="18"/>
  <c r="AR515" i="18"/>
  <c r="AR516" i="18"/>
  <c r="AR504" i="18"/>
  <c r="AR502" i="18"/>
  <c r="AR499" i="18"/>
  <c r="AR496" i="18"/>
  <c r="AR494" i="18"/>
  <c r="AR469" i="18"/>
  <c r="AR432" i="18"/>
  <c r="AR434" i="18"/>
  <c r="AR430" i="18"/>
  <c r="AR398" i="18"/>
  <c r="AR394" i="18"/>
  <c r="AR358" i="18"/>
  <c r="AR354" i="18"/>
  <c r="AR349" i="18"/>
  <c r="AR328" i="18"/>
  <c r="AR326" i="18"/>
  <c r="AR322" i="18"/>
  <c r="AR321" i="18"/>
  <c r="AR319" i="18"/>
  <c r="AR303" i="18"/>
  <c r="AR255" i="18"/>
  <c r="AR238" i="18"/>
  <c r="AR236" i="18"/>
  <c r="AR231" i="18"/>
  <c r="AR219" i="18"/>
  <c r="AR174" i="18"/>
  <c r="AR156" i="18"/>
  <c r="AR162" i="18"/>
  <c r="AR155" i="18"/>
  <c r="AR143" i="18"/>
  <c r="AR114" i="18"/>
  <c r="AR123" i="18"/>
  <c r="AR120" i="18"/>
  <c r="AR8" i="18"/>
  <c r="AR233" i="18"/>
  <c r="AR507" i="18"/>
  <c r="AR480" i="18"/>
  <c r="AR531" i="18"/>
  <c r="AR517" i="18"/>
  <c r="AR467" i="18"/>
  <c r="AR446" i="18"/>
  <c r="AR429" i="18"/>
  <c r="AR420" i="18"/>
  <c r="AR419" i="18"/>
  <c r="AR413" i="18"/>
  <c r="AR410" i="18"/>
  <c r="AR376" i="18"/>
  <c r="AR368" i="18"/>
  <c r="AR347" i="18"/>
  <c r="AR327" i="18"/>
  <c r="AR290" i="18"/>
  <c r="AR283" i="18"/>
  <c r="AR234" i="18"/>
  <c r="AR5" i="18"/>
  <c r="AR187" i="18"/>
  <c r="AR180" i="18"/>
  <c r="AR176" i="18"/>
  <c r="AR136" i="18"/>
  <c r="AR138" i="18"/>
  <c r="AR523" i="18"/>
  <c r="AR514" i="18"/>
  <c r="AR495" i="18"/>
  <c r="AR530" i="18"/>
  <c r="AR524" i="18"/>
  <c r="AR513" i="18"/>
  <c r="AR508" i="18"/>
  <c r="AR477" i="18"/>
  <c r="AR475" i="18"/>
  <c r="AR472" i="18"/>
  <c r="AR470" i="18"/>
  <c r="AR422" i="18"/>
  <c r="AR130" i="18"/>
  <c r="AR396" i="18"/>
  <c r="AR400" i="18"/>
  <c r="AR372" i="18"/>
  <c r="AR350" i="18"/>
  <c r="AR348" i="18"/>
  <c r="AR314" i="18"/>
  <c r="AR311" i="18"/>
  <c r="AR294" i="18"/>
  <c r="AR291" i="18"/>
  <c r="AR282" i="18"/>
  <c r="AR274" i="18"/>
  <c r="AR270" i="18"/>
  <c r="AR263" i="18"/>
  <c r="AR201" i="18"/>
  <c r="AR175" i="18"/>
  <c r="AR168" i="18"/>
  <c r="AR126" i="18"/>
  <c r="AR110" i="18"/>
  <c r="AR109" i="18"/>
  <c r="AR108" i="18"/>
  <c r="AR405" i="18"/>
  <c r="AR395" i="18"/>
  <c r="AR371" i="18"/>
  <c r="AR359" i="18"/>
  <c r="AR351" i="18"/>
  <c r="AR342" i="18"/>
  <c r="AR296" i="18"/>
  <c r="AR127" i="18"/>
  <c r="AR489" i="18"/>
  <c r="AR484" i="18"/>
  <c r="AR460" i="18"/>
  <c r="AR381" i="18"/>
  <c r="AN538" i="18"/>
  <c r="AN531" i="18"/>
  <c r="AN517" i="18"/>
  <c r="AN504" i="18"/>
  <c r="AN493" i="18"/>
  <c r="AN477" i="18"/>
  <c r="AN461" i="18"/>
  <c r="AN425" i="18"/>
  <c r="AN395" i="18"/>
  <c r="AN381" i="18"/>
  <c r="AN363" i="18"/>
  <c r="AN327" i="18"/>
  <c r="AN314" i="18"/>
  <c r="AN284" i="18"/>
  <c r="AN252" i="18"/>
  <c r="AN219" i="18"/>
  <c r="AN184" i="18"/>
  <c r="AN156" i="18"/>
  <c r="AN145" i="18"/>
  <c r="AN113" i="18"/>
  <c r="AN115" i="18"/>
  <c r="AN533" i="18"/>
  <c r="AN525" i="18"/>
  <c r="AN513" i="18"/>
  <c r="AN500" i="18"/>
  <c r="AN488" i="18"/>
  <c r="AN473" i="18"/>
  <c r="AN462" i="18"/>
  <c r="AN429" i="18"/>
  <c r="AN417" i="18"/>
  <c r="AN397" i="18"/>
  <c r="AN375" i="18"/>
  <c r="AN355" i="18"/>
  <c r="AN337" i="18"/>
  <c r="AN322" i="18"/>
  <c r="AN299" i="18"/>
  <c r="AN279" i="18"/>
  <c r="AN263" i="18"/>
  <c r="AN237" i="18"/>
  <c r="AN202" i="18"/>
  <c r="AN168" i="18"/>
  <c r="AN159" i="18"/>
  <c r="AN135" i="18"/>
  <c r="AN536" i="18"/>
  <c r="AN524" i="18"/>
  <c r="AN509" i="18"/>
  <c r="AN499" i="18"/>
  <c r="AN484" i="18"/>
  <c r="AN470" i="18"/>
  <c r="AN453" i="18"/>
  <c r="AN428" i="18"/>
  <c r="AN409" i="18"/>
  <c r="AN394" i="18"/>
  <c r="AN373" i="18"/>
  <c r="AN353" i="18"/>
  <c r="AN334" i="18"/>
  <c r="AN291" i="18"/>
  <c r="AN278" i="18"/>
  <c r="AN255" i="18"/>
  <c r="AN234" i="18"/>
  <c r="AN204" i="18"/>
  <c r="AN174" i="18"/>
  <c r="AN155" i="18"/>
  <c r="AN133" i="18"/>
  <c r="AN125" i="18"/>
  <c r="AN147" i="18"/>
  <c r="AN537" i="18"/>
  <c r="AN532" i="18"/>
  <c r="AN527" i="18"/>
  <c r="AN523" i="18"/>
  <c r="AN515" i="18"/>
  <c r="AN508" i="18"/>
  <c r="AN503" i="18"/>
  <c r="AN497" i="18"/>
  <c r="AN492" i="18"/>
  <c r="AN481" i="18"/>
  <c r="AN475" i="18"/>
  <c r="AN469" i="18"/>
  <c r="AN460" i="18"/>
  <c r="AN454" i="18"/>
  <c r="AN444" i="18"/>
  <c r="AN430" i="18"/>
  <c r="AN416" i="18"/>
  <c r="AN412" i="18"/>
  <c r="AN401" i="18"/>
  <c r="AN390" i="18"/>
  <c r="AN378" i="18"/>
  <c r="AN372" i="18"/>
  <c r="AN360" i="18"/>
  <c r="AN350" i="18"/>
  <c r="AN342" i="18"/>
  <c r="AN326" i="18"/>
  <c r="AN320" i="18"/>
  <c r="AN311" i="18"/>
  <c r="AN296" i="18"/>
  <c r="AN283" i="18"/>
  <c r="AN275" i="18"/>
  <c r="AN260" i="18"/>
  <c r="AN258" i="18"/>
  <c r="AN247" i="18"/>
  <c r="AN232" i="18"/>
  <c r="AN216" i="18"/>
  <c r="AN5" i="18"/>
  <c r="AN180" i="18"/>
  <c r="AN163" i="18"/>
  <c r="AN136" i="18"/>
  <c r="AN143" i="18"/>
  <c r="AN109" i="18"/>
  <c r="AN127" i="18"/>
  <c r="AN122" i="18"/>
  <c r="AN535" i="18"/>
  <c r="AN528" i="18"/>
  <c r="AN526" i="18"/>
  <c r="AN521" i="18"/>
  <c r="AN514" i="18"/>
  <c r="AN507" i="18"/>
  <c r="AN501" i="18"/>
  <c r="AN496" i="18"/>
  <c r="AN490" i="18"/>
  <c r="AN483" i="18"/>
  <c r="AN474" i="18"/>
  <c r="AN467" i="18"/>
  <c r="AN457" i="18"/>
  <c r="AN432" i="18"/>
  <c r="AN433" i="18"/>
  <c r="AN423" i="18"/>
  <c r="AN413" i="18"/>
  <c r="AN405" i="18"/>
  <c r="AN399" i="18"/>
  <c r="AN389" i="18"/>
  <c r="AN377" i="18"/>
  <c r="AN368" i="18"/>
  <c r="AN359" i="18"/>
  <c r="AN349" i="18"/>
  <c r="AN338" i="18"/>
  <c r="AN330" i="18"/>
  <c r="AN325" i="18"/>
  <c r="AN318" i="18"/>
  <c r="AN303" i="18"/>
  <c r="AN290" i="18"/>
  <c r="AN280" i="18"/>
  <c r="AN274" i="18"/>
  <c r="AN254" i="18"/>
  <c r="AN264" i="18"/>
  <c r="AN238" i="18"/>
  <c r="AN213" i="18"/>
  <c r="AN198" i="18"/>
  <c r="AN176" i="18"/>
  <c r="AN162" i="18"/>
  <c r="AN152" i="18"/>
  <c r="AN137" i="18"/>
  <c r="AN120" i="18"/>
  <c r="AN124" i="18"/>
  <c r="AN112" i="18"/>
  <c r="C22" i="6"/>
  <c r="C23" i="6" s="1"/>
  <c r="O20" i="6"/>
  <c r="E22" i="6"/>
  <c r="E23" i="6" s="1"/>
  <c r="E14" i="6"/>
  <c r="E15" i="6" s="1"/>
  <c r="AR478" i="18"/>
  <c r="AR452" i="18"/>
  <c r="AR447" i="18"/>
  <c r="AR397" i="18"/>
  <c r="AR362" i="18"/>
  <c r="AR355" i="18"/>
  <c r="AR315" i="18"/>
  <c r="AR277" i="18"/>
  <c r="AR204" i="18"/>
  <c r="AR160" i="18"/>
  <c r="AR154" i="18"/>
  <c r="AR503" i="18"/>
  <c r="AR461" i="18"/>
  <c r="AR418" i="18"/>
  <c r="AR425" i="18"/>
  <c r="AR373" i="18"/>
  <c r="AR341" i="18"/>
  <c r="AR334" i="18"/>
  <c r="AR284" i="18"/>
  <c r="AR252" i="18"/>
  <c r="AR169" i="18"/>
  <c r="AR134" i="18"/>
  <c r="AR111" i="18"/>
  <c r="AR492" i="18"/>
  <c r="AR481" i="18"/>
  <c r="AR404" i="18"/>
  <c r="AR401" i="18"/>
  <c r="AR324" i="18"/>
  <c r="AR320" i="18"/>
  <c r="AR260" i="18"/>
  <c r="AR229" i="18"/>
  <c r="AR216" i="18"/>
  <c r="AR146" i="18"/>
  <c r="AR106" i="18"/>
  <c r="AR7" i="18"/>
  <c r="AR490" i="18"/>
  <c r="AR471" i="18"/>
  <c r="AR455" i="18"/>
  <c r="AR424" i="18"/>
  <c r="AR403" i="18"/>
  <c r="AR386" i="18"/>
  <c r="AR361" i="18"/>
  <c r="AR339" i="18"/>
  <c r="AR301" i="18"/>
  <c r="AR276" i="18"/>
  <c r="AR262" i="18"/>
  <c r="AR226" i="18"/>
  <c r="AR4" i="18"/>
  <c r="AR159" i="18"/>
  <c r="AR133" i="18"/>
  <c r="AR105" i="18"/>
  <c r="AN233" i="18"/>
  <c r="AN106" i="18"/>
  <c r="AN107" i="18"/>
  <c r="AN111" i="18"/>
  <c r="AN105" i="18"/>
  <c r="AN108" i="18"/>
  <c r="AN134" i="18"/>
  <c r="AN141" i="18"/>
  <c r="AN151" i="18"/>
  <c r="AN154" i="18"/>
  <c r="AN160" i="18"/>
  <c r="AN158" i="18"/>
  <c r="AN165" i="18"/>
  <c r="AN4" i="18"/>
  <c r="AN187" i="18"/>
  <c r="AN6" i="18"/>
  <c r="AN203" i="18"/>
  <c r="AN217" i="18"/>
  <c r="AN235" i="18"/>
  <c r="AN242" i="18"/>
  <c r="AN257" i="18"/>
  <c r="AN261" i="18"/>
  <c r="AN277" i="18"/>
  <c r="AN281" i="18"/>
  <c r="AN287" i="18"/>
  <c r="AN295" i="18"/>
  <c r="AN294" i="18"/>
  <c r="AN312" i="18"/>
  <c r="AN316" i="18"/>
  <c r="AN321" i="18"/>
  <c r="AN324" i="18"/>
  <c r="AN328" i="18"/>
  <c r="AN331" i="18"/>
  <c r="AN335" i="18"/>
  <c r="AN341" i="18"/>
  <c r="AN347" i="18"/>
  <c r="AN351" i="18"/>
  <c r="AN358" i="18"/>
  <c r="AN362" i="18"/>
  <c r="AN367" i="18"/>
  <c r="AN374" i="18"/>
  <c r="AN382" i="18"/>
  <c r="AN398" i="18"/>
  <c r="AN396" i="18"/>
  <c r="AN404" i="18"/>
  <c r="AN410" i="18"/>
  <c r="AN414" i="18"/>
  <c r="AN420" i="18"/>
  <c r="AN418" i="18"/>
  <c r="AN449" i="18"/>
  <c r="AN445" i="18"/>
  <c r="AN448" i="18"/>
  <c r="AN452" i="18"/>
  <c r="AN458" i="18"/>
  <c r="AN464" i="18"/>
  <c r="AN468" i="18"/>
  <c r="AN472" i="18"/>
  <c r="AN476" i="18"/>
  <c r="AN479" i="18"/>
  <c r="AN519" i="18"/>
  <c r="AN518" i="18"/>
  <c r="AN510" i="18"/>
  <c r="AN516" i="18"/>
  <c r="AN502" i="18"/>
  <c r="AN498" i="18"/>
  <c r="AN494" i="18"/>
  <c r="AN489" i="18"/>
  <c r="AN480" i="18"/>
  <c r="AN482" i="18"/>
  <c r="AN471" i="18"/>
  <c r="AN466" i="18"/>
  <c r="AN459" i="18"/>
  <c r="AN455" i="18"/>
  <c r="AN446" i="18"/>
  <c r="AN434" i="18"/>
  <c r="AN424" i="18"/>
  <c r="AN419" i="18"/>
  <c r="AN411" i="18"/>
  <c r="AN403" i="18"/>
  <c r="AN400" i="18"/>
  <c r="AN393" i="18"/>
  <c r="AN386" i="18"/>
  <c r="AN376" i="18"/>
  <c r="AN371" i="18"/>
  <c r="AN361" i="18"/>
  <c r="AN354" i="18"/>
  <c r="AN348" i="18"/>
  <c r="AN339" i="18"/>
  <c r="AN333" i="18"/>
  <c r="AN329" i="18"/>
  <c r="AN323" i="18"/>
  <c r="AN319" i="18"/>
  <c r="AN313" i="18"/>
  <c r="AN301" i="18"/>
  <c r="AN289" i="18"/>
  <c r="AN282" i="18"/>
  <c r="AN276" i="18"/>
  <c r="AN270" i="18"/>
  <c r="AN259" i="18"/>
  <c r="AN262" i="18"/>
  <c r="AN251" i="18"/>
  <c r="AN236" i="18"/>
  <c r="AN226" i="18"/>
  <c r="AN215" i="18"/>
  <c r="AN201" i="18"/>
  <c r="AN185" i="18"/>
  <c r="AN175" i="18"/>
  <c r="AN164" i="18"/>
  <c r="AN157" i="18"/>
  <c r="AN149" i="18"/>
  <c r="AN138" i="18"/>
  <c r="AN126" i="18"/>
  <c r="AN123" i="18"/>
  <c r="AN114" i="18"/>
  <c r="AN7" i="18"/>
  <c r="AN8" i="18"/>
  <c r="L7" i="6" l="1"/>
  <c r="J8" i="6"/>
  <c r="E8" i="6"/>
  <c r="H6" i="6"/>
  <c r="H7" i="6" s="1"/>
  <c r="G6" i="6"/>
  <c r="G7" i="6" s="1"/>
  <c r="M14" i="6"/>
  <c r="M15" i="6" s="1"/>
  <c r="K15" i="6"/>
  <c r="O12" i="6"/>
  <c r="O16" i="6" s="1"/>
  <c r="K8" i="6"/>
  <c r="M8" i="6"/>
  <c r="E6" i="6"/>
  <c r="E7" i="6" s="1"/>
  <c r="O24" i="6"/>
  <c r="L8" i="6"/>
  <c r="D6" i="6"/>
  <c r="D7" i="6" s="1"/>
  <c r="M7" i="6"/>
  <c r="J7" i="6"/>
  <c r="H8" i="6"/>
  <c r="D8" i="6"/>
  <c r="G8" i="6"/>
  <c r="I7" i="6"/>
  <c r="I8" i="6"/>
  <c r="O4" i="6"/>
  <c r="F6" i="6"/>
  <c r="O22" i="6"/>
  <c r="O23" i="6" s="1"/>
  <c r="C6" i="6" l="1"/>
  <c r="C8" i="6"/>
  <c r="O14" i="6"/>
  <c r="O15" i="6" s="1"/>
  <c r="K7" i="6"/>
  <c r="O8" i="6"/>
  <c r="N7" i="6"/>
  <c r="N8" i="6"/>
  <c r="F8" i="6"/>
  <c r="F7" i="6"/>
  <c r="C7" i="6" l="1"/>
  <c r="O6" i="6"/>
  <c r="O7" i="6" s="1"/>
  <c r="AR323" i="18" l="1"/>
  <c r="AR1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Nuñez Gómez</author>
    <author>bnunez</author>
    <author>Adrián de Haro Ortega</author>
  </authors>
  <commentList>
    <comment ref="J26" authorId="0" shapeId="0" xr:uid="{046667D3-7216-48AF-B633-F1C38E319B18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En listado 15/12/21 figura como "AVERIA"</t>
        </r>
      </text>
    </comment>
    <comment ref="J64" authorId="0" shapeId="0" xr:uid="{257160D9-828F-4E0B-9509-22C4DA08944B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LECTURA FINAL 16/12/21
</t>
        </r>
      </text>
    </comment>
    <comment ref="I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contador averiado pendiente intervención Iberdrola (sept-18)</t>
        </r>
      </text>
    </comment>
    <comment ref="I91" authorId="0" shapeId="0" xr:uid="{93B072B0-08FB-41B3-9244-540CD7906942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AMT comunica los datos para dar alta en fecha 24/03/21</t>
        </r>
      </text>
    </comment>
    <comment ref="I92" authorId="0" shapeId="0" xr:uid="{BD1262F7-D019-4F5B-B919-9CB145B5273A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AMT comunica los datos para dar alta en fecha 24/03/21</t>
        </r>
      </text>
    </comment>
    <comment ref="I93" authorId="0" shapeId="0" xr:uid="{986D345B-D2FD-40C1-B782-7D3AF3E8F261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AMT comunica los datos para dar alta en fecha 24/03/21</t>
        </r>
      </text>
    </comment>
    <comment ref="C95" authorId="2" shapeId="0" xr:uid="{00000000-0006-0000-0000-000005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</t>
        </r>
      </text>
    </comment>
    <comment ref="I106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Cambio denominación abonado 12-06-19, antes TCV STEVEDORING COMPANY, S.A.</t>
        </r>
      </text>
    </comment>
    <comment ref="I107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Cambio denominación abonado 12-06-19, antes TCV STEVEDORING COMPANY, S.A.</t>
        </r>
      </text>
    </comment>
    <comment ref="I108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Cambio denominación abonado 12-06-19, antes TCV STEVEDORING COMPANY, S.A.</t>
        </r>
      </text>
    </comment>
    <comment ref="I112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Cambio denominación abonado 12-06-19, antes TCV STEVEDORING COMPANY, S.A.</t>
        </r>
      </text>
    </comment>
    <comment ref="I128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Cambio denominación abonado 12-06-19, antes TCV STEVEDORING COMPANY, S.A.</t>
        </r>
      </text>
    </comment>
    <comment ref="AK130" authorId="1" shapeId="0" xr:uid="{00000000-0006-0000-0000-000022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RT=1 modificada 01/08/19, por indicación S.E., el contador aplica dicho coeficiente internamente</t>
        </r>
      </text>
    </comment>
    <comment ref="AP130" authorId="0" shapeId="0" xr:uid="{07E51D90-BBC5-4666-99FD-9D1F6F0E8EFA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Se pasa a telemedida según comunicación S.E. del 17/05/2021</t>
        </r>
      </text>
    </comment>
    <comment ref="AP13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Se pasa a telemedida, informa S.E. el 16/10/20</t>
        </r>
      </text>
    </comment>
    <comment ref="C167" authorId="2" shapeId="0" xr:uid="{00000000-0006-0000-0000-00000C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</t>
        </r>
      </text>
    </comment>
    <comment ref="C170" authorId="2" shapeId="0" xr:uid="{00000000-0006-0000-0000-00000D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
</t>
        </r>
      </text>
    </comment>
    <comment ref="D181" authorId="0" shapeId="0" xr:uid="{5354B555-32BA-4B9B-BE38-2B673BFC31F7}">
      <text>
        <r>
          <rPr>
            <b/>
            <sz val="9"/>
            <color indexed="81"/>
            <rFont val="Tahoma"/>
            <family val="2"/>
          </rPr>
          <t xml:space="preserve">Beatriz Nuñez Gómez:
</t>
        </r>
        <r>
          <rPr>
            <sz val="9"/>
            <color indexed="81"/>
            <rFont val="Tahoma"/>
            <family val="2"/>
          </rPr>
          <t>Modificado nºCT el 01/03/2021 por indicación Manuel Castillo, hasta esa fecha estaban asignados al CT10 pq desde SAG comunicaron datos erroneos</t>
        </r>
      </text>
    </comment>
    <comment ref="D182" authorId="0" shapeId="0" xr:uid="{1B405FF3-7C71-4420-AB8B-DAAC6996BDC6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Modificado nºCT el 01/03/2021 por indicación Manuel Castillo, hasta esa fecha estaban asignados al CT10 pq desde SAG comunicaron datos erroneos</t>
        </r>
      </text>
    </comment>
    <comment ref="AK187" authorId="1" shapeId="0" xr:uid="{00000000-0006-0000-0000-00000E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RT=1 modificada 01/08/19, por indicación S.E., el contador aplica dicho coeficiente internamente</t>
        </r>
      </text>
    </comment>
    <comment ref="D205" authorId="0" shapeId="0" xr:uid="{758F9712-EA63-41A8-92B0-B7D27456E37C}">
      <text>
        <r>
          <rPr>
            <b/>
            <sz val="9"/>
            <color indexed="81"/>
            <rFont val="Tahoma"/>
            <family val="2"/>
          </rPr>
          <t xml:space="preserve">Beatriz Nuñez Gómez:
</t>
        </r>
        <r>
          <rPr>
            <sz val="9"/>
            <color indexed="81"/>
            <rFont val="Tahoma"/>
            <family val="2"/>
          </rPr>
          <t>Modificado nºCT el 01/03/2021 por indicación Manuel Castillo, hasta esa fecha estaban asignados al CT10 pq desde SAG comunicaron datos erroneos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206" authorId="0" shapeId="0" xr:uid="{D08FCFFD-4F70-422E-BEE7-1443904D9C50}">
      <text>
        <r>
          <rPr>
            <b/>
            <sz val="9"/>
            <color indexed="81"/>
            <rFont val="Tahoma"/>
            <family val="2"/>
          </rPr>
          <t xml:space="preserve">Beatriz Nuñez Gómez:
</t>
        </r>
        <r>
          <rPr>
            <sz val="9"/>
            <color indexed="81"/>
            <rFont val="Tahoma"/>
            <family val="2"/>
          </rPr>
          <t xml:space="preserve">Modificado nºCT el 01/03/2021 por indicación Manuel Castillo, hasta esa fecha estaban asignados al CT10 pq desde SAG comunicaron datos erroneos
</t>
        </r>
      </text>
    </comment>
    <comment ref="C253" authorId="2" shapeId="0" xr:uid="{00000000-0006-0000-0000-00000F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Se añade el 29/03/18 por Adrian</t>
        </r>
      </text>
    </comment>
    <comment ref="C256" authorId="2" shapeId="0" xr:uid="{00000000-0006-0000-0000-000010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Se añade el 29/03/18 por Adrian</t>
        </r>
      </text>
    </comment>
    <comment ref="C265" authorId="2" shapeId="0" xr:uid="{00000000-0006-0000-0000-000013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Se añade el 29/03/18 por Adrian</t>
        </r>
      </text>
    </comment>
    <comment ref="C267" authorId="1" shapeId="0" xr:uid="{00000000-0006-0000-0000-000015000000}">
      <text>
        <r>
          <rPr>
            <b/>
            <sz val="9"/>
            <color indexed="81"/>
            <rFont val="Tahoma"/>
            <family val="2"/>
          </rPr>
          <t xml:space="preserve">bnunez:
</t>
        </r>
        <r>
          <rPr>
            <sz val="9"/>
            <color indexed="81"/>
            <rFont val="Tahoma"/>
            <family val="2"/>
          </rPr>
          <t xml:space="preserve">Añadido 12/11/18
</t>
        </r>
      </text>
    </comment>
    <comment ref="C268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 xml:space="preserve">bnunez:
</t>
        </r>
        <r>
          <rPr>
            <sz val="9"/>
            <color indexed="81"/>
            <rFont val="Tahoma"/>
            <family val="2"/>
          </rPr>
          <t>Añadido 12/11/18</t>
        </r>
      </text>
    </comment>
    <comment ref="I285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Cambio denominación abonado 12-06-19, antes TCV STEVEDORING COMPANY, S.A.</t>
        </r>
      </text>
    </comment>
    <comment ref="AK287" authorId="1" shapeId="0" xr:uid="{00000000-0006-0000-0000-000018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RT=1 modificada 01/08/19, por indicación S.E., el contador aplica dicho coeficiente internamente</t>
        </r>
      </text>
    </comment>
    <comment ref="AK288" authorId="2" shapeId="0" xr:uid="{00000000-0006-0000-0000-000019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Nueva Rt a raiz del inventario</t>
        </r>
      </text>
    </comment>
    <comment ref="J299" authorId="0" shapeId="0" xr:uid="{60B503BE-C157-4B64-953D-C2F0D1E3531C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ULTIMA LECTURA 1198320</t>
        </r>
      </text>
    </comment>
    <comment ref="J301" authorId="0" shapeId="0" xr:uid="{993A6EEC-0B94-426D-B21D-E61507BC56C8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ÚLTIMA LECTURA 399652</t>
        </r>
      </text>
    </comment>
    <comment ref="AK325" authorId="2" shapeId="0" xr:uid="{00000000-0006-0000-0000-00001A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nueva Rt a raiz del inventario
</t>
        </r>
      </text>
    </comment>
    <comment ref="AN344" authorId="2" shapeId="0" xr:uid="{00000000-0006-0000-0000-00001D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0 fijo, no se factura</t>
        </r>
      </text>
    </comment>
    <comment ref="AK369" authorId="1" shapeId="0" xr:uid="{00000000-0006-0000-0000-00001E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RT=1 modificada 01/08/19, por indicación S.E., el contador aplica dicho coeficiente internamente</t>
        </r>
      </text>
    </comment>
    <comment ref="AK385" authorId="1" shapeId="0" xr:uid="{00000000-0006-0000-0000-00001F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RT=1 modificada 01/08/19, por indicación S.E., el contador aplica dicho coeficiente internamente</t>
        </r>
      </text>
    </comment>
    <comment ref="AK387" authorId="1" shapeId="0" xr:uid="{00000000-0006-0000-0000-000020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RT=1 modificada 01/08/19, por indicación S.E., el contador aplica dicho coeficiente internamente</t>
        </r>
      </text>
    </comment>
    <comment ref="I402" authorId="1" shapeId="0" xr:uid="{00000000-0006-0000-0000-000021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Cambio denominación abonado 12-06-19, antes TCV STEVEDORING COMPANY, S.A.</t>
        </r>
      </text>
    </comment>
    <comment ref="J415" authorId="0" shapeId="0" xr:uid="{51F08DB5-4481-48DA-92EA-F7913686DDE6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Baja 29/11/21, última lectura 32310</t>
        </r>
      </text>
    </comment>
    <comment ref="AK425" authorId="1" shapeId="0" xr:uid="{00000000-0006-0000-0000-000023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RT=1 modificada 01/08/19, por indicación S.E., el contador aplica dicho coeficiente internamente</t>
        </r>
      </text>
    </comment>
    <comment ref="I433" authorId="0" shapeId="0" xr:uid="{777A0EB3-D126-4D27-AF75-C373BF13F4F5}">
      <text>
        <r>
          <rPr>
            <sz val="9"/>
            <color indexed="81"/>
            <rFont val="Tahoma"/>
            <family val="2"/>
          </rPr>
          <t xml:space="preserve">SIN NOTIFICACIÓN DE PETICIÓN Antes 39372
</t>
        </r>
      </text>
    </comment>
    <comment ref="C434" authorId="0" shapeId="0" xr:uid="{00000000-0006-0000-0000-000024000000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AL TRAMITAR LA BAJA SE DETECTA QUE EL NÚMERO DE CONTADOR ES ERRÓNEO Y SE SUSTITUYE LG37968902 POR EL CORRECTO (CXRUGBI17037968902)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Adrián de Haro Ortega</author>
  </authors>
  <commentList>
    <comment ref="D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Con la macro se copian los contadores de Valencia que no esten de BAJA y que tenga una REF&gt;30000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Adrián de Haro Ortega</author>
    <author>Beatriz Nuñez Gómez</author>
  </authors>
  <commentList>
    <comment ref="A2" authorId="0" shapeId="0" xr:uid="{ECA1CD32-18E9-43A8-A110-7A08AB244035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</t>
        </r>
      </text>
    </comment>
    <comment ref="B39" authorId="1" shapeId="0" xr:uid="{25663EF1-D1C1-423B-A071-AC5B0FE1DF58}">
      <text>
        <r>
          <rPr>
            <b/>
            <sz val="9"/>
            <color indexed="81"/>
            <rFont val="Tahoma"/>
            <family val="2"/>
          </rPr>
          <t xml:space="preserve">Beatriz Nuñez Gómez:
</t>
        </r>
        <r>
          <rPr>
            <sz val="9"/>
            <color indexed="81"/>
            <rFont val="Tahoma"/>
            <family val="2"/>
          </rPr>
          <t>Modificado nºCT el 01/03/2021 por indicación Manuel Castillo, hasta esa fecha estaban asignados al CT10 pq desde SAG comunicaron datos erroneos</t>
        </r>
      </text>
    </comment>
    <comment ref="B40" authorId="1" shapeId="0" xr:uid="{4B943A61-E056-4015-936C-B56B6C1DF1A9}">
      <text>
        <r>
          <rPr>
            <b/>
            <sz val="9"/>
            <color indexed="81"/>
            <rFont val="Tahoma"/>
            <family val="2"/>
          </rPr>
          <t>Beatriz Nuñez Gómez:</t>
        </r>
        <r>
          <rPr>
            <sz val="9"/>
            <color indexed="81"/>
            <rFont val="Tahoma"/>
            <family val="2"/>
          </rPr>
          <t xml:space="preserve">
Modificado nºCT el 01/03/2021 por indicación Manuel Castillo, hasta esa fecha estaban asignados al CT10 pq desde SAG comunicaron datos erroneos</t>
        </r>
      </text>
    </comment>
    <comment ref="B49" authorId="1" shapeId="0" xr:uid="{C0830067-799A-4050-90E1-56BA481587FE}">
      <text>
        <r>
          <rPr>
            <b/>
            <sz val="9"/>
            <color indexed="81"/>
            <rFont val="Tahoma"/>
            <family val="2"/>
          </rPr>
          <t xml:space="preserve">Beatriz Nuñez Gómez:
</t>
        </r>
        <r>
          <rPr>
            <sz val="9"/>
            <color indexed="81"/>
            <rFont val="Tahoma"/>
            <family val="2"/>
          </rPr>
          <t>Modificado nºCT el 01/03/2021 por indicación Manuel Castillo, hasta esa fecha estaban asignados al CT10 pq desde SAG comunicaron datos erroneos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50" authorId="1" shapeId="0" xr:uid="{3BD8A27F-8A1F-4D4A-8DC1-2C83E2129683}">
      <text>
        <r>
          <rPr>
            <b/>
            <sz val="9"/>
            <color indexed="81"/>
            <rFont val="Tahoma"/>
            <family val="2"/>
          </rPr>
          <t xml:space="preserve">Beatriz Nuñez Gómez:
</t>
        </r>
        <r>
          <rPr>
            <sz val="9"/>
            <color indexed="81"/>
            <rFont val="Tahoma"/>
            <family val="2"/>
          </rPr>
          <t xml:space="preserve">Modificado nºCT el 01/03/2021 por indicación Manuel Castillo, hasta esa fecha estaban asignados al CT10 pq desde SAG comunicaron datos erroneos
</t>
        </r>
      </text>
    </comment>
  </commentList>
</comments>
</file>

<file path=xl/sharedStrings.xml><?xml version="1.0" encoding="utf-8"?>
<sst xmlns="http://schemas.openxmlformats.org/spreadsheetml/2006/main" count="17224" uniqueCount="1717">
  <si>
    <t>CT</t>
  </si>
  <si>
    <t>ABONADO</t>
  </si>
  <si>
    <t>UBICACIÓN</t>
  </si>
  <si>
    <t>OBSERVACIONES</t>
  </si>
  <si>
    <t>OBSERVACIONES FACTURACIÓN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</si>
  <si>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</si>
  <si>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</si>
  <si>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</si>
  <si>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</si>
  <si>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</si>
  <si>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</si>
  <si>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</si>
  <si>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</si>
  <si>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</si>
  <si>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</si>
  <si>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</si>
  <si>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</si>
  <si>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PETICIÓN</t>
  </si>
  <si>
    <t>CONTADOR</t>
  </si>
  <si>
    <t>V</t>
  </si>
  <si>
    <t>CT RELOJ</t>
  </si>
  <si>
    <t>APV</t>
  </si>
  <si>
    <t>VCT00</t>
  </si>
  <si>
    <t>TCV STEVEDORING COMPANY</t>
  </si>
  <si>
    <t>TA18 - TA19</t>
  </si>
  <si>
    <t>LW00043979</t>
  </si>
  <si>
    <t>TA 17</t>
  </si>
  <si>
    <t>LW00181178</t>
  </si>
  <si>
    <t>NAVE TALLERES. Alta 1-7-13</t>
  </si>
  <si>
    <t>FRIGORIFICOS . Alta 1-7-13</t>
  </si>
  <si>
    <t>LW00042957</t>
  </si>
  <si>
    <t>TORRE 0001 ( TA 15)</t>
  </si>
  <si>
    <t>VCT02</t>
  </si>
  <si>
    <t>EN TORRE 0209</t>
  </si>
  <si>
    <t xml:space="preserve">INTERIOR CT </t>
  </si>
  <si>
    <t>T.I. 150/5 ( Coeficiente X 30 )</t>
  </si>
  <si>
    <t>VCT03</t>
  </si>
  <si>
    <t>LW00181602</t>
  </si>
  <si>
    <t>EN CT.</t>
  </si>
  <si>
    <t>TORRES 12,13,0303.- 1/06/2013</t>
  </si>
  <si>
    <t>VA-E-3528-15</t>
  </si>
  <si>
    <t>LW00042801</t>
  </si>
  <si>
    <t>PROVISIONAL DE OBRAS</t>
  </si>
  <si>
    <t>LW00181677</t>
  </si>
  <si>
    <t>TORRE 301  alta 8/10/2013</t>
  </si>
  <si>
    <t>TORRE 0310</t>
  </si>
  <si>
    <t>VCT04</t>
  </si>
  <si>
    <t>INTERIOR CT</t>
  </si>
  <si>
    <t>TOMAS DE CORRIENTE MUELLE</t>
  </si>
  <si>
    <t>CENTRALIZACIÓN CT</t>
  </si>
  <si>
    <t>TOMAS MUELLE TRASVERSAL</t>
  </si>
  <si>
    <t>CIA. TRASMEDITERRANEA S.A.</t>
  </si>
  <si>
    <t>EN TORRE 0407</t>
  </si>
  <si>
    <t>EN TORRE 0408</t>
  </si>
  <si>
    <t>EN TORRE 0409</t>
  </si>
  <si>
    <t>VCT06</t>
  </si>
  <si>
    <t>LW00014344</t>
  </si>
  <si>
    <t>DELEGACION DEL GOBIERNO</t>
  </si>
  <si>
    <t>EXT EDIFICIO SANIDAD</t>
  </si>
  <si>
    <t>LW00180924</t>
  </si>
  <si>
    <t>DELEGACION DEL  GOBIERNO</t>
  </si>
  <si>
    <t>LW00044322</t>
  </si>
  <si>
    <t>CONSELLERIA SANIDAD</t>
  </si>
  <si>
    <t>EN CT</t>
  </si>
  <si>
    <t>LW00181288</t>
  </si>
  <si>
    <t>Ha dado la vuelta</t>
  </si>
  <si>
    <t>LW00042595</t>
  </si>
  <si>
    <t>COMEDOR</t>
  </si>
  <si>
    <t>LW00043081</t>
  </si>
  <si>
    <t>SOTANO BAR ADUANA</t>
  </si>
  <si>
    <t>Parking talleres</t>
  </si>
  <si>
    <t>Coche S.E. ( Renault)</t>
  </si>
  <si>
    <t>virtual1</t>
  </si>
  <si>
    <t>COLEGIO AGENTE DE ADUANAS</t>
  </si>
  <si>
    <t>PB ANT. DIRECCION</t>
  </si>
  <si>
    <t>virtual2</t>
  </si>
  <si>
    <t>virtual3</t>
  </si>
  <si>
    <t>SALA MAQUINAS</t>
  </si>
  <si>
    <t>PMCT6</t>
  </si>
  <si>
    <t>VIRTUALCT06</t>
  </si>
  <si>
    <t>VCT07</t>
  </si>
  <si>
    <t>LW00181658</t>
  </si>
  <si>
    <t>CONSORCIO VALENCIA 2007</t>
  </si>
  <si>
    <t>EN TINGLADO 2</t>
  </si>
  <si>
    <t>EXTERIOR DEL CT.7</t>
  </si>
  <si>
    <t>Facturación retenida</t>
  </si>
  <si>
    <t>VCT08</t>
  </si>
  <si>
    <t>LW00181679</t>
  </si>
  <si>
    <t>CIUDAD DE ARTES Y CIENCIAS</t>
  </si>
  <si>
    <t>EN TINGLADO 5</t>
  </si>
  <si>
    <t>VCT09</t>
  </si>
  <si>
    <t>CIA. TRASMEDITERANEA, S.A.</t>
  </si>
  <si>
    <t>VT-0904</t>
  </si>
  <si>
    <t>Torre de alumbrado M. de Poniente</t>
  </si>
  <si>
    <t>TRANSPORTES ALONSO SALCEDO</t>
  </si>
  <si>
    <t>LOGISTICA CHEMA BALLESTER</t>
  </si>
  <si>
    <t>SUSTITUYE A LW00012961</t>
  </si>
  <si>
    <t>JUAN AGUSTIN BLASCO CARBO</t>
  </si>
  <si>
    <t>SGS ESPAÑOLA DE CONTROL</t>
  </si>
  <si>
    <t>COCHERON EN SI</t>
  </si>
  <si>
    <t>DIR. TER. COMERCIO VCIA</t>
  </si>
  <si>
    <t>EN CENTRALIZACION</t>
  </si>
  <si>
    <t>FEDER. SINDIC CIUDADANIA CCOO</t>
  </si>
  <si>
    <t>VICENTE MONSORIU LINARES</t>
  </si>
  <si>
    <t>BOMBEROS (NO SE FACTURA)</t>
  </si>
  <si>
    <t>FETCM - UGT</t>
  </si>
  <si>
    <t>VCT10</t>
  </si>
  <si>
    <t>LW00012788</t>
  </si>
  <si>
    <t>LW00012554</t>
  </si>
  <si>
    <t>TRANSPORTES REMEDIOS TORRES</t>
  </si>
  <si>
    <t>LW00113084</t>
  </si>
  <si>
    <t>TRANS PELLICER E HIJOS</t>
  </si>
  <si>
    <t>LW00112965</t>
  </si>
  <si>
    <t>TRANSCONT</t>
  </si>
  <si>
    <t>LW00012872</t>
  </si>
  <si>
    <t>LW00042429</t>
  </si>
  <si>
    <t>Torre 10.01</t>
  </si>
  <si>
    <t>VA-E-01306-15</t>
  </si>
  <si>
    <t>LW00181349</t>
  </si>
  <si>
    <t>Alta</t>
  </si>
  <si>
    <t>VCT13</t>
  </si>
  <si>
    <t>LW00181323</t>
  </si>
  <si>
    <t>EUROLINEAS MARITIMAS</t>
  </si>
  <si>
    <t>CENTRALIZACION</t>
  </si>
  <si>
    <t>LW00181411</t>
  </si>
  <si>
    <t>GUARDIA CIVIL COMUNICA</t>
  </si>
  <si>
    <t>LW00180769</t>
  </si>
  <si>
    <t>TEVA-TANK S.L.</t>
  </si>
  <si>
    <t>LW00181695</t>
  </si>
  <si>
    <t>BOMBA AGUA SALADA</t>
  </si>
  <si>
    <t>LW00043076</t>
  </si>
  <si>
    <t>AMARRADORES PUERTO VALENCIA</t>
  </si>
  <si>
    <t>EN HORNACINA</t>
  </si>
  <si>
    <t>ANTIGUO CT12</t>
  </si>
  <si>
    <t>EN TORRE 1301</t>
  </si>
  <si>
    <t>VCT14</t>
  </si>
  <si>
    <t>LW00181664</t>
  </si>
  <si>
    <t>FCC CONSTRUCCIÓN, S.A.</t>
  </si>
  <si>
    <t>LW00181371</t>
  </si>
  <si>
    <t>AMARRADORES</t>
  </si>
  <si>
    <t>LW00181362</t>
  </si>
  <si>
    <t>LW00181079</t>
  </si>
  <si>
    <t>VCT15</t>
  </si>
  <si>
    <t>VA-E-01867-15</t>
  </si>
  <si>
    <t>LW00180940</t>
  </si>
  <si>
    <t>VALENCIA TERMINAL EUROPA, S.A.</t>
  </si>
  <si>
    <t>TORRES 1501-02-03.</t>
  </si>
  <si>
    <t>VCT16</t>
  </si>
  <si>
    <t>VA-E-01808-15</t>
  </si>
  <si>
    <t>LW00044272</t>
  </si>
  <si>
    <t>Caseta y Báscula Xitá</t>
  </si>
  <si>
    <t>VCT17</t>
  </si>
  <si>
    <t>CXZVFER15051003024</t>
  </si>
  <si>
    <t>CXRUGBI15051203685</t>
  </si>
  <si>
    <t>FERROCARRIL</t>
  </si>
  <si>
    <t>CXRUGBI15051203691</t>
  </si>
  <si>
    <t>CONSUMOS CUADRO APV VARIOS</t>
  </si>
  <si>
    <t>CXRUGBI15051203686</t>
  </si>
  <si>
    <t>CXRUGBI15051203698</t>
  </si>
  <si>
    <t>ALUMBRADO MUELLES</t>
  </si>
  <si>
    <t>CXRUGBI15051203697</t>
  </si>
  <si>
    <t>ALUMBRADO VIALES</t>
  </si>
  <si>
    <t>CXZVFER15051109407</t>
  </si>
  <si>
    <t>CXRUGBI15051203696</t>
  </si>
  <si>
    <t>GARBA PORT</t>
  </si>
  <si>
    <t>CXRUGBI15051203689</t>
  </si>
  <si>
    <t>EMS SEVEN SEAS SPAIN, S.A.</t>
  </si>
  <si>
    <t>CXRUGBI15051203687</t>
  </si>
  <si>
    <t>CORPORAC PRACTICOS VALENCIA</t>
  </si>
  <si>
    <t>CXRUGBI15051203695</t>
  </si>
  <si>
    <t>CXRUGBI15051203690</t>
  </si>
  <si>
    <t>BURRIEL-NAVARRO</t>
  </si>
  <si>
    <t>CXRUGBI15051203694</t>
  </si>
  <si>
    <t>REMOLCADORES BOLUDA</t>
  </si>
  <si>
    <t>VCT20</t>
  </si>
  <si>
    <t>LW00181243</t>
  </si>
  <si>
    <t>LW00012610</t>
  </si>
  <si>
    <t>CIUDAD DE LAS ARTES Y DE LAS CIENCIAS</t>
  </si>
  <si>
    <t>LW00043012</t>
  </si>
  <si>
    <t>INTERIOR FARO</t>
  </si>
  <si>
    <t>VCT21</t>
  </si>
  <si>
    <t>LW00012532</t>
  </si>
  <si>
    <t>RANDSTAD EMPLEO ETT, S.A.</t>
  </si>
  <si>
    <t>VALLA AL LADO DE BUNGE DETRÁS CT21</t>
  </si>
  <si>
    <t>LW00181554</t>
  </si>
  <si>
    <t>LW00012961</t>
  </si>
  <si>
    <t>SACYR CONSTRUCCIONES, S.A.</t>
  </si>
  <si>
    <t>VCT22</t>
  </si>
  <si>
    <t>LW00042834</t>
  </si>
  <si>
    <t>NOATUM</t>
  </si>
  <si>
    <t>LW00112653</t>
  </si>
  <si>
    <t>DRAGADOS S.A. (2473)</t>
  </si>
  <si>
    <t>LW00181021</t>
  </si>
  <si>
    <t>TALLERES NAVALES VALENCIA</t>
  </si>
  <si>
    <t>LW00043030</t>
  </si>
  <si>
    <t>MADICO Y VILLARROEL, S.L.</t>
  </si>
  <si>
    <t>ZONA DE ORDENES 3</t>
  </si>
  <si>
    <t>VCT23</t>
  </si>
  <si>
    <t>LW00042788</t>
  </si>
  <si>
    <t>EN LA TORRE 2303</t>
  </si>
  <si>
    <t>LW00181025</t>
  </si>
  <si>
    <t>CONSTRUCCIONES Y VARADEROS SL</t>
  </si>
  <si>
    <t>(kWh - Ref 39402)</t>
  </si>
  <si>
    <t>LW00044314</t>
  </si>
  <si>
    <t>SERVIPORT MARITIMA SL</t>
  </si>
  <si>
    <t>LW00112662</t>
  </si>
  <si>
    <t>CRUZ ROJA ESPAÑOLA</t>
  </si>
  <si>
    <t>DENTRO CRUZ ROJA</t>
  </si>
  <si>
    <t>Resta a 39340</t>
  </si>
  <si>
    <t>LW00042835</t>
  </si>
  <si>
    <t>EXCM. AYUNTAMIENTO DE VALENCIA</t>
  </si>
  <si>
    <t>JUNTO AL RIO Y VELAS LLUCH</t>
  </si>
  <si>
    <t>CLUB PESCADORES NAZARET</t>
  </si>
  <si>
    <t>PUERTO EMBARCACIONES MENORES</t>
  </si>
  <si>
    <t>SQFER03033011075</t>
  </si>
  <si>
    <t>EN RECINTO SCANER</t>
  </si>
  <si>
    <t>GUARDIA CIVIL CAMBIO CONT EN JULIO 2015</t>
  </si>
  <si>
    <t>VCT30</t>
  </si>
  <si>
    <t>GENERAL</t>
  </si>
  <si>
    <t>LW00113164</t>
  </si>
  <si>
    <t>VODAFONE ESPAÑA S.A.</t>
  </si>
  <si>
    <t>LW00181633</t>
  </si>
  <si>
    <t xml:space="preserve">             </t>
  </si>
  <si>
    <t>VCT31</t>
  </si>
  <si>
    <t>LW00013607</t>
  </si>
  <si>
    <t>RENFE OPERADORA</t>
  </si>
  <si>
    <t>EXTERIOR CASETA</t>
  </si>
  <si>
    <t>ADIF</t>
  </si>
  <si>
    <t>LW00181156</t>
  </si>
  <si>
    <t>JUNTO CONTADOR MT</t>
  </si>
  <si>
    <t>LW00012385</t>
  </si>
  <si>
    <t>SICSA RAIL TRANSPORT S.A.</t>
  </si>
  <si>
    <t>LW00012983</t>
  </si>
  <si>
    <t xml:space="preserve">RENFE (SALA RC) </t>
  </si>
  <si>
    <t>VCT32</t>
  </si>
  <si>
    <t>VCT41</t>
  </si>
  <si>
    <t>LW00013859</t>
  </si>
  <si>
    <t>FORD ESPAÑA</t>
  </si>
  <si>
    <t xml:space="preserve"> </t>
  </si>
  <si>
    <t>VCT42</t>
  </si>
  <si>
    <t>VA-E-01265-15</t>
  </si>
  <si>
    <t>FORD ESPAÑA, S.L.</t>
  </si>
  <si>
    <t>TORRE 4201</t>
  </si>
  <si>
    <t>TORRE 4202</t>
  </si>
  <si>
    <t>TORRE 4203</t>
  </si>
  <si>
    <t>VALENCIA TERMINAL EUROPA</t>
  </si>
  <si>
    <t>TORRE 4204</t>
  </si>
  <si>
    <t>TORRE  4205</t>
  </si>
  <si>
    <t>TORRE 4213</t>
  </si>
  <si>
    <t>TORRE 4214</t>
  </si>
  <si>
    <t>TORRE 4215</t>
  </si>
  <si>
    <t>TORRE 4216</t>
  </si>
  <si>
    <t>VCT43</t>
  </si>
  <si>
    <t>LW00181174</t>
  </si>
  <si>
    <t>LW00181558</t>
  </si>
  <si>
    <t>LW00181278</t>
  </si>
  <si>
    <t>GRIMALDI LOGISTICA ESPAÑA, S.L.</t>
  </si>
  <si>
    <t xml:space="preserve"> EN CT</t>
  </si>
  <si>
    <t>TORRE4306</t>
  </si>
  <si>
    <t>TORRE4307</t>
  </si>
  <si>
    <t>TORRE4317</t>
  </si>
  <si>
    <t>TORRE 4318</t>
  </si>
  <si>
    <t>TORRE 4308</t>
  </si>
  <si>
    <t>TORRE4309</t>
  </si>
  <si>
    <t>TORRE 4310</t>
  </si>
  <si>
    <t>TORRE 4311</t>
  </si>
  <si>
    <t>TORRE 4312</t>
  </si>
  <si>
    <t>VCT44</t>
  </si>
  <si>
    <t>LW00044304</t>
  </si>
  <si>
    <t xml:space="preserve">VALENCIA TERMINAL EUROPA </t>
  </si>
  <si>
    <t>TORRE 4401</t>
  </si>
  <si>
    <t>TORRE4402</t>
  </si>
  <si>
    <t>TORRE4403</t>
  </si>
  <si>
    <t>TORRE4404</t>
  </si>
  <si>
    <t>TORRE 4409</t>
  </si>
  <si>
    <t>TORRE 4410</t>
  </si>
  <si>
    <t>TORRE4405</t>
  </si>
  <si>
    <t>TORRE 4406</t>
  </si>
  <si>
    <t>TORRE 4407</t>
  </si>
  <si>
    <t>TORRE 4408</t>
  </si>
  <si>
    <t>TORRE 4411</t>
  </si>
  <si>
    <t>TORRE 4412</t>
  </si>
  <si>
    <t>TORRE 4413</t>
  </si>
  <si>
    <t>VCT45</t>
  </si>
  <si>
    <t>LW00181215</t>
  </si>
  <si>
    <t>VARESER</t>
  </si>
  <si>
    <t>LW00112982</t>
  </si>
  <si>
    <t>SALVADOR MONTALVA MARTÍNEZ</t>
  </si>
  <si>
    <t>EN CENTRALIZACIÓN</t>
  </si>
  <si>
    <t>LW00042440</t>
  </si>
  <si>
    <t>VODAFONE ESPAÑA</t>
  </si>
  <si>
    <t>VCT50</t>
  </si>
  <si>
    <t>SACYR CONSTRUCCIÓN</t>
  </si>
  <si>
    <t>VCT51</t>
  </si>
  <si>
    <t>ORBIS S/Nº</t>
  </si>
  <si>
    <t>Caseta Seguridad</t>
  </si>
  <si>
    <t>VA-E-00591-15</t>
  </si>
  <si>
    <t>Torre 5101</t>
  </si>
  <si>
    <t>Torre 5102</t>
  </si>
  <si>
    <t>Torre 5104</t>
  </si>
  <si>
    <t>Torre 5103</t>
  </si>
  <si>
    <t>VCT52</t>
  </si>
  <si>
    <t>Torre 5201</t>
  </si>
  <si>
    <t>Tore 5202</t>
  </si>
  <si>
    <t>Torre 5203</t>
  </si>
  <si>
    <t>Torre 5204</t>
  </si>
  <si>
    <t>VCT A.E.M</t>
  </si>
  <si>
    <t>B3590221</t>
  </si>
  <si>
    <t>EN EL CT DE LA ANTIGUA EST MARITIMA</t>
  </si>
  <si>
    <t>LW00180776</t>
  </si>
  <si>
    <t>VARIOS</t>
  </si>
  <si>
    <t>Escuela Vela</t>
  </si>
  <si>
    <t>ESCUELA DE VELA AYUNTAMIENTO</t>
  </si>
  <si>
    <t>BAJO PUENTE GIRATORIO</t>
  </si>
  <si>
    <t>Facturación fija</t>
  </si>
  <si>
    <t xml:space="preserve">CONSORCIO VALENCIA 2007       </t>
  </si>
  <si>
    <t>CTXX A. ED.APV (DIR)</t>
  </si>
  <si>
    <t>Sin contador, facturación fija</t>
  </si>
  <si>
    <t>VCDD</t>
  </si>
  <si>
    <t>PLANTA CLIMA</t>
  </si>
  <si>
    <t>SALA PLANTA CLIMA</t>
  </si>
  <si>
    <t>P.CLIMA</t>
  </si>
  <si>
    <t>CUADRO OKKEN</t>
  </si>
  <si>
    <t>EDIF.I</t>
  </si>
  <si>
    <t>EDIF.II</t>
  </si>
  <si>
    <t>EDIF.III</t>
  </si>
  <si>
    <t>EDIF.IV</t>
  </si>
  <si>
    <t>CDD</t>
  </si>
  <si>
    <t>Ascensor Escalera y C .D.E.</t>
  </si>
  <si>
    <t>C. CONTADORES EDIF .V</t>
  </si>
  <si>
    <t>P. B. SOIVRE</t>
  </si>
  <si>
    <t>P. B. MAQUETAS</t>
  </si>
  <si>
    <t>APV VEHICULO S.E.</t>
  </si>
  <si>
    <t>Coche S.E.( Renault)</t>
  </si>
  <si>
    <t>schneider</t>
  </si>
  <si>
    <t>VEHICULO  ELECTRICO</t>
  </si>
  <si>
    <t>T.C. Parking ( Ignacio)</t>
  </si>
  <si>
    <t>LW00042456</t>
  </si>
  <si>
    <t>DRAGADOS S.A.</t>
  </si>
  <si>
    <t>DRAGADOS</t>
  </si>
  <si>
    <t>LW00012537</t>
  </si>
  <si>
    <t>PAVASAL SA (0804)</t>
  </si>
  <si>
    <t>MT-V</t>
  </si>
  <si>
    <t>M.S.C. TERMINAL VALENCIA,S.A.U</t>
  </si>
  <si>
    <t>VCT-28 MSC</t>
  </si>
  <si>
    <t>MEDIA TENSIÓN</t>
  </si>
  <si>
    <t>Valencia Yacht Port,SL</t>
  </si>
  <si>
    <t>REAL CLUB NAUTICO DE VALENCIA CT31</t>
  </si>
  <si>
    <t>TCV CT1</t>
  </si>
  <si>
    <t>Reeif Logistic Seaport SLU</t>
  </si>
  <si>
    <t>ALDEASA</t>
  </si>
  <si>
    <t>FRIOPUERTO</t>
  </si>
  <si>
    <t>CAPITANIA MARITIMA</t>
  </si>
  <si>
    <t>OK MISMO CONTADOR QUE SALVAMENTO</t>
  </si>
  <si>
    <t>SOCIEDAD EST. SALVAMENTO MTMO.</t>
  </si>
  <si>
    <t>SALVAMENTO MARITIMO CRCS</t>
  </si>
  <si>
    <t>OK MISMO CONTADOR QUE CAPITANIA</t>
  </si>
  <si>
    <t>CEPSA COMERCIAL PETROLEO, S.A.</t>
  </si>
  <si>
    <t>TERMINALES PORTUARIAS, S.L.</t>
  </si>
  <si>
    <t>TEPSA</t>
  </si>
  <si>
    <t>CIA. TRASMEDITERRANEA, S. A.</t>
  </si>
  <si>
    <t xml:space="preserve">ACCIONA </t>
  </si>
  <si>
    <t>HOLCIM ESPAÑA, S.A.</t>
  </si>
  <si>
    <t>HISALVA</t>
  </si>
  <si>
    <t>GALP ENERGIA ESPAÑA, S.A.U. (6410)</t>
  </si>
  <si>
    <t>PETROVAL</t>
  </si>
  <si>
    <t>TEMAGRA, S.L.</t>
  </si>
  <si>
    <t>TYCOM MARINES TCV</t>
  </si>
  <si>
    <t>SILOS DE LEVANTE, S.A.</t>
  </si>
  <si>
    <t>SILESA</t>
  </si>
  <si>
    <t>Terminales Portuarias S.L. (1125)</t>
  </si>
  <si>
    <t>VCT-16  CT TEPSA 1 y 2.</t>
  </si>
  <si>
    <t>VCT-27 NOATUM</t>
  </si>
  <si>
    <t>SEVASA</t>
  </si>
  <si>
    <t>CT SEVASA</t>
  </si>
  <si>
    <t>18.0</t>
  </si>
  <si>
    <t>MARINA SUR</t>
  </si>
  <si>
    <t>BAJO PUENTE GIRATORIO SUR</t>
  </si>
  <si>
    <t>MARINA NORTE</t>
  </si>
  <si>
    <t>BAJO PUENTE GIRATORIO NORTE</t>
  </si>
  <si>
    <t>C113801731</t>
  </si>
  <si>
    <t>S-98027920</t>
  </si>
  <si>
    <t>6560745-98</t>
  </si>
  <si>
    <t>LW00043067</t>
  </si>
  <si>
    <t>LW00042715</t>
  </si>
  <si>
    <t>C01.06</t>
  </si>
  <si>
    <t>C01.09</t>
  </si>
  <si>
    <t>C01.10</t>
  </si>
  <si>
    <t>C01.18</t>
  </si>
  <si>
    <t>C01.05</t>
  </si>
  <si>
    <t>C01.04</t>
  </si>
  <si>
    <t>C01.03</t>
  </si>
  <si>
    <t>C01.02</t>
  </si>
  <si>
    <t>C01.01</t>
  </si>
  <si>
    <t>6542616-98</t>
  </si>
  <si>
    <t>C01.21</t>
  </si>
  <si>
    <t>C01.08</t>
  </si>
  <si>
    <t>C01.07</t>
  </si>
  <si>
    <t>C01.00</t>
  </si>
  <si>
    <t>C01.16</t>
  </si>
  <si>
    <t>C01.17</t>
  </si>
  <si>
    <t>C02.01</t>
  </si>
  <si>
    <t>C02.05</t>
  </si>
  <si>
    <t>C02.06</t>
  </si>
  <si>
    <t>C02.07</t>
  </si>
  <si>
    <t>C02.09</t>
  </si>
  <si>
    <t>C02.10</t>
  </si>
  <si>
    <t>C02.11</t>
  </si>
  <si>
    <t>C02.12</t>
  </si>
  <si>
    <t>C02.13</t>
  </si>
  <si>
    <t>C02.08</t>
  </si>
  <si>
    <t>6423039-97</t>
  </si>
  <si>
    <t>C05.00</t>
  </si>
  <si>
    <t>LW00014244</t>
  </si>
  <si>
    <t>CXZVFER1501348811</t>
  </si>
  <si>
    <t>MERLIN GERIN</t>
  </si>
  <si>
    <t>COUNTIS E20</t>
  </si>
  <si>
    <t>CXPUGBI15051354390</t>
  </si>
  <si>
    <t>C01-22</t>
  </si>
  <si>
    <t>VCT05</t>
  </si>
  <si>
    <t>CUADRO GENERAL TÚNEL</t>
  </si>
  <si>
    <t xml:space="preserve">DEL TORO IBAÑEZ, S.L. </t>
  </si>
  <si>
    <t>POLIDEPORTIVO</t>
  </si>
  <si>
    <t>Avisar antes 661201510</t>
  </si>
  <si>
    <t>BAJA DE SUMINISTRO  A DEMAGRISA EL 26/06/2016 (LECTURA INICIAL 109306)</t>
  </si>
  <si>
    <t>AMARRADORES VALENCIA</t>
  </si>
  <si>
    <t>EDIFICIO AMARRADORES</t>
  </si>
  <si>
    <t>ALTA 19/08/2016</t>
  </si>
  <si>
    <t>FEDER. PESCA COMUNIDAD VALENCIANA</t>
  </si>
  <si>
    <t>faltan datos ( NUEVO CONTADOR)</t>
  </si>
  <si>
    <t>ALTA NUEVA EN PROCESO</t>
  </si>
  <si>
    <t>CAMBIO/ALTA DE CONTADOR POR AVERÍA (EN PROCESO)</t>
  </si>
  <si>
    <t>EN C.T.</t>
  </si>
  <si>
    <t>NAVE Y TORRES 2201, 02, 03 ( alta 1/12/2013 )(APAGADO)</t>
  </si>
  <si>
    <t>Dio la vuelta el 28/8/2013 (APAGADO)</t>
  </si>
  <si>
    <t>C.P.B.T. MARQUESINA</t>
  </si>
  <si>
    <t>C.D. BAJA TENSIÓN</t>
  </si>
  <si>
    <t>FEDE. PESCA COMUNIDAD VALENCIANA</t>
  </si>
  <si>
    <t>CAMBIO DE CONTADOR</t>
  </si>
  <si>
    <t>TERMINAL CONT. VACIOS</t>
  </si>
  <si>
    <t>APV ALUMBRADO VIALES</t>
  </si>
  <si>
    <t>VCT53</t>
  </si>
  <si>
    <t>APV ALUMBRADO TORRES</t>
  </si>
  <si>
    <t>VCT54</t>
  </si>
  <si>
    <t>FARO</t>
  </si>
  <si>
    <t>Avisar 661201510</t>
  </si>
  <si>
    <t>SANIDAD VEGETAL</t>
  </si>
  <si>
    <t>INFOPORT VALENCIA, S.A.</t>
  </si>
  <si>
    <t>PARKING D (BALEARIA)</t>
  </si>
  <si>
    <t>ALTA 17/06/2016</t>
  </si>
  <si>
    <t>TAREGA BENDING, S.L.</t>
  </si>
  <si>
    <t>COUNTIS</t>
  </si>
  <si>
    <t>TCV3</t>
  </si>
  <si>
    <t>sin lectura en junio( cambio de contador en mayo)</t>
  </si>
  <si>
    <t>CAMBIO/BAJA DE CONTADOR POR AVERÍA (EN PROCESO)</t>
  </si>
  <si>
    <t>Enero</t>
  </si>
  <si>
    <t>Mayo</t>
  </si>
  <si>
    <t>Junio</t>
  </si>
  <si>
    <t>Julio</t>
  </si>
  <si>
    <t>Agosto</t>
  </si>
  <si>
    <t>Septiembre</t>
  </si>
  <si>
    <t>Octubre</t>
  </si>
  <si>
    <t>Noviembre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</si>
  <si>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</si>
  <si>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</si>
  <si>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</si>
  <si>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</si>
  <si>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</si>
  <si>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</si>
  <si>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</si>
  <si>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</si>
  <si>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</si>
  <si>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</si>
  <si>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</si>
  <si>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</si>
  <si>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Febrero</t>
  </si>
  <si>
    <t>Marzo</t>
  </si>
  <si>
    <t>Abril</t>
  </si>
  <si>
    <t>SERVICIOS APV</t>
  </si>
  <si>
    <t>OFICINAS PLANTA CLIMA</t>
  </si>
  <si>
    <t>ALUMBRADO TORRES</t>
  </si>
  <si>
    <t>TOTAL ALUMBRADO TORRES</t>
  </si>
  <si>
    <t>TOTAL ALUMBRADO VIALES</t>
  </si>
  <si>
    <t>TOTAL SERVICIOS EXTERNOS</t>
  </si>
  <si>
    <t>MT-S</t>
  </si>
  <si>
    <t xml:space="preserve">VULKAN SHIPYARD, S.L.         </t>
  </si>
  <si>
    <t xml:space="preserve">ZONA RELLENO 3      </t>
  </si>
  <si>
    <t>SAGUNTO ALEVINES (CNX SR-004)</t>
  </si>
  <si>
    <t xml:space="preserve">MUELLE PESQUERO     </t>
  </si>
  <si>
    <t>MEDIA TENSION.ALEVINES</t>
  </si>
  <si>
    <t>BERSOLAZ</t>
  </si>
  <si>
    <t>MEDIA TENSION. ACUITMED</t>
  </si>
  <si>
    <t>PROCESOS LOGISTC. INTEGLES SLU</t>
  </si>
  <si>
    <t xml:space="preserve">M CENTRO 2          </t>
  </si>
  <si>
    <t>MEDIA TENSION.</t>
  </si>
  <si>
    <t>TOYOTA LOGISTICS S. ESPAÑA,SLU</t>
  </si>
  <si>
    <t xml:space="preserve">AMPLIACIÓN SUR      </t>
  </si>
  <si>
    <t>MEDIA TENSION. TOYOTA</t>
  </si>
  <si>
    <t>CARPORT</t>
  </si>
  <si>
    <t xml:space="preserve">INTERSAGUNTO TERMINALES, S.A. </t>
  </si>
  <si>
    <t>MUELLE NORTE DOS</t>
  </si>
  <si>
    <t>S</t>
  </si>
  <si>
    <t>SCT01</t>
  </si>
  <si>
    <t>Alumbrado viales Dique Este Ct nº1</t>
  </si>
  <si>
    <t>SCT02</t>
  </si>
  <si>
    <t>Alumbrado viales Dique Este Ct nº2</t>
  </si>
  <si>
    <t>SCT03</t>
  </si>
  <si>
    <t>Alumbrado viales Dique Este Ct nº3</t>
  </si>
  <si>
    <t>SCT04</t>
  </si>
  <si>
    <t>CEMESA AMARRES BARCELONA</t>
  </si>
  <si>
    <t>CASETA Nº 4 PESQUERO</t>
  </si>
  <si>
    <t xml:space="preserve">COFRADIA PESCADORES PTO SGTO. </t>
  </si>
  <si>
    <t xml:space="preserve">LONJA PESCADO       </t>
  </si>
  <si>
    <t>LOGISTICA PUERTO DE SAGUNTO SL</t>
  </si>
  <si>
    <t xml:space="preserve">MUELLE NORTE        </t>
  </si>
  <si>
    <t xml:space="preserve">PETROPESCA, S.L.              </t>
  </si>
  <si>
    <t xml:space="preserve">M PESQUERO          </t>
  </si>
  <si>
    <t>REMOLQUES DEL MEDITERRANEO S.A</t>
  </si>
  <si>
    <t xml:space="preserve">M PESQUERO 18       </t>
  </si>
  <si>
    <t xml:space="preserve">MUELLE NORTE Torre 7       </t>
  </si>
  <si>
    <t xml:space="preserve">CASETA Nº11 ALGIBES BLASCO </t>
  </si>
  <si>
    <t>DARSENA PESQUERA</t>
  </si>
  <si>
    <t>Alumbrado viales darsena pesquera CT nº4</t>
  </si>
  <si>
    <t>Alumbrado viales focos en nave logistica CT4</t>
  </si>
  <si>
    <t xml:space="preserve">Sala contraincendios nº 1 </t>
  </si>
  <si>
    <t>Dársena pesquera</t>
  </si>
  <si>
    <t>SCT05</t>
  </si>
  <si>
    <t>MUELLE NORTE</t>
  </si>
  <si>
    <t>Casa y Café, S.C. Salvador Montalva Martinez</t>
  </si>
  <si>
    <t xml:space="preserve">BASCULA </t>
  </si>
  <si>
    <t xml:space="preserve">PORTUARIA LEVANTINA, S.A.     </t>
  </si>
  <si>
    <t xml:space="preserve">NAVE MUELLE NORTE   </t>
  </si>
  <si>
    <t>MUELLE NORTE  NAVE ROJA</t>
  </si>
  <si>
    <t xml:space="preserve"> Alumbrado viales CT5</t>
  </si>
  <si>
    <t>TORRES ALUMBRADO M. NORTE</t>
  </si>
  <si>
    <t>SCT06</t>
  </si>
  <si>
    <t>S.A. GESTION ESTIB PORTUAR SGT</t>
  </si>
  <si>
    <t xml:space="preserve">EDIFICIO SESASA     </t>
  </si>
  <si>
    <t>TORRE ST-0617</t>
  </si>
  <si>
    <t>TORRE ST-0618</t>
  </si>
  <si>
    <t>Alumbrado viales CT6</t>
  </si>
  <si>
    <t>Edificio Dirección</t>
  </si>
  <si>
    <t>Depósitos agua potable</t>
  </si>
  <si>
    <t>SAE-368-13</t>
  </si>
  <si>
    <t>SCT07</t>
  </si>
  <si>
    <t>UTE MARPOL ZONA DE TRIAJE</t>
  </si>
  <si>
    <t>Alumbrado viales CT7</t>
  </si>
  <si>
    <t>SCT08</t>
  </si>
  <si>
    <t>Torre Alumbrado centro 2</t>
  </si>
  <si>
    <t>Alumbrado viales CT8</t>
  </si>
  <si>
    <t>SCT09</t>
  </si>
  <si>
    <t xml:space="preserve">UTE MUELLE NORTE SAGUNTO        </t>
  </si>
  <si>
    <t>NORTE</t>
  </si>
  <si>
    <t>Alumbrado viales CT9</t>
  </si>
  <si>
    <t>SCT10</t>
  </si>
  <si>
    <t>Alumbrado viales CT10</t>
  </si>
  <si>
    <t>SCT11</t>
  </si>
  <si>
    <t>Alumbrado viales CT11</t>
  </si>
  <si>
    <t>SCT12</t>
  </si>
  <si>
    <t>Torre Alumbrado Sur 2 2</t>
  </si>
  <si>
    <t>No se puede acceder a lecturas</t>
  </si>
  <si>
    <t>Torre Alumbrado Sur 2 1</t>
  </si>
  <si>
    <t>Alumbrado torres nº 1-2-3-4 muelle sur dos CT10-1</t>
  </si>
  <si>
    <t>Alumbrado torres nº 5-6-7-8 muelle sur dos CT10-2</t>
  </si>
  <si>
    <t xml:space="preserve">Sala contraincendios nº 2 </t>
  </si>
  <si>
    <t>SCT71</t>
  </si>
  <si>
    <t>CORPORACION PRACTICOS SGTO,S.L</t>
  </si>
  <si>
    <t>MUELLE SUR</t>
  </si>
  <si>
    <t>AMARRADORES PTO DE SGTO, S.L.U</t>
  </si>
  <si>
    <t>M.NORESTE</t>
  </si>
  <si>
    <t>REMOLCADORES DEL MEDITERRANEO S.A</t>
  </si>
  <si>
    <t>Alumbrado torres en muelle Noreste CT7-1</t>
  </si>
  <si>
    <t>TAREGA VENDING S.L.</t>
  </si>
  <si>
    <t>ALTA5/08/2016</t>
  </si>
  <si>
    <t>SCT72</t>
  </si>
  <si>
    <t xml:space="preserve">Sala contraincendios nº 3 </t>
  </si>
  <si>
    <t>Muelle Noreste</t>
  </si>
  <si>
    <t>Alumbrado viales CT7-2</t>
  </si>
  <si>
    <t>G</t>
  </si>
  <si>
    <t>GCDD</t>
  </si>
  <si>
    <t>Centro Distrib. Recinto Palmera</t>
  </si>
  <si>
    <t>GCT01</t>
  </si>
  <si>
    <t>Agencia Estatal de AdministracionTributaria</t>
  </si>
  <si>
    <t>Hornacina exterior Edif. Aduana</t>
  </si>
  <si>
    <t>Alumbrado Exterior P.Principal</t>
  </si>
  <si>
    <t>CT 1 SUR</t>
  </si>
  <si>
    <t>Alumbrado Tinglados Fruteros (INT.y EXT.)</t>
  </si>
  <si>
    <t>Capitanía Marítima</t>
  </si>
  <si>
    <t>INTERIOR CT 1 SUR</t>
  </si>
  <si>
    <t>Antigua FRILESA - Cámaras frigo.</t>
  </si>
  <si>
    <t>Báscula</t>
  </si>
  <si>
    <t>EDIFICIO SOIVRE</t>
  </si>
  <si>
    <t>SOCIED. EST/DESEST PUERTO GANDÍA</t>
  </si>
  <si>
    <t>ASEO VIVIENDA SERVICIO Nº1</t>
  </si>
  <si>
    <t>COFRADÍA PESCADORES DE GANDÍA</t>
  </si>
  <si>
    <t>Muelle Frutero Nave nº 17 (Martillo)</t>
  </si>
  <si>
    <t>EXCMO. AYUNTAMIENTO GANDÍA</t>
  </si>
  <si>
    <t>INTERIOR T. FRUTERO 9</t>
  </si>
  <si>
    <t>UNIVERSIDAD POLITÉCNICA DE VALENCIA</t>
  </si>
  <si>
    <t>INT. T. FRUTEROS 13-14</t>
  </si>
  <si>
    <t>INTERIOR T. FRUTEROS 13-14</t>
  </si>
  <si>
    <t>ALUMBRADO INTERIOR TINGLADOS FRUTEROS</t>
  </si>
  <si>
    <t>Int. Tinglado Frutero nº 17</t>
  </si>
  <si>
    <t>CASTELLÓ HERRERO, SEBASTIÁN</t>
  </si>
  <si>
    <t>MURO PERIMETRAL VARADERO</t>
  </si>
  <si>
    <t>Solar rotonda</t>
  </si>
  <si>
    <t>General CT 1</t>
  </si>
  <si>
    <t>Torre GT.0101</t>
  </si>
  <si>
    <t>ACCIONA INFRAESTRUCTURAS, S.A.</t>
  </si>
  <si>
    <t>Hornacina Acceso Dique Norte</t>
  </si>
  <si>
    <t>RESERVA 2</t>
  </si>
  <si>
    <t>Exterior Tdo. Frutero Nº 17</t>
  </si>
  <si>
    <t>Alta en fecha: 29/12/2015</t>
  </si>
  <si>
    <t>SAE-381-14</t>
  </si>
  <si>
    <t>GCT02</t>
  </si>
  <si>
    <t>NAVARRO Y BORONAD, S.L.</t>
  </si>
  <si>
    <t>INTERIOR TDO. Nº4 ZONA VENECIA</t>
  </si>
  <si>
    <t>Circuitos alumbrados (Torres)</t>
  </si>
  <si>
    <t>CT 2 SERPIS</t>
  </si>
  <si>
    <t>LÍNEA GRÚAS Nº1 M. SERPIS</t>
  </si>
  <si>
    <t>LÍNEA GRÚAS Nº2 M. SERPIS</t>
  </si>
  <si>
    <t>GA-E-00134-15</t>
  </si>
  <si>
    <t>FLASHCAT VALENCIA, S.L.</t>
  </si>
  <si>
    <t>TINGLADO 3 SERPIS</t>
  </si>
  <si>
    <t>Tinglado Venecia nº 4 (INT y EXT.)</t>
  </si>
  <si>
    <t>Balizamiento contradique</t>
  </si>
  <si>
    <t>Tinglado Abierto (INT. y EXT.)</t>
  </si>
  <si>
    <t>Contador cambiado</t>
  </si>
  <si>
    <t>TINGLADO FRUTERO Nº 12-13</t>
  </si>
  <si>
    <t>TINGLADO FRUTERO Nº 16</t>
  </si>
  <si>
    <t>GCT03</t>
  </si>
  <si>
    <t>CT 3 DEHORSA</t>
  </si>
  <si>
    <t>GCT04</t>
  </si>
  <si>
    <t>TRAMUNTANA MAR, C.B.</t>
  </si>
  <si>
    <t>INT. HORNACINA NUEVAS CASETAS</t>
  </si>
  <si>
    <t>CASETA PESCA Nº 23</t>
  </si>
  <si>
    <t>Exterior hornacina nuevas casetas</t>
  </si>
  <si>
    <t>NUEVAS CASETAS PESCADORES</t>
  </si>
  <si>
    <t>ARMARIO ADOSADO CT-4</t>
  </si>
  <si>
    <t>Alumbrado público entorno Lonja</t>
  </si>
  <si>
    <t>Alumbrado EXTERIOR Nuevas casetas pescadores</t>
  </si>
  <si>
    <t>Exterior hornacina nuevas casetas pescadores</t>
  </si>
  <si>
    <t>Alta en fecha: 19/04/2013</t>
  </si>
  <si>
    <t>GCT05</t>
  </si>
  <si>
    <t>GENERAL GCT05</t>
  </si>
  <si>
    <t>IBERDROLA</t>
  </si>
  <si>
    <t>Alumbrado Dique Norte</t>
  </si>
  <si>
    <t>TOTAL</t>
  </si>
  <si>
    <t>Racks Comunicaciones*</t>
  </si>
  <si>
    <t>ED,ANT. DIRECCIÓN, CLINICA, POLIDEPOR., LOC. SINDICALES</t>
  </si>
  <si>
    <t>LG63898</t>
  </si>
  <si>
    <t>TRANSITOS COSTA ESTE, S.L.</t>
  </si>
  <si>
    <t>RESERVA</t>
  </si>
  <si>
    <t>APV- SERVICIOS C.T.</t>
  </si>
  <si>
    <t>NO CONSTA</t>
  </si>
  <si>
    <t>SOCOMEC E15</t>
  </si>
  <si>
    <t>SIN NOTIFICACIÓN DE PETICIÓN</t>
  </si>
  <si>
    <t>SOCOMEC E16</t>
  </si>
  <si>
    <t>LW00043120</t>
  </si>
  <si>
    <t>LW000181319</t>
  </si>
  <si>
    <t>NAVE TMS (ALMACEN XITA)</t>
  </si>
  <si>
    <t>EN CT-10</t>
  </si>
  <si>
    <t>EN CT-3</t>
  </si>
  <si>
    <t>SIN DATOS</t>
  </si>
  <si>
    <t>Alta contador en fecha 04/11/2016</t>
  </si>
  <si>
    <t>Porcentaje propia</t>
  </si>
  <si>
    <t>Porcentaje absoluto</t>
  </si>
  <si>
    <t>110 121 122</t>
  </si>
  <si>
    <t>ESTIMADO</t>
  </si>
  <si>
    <t>TOTAL ESTIMADO</t>
  </si>
  <si>
    <t>SERVICIO</t>
  </si>
  <si>
    <t>REF</t>
  </si>
  <si>
    <t>ZONA</t>
  </si>
  <si>
    <t>VALENCIA</t>
  </si>
  <si>
    <t>(4) ENERGIA NO MEDIDA (kWh)</t>
  </si>
  <si>
    <t>(3) AUTOCONSUMOS (kWh)</t>
  </si>
  <si>
    <t>(2) USUARIOS (kWh)</t>
  </si>
  <si>
    <t>SAGUNTO</t>
  </si>
  <si>
    <t>GANDIA</t>
  </si>
  <si>
    <t>LECTURAS</t>
  </si>
  <si>
    <t>VCT RELOJ</t>
  </si>
  <si>
    <t>VCT06Y</t>
  </si>
  <si>
    <t>VCT06Z</t>
  </si>
  <si>
    <t>CENTRALIZACION CT14</t>
  </si>
  <si>
    <t>EDIFICIO PENDIENTE ADJUDICACIÓN</t>
  </si>
  <si>
    <t>TOMA MUELLE DARSENA SERVICIOS</t>
  </si>
  <si>
    <t>INTERIOR CT14</t>
  </si>
  <si>
    <t>TORRES DARSENA SERVICIO (4) Y MUELLE SUR (3)</t>
  </si>
  <si>
    <t>AUTOCONSUMO. INSTALADO EL 15 FEBRERO.</t>
  </si>
  <si>
    <t>ALMACEN SERVICIO ELECTRICO</t>
  </si>
  <si>
    <t>PRÁCTICOS. RETIRADO.</t>
  </si>
  <si>
    <t>CHECK</t>
  </si>
  <si>
    <t/>
  </si>
  <si>
    <t>Primer digito indica nº vuelta y se añade manualmente.</t>
  </si>
  <si>
    <t>UTE SOLER</t>
  </si>
  <si>
    <t>TORRES ALUMBRADO ENTRADA M. CRUCEROS</t>
  </si>
  <si>
    <t>Descubierto con lectura amarilla el 22 de Marzo del 2017</t>
  </si>
  <si>
    <t>VREP</t>
  </si>
  <si>
    <t>VTOT</t>
  </si>
  <si>
    <t>FACT EXT</t>
  </si>
  <si>
    <t>TOTALIZADOR</t>
  </si>
  <si>
    <t>GTOT</t>
  </si>
  <si>
    <t>PRACTICOS DE VALENCIA S.L.P.</t>
  </si>
  <si>
    <t>TORRETAS / EDI</t>
  </si>
  <si>
    <t>APV RACK</t>
  </si>
  <si>
    <t>ALTA 1/3/2017 NUMERO 820618</t>
  </si>
  <si>
    <t>LW00042807</t>
  </si>
  <si>
    <t>PM4E34dF60</t>
  </si>
  <si>
    <t>TOTALIZADOR CT13</t>
  </si>
  <si>
    <t>PM489C2946</t>
  </si>
  <si>
    <t>TOTALIZADOR ACTIVA DEL CT 8</t>
  </si>
  <si>
    <t>Columna1</t>
  </si>
  <si>
    <t>Columna2</t>
  </si>
  <si>
    <t>CXZVFER14053024</t>
  </si>
  <si>
    <t>APV FARO</t>
  </si>
  <si>
    <t>apagado</t>
  </si>
  <si>
    <t>retirado el 1/3/2017 apagado</t>
  </si>
  <si>
    <t>VFIJ</t>
  </si>
  <si>
    <t xml:space="preserve">DRAGADOS </t>
  </si>
  <si>
    <t>EN TORRE 2204</t>
  </si>
  <si>
    <t>EN CT (5)</t>
  </si>
  <si>
    <t>EN CT (7)</t>
  </si>
  <si>
    <t>EN CT (9)</t>
  </si>
  <si>
    <t>EN CT (4)</t>
  </si>
  <si>
    <t>EN CT (8)</t>
  </si>
  <si>
    <t>EN CT (3)</t>
  </si>
  <si>
    <t>EN CT (2)</t>
  </si>
  <si>
    <t>EN CT (6)</t>
  </si>
  <si>
    <t>EN CT (1)</t>
  </si>
  <si>
    <t>EN CT (10)</t>
  </si>
  <si>
    <t>EN CT (11)</t>
  </si>
  <si>
    <t>EN CT (12)</t>
  </si>
  <si>
    <t>EN CT (13)</t>
  </si>
  <si>
    <t>EN CT (01)</t>
  </si>
  <si>
    <t>EN CT (02)</t>
  </si>
  <si>
    <t>EN CT (03)</t>
  </si>
  <si>
    <t>EN CT (04)</t>
  </si>
  <si>
    <t>EN CT (05)</t>
  </si>
  <si>
    <t>EN CT (06)</t>
  </si>
  <si>
    <t>EN CT (07)</t>
  </si>
  <si>
    <t>EN CT (08)</t>
  </si>
  <si>
    <t>EN CT (09)</t>
  </si>
  <si>
    <t>MOVIMIENTO</t>
  </si>
  <si>
    <t>FECHA</t>
  </si>
  <si>
    <t>MODIFICACION</t>
  </si>
  <si>
    <t>UBICACION</t>
  </si>
  <si>
    <t>ACTUACION</t>
  </si>
  <si>
    <t>CONTADOR ANALOGICO, MULTIPLICAR CONSUMOS POR 600/5</t>
  </si>
  <si>
    <t>ADICION</t>
  </si>
  <si>
    <t>CT14</t>
  </si>
  <si>
    <t>ALTA NUEVA EN PROCESO 100/5</t>
  </si>
  <si>
    <t>100/5</t>
  </si>
  <si>
    <t>150/5</t>
  </si>
  <si>
    <t>75/5</t>
  </si>
  <si>
    <t>1000/5</t>
  </si>
  <si>
    <t>PM 47A092AA</t>
  </si>
  <si>
    <t>SALA DE BOMBAS XITA</t>
  </si>
  <si>
    <t>SALA BOMBAS XITA</t>
  </si>
  <si>
    <t>PM 4E3A2ADD</t>
  </si>
  <si>
    <t>SALA BOMBAS CRUCEROS</t>
  </si>
  <si>
    <t>SALA BOMBAS CRUCERO</t>
  </si>
  <si>
    <t>PM 4B61C688</t>
  </si>
  <si>
    <t>SALA DE BOMBAS TURIA</t>
  </si>
  <si>
    <t>EN SALA DE BOMBAS TURIA</t>
  </si>
  <si>
    <t>CT15</t>
  </si>
  <si>
    <t>CT51</t>
  </si>
  <si>
    <t>CT10</t>
  </si>
  <si>
    <t>SALA BOMBAS</t>
  </si>
  <si>
    <t>PASAR A TEXTO ESTATICO</t>
  </si>
  <si>
    <t>APV COMEDOR</t>
  </si>
  <si>
    <t>APV TUNEL</t>
  </si>
  <si>
    <t>PM</t>
  </si>
  <si>
    <t>EN SCADA</t>
  </si>
  <si>
    <t>ESTACION BOMBEO AGUAS RESIDUALES SUR</t>
  </si>
  <si>
    <t>DESDE EL 5/4/17</t>
  </si>
  <si>
    <t>APV ESTACION REBOMBEO SUR</t>
  </si>
  <si>
    <t>APV ESTACION VACIO SUR</t>
  </si>
  <si>
    <t>ESTACION VACIO SUR</t>
  </si>
  <si>
    <t>APV ESTACION REBOMBEO NORTE</t>
  </si>
  <si>
    <t>CT32</t>
  </si>
  <si>
    <t>CT22</t>
  </si>
  <si>
    <t>CT4</t>
  </si>
  <si>
    <t>CT17</t>
  </si>
  <si>
    <t>ESTACION REBOMBEO</t>
  </si>
  <si>
    <t>ESTACION VACIO</t>
  </si>
  <si>
    <t>RT</t>
  </si>
  <si>
    <t>CONSUMOS</t>
  </si>
  <si>
    <t>DATOS</t>
  </si>
  <si>
    <t>concepto</t>
  </si>
  <si>
    <t>todo</t>
  </si>
  <si>
    <t>todos</t>
  </si>
  <si>
    <t>onmipresente</t>
  </si>
  <si>
    <t>Añadir relacion de TI en contadores viejos</t>
  </si>
  <si>
    <t>Nuevo control sobre PM ya existente</t>
  </si>
  <si>
    <t>TORRETA</t>
  </si>
  <si>
    <t>REFERENCIAS</t>
  </si>
  <si>
    <t>Se añaden varios #REF facilitados por Ozaeta.</t>
  </si>
  <si>
    <t>Unificación Contador Torres</t>
  </si>
  <si>
    <t>Aplicar relación transformacion 600/5</t>
  </si>
  <si>
    <t>Hay Q15 y Subconsumos en CDD</t>
  </si>
  <si>
    <t>UltLec</t>
  </si>
  <si>
    <t>PenLect</t>
  </si>
  <si>
    <t>UltConsumo</t>
  </si>
  <si>
    <t>PRACTICOS PUERTO VALENCIA</t>
  </si>
  <si>
    <t>Primer digito indica nº vuelta y se añade manualmente. CDD</t>
  </si>
  <si>
    <t>CASETA BALEARIA</t>
  </si>
  <si>
    <t>CUADRO TORRE PARKING D</t>
  </si>
  <si>
    <t>OFICINA 2ª PLANTA</t>
  </si>
  <si>
    <t>Pasa de REF 150 a REF 39010</t>
  </si>
  <si>
    <t>Federación de pesca de la C.V.</t>
  </si>
  <si>
    <t>Pasa de REF39027 a REF 39044</t>
  </si>
  <si>
    <t>Transitos Costa ESTE S.L.U.</t>
  </si>
  <si>
    <t>Maquinas expendedoras</t>
  </si>
  <si>
    <t>P</t>
  </si>
  <si>
    <t>PANTALÁN BOMBA DIESEL</t>
  </si>
  <si>
    <t>EN SALA Y SCADA</t>
  </si>
  <si>
    <t>PLANT</t>
  </si>
  <si>
    <t>Primer digiro indica numero de vueltas</t>
  </si>
  <si>
    <t>Primer digito indica numero vueltas contador</t>
  </si>
  <si>
    <t>TRANSFORMADOR USUARIO, CUELGA DEL CT.50</t>
  </si>
  <si>
    <t>AÑADIR  111</t>
  </si>
  <si>
    <t>DUPLICADO CON EL 39370</t>
  </si>
  <si>
    <t>TODO</t>
  </si>
  <si>
    <t>Aplicar relaciones de transformación a contadores en Sagunto</t>
  </si>
  <si>
    <t>LW00042943</t>
  </si>
  <si>
    <t>NUEVO EDIFICIO RESPONSABLE DE CIRCULACION</t>
  </si>
  <si>
    <t xml:space="preserve">BAJA  </t>
  </si>
  <si>
    <t>TEMAGRA ¿INFRAPORTVA?</t>
  </si>
  <si>
    <t>CXRUGBI17038221141</t>
  </si>
  <si>
    <t>APV TORRE 301</t>
  </si>
  <si>
    <t>APV TORRE 10.01</t>
  </si>
  <si>
    <t>APV TORRES DARSENA SERVICIO (4) Y MUELLE SUR (3)</t>
  </si>
  <si>
    <t>DOS TORRES ROTONDA NAZARET</t>
  </si>
  <si>
    <t>APV Almacen y Talleres</t>
  </si>
  <si>
    <t>APV Coche S.E</t>
  </si>
  <si>
    <t>APV PM Totalizador</t>
  </si>
  <si>
    <t>APV COCHERON</t>
  </si>
  <si>
    <t>APV ED,ANT. DIRECCIÓN, CLINICA, POLIDEPOR., LOC. SINDICALES</t>
  </si>
  <si>
    <t>APV ESTACION VACÍO NORTE</t>
  </si>
  <si>
    <t xml:space="preserve">APV RENFE (SALA RC) </t>
  </si>
  <si>
    <t>APV GUARDIA CIVIL SCANER</t>
  </si>
  <si>
    <t>APV TOTALIZADOR</t>
  </si>
  <si>
    <t>APV PIF</t>
  </si>
  <si>
    <t>APV ACCESO SUR izq</t>
  </si>
  <si>
    <t>APV ACCESO SUR der</t>
  </si>
  <si>
    <t>APV EDIFICIO GUARDIA CIVIL</t>
  </si>
  <si>
    <t>APV TOTALIZADOR CT14</t>
  </si>
  <si>
    <t>COMPAÑÍA TRASMEDITERRÁNEA, S.A.</t>
  </si>
  <si>
    <t>Fachada Este nave antigua FRILESA</t>
  </si>
  <si>
    <t xml:space="preserve"> BAJA 31/01/17</t>
  </si>
  <si>
    <t xml:space="preserve"> ALTA 31/01/17</t>
  </si>
  <si>
    <t>BAJA 04/04/2017</t>
  </si>
  <si>
    <t>PG</t>
  </si>
  <si>
    <t>Bascula</t>
  </si>
  <si>
    <t>Alta 1/05/2017</t>
  </si>
  <si>
    <t>Alta 19/6/17</t>
  </si>
  <si>
    <t>ALUM EXTERIOR DIRECCION</t>
  </si>
  <si>
    <t>SAI GARAJE</t>
  </si>
  <si>
    <t>GARAJE</t>
  </si>
  <si>
    <t>Instalado 20/06/17 Lectura inicial 0</t>
  </si>
  <si>
    <t>Instalado 20/06/17 Lectura inicial 230</t>
  </si>
  <si>
    <t>Se ponen dos digitos a mano (10)</t>
  </si>
  <si>
    <t>17 MEDIA TENSIÓN</t>
  </si>
  <si>
    <t>18 MEDIA TENSIÓN</t>
  </si>
  <si>
    <t>16 MEDIA TENSIÓN</t>
  </si>
  <si>
    <t>25 MEDIA TENSIÓN</t>
  </si>
  <si>
    <t>22 MEDIA TENSIÓN</t>
  </si>
  <si>
    <t>21 MEDIA TENSIÓN</t>
  </si>
  <si>
    <t>24 MEDIA TENSIÓN</t>
  </si>
  <si>
    <t>20 MEDIA TENSIÓN</t>
  </si>
  <si>
    <t>15 MEDIA TENSIÓN</t>
  </si>
  <si>
    <t>7 MEDIA TENSIÓN Se le asigna el 70%</t>
  </si>
  <si>
    <t>7 MEDIA TENSIÓN Se le asigna el 30%</t>
  </si>
  <si>
    <t>12 MEDIA TENSIÓN</t>
  </si>
  <si>
    <t>19 MEDIA TENSIÓN</t>
  </si>
  <si>
    <t>2 MEDIA TENSIÓN</t>
  </si>
  <si>
    <t>3 MEDIA TENSIÓN</t>
  </si>
  <si>
    <t>14 MEDIA TENSIÓN</t>
  </si>
  <si>
    <t>11 MEDIA TENSIÓN</t>
  </si>
  <si>
    <t>9 MEDIA TENSIÓN</t>
  </si>
  <si>
    <t>5 MEDIA TENSIÓN</t>
  </si>
  <si>
    <t>4 MEDIA TENSIÓN</t>
  </si>
  <si>
    <t>8 MEDIA TENSIÓN</t>
  </si>
  <si>
    <t>X MEDIA TENSIÓN</t>
  </si>
  <si>
    <t>10 MEDIA TENSIÓN</t>
  </si>
  <si>
    <t>13 MEDIA TENSIÓN</t>
  </si>
  <si>
    <t>01 MEDIA TENSIÓN</t>
  </si>
  <si>
    <t>CONTADOR SALA BOMBAS LEVANTE</t>
  </si>
  <si>
    <t>TOTAL CONSUMO APV GANDIA</t>
  </si>
  <si>
    <t>LW00044275</t>
  </si>
  <si>
    <t>BOMBA POZO</t>
  </si>
  <si>
    <t>CUADRO ALIMENTACION FRENTE VCT45 EN HORNACINA ROTONDA</t>
  </si>
  <si>
    <t>VCT11</t>
  </si>
  <si>
    <t>RACK VR11</t>
  </si>
  <si>
    <t>EXTERIOR CT (1)</t>
  </si>
  <si>
    <t>EXTERIOR CT (5)</t>
  </si>
  <si>
    <t>EXTERIOR CT (4)</t>
  </si>
  <si>
    <t>EXTERIOR CT (3)</t>
  </si>
  <si>
    <t>EXTERIOR CT (2)</t>
  </si>
  <si>
    <t>C. CONTADORES EDIF .V (1)</t>
  </si>
  <si>
    <t>C. CONTADORES EDIF .V (5)</t>
  </si>
  <si>
    <t>C. CONTADORES EDIF .V (3)</t>
  </si>
  <si>
    <t>C. CONTADORES EDIF .V (4)</t>
  </si>
  <si>
    <t>EN CENTRALIZACION (3)</t>
  </si>
  <si>
    <t>EN CENTRALIZACION (2)</t>
  </si>
  <si>
    <t>EN CENTRALIZACION (6)</t>
  </si>
  <si>
    <t>EN CENTRALIZACION (4)</t>
  </si>
  <si>
    <t>EN CENTRALIZACION (12)</t>
  </si>
  <si>
    <t>EN CENTRALIZACION (7)</t>
  </si>
  <si>
    <t>EN CENTRALIZACION (11)</t>
  </si>
  <si>
    <t>EN CENTRALIZACION (13)</t>
  </si>
  <si>
    <t>EN CENTRALIZACION (1)</t>
  </si>
  <si>
    <t>EN CENTRALIZACION (5)</t>
  </si>
  <si>
    <t>EN CENTRALIZACION (10)</t>
  </si>
  <si>
    <t>CENTRALIZACION (3)</t>
  </si>
  <si>
    <t>CENTRALIZACION (2)</t>
  </si>
  <si>
    <t>CENTRALIZACION (1)</t>
  </si>
  <si>
    <t>VALENCIA TERMINAL EUROPA, S.A. TORRE 5102</t>
  </si>
  <si>
    <t>VALENCIA TERMINAL EUROPA, S.A. TORRE 5104</t>
  </si>
  <si>
    <t>VALENCIA TERMINAL EUROPA, S.A. TORRE 5101</t>
  </si>
  <si>
    <t>VALENCIA TERMINAL EUROPA, S.A. TORRE 5203</t>
  </si>
  <si>
    <t>VALENCIA TERMINAL EUROPA, S.A. TORRE 5204</t>
  </si>
  <si>
    <t>VALENCIA TERMINAL EUROPA, S.A. TORRE 5202</t>
  </si>
  <si>
    <t>VALENCIA TERMINAL EUROPA, S.A. TORRE 5201</t>
  </si>
  <si>
    <t>AIRE ACONDICIONADO DIRECCION</t>
  </si>
  <si>
    <t>INTERIOR CT (1)</t>
  </si>
  <si>
    <t>INTERIOR CT (2)</t>
  </si>
  <si>
    <t>INTERIOR CT (3)</t>
  </si>
  <si>
    <t>INTERIOR CT (4)</t>
  </si>
  <si>
    <t>INTERIOR CT (5)</t>
  </si>
  <si>
    <t>INTERIOR CT (6)</t>
  </si>
  <si>
    <t>INTERIOR CT (7)</t>
  </si>
  <si>
    <t>INTERIOR CT (8)</t>
  </si>
  <si>
    <t>EN CENTRALIZACION (01)</t>
  </si>
  <si>
    <t>EN CENTRALIZACION (02)</t>
  </si>
  <si>
    <t>EN CENTRALIZACION (03)</t>
  </si>
  <si>
    <t>EN CENTRALIZACION (04)</t>
  </si>
  <si>
    <t>EN CENTRALIZACION (05)</t>
  </si>
  <si>
    <t>EN CENTRALIZACION (06)</t>
  </si>
  <si>
    <t>EN CENTRALIZACION (07)</t>
  </si>
  <si>
    <t>EN CENTRALIZACION (08)</t>
  </si>
  <si>
    <t>EN CENTRALIZACION (09)</t>
  </si>
  <si>
    <t>Añadido el 25/08/17 Lectura inicial?¿?¿?</t>
  </si>
  <si>
    <t>Alta 12/6/17 50/5 Pero ya parametrizado.</t>
  </si>
  <si>
    <t>Ptda ROLLET, 2 1 ESC. 146529-CANET D EN BERENGUER - VALENCIA</t>
  </si>
  <si>
    <t>C/ FAROLA, 30 46408-FARO - VALENCIA</t>
  </si>
  <si>
    <t>3X380/220</t>
  </si>
  <si>
    <t>C/ DIC NORD, 2 46730-GRAO - GANDIA - VALENCIA</t>
  </si>
  <si>
    <t>3X400/230</t>
  </si>
  <si>
    <t>C/ ESTRIBO PUENTE MOVIL CT 1 MARGEN SUR, 1 , BAJO 46023-VALENCIA</t>
  </si>
  <si>
    <t>C/ ESTRIBO PUENTE MOVIL CT 2 MARGEN NORTE, 2 , BAJO 46023-VALENCIA</t>
  </si>
  <si>
    <t>C/ LUIS CENDOYA, 2 1 , 1 46520-EL PUERTO - VALENCIA</t>
  </si>
  <si>
    <t>Grpo PORT GANDIA ( RECINT ), 1 1 , BAJO , A 46730-GRAO - GANDIA</t>
  </si>
  <si>
    <t>Avda MUELLES DE LA ADUANA, S/N 1 , BAJO , 9997 46024-VALENCIA</t>
  </si>
  <si>
    <t>APV VALENCIA</t>
  </si>
  <si>
    <t>APV GANDIA</t>
  </si>
  <si>
    <t>PUENTE SUR</t>
  </si>
  <si>
    <t>PUENTE NORTE</t>
  </si>
  <si>
    <t>FARO CANET</t>
  </si>
  <si>
    <t>APV SAGUNTO</t>
  </si>
  <si>
    <t>Frigorificos. Retirado de servicio 27/6/2017</t>
  </si>
  <si>
    <t>Era autoconsumo 3</t>
  </si>
  <si>
    <t>Era autoconsumo 4</t>
  </si>
  <si>
    <t>C. CONTADORES EDIF .V (2)</t>
  </si>
  <si>
    <t>EN CENTRALIZACIÓN (09)</t>
  </si>
  <si>
    <t>ALUMBRADO VIALES T0903 y T0904</t>
  </si>
  <si>
    <t>TRANSBASE SOLER</t>
  </si>
  <si>
    <t>LW00012544</t>
  </si>
  <si>
    <t>CENTRO DE FORMACION NAUTICA</t>
  </si>
  <si>
    <t xml:space="preserve"> EMPRESA MIXTA VALENCIANA DE AGUAS S.A</t>
  </si>
  <si>
    <t>15/01/2018</t>
  </si>
  <si>
    <t>FARO CULLERA</t>
  </si>
  <si>
    <t>PASEO GANDIA</t>
  </si>
  <si>
    <t>N/A</t>
  </si>
  <si>
    <t>BOMBEROS NO SE FACTURA</t>
  </si>
  <si>
    <t>No esta el 15/10/2017</t>
  </si>
  <si>
    <t>ZNUQGAZ 17047641017</t>
  </si>
  <si>
    <t>Nuevo el 15/10/2017. Sin conectar</t>
  </si>
  <si>
    <t>Posible SN 4AA76262</t>
  </si>
  <si>
    <t>HORNACINA FRENTE A VELAS LLUCH</t>
  </si>
  <si>
    <t>BAJA</t>
  </si>
  <si>
    <t>JUNTO AL TRANSFORMADOR SCT6</t>
  </si>
  <si>
    <t>TRANSFORMADOR EN CAMPA MUELLE SUR 2</t>
  </si>
  <si>
    <t>TORRE ALUMBRADO NUMERO 19 CAMPA VIAL SUR</t>
  </si>
  <si>
    <t xml:space="preserve">39981 CARPORT SAGUNTO, S.L.         </t>
  </si>
  <si>
    <t xml:space="preserve">39979 CARPORT SAGUNTO, S.L.         </t>
  </si>
  <si>
    <t xml:space="preserve">39392 CARPORT SAGUNTO, S.L.         </t>
  </si>
  <si>
    <t xml:space="preserve">39391 CARPORT SAGUNTO, S.L.         </t>
  </si>
  <si>
    <t xml:space="preserve">ALUMBRADO PUBLICO TORRE </t>
  </si>
  <si>
    <t>BSCT12</t>
  </si>
  <si>
    <t>BSCT08</t>
  </si>
  <si>
    <t>CXRUGBI17040534446</t>
  </si>
  <si>
    <t>BAR CABALLITO DE MAR</t>
  </si>
  <si>
    <t>CXRUGBI17040534448</t>
  </si>
  <si>
    <t>ALTA 25-8-17, INSTALACION 25-12-17</t>
  </si>
  <si>
    <t>DADO DE BAJA</t>
  </si>
  <si>
    <t>GBAJA</t>
  </si>
  <si>
    <t>BGCT01</t>
  </si>
  <si>
    <t>C. CONTADORES EDIF .V (6)</t>
  </si>
  <si>
    <t>31/12/2017</t>
  </si>
  <si>
    <t>15/02/2018</t>
  </si>
  <si>
    <t>15/03/2018</t>
  </si>
  <si>
    <t>15/04/2018</t>
  </si>
  <si>
    <t>15/05/2018</t>
  </si>
  <si>
    <t>15/06/2018</t>
  </si>
  <si>
    <t>15/07/2018</t>
  </si>
  <si>
    <t>15/08/2018</t>
  </si>
  <si>
    <t>15/09/2018</t>
  </si>
  <si>
    <t>15/09/20182</t>
  </si>
  <si>
    <t>15/10/2018</t>
  </si>
  <si>
    <t>15/11/2018</t>
  </si>
  <si>
    <t>28/12/2018</t>
  </si>
  <si>
    <t>retirado</t>
  </si>
  <si>
    <t>sin telemedida</t>
  </si>
  <si>
    <t>CT ANTIGUO CARPORT</t>
  </si>
  <si>
    <t>BAJA A 31/01/18</t>
  </si>
  <si>
    <t>CHEMA BALLESTER</t>
  </si>
  <si>
    <t>CXRUGBI17040534455</t>
  </si>
  <si>
    <t>ALTA 8-2-2018</t>
  </si>
  <si>
    <t>2/3 torres con 4 focos</t>
  </si>
  <si>
    <t>PS</t>
  </si>
  <si>
    <t>Mide GWh</t>
  </si>
  <si>
    <t>VCDD Panel 2</t>
  </si>
  <si>
    <t>EN CENTRALIZACIÓN (2)</t>
  </si>
  <si>
    <t>EN CENTRALIZACIÓN (1)</t>
  </si>
  <si>
    <t>BAJA SEGÚN MANOLO</t>
  </si>
  <si>
    <t>037207-0707</t>
  </si>
  <si>
    <t>Un orbis</t>
  </si>
  <si>
    <t>DAMQCBH08005356226</t>
  </si>
  <si>
    <t>LECTURA DIRECTA CT5 (VISTO 20-2-18)</t>
  </si>
  <si>
    <t>ACCESO NORTE  VENDING (MAQUINAS CAFÉ ACCESO NORTE)</t>
  </si>
  <si>
    <t>Alumbrado viales CT5</t>
  </si>
  <si>
    <t>la RT no es de 50, si no de 1, puesto que es lectura directa.</t>
  </si>
  <si>
    <t>BGNQCB1010527478</t>
  </si>
  <si>
    <t>JUNTO FERTIBERIA DETRÁS CT7</t>
  </si>
  <si>
    <t>INTERIOR CT10</t>
  </si>
  <si>
    <t>CENTRALIZACION.Muelle Sur 2</t>
  </si>
  <si>
    <t>Alumbrado viales CT10-1 MUELLE SAGAS</t>
  </si>
  <si>
    <t>La RT pasa de 20 a ser 50.</t>
  </si>
  <si>
    <t>Tras visita del dia 20/2/18</t>
  </si>
  <si>
    <t xml:space="preserve">CXZVFER 17040183032  </t>
  </si>
  <si>
    <t>BAJA EL 19-2-18. 26 MEDIA TENSIÓN</t>
  </si>
  <si>
    <t>ALTA EL 19-2-18. 26 MEDIA TENSIÓN</t>
  </si>
  <si>
    <t>PM4CD028F0</t>
  </si>
  <si>
    <t>INTERIOR CT LADO BAJA</t>
  </si>
  <si>
    <t>CXUVFER17038936162</t>
  </si>
  <si>
    <t>ALUMBRADO TORRE 5</t>
  </si>
  <si>
    <t>CXUVFER17038936164</t>
  </si>
  <si>
    <t>GENERAL CT 7</t>
  </si>
  <si>
    <t>PM4A3787A2</t>
  </si>
  <si>
    <t>ALUMBRADO TORRE 6</t>
  </si>
  <si>
    <t>CXRUGBI17040534447</t>
  </si>
  <si>
    <t>???</t>
  </si>
  <si>
    <t>PM44D89C85</t>
  </si>
  <si>
    <t>PM4D3EF0E1</t>
  </si>
  <si>
    <t>VIALES CT7</t>
  </si>
  <si>
    <t>LW1300</t>
  </si>
  <si>
    <t>TOMAS CORRIENTE MUELLE NORTE</t>
  </si>
  <si>
    <t>CASETA 19/20</t>
  </si>
  <si>
    <t>CASETA19/20</t>
  </si>
  <si>
    <t>SBAJA</t>
  </si>
  <si>
    <t xml:space="preserve">NUEVO CONTROL  </t>
  </si>
  <si>
    <t>SCT7</t>
  </si>
  <si>
    <t>GENERAL CT7</t>
  </si>
  <si>
    <t>GENERAL CT72</t>
  </si>
  <si>
    <t>VIALES CT72</t>
  </si>
  <si>
    <t>DE CARRIL</t>
  </si>
  <si>
    <t>REMOLCADORES BOLUDA, S.A.</t>
  </si>
  <si>
    <t>D.S.T.N OFICINAS</t>
  </si>
  <si>
    <t>Desmontada la linea</t>
  </si>
  <si>
    <t>15-02-18 baja del usuario. Ahora es consumo APV</t>
  </si>
  <si>
    <t>DRAGADOS S.L.</t>
  </si>
  <si>
    <t>TIPO</t>
  </si>
  <si>
    <t>TELE</t>
  </si>
  <si>
    <t>3F</t>
  </si>
  <si>
    <t>NO</t>
  </si>
  <si>
    <t>SI</t>
  </si>
  <si>
    <t>MF</t>
  </si>
  <si>
    <t>Fusibles quitados</t>
  </si>
  <si>
    <t>MUELLE DESGUACE</t>
  </si>
  <si>
    <t>VBAJA</t>
  </si>
  <si>
    <t>MT-BAJA</t>
  </si>
  <si>
    <t>NOATUM T SAGUNTO S.L.U.</t>
  </si>
  <si>
    <t>Alta en Marzo</t>
  </si>
  <si>
    <t>Q19 GARAGE POLICIA PORTUARIA</t>
  </si>
  <si>
    <t>CUADRO SERVICIOS</t>
  </si>
  <si>
    <t>PM4583C54E</t>
  </si>
  <si>
    <t>PM43541EEE</t>
  </si>
  <si>
    <t>PM40621114</t>
  </si>
  <si>
    <t>CXRUGBI15051203692</t>
  </si>
  <si>
    <t>CXRUGBI15051203693</t>
  </si>
  <si>
    <t>CXRUGBI15051354404</t>
  </si>
  <si>
    <t>Q6 - OFICINAS FASE II (RED)</t>
  </si>
  <si>
    <t>Q6.7 - OFICINAS Y FASE IV (SAI)</t>
  </si>
  <si>
    <t>Q13 - OFICINAS FASE II (SAI)</t>
  </si>
  <si>
    <t>Q15 - OFICINAS AUXILIARES (SAI)</t>
  </si>
  <si>
    <t>Q17 -  OFICINAS AUXILIARES (RED)</t>
  </si>
  <si>
    <t>Q2.4 - OFICINAS Y FASE IV (RED)</t>
  </si>
  <si>
    <t>Q3 - PARKING F.III CUADRO OKKEN</t>
  </si>
  <si>
    <t>PM45819294</t>
  </si>
  <si>
    <t>PM45B19E1A</t>
  </si>
  <si>
    <t>PM4581A96D</t>
  </si>
  <si>
    <t>PM4581A6F8</t>
  </si>
  <si>
    <t>PM4581962F</t>
  </si>
  <si>
    <t>PM40AF8A4D</t>
  </si>
  <si>
    <t>PM45819783</t>
  </si>
  <si>
    <t>CXZVFER16032811062</t>
  </si>
  <si>
    <t>CXZVFER15051363895</t>
  </si>
  <si>
    <t>CXZVFER15051363898</t>
  </si>
  <si>
    <t>CXRUGBI16032811063</t>
  </si>
  <si>
    <t>CXRUGBI16032811065</t>
  </si>
  <si>
    <t>CXRUGBI16032811066</t>
  </si>
  <si>
    <t>CXRUGBI16032811067</t>
  </si>
  <si>
    <t>CXRUGBI16032811068</t>
  </si>
  <si>
    <t>CXRUGBI16032811069</t>
  </si>
  <si>
    <t>CXRUGBI16032811071</t>
  </si>
  <si>
    <t>CXRUGBI16032811072</t>
  </si>
  <si>
    <t>CXRUGBI16032811073</t>
  </si>
  <si>
    <t>CXZVFER16037477744</t>
  </si>
  <si>
    <t>CXRUGBI16032811070</t>
  </si>
  <si>
    <t>PM484E5A10</t>
  </si>
  <si>
    <t>PM4935817C</t>
  </si>
  <si>
    <t>PM43F201AF</t>
  </si>
  <si>
    <t>PM4E380252</t>
  </si>
  <si>
    <t>PM4E396380</t>
  </si>
  <si>
    <t>PM4E396383</t>
  </si>
  <si>
    <t>PM4E37FCB3</t>
  </si>
  <si>
    <t>PM4E39638B</t>
  </si>
  <si>
    <t>PM4E39FA7F</t>
  </si>
  <si>
    <t>PM4E37EA09</t>
  </si>
  <si>
    <t>PM4E37F878</t>
  </si>
  <si>
    <t>PM4E37FCA6</t>
  </si>
  <si>
    <t>PM4703432C</t>
  </si>
  <si>
    <t>PM4AD3A025</t>
  </si>
  <si>
    <t>PM47A092AA</t>
  </si>
  <si>
    <t>PM4D33D749</t>
  </si>
  <si>
    <t>1 PM4CE4E184</t>
  </si>
  <si>
    <t>2 PM4CE26391</t>
  </si>
  <si>
    <t>PM4E3A2ADD</t>
  </si>
  <si>
    <t>PM4AA7B262</t>
  </si>
  <si>
    <t>CXRUGBI17040534454</t>
  </si>
  <si>
    <t xml:space="preserve">TRANSCONT </t>
  </si>
  <si>
    <t>Alta 4/4/18</t>
  </si>
  <si>
    <t xml:space="preserve"> CXRUGBI16032811075</t>
  </si>
  <si>
    <t>ADCQHCD956058700</t>
  </si>
  <si>
    <t>150/5 PERO YA LO APLICA EL PROPIO CONTADOR? CAMBIO DE SUMINISTRO A (TRANSISTOS COSTA ESTE, S.L.)</t>
  </si>
  <si>
    <t>Retirado del CT10</t>
  </si>
  <si>
    <t>CXZVFER17038278831</t>
  </si>
  <si>
    <t>BGJQCBJ02020581330</t>
  </si>
  <si>
    <t>CUCMFGL0895589731</t>
  </si>
  <si>
    <t>CUCMFGL0895589727</t>
  </si>
  <si>
    <t>CUEMFGL0894811331</t>
  </si>
  <si>
    <t>CUEMFGL0894811333</t>
  </si>
  <si>
    <t>CUEMFGL0895589692</t>
  </si>
  <si>
    <t>CUEMFGL0895589707</t>
  </si>
  <si>
    <t>CUEMFGL0895589708</t>
  </si>
  <si>
    <t>CUEMFGL0895589728</t>
  </si>
  <si>
    <t>CUEMFGL0895589732</t>
  </si>
  <si>
    <t>CUEMFGL1197560647</t>
  </si>
  <si>
    <t>CWTMFGL11097734842</t>
  </si>
  <si>
    <t>B</t>
  </si>
  <si>
    <t>TORRE NOATUM (ANTES LOGISTICA)</t>
  </si>
  <si>
    <t>CXZVFER16051363898</t>
  </si>
  <si>
    <t>TORRE SUR DOS Nº1</t>
  </si>
  <si>
    <t>TORRE SUR DOS Nº 2</t>
  </si>
  <si>
    <t>TORRE SUR DOS Nº 3</t>
  </si>
  <si>
    <t>TORRE SUR DOS Nº4</t>
  </si>
  <si>
    <t>TORRE SUR DOS Nº 5</t>
  </si>
  <si>
    <t>TORRE SUR DOS Nº 6</t>
  </si>
  <si>
    <t>TORRE SUR DOS Nº7</t>
  </si>
  <si>
    <t>TORRE SUR DOS Nº 8</t>
  </si>
  <si>
    <t xml:space="preserve">SCANER VEHICULOS </t>
  </si>
  <si>
    <t>TORRE CENTRO DOS Nº1</t>
  </si>
  <si>
    <t>TORRE CENTRO DOS Nº 2</t>
  </si>
  <si>
    <t>TORRE CENTRO DOS Nº 3</t>
  </si>
  <si>
    <t>CXRUGBI15051354409</t>
  </si>
  <si>
    <t>DAOQHCD985084328</t>
  </si>
  <si>
    <t>DAOQHCD985084331</t>
  </si>
  <si>
    <t>CXRUGBI15051354408</t>
  </si>
  <si>
    <t>DBB211700</t>
  </si>
  <si>
    <t>CXRUGBI15051354405</t>
  </si>
  <si>
    <t>Q6.8 PILLER PANEL 3</t>
  </si>
  <si>
    <t>PM4E380256</t>
  </si>
  <si>
    <t>PM4E39FA1B</t>
  </si>
  <si>
    <t>PM4E39636C</t>
  </si>
  <si>
    <t>Añadido el 20/5/2018</t>
  </si>
  <si>
    <t>APV ALUMBRADO TORRES (DOS)</t>
  </si>
  <si>
    <t>PM4B61C688</t>
  </si>
  <si>
    <t>PM4A5B4CCA</t>
  </si>
  <si>
    <t>PM4E350F69</t>
  </si>
  <si>
    <t>PM4E350F02</t>
  </si>
  <si>
    <t>PM4E33C51B</t>
  </si>
  <si>
    <t>PM4B61FB08</t>
  </si>
  <si>
    <t>PM48F64684</t>
  </si>
  <si>
    <t>PM16093536</t>
  </si>
  <si>
    <t>PM4581AD1E</t>
  </si>
  <si>
    <t>PM45819626</t>
  </si>
  <si>
    <t>PM40B2540D</t>
  </si>
  <si>
    <t>PM4581AB04</t>
  </si>
  <si>
    <t>CXZVFER15051363897</t>
  </si>
  <si>
    <t>BGJQHCD9999585472</t>
  </si>
  <si>
    <t xml:space="preserve"> BGJQHCD04040571163</t>
  </si>
  <si>
    <t>BGJQCBJ010575845</t>
  </si>
  <si>
    <t>V.P.I  Q12 - OFICINAS FASE I (SAI)</t>
  </si>
  <si>
    <t>V.P.I  Q7 - OFICINAS FASE I (RED)</t>
  </si>
  <si>
    <t>FUNDACION Q5 - OFICINAS FASE III (RED)</t>
  </si>
  <si>
    <t>FUNDACION  Q14 - OFICINAS FASE III (SAI)</t>
  </si>
  <si>
    <t xml:space="preserve"> CXUVFER18040534442 </t>
  </si>
  <si>
    <t xml:space="preserve">CXUVFER 18040534444 </t>
  </si>
  <si>
    <t>Lectura indirecta 100/5</t>
  </si>
  <si>
    <t>CXRUGBI17038452893</t>
  </si>
  <si>
    <t>CXRUGBI17038452908</t>
  </si>
  <si>
    <t>HORNACINA ACCESO A NOATUM</t>
  </si>
  <si>
    <t>NUEVA CENTRALIZACION (1)</t>
  </si>
  <si>
    <t>NUEVA CENTRALIZACION (4)</t>
  </si>
  <si>
    <t>NUEVA CENTRALIZACION (3)</t>
  </si>
  <si>
    <t>NUEVA CENTRALIZACION (2)</t>
  </si>
  <si>
    <t>PM466994BD</t>
  </si>
  <si>
    <t>PM4B162524</t>
  </si>
  <si>
    <t>FORD ESPAÑA S.L</t>
  </si>
  <si>
    <t>7 MEDIA TENSIÓN Se le asigna el 100%</t>
  </si>
  <si>
    <t>OK MISMO CONTADOR QUE CAPITANIA. ELLOS SE APAÑAN desde el 18/06/2018</t>
  </si>
  <si>
    <t>Retirado entorno al 10/04/18</t>
  </si>
  <si>
    <t>Baja comunicada el 18-06-18. Pero fue un mes antes.</t>
  </si>
  <si>
    <t>CXUVFER18042586792</t>
  </si>
  <si>
    <t>CXUVFER18042586793</t>
  </si>
  <si>
    <t>CXUVFER18042586796</t>
  </si>
  <si>
    <t>ESCUELA DE FORMACION NAUTICA</t>
  </si>
  <si>
    <t>Perdidas TRAFOS</t>
  </si>
  <si>
    <t>INTERIOR TDO. Nº4 VENECIA</t>
  </si>
  <si>
    <t>Alumbrado interior tinglado nº 4 Venecia</t>
  </si>
  <si>
    <t>Casetas prefabricadas Guardia Civil</t>
  </si>
  <si>
    <t>TORRE SUR DOS Nº 1</t>
  </si>
  <si>
    <t>TORRE SUR DOS Nº 4</t>
  </si>
  <si>
    <t>Instalacion nueva en Mayo 2018</t>
  </si>
  <si>
    <t>LW00112199</t>
  </si>
  <si>
    <t>IDEAL DEVELOPMENTS S.L</t>
  </si>
  <si>
    <t>EN CT PROPIO</t>
  </si>
  <si>
    <t>ALTA 10/07/2018</t>
  </si>
  <si>
    <t>NUEVA CENTRALIZACION</t>
  </si>
  <si>
    <t>0217463155</t>
  </si>
  <si>
    <t>A9MEM2105</t>
  </si>
  <si>
    <t>HORNACINA DARSENA VIAL</t>
  </si>
  <si>
    <t>PAVASAL, S.A.</t>
  </si>
  <si>
    <t>JUNTO RETEN POLICIA</t>
  </si>
  <si>
    <t>Retirada hornacina, contador desaparecido (23/07/2018)</t>
  </si>
  <si>
    <t>LW00013687</t>
  </si>
  <si>
    <t>DRAVO, S.A.</t>
  </si>
  <si>
    <t>EXPLANADA ANTIGUO CAUCE RIO TURIA</t>
  </si>
  <si>
    <t>OFICINA TECNICA TES, S.L.</t>
  </si>
  <si>
    <t>FUNDACIÓ COMUNITAT VALENCIANA GRAOS MARINS</t>
  </si>
  <si>
    <t>ALTA 06/08/2018</t>
  </si>
  <si>
    <t>APV-Alumbrado Exterior P.Principal</t>
  </si>
  <si>
    <t>Red MT APV</t>
  </si>
  <si>
    <t>Edificio APV</t>
  </si>
  <si>
    <t>Acometida varadero / zona Sur</t>
  </si>
  <si>
    <t>Astillero FLASHCAT</t>
  </si>
  <si>
    <t>Oficinas en edificio APV</t>
  </si>
  <si>
    <t>Mº ECON.Y COMP.DIR.T.COMERC.VC.</t>
  </si>
  <si>
    <t>OFICINAS EN EDIFICIO APV</t>
  </si>
  <si>
    <t>TINGLADOS FRUTEROS 1-2-3 (Lonja pescado azul)</t>
  </si>
  <si>
    <t>TOMA FUERZA EN MUELLE FRUTERO</t>
  </si>
  <si>
    <t>TINGLADOS FRUTEROS Nº 4 y 5-UPV CAMPUS GANDÍA</t>
  </si>
  <si>
    <t>SIN SERVICIO</t>
  </si>
  <si>
    <t>Alumbrado ext. FLASHCAT + Tinglado Sur</t>
  </si>
  <si>
    <t>TINGLADO FRUTERO Nº 15 - MUSEO</t>
  </si>
  <si>
    <t>Buque VALENCIAPORT</t>
  </si>
  <si>
    <t>Alta: 27/06/2017 - Retirada contador en Agosto 2018 por estar sin servicio</t>
  </si>
  <si>
    <t>TINGLADO 1  MUELLE SERPIS</t>
  </si>
  <si>
    <t>TINGLADO 2 MUELLE SERPIS</t>
  </si>
  <si>
    <t>TINGLADO 3 MUELLE SERPIS</t>
  </si>
  <si>
    <t>Alumbrado int. Tinglado Abierto</t>
  </si>
  <si>
    <t>Nave DEHORSA</t>
  </si>
  <si>
    <t>MARIA CASAS MORENO</t>
  </si>
  <si>
    <t>FÁBRICA DE HIELO (COFRADIA PESCADORES)</t>
  </si>
  <si>
    <t>Alumbrado público entorno Cofradía</t>
  </si>
  <si>
    <t>CT5</t>
  </si>
  <si>
    <t>TOMAS FUERZA MUELLE SUR 1, 3 Y 5</t>
  </si>
  <si>
    <t>TOMAS FUERZA MUELLE SUR 2 Y 4</t>
  </si>
  <si>
    <t>Nuevo contador Alta en fecha: 19/04/2013-facturacion externa contrato 383107842</t>
  </si>
  <si>
    <t>PUESTO CONTROL-CONFRONTAS GUARDIA CIVIL</t>
  </si>
  <si>
    <t>CASETAS CFSE</t>
  </si>
  <si>
    <t>CASETA VENTA TICKETS</t>
  </si>
  <si>
    <t>Acometida cuadro gral. edificio Aduana/acceso ppal</t>
  </si>
  <si>
    <t>VARADERO S.C.H.</t>
  </si>
  <si>
    <t>ISLETA frente GCT01</t>
  </si>
  <si>
    <t>Edificio Cofradía Pescadores</t>
  </si>
  <si>
    <t>C01.23</t>
  </si>
  <si>
    <t>C01.24</t>
  </si>
  <si>
    <t>factura</t>
  </si>
  <si>
    <t>propia</t>
  </si>
  <si>
    <t>pierde</t>
  </si>
  <si>
    <t>autoconsumo</t>
  </si>
  <si>
    <t xml:space="preserve">Baja 14/09/2018 a solicitud del abonado, está será la última factura </t>
  </si>
  <si>
    <t>CXUVFER18042669941</t>
  </si>
  <si>
    <t>MUELLE NORTE (XITÀ)</t>
  </si>
  <si>
    <t>Alta 27/09/2018</t>
  </si>
  <si>
    <t>MUELLE NORTE (XITÀ)(Terminal Ford, oficinas, control de accesos)</t>
  </si>
  <si>
    <t xml:space="preserve">EN CENTRALIZACION </t>
  </si>
  <si>
    <t>ALTA 02/10/2018</t>
  </si>
  <si>
    <t>PMT</t>
  </si>
  <si>
    <t>Nuevo contador Alta en fecha: 26/09/2018</t>
  </si>
  <si>
    <t xml:space="preserve">Sustitución contador anterior (41709388) por avería tormenta </t>
  </si>
  <si>
    <t>Marca ZIV, modelo 09494VEB, tipo 5CTDE2F6</t>
  </si>
  <si>
    <t>CXPUGBI18043760081</t>
  </si>
  <si>
    <t>COPITRANS, S.L.</t>
  </si>
  <si>
    <t>FECHA ALTA 10/10/2018</t>
  </si>
  <si>
    <t>Explanada ayuda al transportista</t>
  </si>
  <si>
    <t>ALTA</t>
  </si>
  <si>
    <t>LECTURA INICIAL 22 KW/H</t>
  </si>
  <si>
    <t>LW00014175</t>
  </si>
  <si>
    <t>ACCIONA CONSTRUCCION, S.A.</t>
  </si>
  <si>
    <t>A9MEM-2015-CC2</t>
  </si>
  <si>
    <t>CASETA en Muelle Sur 2</t>
  </si>
  <si>
    <t>CASETA en Muelle Centro 2</t>
  </si>
  <si>
    <t>A9MEM-2015-CS2</t>
  </si>
  <si>
    <t>PM47AAF28D</t>
  </si>
  <si>
    <t>PM47AAF973</t>
  </si>
  <si>
    <t>TORRES APV</t>
  </si>
  <si>
    <t>CENTRALIZACION CT04</t>
  </si>
  <si>
    <t>Instalado para una prueba de telemedida, no es propiedad de la APV</t>
  </si>
  <si>
    <t>ALTA 18/10/2018</t>
  </si>
  <si>
    <t>Baja a solicitud del cliente</t>
  </si>
  <si>
    <t>BAJA 24/01/19 por abandono de las instalaciones por parte del usuario</t>
  </si>
  <si>
    <t>ALTA 07/09/2018, BAJA 07/02/19</t>
  </si>
  <si>
    <t>0217403047</t>
  </si>
  <si>
    <t>0217403060</t>
  </si>
  <si>
    <t>ZFUMEGI08000542943</t>
  </si>
  <si>
    <t>CUEMFGL0894810806</t>
  </si>
  <si>
    <t>EN LA SALA DE REBOMBEO</t>
  </si>
  <si>
    <t>CXZVFER170400183033</t>
  </si>
  <si>
    <t>TOMA coche nº3</t>
  </si>
  <si>
    <t>TOMA coche nº2</t>
  </si>
  <si>
    <t>BAJA A PETICIÓN DEL CLIENTE</t>
  </si>
  <si>
    <t>Baja por abandono de las instalaciones, se desmonta el contador 11-02-19</t>
  </si>
  <si>
    <t>Tomas de corriente en Nueva Dársena de Servicios Muelle Este</t>
  </si>
  <si>
    <t>LW00181107</t>
  </si>
  <si>
    <t>BOLUDA CONTAINER INDUSTRY, S.L.</t>
  </si>
  <si>
    <t>MUELLE  DE LA XITÀ, S/N</t>
  </si>
  <si>
    <t>Alta 26/02/2019</t>
  </si>
  <si>
    <t>C02.14</t>
  </si>
  <si>
    <t>GRUPO BERTOLIN, S.A.U.</t>
  </si>
  <si>
    <t>Alumbrado CASETAS DE OBRA</t>
  </si>
  <si>
    <t>Adosado a torre GT02-04</t>
  </si>
  <si>
    <t>SE DA LA BAJA AL ESTAR EL CONTADOR APAGADO Y DESCONECTADOS LOS FUSIBLES</t>
  </si>
  <si>
    <t>NUEVA ALTA 01/03/2019</t>
  </si>
  <si>
    <t xml:space="preserve">CXRUGBI15051203695 </t>
  </si>
  <si>
    <t xml:space="preserve">CXRUGBI15051203694 </t>
  </si>
  <si>
    <t>APV TORRES Y SERVICIOS</t>
  </si>
  <si>
    <t>TORRES Y SERVICIOS</t>
  </si>
  <si>
    <t>schneider IEM 2010</t>
  </si>
  <si>
    <t>clima</t>
  </si>
  <si>
    <t>APV CLIMATIZACIÓN</t>
  </si>
  <si>
    <t>AEROTERMIA TALLERES</t>
  </si>
  <si>
    <t>CUADRO MÁQUINAS Nº2 TALLER MECÁNICO</t>
  </si>
  <si>
    <t>0217404044</t>
  </si>
  <si>
    <t>ALTA CONTADOR 01/04/19</t>
  </si>
  <si>
    <t>SUSTITUYE AL CONTADOR LW00181677 POR REFORMA DEL CGBT</t>
  </si>
  <si>
    <t>0217404005</t>
  </si>
  <si>
    <t>0217404004</t>
  </si>
  <si>
    <t>SUSTITUYE A DBB211700 POR AVERÍA</t>
  </si>
  <si>
    <t>BAJA 01/04/19 POR REFORMA INSTALACIÓN</t>
  </si>
  <si>
    <t>CSP IBERIAN VALENCIA TERMINAL S.A.U.</t>
  </si>
  <si>
    <t>BAJA POR ABANDONO 01/04/19</t>
  </si>
  <si>
    <t xml:space="preserve">BERGE MARITIMA S.L. (báscula)    </t>
  </si>
  <si>
    <t>BAJA 01/04/19 POR REFORMA EN EL CGBT</t>
  </si>
  <si>
    <t>ALTA CONTADOR 01/04/19 SUSTITUYE AL 5356191 POR REFORMA DEL CGBT</t>
  </si>
  <si>
    <t>TRANSPORTES ALONSO SALCEDO, S.A.</t>
  </si>
  <si>
    <t>EXPLANADA OESTE (AMPLIACIÓN SUR)</t>
  </si>
  <si>
    <t>ALTA 10/05/2019</t>
  </si>
  <si>
    <t>PARCELA AMPLIACIÓN NORTE</t>
  </si>
  <si>
    <t xml:space="preserve">APV </t>
  </si>
  <si>
    <t>Mide todos los servicios que cuelgan del Grupo Electrógeno (edif. RC,OCR,rack, paso a nivel,.... todos son consumos de la APV)</t>
  </si>
  <si>
    <t>Cambio denominación abonado 12-06-19, antes TCV STEVEDORING COMPANY, S.A.</t>
  </si>
  <si>
    <t>APM TERMINALS VALENCIA, S.A.</t>
  </si>
  <si>
    <t>CXZVFER19044711888</t>
  </si>
  <si>
    <t>VALENCIA CONTAINER DEPOT SPAIN, S.L.</t>
  </si>
  <si>
    <t>EN C.T. CLIENTE</t>
  </si>
  <si>
    <t>AMPLIACIÓN NORTE</t>
  </si>
  <si>
    <t>MOYA NEBOT, S. L.</t>
  </si>
  <si>
    <t>FERIA</t>
  </si>
  <si>
    <t>Nuevo contador Alta en fecha: 01/07/2019, AUTORIZACION OCUPACION AG274</t>
  </si>
  <si>
    <t>CXZVFER 15051348800</t>
  </si>
  <si>
    <t>NUEVO CONTADOR 16/07/19</t>
  </si>
  <si>
    <t>ALTA 17/04/2019</t>
  </si>
  <si>
    <t>DURANTIA INFRAESTRUCTURAS, S.A.</t>
  </si>
  <si>
    <t>CXRUGBI18043200702</t>
  </si>
  <si>
    <t>DRAGADOS, S.A.</t>
  </si>
  <si>
    <t>BAJA 25/06/2019</t>
  </si>
  <si>
    <t>ROTONDA SESASA JUNTO ALMACÉN MTTO.</t>
  </si>
  <si>
    <t>CXZVFER 15051363899</t>
  </si>
  <si>
    <t>UNION NAVAL VALENCIA, S.A.</t>
  </si>
  <si>
    <t>EN CENTRALIZACION (14)</t>
  </si>
  <si>
    <t>ALTA 31/07/2019</t>
  </si>
  <si>
    <t>Hornacina parking Muelle Norte (frente Chillout)</t>
  </si>
  <si>
    <t>DESARROLLO HORTOFRUTÍCOLA DE LA SAFOR, S.A.</t>
  </si>
  <si>
    <t>0217404009</t>
  </si>
  <si>
    <t>se susttituye el contador 16/08/19</t>
  </si>
  <si>
    <t>alta contador 16/08/19, sustituye al anterior</t>
  </si>
  <si>
    <t>BAJA 30/08/19 POR CAMBIO EMPRESA SUMINISTRADORA</t>
  </si>
  <si>
    <t>E.P.E. SOCIEDAD DE SALVAMENTO Y SEGURIDAD MARITIMA</t>
  </si>
  <si>
    <t>ALTA 16/09/2019</t>
  </si>
  <si>
    <t>LW00042406</t>
  </si>
  <si>
    <t>VELAS LLUCH, S.L.</t>
  </si>
  <si>
    <t>ZONA EMBARCACIONES MENORES</t>
  </si>
  <si>
    <t>BAJA 15/10/2019</t>
  </si>
  <si>
    <t>CXZVFER19053847067</t>
  </si>
  <si>
    <t>BOLUDA CORPORACIÓN MARÍTIMA, S.L.</t>
  </si>
  <si>
    <t>PASEO DE CARO, S/N</t>
  </si>
  <si>
    <t>ALTA 15/10/2019</t>
  </si>
  <si>
    <t>Cambio de denominación comunicado por Facturación en fecha 21/11/19, antes FRIO PUERTO VALENCIA, S.L.</t>
  </si>
  <si>
    <t>AGRO MERCHANTS VALENCIA, S.L.</t>
  </si>
  <si>
    <t>Baja 14/10/2019 por derribo CT y cambio empresa suministradora, comunicación verbal baja por parte de Ismael 21/11/19</t>
  </si>
  <si>
    <t>Baja 14/10/2019 por derribo CT, comunicación verbal baja por parte de Ismael 21/11/19</t>
  </si>
  <si>
    <t>Nueva alta 15/11/2019</t>
  </si>
  <si>
    <t>ALTA 07/11/2018, LECTURA INICIAL 17882 - BAJA POR CAMBIO TITULAR 14/10/19</t>
  </si>
  <si>
    <t>ALTA 07/11/2018, LECTURA INICIAL 17882 - ALTA POR CAMBIO TITULAR 15/10/19</t>
  </si>
  <si>
    <t>INECO, S.A.</t>
  </si>
  <si>
    <t>140 141 142</t>
  </si>
  <si>
    <t>SERVICIOS EXTERNOS</t>
  </si>
  <si>
    <t>RECORDAR BORRAR FILTROS</t>
  </si>
  <si>
    <t>0217513097</t>
  </si>
  <si>
    <t>Se sustituye anterior contador por avería</t>
  </si>
  <si>
    <t>instalación nuevo contador 15/11/2019, lectura inicial 0</t>
  </si>
  <si>
    <t>Baja 15/11/2019 por cambio de titularidad de la ocupación</t>
  </si>
  <si>
    <t>SMART COFFEE, S.L.</t>
  </si>
  <si>
    <t>Alta 16/11/2019 por cambio de titularidad de la ocupación, CODIGO AV452</t>
  </si>
  <si>
    <t>Alta 16/11/2019 por cambio de titularidad de la ocupación, CODIGO AS199</t>
  </si>
  <si>
    <t>CENTRALIZACIÓN CALLEJÓN</t>
  </si>
  <si>
    <t>BAJA 29/01/2020</t>
  </si>
  <si>
    <t>Baja 15/01/2020 por fin de obra y a solicitud usuario</t>
  </si>
  <si>
    <t>CASETA HORMIGÓN MONTAJE GRUA FRENTE CT-17, TCV4</t>
  </si>
  <si>
    <t>Baja desde 10/2018 por desmantelamiento del servicio</t>
  </si>
  <si>
    <t>NUEVOS VESTUARIOS POLIDEPORTIVO APV</t>
  </si>
  <si>
    <t>Lectura inicial 87170</t>
  </si>
  <si>
    <t>1F</t>
  </si>
  <si>
    <t>Cambia de titularidad en Dic'19, antes era "TELEFONICA MOVILES ESPAÑA, S.A."</t>
  </si>
  <si>
    <t>TELSIUS TORRES ESPAÑA, S.L.</t>
  </si>
  <si>
    <t>MTS-BAJA</t>
  </si>
  <si>
    <t>BAJA 21/12/2020</t>
  </si>
  <si>
    <t>BAJA 23/01/20 DE OFICIO POR MTTO GND</t>
  </si>
  <si>
    <t>ORDENAR PESTAÑA LECTURAS POR CONTADOR Y CT (EN ESE ORDEN)</t>
  </si>
  <si>
    <t>Baja 16/03/2020 por fin otorgamiento</t>
  </si>
  <si>
    <t>Baja 16/03/20 por fin otorgamiento</t>
  </si>
  <si>
    <t>Autorización AS174</t>
  </si>
  <si>
    <t>ALTA 01/04/20</t>
  </si>
  <si>
    <t>BAJA 07/04/20 POR AVERIA, SE SUSTITUYE POR 0218013107</t>
  </si>
  <si>
    <t>0218013107</t>
  </si>
  <si>
    <t>ALTA 07/04/20</t>
  </si>
  <si>
    <t>MOLGAS ENERGIA, S.A.U.</t>
  </si>
  <si>
    <t>BKGTGAZ17078513870</t>
  </si>
  <si>
    <t>CONTADOR OBRA</t>
  </si>
  <si>
    <t>CYSYGAZ18021844894</t>
  </si>
  <si>
    <t>ALTA 12/03/20</t>
  </si>
  <si>
    <t>Baja 30-04-20, a petición usuario por desmontaje caseta</t>
  </si>
  <si>
    <t>Baja 15/05/20 por abandono concesión</t>
  </si>
  <si>
    <t>SCT91</t>
  </si>
  <si>
    <t>TORRE Nº7 M.CENTRO DOS</t>
  </si>
  <si>
    <t>TOYOTA LOGISTICS S. ESPAÑA,S.L.U.</t>
  </si>
  <si>
    <t>ALTA  15/04/20</t>
  </si>
  <si>
    <t>Baja 15/04/20</t>
  </si>
  <si>
    <t>Retirada alumbrado del CT</t>
  </si>
  <si>
    <t>SEROIL VALENCIA, S.L.</t>
  </si>
  <si>
    <t>QARQGDN20502002830</t>
  </si>
  <si>
    <t>DIQUE NORTE JUNTO A BOLUDA Y GALP</t>
  </si>
  <si>
    <t>ALTA 18/05/20</t>
  </si>
  <si>
    <t>RETIRADA CONTADOR 16/05/20 POR AVERÍA</t>
  </si>
  <si>
    <t>ALTA NUEVO CONTADOR 16/05/20 POR AVERÍA DEL ANTERIOR</t>
  </si>
  <si>
    <t>BAJA 10/06/20</t>
  </si>
  <si>
    <t>CXRUGBI17038452899</t>
  </si>
  <si>
    <t>DÁRSENA SERV. NAÚTICOS</t>
  </si>
  <si>
    <t>ALTA 05/06/20</t>
  </si>
  <si>
    <t>GCT06</t>
  </si>
  <si>
    <t>ALOJAMIENTOS KAMPEA, S.L.</t>
  </si>
  <si>
    <t xml:space="preserve"> ZONA SUR PLAYA VENECIA</t>
  </si>
  <si>
    <t>ALTA 27/05/20, LECT.INICIAL 0</t>
  </si>
  <si>
    <t>C01.25</t>
  </si>
  <si>
    <t>CARMEN ROMÁN ESCRIVÁ</t>
  </si>
  <si>
    <t>TINGLADO SUR</t>
  </si>
  <si>
    <t>ALTA 30/01/2020, BAJA 08/07/2020</t>
  </si>
  <si>
    <t>DAVID GARCELA BORRELL</t>
  </si>
  <si>
    <t xml:space="preserve">Baja por avería comunicada por SE el 17/08/20 </t>
  </si>
  <si>
    <t>FACT EXT BAJA</t>
  </si>
  <si>
    <t>ZOSVEDN19049884657</t>
  </si>
  <si>
    <t>BAJA TENSIÓN</t>
  </si>
  <si>
    <t>ALTA 17/08/20, LECTURA INICIAL 0</t>
  </si>
  <si>
    <t>BT-V</t>
  </si>
  <si>
    <t xml:space="preserve">TORRES NORESTE CAMPA USUARIOS </t>
  </si>
  <si>
    <t xml:space="preserve">TORRES NORESTE LADO MAR APV </t>
  </si>
  <si>
    <t>TORRES MUELLE NORESTE</t>
  </si>
  <si>
    <t xml:space="preserve">TORRES MUELLE NORESTE </t>
  </si>
  <si>
    <t>ANTIGUO EDIF. SUBACUÁTICOS-CUARTO INSTALACIONES</t>
  </si>
  <si>
    <t>Nuevo contador Alta en fecha: 17/06/2020, LECT.INICIAL 9378, BAJA 21/08/20 LECT. FINAL 17273</t>
  </si>
  <si>
    <t>20M26</t>
  </si>
  <si>
    <t>0217403027</t>
  </si>
  <si>
    <t>ALTA 21/08/20, LECT.INICIAL 0</t>
  </si>
  <si>
    <t>BAJA 20/08/20, LECT. FINAL 53003</t>
  </si>
  <si>
    <t>TORRESCAMARA Y CIA DE OBRAS, S.A.</t>
  </si>
  <si>
    <t>TACON MUELLE SERPIS</t>
  </si>
  <si>
    <t>ARMARIO ADOSADO SALA CI Puerto Gandía</t>
  </si>
  <si>
    <t>ALTA 21/08/20, LECT.INICIAL 0, BAJA 01/09, LECT. FINAL 2004</t>
  </si>
  <si>
    <t>Nuevo contador Alta en fecha: 01/09/2020, LECT.INICIAL 0, BAJA 15/09/20, LECT. FINAL 827</t>
  </si>
  <si>
    <t>BAJA 01/09/20 POR REVERSIÓN AUT. AS206</t>
  </si>
  <si>
    <t>(1) TOTAL NATURGY (kWh)</t>
  </si>
  <si>
    <t>ALTA 31/07/19, BAJA 07/10/20</t>
  </si>
  <si>
    <t>BAJA 01/10/20</t>
  </si>
  <si>
    <t>BAJA POR AVERÍA 21/10/20</t>
  </si>
  <si>
    <t>ALTA 21/10/20</t>
  </si>
  <si>
    <t>CXRUGBI17037968902</t>
  </si>
  <si>
    <t>FECHA DE ALTA (13/12/2016) Antes 39369, baja de oficio 15/11/20</t>
  </si>
  <si>
    <t>Baja 27/10/20  por reversión de la autorización AS168</t>
  </si>
  <si>
    <t>BAJA A SOLIC. USUARIO 23/11/20</t>
  </si>
  <si>
    <t>0517216023</t>
  </si>
  <si>
    <t>ALTA 08/10/20, LECT. INICIAL 5159</t>
  </si>
  <si>
    <t>CUADRO OKKEN (7)</t>
  </si>
  <si>
    <t>CUADRO OKKEN (3)</t>
  </si>
  <si>
    <t>CUADRO OKKEN (6)</t>
  </si>
  <si>
    <t>CUADRO OKKEN (2)</t>
  </si>
  <si>
    <t>CUADRO OKKEN (8)</t>
  </si>
  <si>
    <t>CUADRO OKKEN (1)</t>
  </si>
  <si>
    <t>0520242156</t>
  </si>
  <si>
    <t>TOYOTA LOGISTICS SERVICES ESPAÑA, S.L.</t>
  </si>
  <si>
    <t>MUELLE SUR 2 - TORRES ALUMBRADO</t>
  </si>
  <si>
    <t>ALTA 16/12/20, LECTURA INICIAL 0</t>
  </si>
  <si>
    <t>0520246067</t>
  </si>
  <si>
    <t>0520246163</t>
  </si>
  <si>
    <t>0218013110</t>
  </si>
  <si>
    <t>15/12/2021</t>
  </si>
  <si>
    <t>15/01/2022</t>
  </si>
  <si>
    <t>15/11/2021</t>
  </si>
  <si>
    <t>LW00180813</t>
  </si>
  <si>
    <t>UTE REMOLCADORES BOLUDA-REMSA</t>
  </si>
  <si>
    <t>MUELLE DE SERVICIOS</t>
  </si>
  <si>
    <t>ALTA 18/12/2020, LECTURA INICIAL 124918</t>
  </si>
  <si>
    <t>BAJA 14/01/2021</t>
  </si>
  <si>
    <t>SGS ESPAÑOLA DE CONTROL, S.A.</t>
  </si>
  <si>
    <t xml:space="preserve">CXRUGBI17038452909 </t>
  </si>
  <si>
    <t>DÁRSENA SERV. NAÚTICOS, EDIF. IV, PLANTA BAJA</t>
  </si>
  <si>
    <t>ALTA 26/01/21, LECTURA INICIAL 48133</t>
  </si>
  <si>
    <t>TRAGSA</t>
  </si>
  <si>
    <t>CASETA OBRA CON CARGO A APV</t>
  </si>
  <si>
    <t>U.T.E. RED VIARIA Y FERROVIARIA APV</t>
  </si>
  <si>
    <t xml:space="preserve">QASQGDN21502100627 </t>
  </si>
  <si>
    <t>ALTA 09/02/21, LECTURA INICIAL 0</t>
  </si>
  <si>
    <t>BAJA POR SUSTITUCIÓN 20/01/21</t>
  </si>
  <si>
    <t>ALTA 20/01/21</t>
  </si>
  <si>
    <t xml:space="preserve">071300126682 </t>
  </si>
  <si>
    <t>BAJA 29/01/21 A SOL. USUARIO, ÚLT.LECTURA 86761</t>
  </si>
  <si>
    <t>BAJA 29/01/21 A SOL. USUARIO, ÚLT.LECTURA 125069</t>
  </si>
  <si>
    <t>REAL CLUB NAUTICO VCIA.</t>
  </si>
  <si>
    <t>ALTA 26/01/21, LECTURA INICIAL 0</t>
  </si>
  <si>
    <t xml:space="preserve">LW00014244 </t>
  </si>
  <si>
    <t xml:space="preserve">UTE AT. VALENCIAPORT </t>
  </si>
  <si>
    <t>ALTA 22/02/21, LECTURA INICIAL 022685</t>
  </si>
  <si>
    <t>0217513094</t>
  </si>
  <si>
    <t>0217463123</t>
  </si>
  <si>
    <t>0217513103</t>
  </si>
  <si>
    <t>0217513085</t>
  </si>
  <si>
    <t>RETEN POLICIA PORTUARIA</t>
  </si>
  <si>
    <t>040594374</t>
  </si>
  <si>
    <t xml:space="preserve">ALTA 01/06/2019, MTTO SAG. LO COMUNICA EN MARZO 2021 </t>
  </si>
  <si>
    <t>SCT61</t>
  </si>
  <si>
    <t>PUESTO CONTROL FRONTERIZO</t>
  </si>
  <si>
    <t>VALLADO PERIMETRAL PCF</t>
  </si>
  <si>
    <t xml:space="preserve">ALTA 15/11/2020, MTTO SAG. LO COMUNICA EN MARZO 2021 </t>
  </si>
  <si>
    <t>LECTURA INICIAL 12300</t>
  </si>
  <si>
    <t>LECTURA INICIAL 168081</t>
  </si>
  <si>
    <t>BAJA 18/02/2021 SOLICITA USUARIO</t>
  </si>
  <si>
    <t>LW0042865</t>
  </si>
  <si>
    <t>CENTRAL.CONT MUELLE NORTE</t>
  </si>
  <si>
    <t>ARMARIO 1 - TOMA 1</t>
  </si>
  <si>
    <t>ALTA 20/10/20, LECTURA INICIAL 275545</t>
  </si>
  <si>
    <t>LW0042427</t>
  </si>
  <si>
    <t>ARMARIO 3 - TOMA 5</t>
  </si>
  <si>
    <t>ALTA 20/10/20, LECTURA INICIAL 123768</t>
  </si>
  <si>
    <t>LW0042591</t>
  </si>
  <si>
    <t>ARMARIO 4 - TOMA 7</t>
  </si>
  <si>
    <t>ALTA 20/10/20, LECTURA INICIAL 100528</t>
  </si>
  <si>
    <t>EVENTOS OROMANA SPORT, S.L.</t>
  </si>
  <si>
    <t>ALTA 23/03/21, LECTURA INICIAL 0</t>
  </si>
  <si>
    <t>ALTA 26/03/21, LECTURA INICIAL 0</t>
  </si>
  <si>
    <t>01/04/2021 Baja por indicacion Mto. Sgto. al no haber existido nunca este contador</t>
  </si>
  <si>
    <t>ALTA 01/10/2019, LECTURA INICIAL 3596, BAJA A SOL. USUARIO 15/04/2021, LECTURA FINAL 5984</t>
  </si>
  <si>
    <t>CONTROL ACCESO ESPIGON TURIA</t>
  </si>
  <si>
    <t>ALTA 16/04/2021</t>
  </si>
  <si>
    <t>BAJA 23/04/2021</t>
  </si>
  <si>
    <t>QASQGAN19501905896</t>
  </si>
  <si>
    <t>ALTA 23/04/2021</t>
  </si>
  <si>
    <t>CUADRO OKKEN (08)</t>
  </si>
  <si>
    <t>CUADRO OKKEN (05)</t>
  </si>
  <si>
    <t>CUADRO OKKEN (07)</t>
  </si>
  <si>
    <t>CUADRO OKKEN (01)</t>
  </si>
  <si>
    <t>CUADRO OKKEN (02)</t>
  </si>
  <si>
    <t>CUADRO OKKEN (06)</t>
  </si>
  <si>
    <t>CUADRO OKKEN (04)</t>
  </si>
  <si>
    <t>CUADRO OKKEN (03)</t>
  </si>
  <si>
    <t>EXPLANADA ANTIGUO CAUCE RIO TURIA (2)</t>
  </si>
  <si>
    <t>EXPLANADA ANTIGUO CAUCE RIO TURIA (6)</t>
  </si>
  <si>
    <t>EXPLANADA ANTIGUO CAUCE RIO TURIA (5)</t>
  </si>
  <si>
    <t>EXPLANADA ANTIGUO CAUCE RIO TURIA (7)</t>
  </si>
  <si>
    <t>EXPLANADA ANTIGUO CAUCE RIO TURIA (3)</t>
  </si>
  <si>
    <t>EXPLANADA ANTIGUO CAUCE RIO TURIA (4)</t>
  </si>
  <si>
    <t>EXPLANADA ANTIGUO CAUCE RIO TURIA (1)</t>
  </si>
  <si>
    <t>PROLONGACIÓN MUELLE NORTE, S/N</t>
  </si>
  <si>
    <t>QASQGDN21502100622</t>
  </si>
  <si>
    <t>ALTA POR SUSTITUCIÓN DEL CONTADOR ANTERIOR DEBIDO A MEJORA EN LA INSTALACION</t>
  </si>
  <si>
    <t>ALTA 12/04/2021</t>
  </si>
  <si>
    <t>BAJA  12/04/21 POR MEJORA EN LA INSTALACION</t>
  </si>
  <si>
    <t>ALTA 01/07/2019, 15/05/2021 PASA A TELEMEDIDA</t>
  </si>
  <si>
    <t>Alta contador en fecha 12/05/2017, BAJA 16/04/2021 POR ABANDONO INSTALACIONES</t>
  </si>
  <si>
    <t>BAJA 16/04/2021 POR ABANDONO INSTALACIONES</t>
  </si>
  <si>
    <t>Torre averiada-BAJA 14/03/21</t>
  </si>
  <si>
    <t>Nueva denominación empresa "Gestión soluciones para transporte 2020" desde 15/08/19, se graba 08/06/21 tras comunicación de Facturación, antigua denominación "Asociación E.L.T.C.O. báscula"</t>
  </si>
  <si>
    <t>GESTIÓN SOLUCIONES PARA TRANSPORTE 2020</t>
  </si>
  <si>
    <t>053561-19</t>
  </si>
  <si>
    <t>ALTA 12/02/20, LECT. INICIAL 0, cambio denominación contador 16/05/21 antes era C01.25</t>
  </si>
  <si>
    <t>BAJA 01/06/21 POR DERRIBO INSTAL.</t>
  </si>
  <si>
    <t>BAJA 14/06/21 POR ABANDONO INSTAL.</t>
  </si>
  <si>
    <t>Baja 16/06/21 a petición usuario</t>
  </si>
  <si>
    <t>ALTA 03/08/20, LECT. INICIAL 0. BAJA 18/05/2021 A PETICIÓN USUARIO</t>
  </si>
  <si>
    <t>EN CENTRALIZACIÓN (5)</t>
  </si>
  <si>
    <t>EN CENTRALIZACIÓN (4)</t>
  </si>
  <si>
    <t>ZGJMEGI20004905431</t>
  </si>
  <si>
    <t>LINEA ENTRADA IBERDROLA</t>
  </si>
  <si>
    <t>ALTA EN LISTADO 15/06/2021</t>
  </si>
  <si>
    <t>ZGJMEGI20004905427</t>
  </si>
  <si>
    <t>GRANDE NAVI VELOCI S.P.A.</t>
  </si>
  <si>
    <t>ALTA 30/06/2021, LECTURA INICIAL 0</t>
  </si>
  <si>
    <t>QGCQFGL20502022119</t>
  </si>
  <si>
    <t>ALTA 16/06/2021, LECTURA INICIAL 0</t>
  </si>
  <si>
    <t>UTE RED VIARIA Y FERROVIARIA APV</t>
  </si>
  <si>
    <t>ALTA 16/06/2021, LECTURA INICIAL 31565</t>
  </si>
  <si>
    <t>BINARIA COMPAÑÍA GENERAL DE CONSTRUCCIONES, S. L.</t>
  </si>
  <si>
    <t>ROTONDA PPAL. PUERTO DE GANDIA</t>
  </si>
  <si>
    <t>ALTA 15/06/2021, LECTURA INICIAL 0</t>
  </si>
  <si>
    <t>TORRE ALUMB. GT002-04</t>
  </si>
  <si>
    <t>HORNACINA EN PUENTE GIRATORIO SUR</t>
  </si>
  <si>
    <t>EN CENTRALIZACIÓN (3)</t>
  </si>
  <si>
    <t>GRANDI NAVI VELOCI S.P.A.</t>
  </si>
  <si>
    <t>EXTERIOR CASETA ROTONDA PONIENTE, INTERSECCIÓN ESPECIAL P</t>
  </si>
  <si>
    <t>ALTA 20/07/2021, LECTURA INICIAL 0</t>
  </si>
  <si>
    <t>LW0004376</t>
  </si>
  <si>
    <t>Alta 14/08/21 por sustitución del anterior contador, lect. Inicial 77823 Kw/h</t>
  </si>
  <si>
    <t>Baja a petición usuario 09/09/21</t>
  </si>
  <si>
    <t>Baja a petición usuario 06/09/21</t>
  </si>
  <si>
    <t>BAJA POR PETICIÓN USUARIO 10/09/2021</t>
  </si>
  <si>
    <t>BAJA POR PETICIÓN USUARIO 06/08/2021</t>
  </si>
  <si>
    <t>BAJA POR PETICIÓN USUARIO 06/09/2021</t>
  </si>
  <si>
    <t>C06.02</t>
  </si>
  <si>
    <t>NUEVO EDIFICIO GUARDIA CIVIL</t>
  </si>
  <si>
    <t>HORNACINA HORMIGÓN ADOSADA A PREFABRICADO BT, GCT-002</t>
  </si>
  <si>
    <t xml:space="preserve">ALTA 03/08/21, LECTURA INICIAL 0  </t>
  </si>
  <si>
    <t>0218013106</t>
  </si>
  <si>
    <t>HABITALIA TERUEL, S.L.</t>
  </si>
  <si>
    <t>RACK BAJA CT 7.2</t>
  </si>
  <si>
    <t>ALTA 16/09/2021, LECTURA INICIAL "0"</t>
  </si>
  <si>
    <t>MSC TERMINAL VALENCIA, S.A.</t>
  </si>
  <si>
    <t>ALTA 22/09/2021, LECTURA INICIAL 0</t>
  </si>
  <si>
    <t>0520435346</t>
  </si>
  <si>
    <t>APV CARGADOR COCHES</t>
  </si>
  <si>
    <t>INTERIOR TALLER MÓVIL, CGBT</t>
  </si>
  <si>
    <t>ALTA 07/10/2021, LECTURA INICIAL 0</t>
  </si>
  <si>
    <t>C02.16</t>
  </si>
  <si>
    <t>Alta por sustitución en fecha 17/09/2021, lectura inicial "0"</t>
  </si>
  <si>
    <t>Alta por sustitución en fecha 08/06/2018, baja por avería 17/09/21 se sustituye por el C02.16</t>
  </si>
  <si>
    <t>ALTA 30/08/2021, LECTURA INICIAL "0"</t>
  </si>
  <si>
    <t>BAJA DE OFICIO POR DEMOLICIÓN CONCESIÓN Y ABANDONO DE LAS INSTALACIONES, SE GRABA 21/09/2021</t>
  </si>
  <si>
    <t>EN CENTRALIZACIÓN (6)</t>
  </si>
  <si>
    <t>CXUVFER19053552546</t>
  </si>
  <si>
    <t>ALTA 10/11/2021, LECTURA INICIAL 0</t>
  </si>
  <si>
    <t>ALTA 27/10/2021 POR AVERÍA DEL ANTERIOR, LECTURA INICIAL 0</t>
  </si>
  <si>
    <t>CASETA OBRA</t>
  </si>
  <si>
    <t>ALTA 11/10/2021, LECTURA INICIAL 0</t>
  </si>
  <si>
    <t>MEDIA TENSIÓN, BAJA 31/10/2021, LECTURA FINAL 1932215</t>
  </si>
  <si>
    <t>ALTA 24/08/2021, LECTURA INICIAL 5984</t>
  </si>
  <si>
    <t>ALFA TERMINAL DEHORSA, S.A.</t>
  </si>
  <si>
    <t>MTG-BAJA</t>
  </si>
  <si>
    <t>SERTEGO SERVICIOS MEDIOAMBIENTALES</t>
  </si>
  <si>
    <t>ERSHIP, S.A.</t>
  </si>
  <si>
    <t>MTV-BAJA</t>
  </si>
  <si>
    <t>WRIST SHIP SUPPLY SPAIN, S.L.</t>
  </si>
  <si>
    <t>LECTURA FINAL 7955554 POR CAMBIO DE TITULARIDAD EL 16/07/21 PASA A SER "ERSHIP, S.A."</t>
  </si>
  <si>
    <t>CAMBIO DE TITULARIDAD EL 16/07/21, PASA DE "TEMAGRA, S.L." A "ERSHIP, S.A.", LECTURA INICIAL 7955554</t>
  </si>
  <si>
    <t>LECTURA FINAL 735040 POR CAMBIO DE TITULARIDAD EL 16/07/21 PASA A SER "WRIST SHIP SUPPLY SPAIN, S.L."</t>
  </si>
  <si>
    <t>Cambia de titularidad el 16/01/2021, antes era "EMS SEVEN SEAS SPAIN, S.A.", LECTURA INICIAL 735040</t>
  </si>
  <si>
    <t>CAMBIO DE TITULAR EN FECHA 01/01/2019, ANTERIORMENTE ERA URBAMAR LEVANTE</t>
  </si>
  <si>
    <t>IBAIZABAL MANAGEMENT SERVICES: ALTA 02/10/20, LECT. INICIAL 2186972</t>
  </si>
  <si>
    <t>CAMBIO DE TITULARIDAD EN FECHA 01/06/2021, ANTERIORMENTE ERA IBAIZABAL MANAGEMENT SERVICES</t>
  </si>
  <si>
    <t>REFIT AND REPAIR, S.L.</t>
  </si>
  <si>
    <t>IBAIZABAL MANAGEMENT SERVICES: ALTA 16/03/2021, LECTURA INICIAL 49335</t>
  </si>
  <si>
    <t>BAJA 29/11/21, ÚLTIMA LECTURA 32310</t>
  </si>
  <si>
    <t>BAJA 23/11/21, LECTURA FINAL 8250</t>
  </si>
  <si>
    <t>BAJA 29/11/21, ÚLTIMA LECTURA 145</t>
  </si>
  <si>
    <t>CENTRALIZACIÓN</t>
  </si>
  <si>
    <t>ALTA 18/11/21, LECTURA INICIAL 80</t>
  </si>
  <si>
    <t>BAJA 16/12/2021, LECTURA FINAL 536</t>
  </si>
  <si>
    <t>CAMBIO DE TITULAR EN FECHA 28/12/2021, ANTERIORMENTE ERA "CIA. TRASMEDITERRANEA, S. A."</t>
  </si>
  <si>
    <t>BAJA POR AVERÍA 15/12/21, ULTIMA LECTURA 399652</t>
  </si>
  <si>
    <t>PM4A829079</t>
  </si>
  <si>
    <t>ALTA 15/12/21, LECTURA INICIAL 0</t>
  </si>
  <si>
    <t>BAJA POR AVERÍA 15/12/21, ULTIMA LECTURA 1198320</t>
  </si>
  <si>
    <t>PM46431289</t>
  </si>
  <si>
    <t>15/02/2022</t>
  </si>
  <si>
    <t>15/03/2022</t>
  </si>
  <si>
    <t>15/04/2022</t>
  </si>
  <si>
    <t>15/05/2022</t>
  </si>
  <si>
    <t>15/06/2022</t>
  </si>
  <si>
    <t>15/07/2022</t>
  </si>
  <si>
    <t>15/08/2022</t>
  </si>
  <si>
    <t>15/09/2022</t>
  </si>
  <si>
    <t>15/10/2022</t>
  </si>
  <si>
    <t>15/11/2022</t>
  </si>
  <si>
    <t>15/12/2022</t>
  </si>
  <si>
    <t>15/01/2023</t>
  </si>
  <si>
    <t>CONSUMO APV 2022 (kwh)</t>
  </si>
  <si>
    <t>ALTA 15/12/21, LECTURA INICIAL 190036</t>
  </si>
  <si>
    <t>averia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</si>
</sst>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€_-;\-* #,##0.00\ _€_-;_-* &quot;-&quot;??\ _€_-;_-@_-"/>
    <numFmt numFmtId="165" formatCode="00000"/>
    <numFmt numFmtId="166" formatCode="_-* #,##0\ _€_-;\-* #,##0\ _€_-;_-* &quot;-&quot;??\ _€_-;_-@_-"/>
    <numFmt numFmtId="167" formatCode="0.0%"/>
  </numFmts>
  <fonts count="6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3F"/>
      <name val="Calibri"/>
      <family val="2"/>
      <scheme val="minor"/>
    </font>
    <font>
      <sz val="14"/>
      <color rgb="FF3F3F3F"/>
      <name val="Calibri"/>
      <family val="2"/>
      <scheme val="minor"/>
    </font>
    <font>
      <sz val="14"/>
      <name val="Calibri"/>
      <family val="2"/>
      <scheme val="minor"/>
    </font>
    <font>
      <sz val="10"/>
      <color indexed="11"/>
      <name val="Arial"/>
      <family val="2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indexed="11"/>
      <name val="Arial"/>
      <family val="2"/>
    </font>
    <font>
      <b/>
      <sz val="10"/>
      <color rgb="FFFF0000"/>
      <name val="Arial"/>
      <family val="2"/>
    </font>
    <font>
      <b/>
      <sz val="11"/>
      <color rgb="FF000000"/>
      <name val="Calibri"/>
      <family val="2"/>
    </font>
    <font>
      <b/>
      <sz val="12"/>
      <name val="Arial"/>
      <family val="2"/>
    </font>
    <font>
      <b/>
      <sz val="20"/>
      <name val="Calibri"/>
      <family val="2"/>
      <scheme val="minor"/>
    </font>
    <font>
      <sz val="14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sz val="10"/>
      <color rgb="FF92D050"/>
      <name val="Arial"/>
      <family val="2"/>
    </font>
    <font>
      <sz val="7"/>
      <color rgb="FF70707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u/>
      <sz val="10"/>
      <name val="Arial"/>
      <family val="2"/>
    </font>
    <font>
      <b/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1"/>
      <name val="Arial"/>
      <family val="2"/>
    </font>
    <font>
      <sz val="18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scheme val="minor"/>
    </font>
    <font>
      <sz val="14"/>
      <name val="Calibri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7"/>
        <bgColor theme="7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</fills>
  <borders count="6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rgb="FFDEDEDE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8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1" fillId="0" borderId="0"/>
    <xf numFmtId="0" fontId="13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53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6" fillId="6" borderId="11" xfId="2" applyFont="1" applyFill="1" applyBorder="1" applyAlignment="1">
      <alignment horizontal="center" vertical="center"/>
    </xf>
    <xf numFmtId="0" fontId="9" fillId="6" borderId="11" xfId="2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/>
    </xf>
    <xf numFmtId="0" fontId="5" fillId="6" borderId="11" xfId="0" applyFont="1" applyFill="1" applyBorder="1" applyAlignment="1">
      <alignment horizontal="center" shrinkToFit="1"/>
    </xf>
    <xf numFmtId="0" fontId="5" fillId="6" borderId="11" xfId="0" applyFont="1" applyFill="1" applyBorder="1" applyAlignment="1">
      <alignment horizontal="center" vertical="center" shrinkToFit="1"/>
    </xf>
    <xf numFmtId="0" fontId="6" fillId="6" borderId="11" xfId="2" applyFont="1" applyFill="1" applyBorder="1" applyAlignment="1">
      <alignment horizontal="center"/>
    </xf>
    <xf numFmtId="0" fontId="5" fillId="6" borderId="11" xfId="2" applyFont="1" applyFill="1" applyBorder="1" applyAlignment="1">
      <alignment horizontal="center"/>
    </xf>
    <xf numFmtId="0" fontId="7" fillId="6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/>
    </xf>
    <xf numFmtId="0" fontId="9" fillId="6" borderId="11" xfId="2" applyFont="1" applyFill="1" applyBorder="1" applyAlignment="1">
      <alignment horizontal="center" vertical="center" shrinkToFit="1"/>
    </xf>
    <xf numFmtId="0" fontId="6" fillId="6" borderId="11" xfId="2" applyFont="1" applyFill="1" applyBorder="1" applyAlignment="1">
      <alignment horizontal="center" vertical="center" shrinkToFit="1"/>
    </xf>
    <xf numFmtId="0" fontId="6" fillId="6" borderId="11" xfId="0" applyFont="1" applyFill="1" applyBorder="1" applyAlignment="1">
      <alignment horizontal="center" vertical="center" shrinkToFit="1"/>
    </xf>
    <xf numFmtId="0" fontId="6" fillId="6" borderId="11" xfId="1" applyFont="1" applyFill="1" applyBorder="1" applyAlignment="1">
      <alignment horizontal="center" vertical="center"/>
    </xf>
    <xf numFmtId="0" fontId="9" fillId="6" borderId="11" xfId="1" applyFont="1" applyFill="1" applyBorder="1" applyAlignment="1">
      <alignment horizontal="center" vertical="center"/>
    </xf>
    <xf numFmtId="0" fontId="11" fillId="0" borderId="0" xfId="3"/>
    <xf numFmtId="0" fontId="13" fillId="0" borderId="0" xfId="4"/>
    <xf numFmtId="0" fontId="15" fillId="0" borderId="0" xfId="4" applyFont="1"/>
    <xf numFmtId="0" fontId="13" fillId="0" borderId="0" xfId="3" applyFont="1"/>
    <xf numFmtId="0" fontId="11" fillId="9" borderId="0" xfId="3" applyFill="1"/>
    <xf numFmtId="0" fontId="13" fillId="0" borderId="0" xfId="4" applyAlignment="1">
      <alignment horizontal="left"/>
    </xf>
    <xf numFmtId="0" fontId="14" fillId="0" borderId="0" xfId="4" applyFont="1" applyAlignment="1">
      <alignment vertical="center"/>
    </xf>
    <xf numFmtId="0" fontId="15" fillId="0" borderId="0" xfId="3" applyFont="1"/>
    <xf numFmtId="0" fontId="18" fillId="0" borderId="0" xfId="4" applyFont="1"/>
    <xf numFmtId="0" fontId="17" fillId="7" borderId="0" xfId="3" applyFont="1" applyFill="1"/>
    <xf numFmtId="0" fontId="3" fillId="9" borderId="12" xfId="0" applyFont="1" applyFill="1" applyBorder="1"/>
    <xf numFmtId="0" fontId="11" fillId="0" borderId="0" xfId="3" applyAlignment="1">
      <alignment horizontal="center"/>
    </xf>
    <xf numFmtId="4" fontId="14" fillId="9" borderId="0" xfId="3" applyNumberFormat="1" applyFont="1" applyFill="1" applyAlignment="1">
      <alignment horizontal="center"/>
    </xf>
    <xf numFmtId="0" fontId="3" fillId="0" borderId="0" xfId="3" applyFont="1" applyAlignment="1">
      <alignment horizontal="center"/>
    </xf>
    <xf numFmtId="166" fontId="14" fillId="7" borderId="0" xfId="5" applyNumberFormat="1" applyFont="1" applyFill="1" applyAlignment="1">
      <alignment horizontal="center"/>
    </xf>
    <xf numFmtId="166" fontId="13" fillId="0" borderId="0" xfId="3" applyNumberFormat="1" applyFont="1" applyAlignment="1">
      <alignment horizontal="center"/>
    </xf>
    <xf numFmtId="0" fontId="13" fillId="0" borderId="0" xfId="4" applyAlignment="1">
      <alignment horizontal="center"/>
    </xf>
    <xf numFmtId="166" fontId="13" fillId="0" borderId="0" xfId="4" applyNumberFormat="1" applyAlignment="1">
      <alignment horizontal="center"/>
    </xf>
    <xf numFmtId="166" fontId="3" fillId="0" borderId="0" xfId="5" applyNumberFormat="1" applyFont="1" applyAlignment="1">
      <alignment horizontal="center"/>
    </xf>
    <xf numFmtId="0" fontId="13" fillId="0" borderId="0" xfId="3" applyFont="1" applyAlignment="1">
      <alignment horizontal="center"/>
    </xf>
    <xf numFmtId="3" fontId="13" fillId="0" borderId="0" xfId="4" applyNumberFormat="1" applyAlignment="1">
      <alignment horizontal="left"/>
    </xf>
    <xf numFmtId="1" fontId="14" fillId="0" borderId="0" xfId="3" applyNumberFormat="1" applyFont="1" applyAlignment="1">
      <alignment horizontal="center" vertical="center"/>
    </xf>
    <xf numFmtId="1" fontId="14" fillId="9" borderId="0" xfId="3" applyNumberFormat="1" applyFont="1" applyFill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" fontId="14" fillId="7" borderId="0" xfId="5" applyNumberFormat="1" applyFont="1" applyFill="1" applyAlignment="1">
      <alignment horizontal="center" vertical="center"/>
    </xf>
    <xf numFmtId="0" fontId="14" fillId="0" borderId="0" xfId="4" applyFont="1" applyAlignment="1">
      <alignment horizontal="center"/>
    </xf>
    <xf numFmtId="0" fontId="0" fillId="0" borderId="11" xfId="0" applyBorder="1" applyAlignment="1">
      <alignment horizontal="center"/>
    </xf>
    <xf numFmtId="3" fontId="13" fillId="0" borderId="0" xfId="4" applyNumberFormat="1" applyAlignment="1">
      <alignment horizontal="center" vertical="center"/>
    </xf>
    <xf numFmtId="166" fontId="3" fillId="0" borderId="0" xfId="5" applyNumberFormat="1" applyFont="1" applyBorder="1"/>
    <xf numFmtId="0" fontId="3" fillId="0" borderId="0" xfId="0" applyFont="1"/>
    <xf numFmtId="166" fontId="3" fillId="0" borderId="0" xfId="5" applyNumberFormat="1" applyFont="1" applyFill="1" applyBorder="1"/>
    <xf numFmtId="0" fontId="13" fillId="9" borderId="0" xfId="3" applyFont="1" applyFill="1"/>
    <xf numFmtId="0" fontId="3" fillId="9" borderId="14" xfId="0" applyFont="1" applyFill="1" applyBorder="1"/>
    <xf numFmtId="0" fontId="3" fillId="9" borderId="9" xfId="0" applyFont="1" applyFill="1" applyBorder="1"/>
    <xf numFmtId="166" fontId="13" fillId="9" borderId="0" xfId="3" applyNumberFormat="1" applyFont="1" applyFill="1" applyAlignment="1">
      <alignment horizontal="center"/>
    </xf>
    <xf numFmtId="0" fontId="13" fillId="9" borderId="0" xfId="3" applyFont="1" applyFill="1" applyAlignment="1">
      <alignment horizontal="center"/>
    </xf>
    <xf numFmtId="0" fontId="8" fillId="0" borderId="11" xfId="1" applyFont="1" applyFill="1" applyBorder="1" applyAlignment="1">
      <alignment horizontal="center" vertical="center"/>
    </xf>
    <xf numFmtId="0" fontId="6" fillId="0" borderId="11" xfId="1" applyFont="1" applyFill="1" applyBorder="1" applyAlignment="1">
      <alignment horizontal="center" vertical="center"/>
    </xf>
    <xf numFmtId="166" fontId="3" fillId="0" borderId="11" xfId="5" applyNumberFormat="1" applyFont="1" applyBorder="1" applyAlignment="1">
      <alignment horizontal="center" vertical="center"/>
    </xf>
    <xf numFmtId="166" fontId="3" fillId="0" borderId="11" xfId="5" applyNumberFormat="1" applyFont="1" applyFill="1" applyBorder="1" applyAlignment="1">
      <alignment horizontal="center" vertical="center"/>
    </xf>
    <xf numFmtId="166" fontId="3" fillId="0" borderId="3" xfId="5" applyNumberFormat="1" applyFont="1" applyBorder="1" applyAlignment="1">
      <alignment horizontal="center" vertical="center"/>
    </xf>
    <xf numFmtId="166" fontId="3" fillId="0" borderId="4" xfId="5" applyNumberFormat="1" applyFont="1" applyBorder="1" applyAlignment="1">
      <alignment horizontal="center" vertical="center"/>
    </xf>
    <xf numFmtId="3" fontId="19" fillId="0" borderId="4" xfId="0" applyNumberFormat="1" applyFont="1" applyBorder="1" applyAlignment="1">
      <alignment horizontal="center" vertical="center"/>
    </xf>
    <xf numFmtId="166" fontId="3" fillId="0" borderId="15" xfId="5" applyNumberFormat="1" applyFont="1" applyFill="1" applyBorder="1" applyAlignment="1">
      <alignment horizontal="center" vertical="center"/>
    </xf>
    <xf numFmtId="166" fontId="3" fillId="0" borderId="15" xfId="5" applyNumberFormat="1" applyFont="1" applyBorder="1" applyAlignment="1">
      <alignment horizontal="center" vertical="center"/>
    </xf>
    <xf numFmtId="10" fontId="4" fillId="5" borderId="6" xfId="6" applyNumberFormat="1" applyFont="1" applyFill="1" applyBorder="1" applyAlignment="1">
      <alignment horizontal="center" vertical="center"/>
    </xf>
    <xf numFmtId="10" fontId="4" fillId="5" borderId="31" xfId="6" applyNumberFormat="1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/>
    </xf>
    <xf numFmtId="10" fontId="4" fillId="5" borderId="36" xfId="6" applyNumberFormat="1" applyFont="1" applyFill="1" applyBorder="1" applyAlignment="1">
      <alignment horizontal="center" vertical="center"/>
    </xf>
    <xf numFmtId="10" fontId="4" fillId="5" borderId="35" xfId="6" applyNumberFormat="1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39" xfId="0" applyFont="1" applyFill="1" applyBorder="1" applyAlignment="1">
      <alignment horizontal="center" vertical="center"/>
    </xf>
    <xf numFmtId="166" fontId="14" fillId="10" borderId="0" xfId="5" applyNumberFormat="1" applyFont="1" applyFill="1" applyAlignment="1">
      <alignment horizontal="center"/>
    </xf>
    <xf numFmtId="0" fontId="17" fillId="10" borderId="0" xfId="3" applyFont="1" applyFill="1"/>
    <xf numFmtId="0" fontId="3" fillId="9" borderId="40" xfId="0" applyFont="1" applyFill="1" applyBorder="1" applyAlignment="1">
      <alignment horizontal="center" vertical="center" wrapText="1"/>
    </xf>
    <xf numFmtId="0" fontId="3" fillId="9" borderId="41" xfId="0" applyFont="1" applyFill="1" applyBorder="1" applyAlignment="1">
      <alignment horizontal="center" vertical="center" wrapText="1"/>
    </xf>
    <xf numFmtId="0" fontId="3" fillId="9" borderId="42" xfId="0" applyFont="1" applyFill="1" applyBorder="1" applyAlignment="1">
      <alignment horizontal="center" vertical="center" wrapText="1"/>
    </xf>
    <xf numFmtId="166" fontId="3" fillId="4" borderId="37" xfId="5" applyNumberFormat="1" applyFont="1" applyFill="1" applyBorder="1" applyAlignment="1">
      <alignment horizontal="center" vertical="center"/>
    </xf>
    <xf numFmtId="166" fontId="3" fillId="4" borderId="38" xfId="5" applyNumberFormat="1" applyFon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/>
    </xf>
    <xf numFmtId="0" fontId="3" fillId="9" borderId="23" xfId="0" applyFont="1" applyFill="1" applyBorder="1" applyAlignment="1">
      <alignment horizontal="center"/>
    </xf>
    <xf numFmtId="0" fontId="3" fillId="9" borderId="30" xfId="0" applyFont="1" applyFill="1" applyBorder="1" applyAlignment="1">
      <alignment horizontal="center"/>
    </xf>
    <xf numFmtId="166" fontId="3" fillId="0" borderId="6" xfId="5" applyNumberFormat="1" applyFont="1" applyBorder="1" applyAlignment="1">
      <alignment horizontal="center" vertical="center"/>
    </xf>
    <xf numFmtId="166" fontId="3" fillId="0" borderId="31" xfId="5" applyNumberFormat="1" applyFont="1" applyBorder="1" applyAlignment="1">
      <alignment horizontal="center" vertical="center"/>
    </xf>
    <xf numFmtId="3" fontId="13" fillId="0" borderId="0" xfId="3" applyNumberFormat="1" applyFont="1" applyAlignment="1">
      <alignment horizontal="center"/>
    </xf>
    <xf numFmtId="0" fontId="3" fillId="9" borderId="17" xfId="0" applyFont="1" applyFill="1" applyBorder="1" applyAlignment="1">
      <alignment horizontal="center" vertical="center"/>
    </xf>
    <xf numFmtId="0" fontId="0" fillId="0" borderId="45" xfId="0" applyBorder="1"/>
    <xf numFmtId="0" fontId="3" fillId="9" borderId="46" xfId="0" applyFont="1" applyFill="1" applyBorder="1" applyAlignment="1">
      <alignment horizontal="center" vertical="center"/>
    </xf>
    <xf numFmtId="0" fontId="21" fillId="9" borderId="19" xfId="2" applyFont="1" applyFill="1" applyBorder="1" applyAlignment="1">
      <alignment vertical="center" textRotation="90"/>
    </xf>
    <xf numFmtId="0" fontId="6" fillId="0" borderId="1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6" fillId="5" borderId="8" xfId="1" applyFont="1" applyFill="1" applyBorder="1" applyAlignment="1">
      <alignment horizontal="center" vertical="center"/>
    </xf>
    <xf numFmtId="0" fontId="6" fillId="9" borderId="33" xfId="0" applyFont="1" applyFill="1" applyBorder="1" applyAlignment="1">
      <alignment horizontal="center" vertical="center"/>
    </xf>
    <xf numFmtId="0" fontId="6" fillId="9" borderId="23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44" xfId="0" applyFont="1" applyFill="1" applyBorder="1" applyAlignment="1">
      <alignment horizontal="center" vertical="center"/>
    </xf>
    <xf numFmtId="0" fontId="6" fillId="0" borderId="11" xfId="2" applyFont="1" applyFill="1" applyBorder="1" applyAlignment="1">
      <alignment horizontal="center" vertical="center"/>
    </xf>
    <xf numFmtId="0" fontId="10" fillId="0" borderId="11" xfId="2" applyFont="1" applyFill="1" applyBorder="1" applyAlignment="1">
      <alignment horizontal="center"/>
    </xf>
    <xf numFmtId="0" fontId="10" fillId="0" borderId="11" xfId="2" applyFont="1" applyFill="1" applyBorder="1" applyAlignment="1">
      <alignment horizontal="center" vertical="center"/>
    </xf>
    <xf numFmtId="0" fontId="6" fillId="0" borderId="11" xfId="2" applyFont="1" applyFill="1" applyBorder="1" applyAlignment="1">
      <alignment horizontal="center" vertical="center" shrinkToFit="1"/>
    </xf>
    <xf numFmtId="0" fontId="9" fillId="0" borderId="11" xfId="2" applyFont="1" applyFill="1" applyBorder="1" applyAlignment="1">
      <alignment horizontal="center" vertical="center" shrinkToFit="1"/>
    </xf>
    <xf numFmtId="0" fontId="5" fillId="0" borderId="11" xfId="2" applyFont="1" applyFill="1" applyBorder="1" applyAlignment="1">
      <alignment horizontal="center" vertical="center" shrinkToFit="1"/>
    </xf>
    <xf numFmtId="0" fontId="6" fillId="9" borderId="47" xfId="0" applyFont="1" applyFill="1" applyBorder="1" applyAlignment="1">
      <alignment horizontal="center" vertical="center"/>
    </xf>
    <xf numFmtId="0" fontId="0" fillId="0" borderId="11" xfId="0" applyBorder="1"/>
    <xf numFmtId="0" fontId="0" fillId="0" borderId="4" xfId="0" applyBorder="1"/>
    <xf numFmtId="0" fontId="0" fillId="0" borderId="5" xfId="0" applyBorder="1"/>
    <xf numFmtId="0" fontId="0" fillId="0" borderId="15" xfId="0" applyBorder="1"/>
    <xf numFmtId="0" fontId="0" fillId="0" borderId="16" xfId="0" applyBorder="1"/>
    <xf numFmtId="0" fontId="0" fillId="0" borderId="6" xfId="0" applyBorder="1"/>
    <xf numFmtId="0" fontId="0" fillId="0" borderId="31" xfId="0" applyBorder="1"/>
    <xf numFmtId="0" fontId="0" fillId="0" borderId="32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6" fillId="5" borderId="23" xfId="1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 shrinkToFit="1"/>
    </xf>
    <xf numFmtId="0" fontId="6" fillId="6" borderId="4" xfId="2" applyFont="1" applyFill="1" applyBorder="1" applyAlignment="1">
      <alignment horizontal="center" vertical="center" shrinkToFit="1"/>
    </xf>
    <xf numFmtId="0" fontId="7" fillId="6" borderId="4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 shrinkToFit="1"/>
    </xf>
    <xf numFmtId="0" fontId="7" fillId="6" borderId="15" xfId="0" applyFont="1" applyFill="1" applyBorder="1" applyAlignment="1">
      <alignment horizontal="center" vertical="center" shrinkToFit="1"/>
    </xf>
    <xf numFmtId="0" fontId="6" fillId="6" borderId="15" xfId="2" applyFont="1" applyFill="1" applyBorder="1" applyAlignment="1">
      <alignment horizontal="center" vertical="center" shrinkToFit="1"/>
    </xf>
    <xf numFmtId="0" fontId="6" fillId="6" borderId="15" xfId="0" applyFont="1" applyFill="1" applyBorder="1" applyAlignment="1">
      <alignment horizontal="center" vertical="center" shrinkToFit="1"/>
    </xf>
    <xf numFmtId="0" fontId="7" fillId="6" borderId="15" xfId="0" applyFont="1" applyFill="1" applyBorder="1" applyAlignment="1">
      <alignment horizontal="center" shrinkToFit="1"/>
    </xf>
    <xf numFmtId="0" fontId="6" fillId="6" borderId="15" xfId="1" applyFont="1" applyFill="1" applyBorder="1" applyAlignment="1">
      <alignment horizontal="center" vertical="center" shrinkToFit="1"/>
    </xf>
    <xf numFmtId="0" fontId="6" fillId="6" borderId="15" xfId="2" applyFont="1" applyFill="1" applyBorder="1" applyAlignment="1">
      <alignment horizontal="center" shrinkToFit="1"/>
    </xf>
    <xf numFmtId="0" fontId="5" fillId="6" borderId="15" xfId="2" applyFont="1" applyFill="1" applyBorder="1" applyAlignment="1">
      <alignment horizontal="center" vertical="center" shrinkToFit="1"/>
    </xf>
    <xf numFmtId="0" fontId="7" fillId="0" borderId="15" xfId="0" applyFont="1" applyBorder="1" applyAlignment="1">
      <alignment horizontal="center" vertical="center" shrinkToFit="1"/>
    </xf>
    <xf numFmtId="0" fontId="6" fillId="0" borderId="15" xfId="2" applyFont="1" applyFill="1" applyBorder="1" applyAlignment="1">
      <alignment horizontal="center" vertical="center" shrinkToFit="1"/>
    </xf>
    <xf numFmtId="0" fontId="6" fillId="5" borderId="17" xfId="1" applyFont="1" applyFill="1" applyBorder="1" applyAlignment="1">
      <alignment horizontal="center" vertical="center" shrinkToFit="1"/>
    </xf>
    <xf numFmtId="0" fontId="0" fillId="0" borderId="13" xfId="0" applyBorder="1" applyAlignment="1">
      <alignment horizontal="center"/>
    </xf>
    <xf numFmtId="0" fontId="6" fillId="5" borderId="33" xfId="1" applyFont="1" applyFill="1" applyBorder="1" applyAlignment="1">
      <alignment horizontal="center" vertical="center" shrinkToFit="1"/>
    </xf>
    <xf numFmtId="0" fontId="8" fillId="5" borderId="44" xfId="1" applyFont="1" applyFill="1" applyBorder="1" applyAlignment="1">
      <alignment horizontal="center" vertical="center"/>
    </xf>
    <xf numFmtId="0" fontId="0" fillId="0" borderId="8" xfId="0" applyBorder="1"/>
    <xf numFmtId="0" fontId="6" fillId="8" borderId="47" xfId="2" applyFont="1" applyFill="1" applyBorder="1" applyAlignment="1">
      <alignment horizontal="center" vertical="center" shrinkToFit="1"/>
    </xf>
    <xf numFmtId="0" fontId="6" fillId="8" borderId="23" xfId="2" applyFont="1" applyFill="1" applyBorder="1" applyAlignment="1">
      <alignment horizontal="center" vertical="center"/>
    </xf>
    <xf numFmtId="0" fontId="7" fillId="6" borderId="31" xfId="0" applyFont="1" applyFill="1" applyBorder="1" applyAlignment="1">
      <alignment horizontal="center"/>
    </xf>
    <xf numFmtId="0" fontId="0" fillId="0" borderId="29" xfId="0" applyBorder="1"/>
    <xf numFmtId="0" fontId="0" fillId="0" borderId="1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5" borderId="25" xfId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shrinkToFit="1"/>
    </xf>
    <xf numFmtId="0" fontId="5" fillId="6" borderId="34" xfId="0" applyFont="1" applyFill="1" applyBorder="1" applyAlignment="1">
      <alignment horizontal="center" shrinkToFit="1"/>
    </xf>
    <xf numFmtId="0" fontId="0" fillId="0" borderId="43" xfId="0" applyBorder="1" applyAlignment="1">
      <alignment horizontal="center"/>
    </xf>
    <xf numFmtId="0" fontId="0" fillId="0" borderId="21" xfId="0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 shrinkToFit="1"/>
    </xf>
    <xf numFmtId="0" fontId="5" fillId="6" borderId="4" xfId="0" applyFont="1" applyFill="1" applyBorder="1" applyAlignment="1">
      <alignment horizontal="center" shrinkToFit="1"/>
    </xf>
    <xf numFmtId="0" fontId="11" fillId="0" borderId="0" xfId="3" applyAlignment="1">
      <alignment horizontal="center" vertical="center"/>
    </xf>
    <xf numFmtId="4" fontId="14" fillId="9" borderId="0" xfId="3" applyNumberFormat="1" applyFont="1" applyFill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13" fillId="0" borderId="0" xfId="4" applyAlignment="1">
      <alignment horizontal="left" vertical="center"/>
    </xf>
    <xf numFmtId="166" fontId="14" fillId="7" borderId="0" xfId="5" applyNumberFormat="1" applyFont="1" applyFill="1" applyAlignment="1">
      <alignment horizontal="center" vertical="center"/>
    </xf>
    <xf numFmtId="166" fontId="13" fillId="0" borderId="0" xfId="3" applyNumberFormat="1" applyFont="1" applyAlignment="1">
      <alignment horizontal="center" vertical="center"/>
    </xf>
    <xf numFmtId="0" fontId="13" fillId="0" borderId="0" xfId="4" applyAlignment="1">
      <alignment horizontal="center" vertical="center"/>
    </xf>
    <xf numFmtId="3" fontId="13" fillId="0" borderId="0" xfId="4" applyNumberFormat="1" applyAlignment="1">
      <alignment horizontal="left" vertical="center"/>
    </xf>
    <xf numFmtId="166" fontId="13" fillId="0" borderId="0" xfId="4" applyNumberFormat="1" applyAlignment="1">
      <alignment horizontal="center" vertical="center"/>
    </xf>
    <xf numFmtId="166" fontId="3" fillId="0" borderId="0" xfId="5" applyNumberFormat="1" applyFont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3" fillId="9" borderId="0" xfId="3" applyFont="1" applyFill="1" applyAlignment="1">
      <alignment horizontal="center" vertical="center"/>
    </xf>
    <xf numFmtId="166" fontId="3" fillId="0" borderId="0" xfId="5" applyNumberFormat="1" applyFont="1" applyBorder="1" applyAlignment="1">
      <alignment vertical="center"/>
    </xf>
    <xf numFmtId="166" fontId="14" fillId="10" borderId="0" xfId="5" applyNumberFormat="1" applyFont="1" applyFill="1" applyAlignment="1">
      <alignment horizontal="center" vertical="center"/>
    </xf>
    <xf numFmtId="3" fontId="13" fillId="0" borderId="0" xfId="3" applyNumberFormat="1" applyFont="1" applyAlignment="1">
      <alignment horizontal="center" vertical="center"/>
    </xf>
    <xf numFmtId="166" fontId="3" fillId="0" borderId="0" xfId="5" applyNumberFormat="1" applyFont="1" applyBorder="1" applyAlignment="1">
      <alignment horizontal="center" vertical="center"/>
    </xf>
    <xf numFmtId="0" fontId="14" fillId="0" borderId="0" xfId="4" applyFont="1" applyAlignment="1">
      <alignment horizontal="center" vertical="center"/>
    </xf>
    <xf numFmtId="0" fontId="13" fillId="9" borderId="10" xfId="3" applyFont="1" applyFill="1" applyBorder="1" applyAlignment="1">
      <alignment horizontal="center"/>
    </xf>
    <xf numFmtId="0" fontId="13" fillId="9" borderId="20" xfId="3" applyFont="1" applyFill="1" applyBorder="1" applyAlignment="1">
      <alignment horizontal="center"/>
    </xf>
    <xf numFmtId="0" fontId="13" fillId="9" borderId="18" xfId="3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8" borderId="16" xfId="0" applyFill="1" applyBorder="1" applyAlignment="1">
      <alignment horizontal="center"/>
    </xf>
    <xf numFmtId="0" fontId="5" fillId="6" borderId="26" xfId="0" applyFont="1" applyFill="1" applyBorder="1" applyAlignment="1">
      <alignment horizontal="center" shrinkToFit="1"/>
    </xf>
    <xf numFmtId="0" fontId="10" fillId="0" borderId="11" xfId="2" applyFont="1" applyFill="1" applyBorder="1" applyAlignment="1">
      <alignment horizontal="center" vertical="center" shrinkToFit="1"/>
    </xf>
    <xf numFmtId="3" fontId="5" fillId="0" borderId="11" xfId="0" applyNumberFormat="1" applyFont="1" applyBorder="1" applyAlignment="1">
      <alignment horizontal="center" vertical="center"/>
    </xf>
    <xf numFmtId="0" fontId="9" fillId="0" borderId="11" xfId="2" applyFont="1" applyFill="1" applyBorder="1" applyAlignment="1">
      <alignment horizontal="center" vertical="center"/>
    </xf>
    <xf numFmtId="0" fontId="5" fillId="0" borderId="11" xfId="2" applyFont="1" applyFill="1" applyBorder="1" applyAlignment="1">
      <alignment horizontal="center" vertical="center"/>
    </xf>
    <xf numFmtId="0" fontId="6" fillId="0" borderId="15" xfId="1" applyFont="1" applyFill="1" applyBorder="1" applyAlignment="1">
      <alignment horizontal="center" vertical="center" shrinkToFit="1"/>
    </xf>
    <xf numFmtId="0" fontId="9" fillId="0" borderId="11" xfId="1" applyFont="1" applyFill="1" applyBorder="1" applyAlignment="1">
      <alignment horizontal="center" vertical="center"/>
    </xf>
    <xf numFmtId="0" fontId="9" fillId="0" borderId="11" xfId="1" applyFont="1" applyFill="1" applyBorder="1" applyAlignment="1">
      <alignment horizontal="center" vertical="center" shrinkToFit="1"/>
    </xf>
    <xf numFmtId="3" fontId="10" fillId="0" borderId="11" xfId="1" applyNumberFormat="1" applyFont="1" applyFill="1" applyBorder="1" applyAlignment="1">
      <alignment horizontal="center" vertical="center"/>
    </xf>
    <xf numFmtId="0" fontId="6" fillId="0" borderId="15" xfId="2" applyFont="1" applyFill="1" applyBorder="1" applyAlignment="1">
      <alignment horizontal="center" shrinkToFit="1"/>
    </xf>
    <xf numFmtId="0" fontId="6" fillId="0" borderId="11" xfId="2" applyFont="1" applyFill="1" applyBorder="1" applyAlignment="1">
      <alignment horizontal="center"/>
    </xf>
    <xf numFmtId="0" fontId="5" fillId="0" borderId="11" xfId="2" applyFont="1" applyFill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 shrinkToFit="1"/>
    </xf>
    <xf numFmtId="0" fontId="7" fillId="0" borderId="15" xfId="0" applyFont="1" applyBorder="1" applyAlignment="1">
      <alignment horizontal="center" shrinkToFit="1"/>
    </xf>
    <xf numFmtId="0" fontId="7" fillId="0" borderId="11" xfId="0" applyFont="1" applyBorder="1" applyAlignment="1">
      <alignment horizontal="center"/>
    </xf>
    <xf numFmtId="1" fontId="10" fillId="0" borderId="11" xfId="0" applyNumberFormat="1" applyFont="1" applyBorder="1" applyAlignment="1">
      <alignment horizontal="center" vertical="center" shrinkToFit="1"/>
    </xf>
    <xf numFmtId="0" fontId="6" fillId="0" borderId="15" xfId="0" applyFont="1" applyBorder="1" applyAlignment="1">
      <alignment horizontal="center" vertical="center" shrinkToFit="1"/>
    </xf>
    <xf numFmtId="0" fontId="6" fillId="0" borderId="11" xfId="1" applyFont="1" applyFill="1" applyBorder="1" applyAlignment="1">
      <alignment horizontal="center" vertical="center" shrinkToFit="1"/>
    </xf>
    <xf numFmtId="0" fontId="10" fillId="0" borderId="11" xfId="1" applyFont="1" applyFill="1" applyBorder="1" applyAlignment="1">
      <alignment horizontal="center" vertical="center" shrinkToFit="1"/>
    </xf>
    <xf numFmtId="0" fontId="21" fillId="0" borderId="22" xfId="2" applyFont="1" applyFill="1" applyBorder="1" applyAlignment="1">
      <alignment vertical="center" textRotation="90"/>
    </xf>
    <xf numFmtId="0" fontId="14" fillId="0" borderId="28" xfId="4" applyFont="1" applyBorder="1" applyAlignment="1">
      <alignment horizontal="center" vertical="center"/>
    </xf>
    <xf numFmtId="0" fontId="14" fillId="0" borderId="29" xfId="4" applyFont="1" applyBorder="1" applyAlignment="1">
      <alignment horizontal="center" vertical="center"/>
    </xf>
    <xf numFmtId="0" fontId="16" fillId="0" borderId="29" xfId="3" applyFont="1" applyBorder="1" applyAlignment="1">
      <alignment horizontal="center" vertical="center"/>
    </xf>
    <xf numFmtId="0" fontId="3" fillId="9" borderId="22" xfId="0" applyFont="1" applyFill="1" applyBorder="1" applyAlignment="1">
      <alignment horizontal="center"/>
    </xf>
    <xf numFmtId="166" fontId="3" fillId="4" borderId="35" xfId="5" applyNumberFormat="1" applyFont="1" applyFill="1" applyBorder="1" applyAlignment="1">
      <alignment horizontal="center" vertical="center"/>
    </xf>
    <xf numFmtId="166" fontId="3" fillId="4" borderId="48" xfId="5" applyNumberFormat="1" applyFont="1" applyFill="1" applyBorder="1" applyAlignment="1">
      <alignment horizontal="center" vertical="center"/>
    </xf>
    <xf numFmtId="166" fontId="3" fillId="4" borderId="36" xfId="5" applyNumberFormat="1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/>
    </xf>
    <xf numFmtId="0" fontId="5" fillId="0" borderId="11" xfId="0" applyFont="1" applyBorder="1" applyAlignment="1">
      <alignment horizontal="center" shrinkToFit="1"/>
    </xf>
    <xf numFmtId="165" fontId="6" fillId="0" borderId="11" xfId="2" applyNumberFormat="1" applyFont="1" applyFill="1" applyBorder="1" applyAlignment="1" applyProtection="1">
      <alignment horizontal="center" vertical="center" shrinkToFit="1"/>
      <protection locked="0"/>
    </xf>
    <xf numFmtId="165" fontId="6" fillId="0" borderId="11" xfId="2" applyNumberFormat="1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>
      <alignment horizontal="center" shrinkToFit="1"/>
    </xf>
    <xf numFmtId="165" fontId="6" fillId="0" borderId="15" xfId="2" applyNumberFormat="1" applyFont="1" applyFill="1" applyBorder="1" applyAlignment="1" applyProtection="1">
      <alignment horizontal="center" vertical="center" shrinkToFit="1"/>
      <protection locked="0"/>
    </xf>
    <xf numFmtId="0" fontId="6" fillId="0" borderId="15" xfId="2" applyFont="1" applyFill="1" applyBorder="1" applyAlignment="1">
      <alignment shrinkToFit="1"/>
    </xf>
    <xf numFmtId="0" fontId="5" fillId="0" borderId="12" xfId="0" applyFont="1" applyBorder="1" applyAlignment="1">
      <alignment horizontal="center" shrinkToFit="1"/>
    </xf>
    <xf numFmtId="0" fontId="16" fillId="9" borderId="0" xfId="3" applyFont="1" applyFill="1" applyAlignment="1">
      <alignment horizontal="center"/>
    </xf>
    <xf numFmtId="0" fontId="16" fillId="0" borderId="0" xfId="3" applyFont="1" applyAlignment="1">
      <alignment horizontal="center" vertical="center"/>
    </xf>
    <xf numFmtId="0" fontId="14" fillId="7" borderId="0" xfId="4" applyFont="1" applyFill="1" applyAlignment="1">
      <alignment horizontal="center"/>
    </xf>
    <xf numFmtId="0" fontId="14" fillId="10" borderId="0" xfId="4" applyFont="1" applyFill="1" applyAlignment="1">
      <alignment horizontal="center"/>
    </xf>
    <xf numFmtId="3" fontId="0" fillId="0" borderId="11" xfId="0" applyNumberFormat="1" applyBorder="1"/>
    <xf numFmtId="16" fontId="3" fillId="0" borderId="0" xfId="0" applyNumberFormat="1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20" fillId="9" borderId="0" xfId="4" applyFont="1" applyFill="1" applyAlignment="1">
      <alignment vertical="center"/>
    </xf>
    <xf numFmtId="0" fontId="12" fillId="0" borderId="0" xfId="3" applyFont="1"/>
    <xf numFmtId="14" fontId="23" fillId="12" borderId="23" xfId="0" applyNumberFormat="1" applyFont="1" applyFill="1" applyBorder="1" applyAlignment="1">
      <alignment horizontal="center" vertical="center"/>
    </xf>
    <xf numFmtId="0" fontId="3" fillId="5" borderId="40" xfId="0" applyFont="1" applyFill="1" applyBorder="1" applyAlignment="1">
      <alignment horizontal="center" vertical="center"/>
    </xf>
    <xf numFmtId="0" fontId="3" fillId="5" borderId="49" xfId="0" applyFont="1" applyFill="1" applyBorder="1" applyAlignment="1">
      <alignment horizontal="center" vertical="center"/>
    </xf>
    <xf numFmtId="166" fontId="3" fillId="0" borderId="13" xfId="5" applyNumberFormat="1" applyFont="1" applyBorder="1" applyAlignment="1">
      <alignment horizontal="center" vertical="center"/>
    </xf>
    <xf numFmtId="167" fontId="4" fillId="5" borderId="3" xfId="6" applyNumberFormat="1" applyFont="1" applyFill="1" applyBorder="1" applyAlignment="1">
      <alignment horizontal="center" vertical="center"/>
    </xf>
    <xf numFmtId="167" fontId="4" fillId="5" borderId="4" xfId="6" applyNumberFormat="1" applyFont="1" applyFill="1" applyBorder="1" applyAlignment="1">
      <alignment horizontal="center" vertical="center"/>
    </xf>
    <xf numFmtId="167" fontId="4" fillId="5" borderId="5" xfId="6" applyNumberFormat="1" applyFont="1" applyFill="1" applyBorder="1" applyAlignment="1">
      <alignment horizontal="center" vertical="center"/>
    </xf>
    <xf numFmtId="10" fontId="4" fillId="5" borderId="32" xfId="6" applyNumberFormat="1" applyFont="1" applyFill="1" applyBorder="1" applyAlignment="1">
      <alignment horizontal="center" vertical="center"/>
    </xf>
    <xf numFmtId="3" fontId="0" fillId="0" borderId="0" xfId="0" applyNumberFormat="1"/>
    <xf numFmtId="14" fontId="23" fillId="12" borderId="44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166" fontId="3" fillId="0" borderId="0" xfId="5" applyNumberFormat="1" applyFont="1" applyBorder="1" applyAlignment="1">
      <alignment horizontal="center"/>
    </xf>
    <xf numFmtId="165" fontId="6" fillId="0" borderId="11" xfId="2" applyNumberFormat="1" applyFont="1" applyFill="1" applyBorder="1" applyAlignment="1">
      <alignment horizontal="center" vertical="center" shrinkToFit="1"/>
    </xf>
    <xf numFmtId="0" fontId="8" fillId="0" borderId="16" xfId="1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14" fontId="0" fillId="0" borderId="0" xfId="0" applyNumberFormat="1"/>
    <xf numFmtId="0" fontId="8" fillId="11" borderId="16" xfId="1" applyFont="1" applyFill="1" applyBorder="1" applyAlignment="1">
      <alignment horizontal="center" vertical="center"/>
    </xf>
    <xf numFmtId="14" fontId="0" fillId="9" borderId="29" xfId="0" applyNumberFormat="1" applyFill="1" applyBorder="1"/>
    <xf numFmtId="1" fontId="0" fillId="0" borderId="0" xfId="0" applyNumberFormat="1"/>
    <xf numFmtId="0" fontId="8" fillId="14" borderId="16" xfId="1" applyFont="1" applyFill="1" applyBorder="1" applyAlignment="1">
      <alignment horizontal="center" vertical="center"/>
    </xf>
    <xf numFmtId="0" fontId="8" fillId="0" borderId="10" xfId="1" applyFont="1" applyFill="1" applyBorder="1" applyAlignment="1">
      <alignment horizontal="center" vertical="center"/>
    </xf>
    <xf numFmtId="165" fontId="28" fillId="0" borderId="11" xfId="2" applyNumberFormat="1" applyFont="1" applyFill="1" applyBorder="1" applyAlignment="1" applyProtection="1">
      <alignment horizontal="center" vertical="center" shrinkToFit="1"/>
      <protection locked="0"/>
    </xf>
    <xf numFmtId="0" fontId="29" fillId="0" borderId="0" xfId="4" applyFont="1" applyAlignment="1">
      <alignment horizontal="center"/>
    </xf>
    <xf numFmtId="14" fontId="3" fillId="8" borderId="45" xfId="0" applyNumberFormat="1" applyFont="1" applyFill="1" applyBorder="1" applyAlignment="1">
      <alignment horizontal="center" vertical="center"/>
    </xf>
    <xf numFmtId="0" fontId="21" fillId="9" borderId="11" xfId="2" applyFont="1" applyFill="1" applyBorder="1" applyAlignment="1">
      <alignment vertical="center" textRotation="90"/>
    </xf>
    <xf numFmtId="0" fontId="6" fillId="0" borderId="11" xfId="2" applyFont="1" applyFill="1" applyBorder="1" applyAlignment="1">
      <alignment horizontal="center" shrinkToFit="1"/>
    </xf>
    <xf numFmtId="0" fontId="7" fillId="0" borderId="11" xfId="0" applyFont="1" applyBorder="1" applyAlignment="1">
      <alignment horizontal="center" vertical="center" shrinkToFit="1"/>
    </xf>
    <xf numFmtId="0" fontId="7" fillId="0" borderId="11" xfId="0" applyFont="1" applyBorder="1" applyAlignment="1">
      <alignment horizontal="center" shrinkToFit="1"/>
    </xf>
    <xf numFmtId="1" fontId="22" fillId="0" borderId="11" xfId="0" applyNumberFormat="1" applyFont="1" applyBorder="1" applyAlignment="1">
      <alignment horizontal="center" vertical="center"/>
    </xf>
    <xf numFmtId="0" fontId="0" fillId="9" borderId="11" xfId="0" applyFill="1" applyBorder="1"/>
    <xf numFmtId="1" fontId="15" fillId="0" borderId="0" xfId="3" applyNumberFormat="1" applyFont="1"/>
    <xf numFmtId="166" fontId="0" fillId="0" borderId="0" xfId="0" applyNumberFormat="1"/>
    <xf numFmtId="0" fontId="0" fillId="0" borderId="12" xfId="0" applyBorder="1" applyAlignment="1">
      <alignment horizontal="center"/>
    </xf>
    <xf numFmtId="0" fontId="8" fillId="0" borderId="52" xfId="1" applyFont="1" applyFill="1" applyBorder="1" applyAlignment="1">
      <alignment horizontal="center" vertical="center"/>
    </xf>
    <xf numFmtId="165" fontId="6" fillId="0" borderId="13" xfId="2" applyNumberFormat="1" applyFont="1" applyFill="1" applyBorder="1" applyAlignment="1">
      <alignment horizontal="center" vertical="center" shrinkToFit="1"/>
    </xf>
    <xf numFmtId="0" fontId="8" fillId="0" borderId="13" xfId="1" applyFont="1" applyFill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30" fillId="0" borderId="55" xfId="0" applyFont="1" applyBorder="1" applyAlignment="1">
      <alignment horizontal="left" vertical="center" wrapText="1"/>
    </xf>
    <xf numFmtId="0" fontId="31" fillId="0" borderId="55" xfId="7" applyBorder="1" applyAlignment="1">
      <alignment horizontal="left" vertical="center" wrapText="1"/>
    </xf>
    <xf numFmtId="0" fontId="30" fillId="0" borderId="55" xfId="0" applyFont="1" applyBorder="1" applyAlignment="1">
      <alignment horizontal="center" vertical="center" wrapText="1"/>
    </xf>
    <xf numFmtId="165" fontId="6" fillId="8" borderId="11" xfId="2" applyNumberFormat="1" applyFont="1" applyFill="1" applyBorder="1" applyAlignment="1" applyProtection="1">
      <alignment horizontal="center" vertical="center" shrinkToFit="1"/>
      <protection locked="0"/>
    </xf>
    <xf numFmtId="3" fontId="0" fillId="0" borderId="0" xfId="0" applyNumberFormat="1" applyAlignment="1">
      <alignment horizontal="center"/>
    </xf>
    <xf numFmtId="0" fontId="32" fillId="0" borderId="11" xfId="0" applyFont="1" applyBorder="1" applyAlignment="1">
      <alignment horizontal="center"/>
    </xf>
    <xf numFmtId="0" fontId="8" fillId="11" borderId="11" xfId="1" applyFont="1" applyFill="1" applyBorder="1" applyAlignment="1">
      <alignment horizontal="center" vertical="center"/>
    </xf>
    <xf numFmtId="165" fontId="6" fillId="4" borderId="11" xfId="2" applyNumberFormat="1" applyFont="1" applyFill="1" applyBorder="1" applyAlignment="1" applyProtection="1">
      <alignment horizontal="center" vertical="center" shrinkToFit="1"/>
      <protection locked="0"/>
    </xf>
    <xf numFmtId="0" fontId="33" fillId="0" borderId="0" xfId="0" applyFont="1" applyAlignment="1">
      <alignment horizontal="center"/>
    </xf>
    <xf numFmtId="3" fontId="0" fillId="8" borderId="0" xfId="0" applyNumberFormat="1" applyFill="1" applyAlignment="1">
      <alignment horizontal="center"/>
    </xf>
    <xf numFmtId="0" fontId="8" fillId="11" borderId="10" xfId="1" applyFont="1" applyFill="1" applyBorder="1" applyAlignment="1">
      <alignment horizontal="center" vertical="center"/>
    </xf>
    <xf numFmtId="0" fontId="8" fillId="15" borderId="11" xfId="1" applyFont="1" applyFill="1" applyBorder="1" applyAlignment="1">
      <alignment horizontal="center" vertical="center"/>
    </xf>
    <xf numFmtId="0" fontId="8" fillId="16" borderId="11" xfId="1" applyFont="1" applyFill="1" applyBorder="1" applyAlignment="1">
      <alignment horizontal="center" vertical="center"/>
    </xf>
    <xf numFmtId="0" fontId="8" fillId="16" borderId="16" xfId="1" applyFont="1" applyFill="1" applyBorder="1" applyAlignment="1">
      <alignment horizontal="center" vertical="center"/>
    </xf>
    <xf numFmtId="0" fontId="8" fillId="16" borderId="10" xfId="1" applyFont="1" applyFill="1" applyBorder="1" applyAlignment="1">
      <alignment horizontal="center" vertical="center"/>
    </xf>
    <xf numFmtId="2" fontId="0" fillId="0" borderId="0" xfId="0" applyNumberFormat="1"/>
    <xf numFmtId="165" fontId="23" fillId="15" borderId="11" xfId="2" applyNumberFormat="1" applyFont="1" applyFill="1" applyBorder="1" applyAlignment="1" applyProtection="1">
      <alignment horizontal="center" vertical="center" shrinkToFit="1"/>
      <protection locked="0"/>
    </xf>
    <xf numFmtId="0" fontId="23" fillId="15" borderId="11" xfId="1" applyFont="1" applyFill="1" applyBorder="1" applyAlignment="1">
      <alignment horizontal="center" vertical="center"/>
    </xf>
    <xf numFmtId="0" fontId="23" fillId="15" borderId="16" xfId="1" applyFont="1" applyFill="1" applyBorder="1" applyAlignment="1">
      <alignment horizontal="center" vertical="center"/>
    </xf>
    <xf numFmtId="0" fontId="34" fillId="15" borderId="0" xfId="0" applyFont="1" applyFill="1" applyAlignment="1">
      <alignment horizontal="center"/>
    </xf>
    <xf numFmtId="0" fontId="23" fillId="15" borderId="10" xfId="1" applyFont="1" applyFill="1" applyBorder="1" applyAlignment="1">
      <alignment horizontal="center" vertical="center"/>
    </xf>
    <xf numFmtId="3" fontId="34" fillId="15" borderId="0" xfId="0" applyNumberFormat="1" applyFont="1" applyFill="1" applyAlignment="1">
      <alignment horizontal="center"/>
    </xf>
    <xf numFmtId="166" fontId="0" fillId="17" borderId="17" xfId="5" applyNumberFormat="1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9" borderId="28" xfId="0" applyFill="1" applyBorder="1"/>
    <xf numFmtId="0" fontId="0" fillId="0" borderId="57" xfId="0" applyBorder="1" applyAlignment="1">
      <alignment horizontal="center"/>
    </xf>
    <xf numFmtId="0" fontId="0" fillId="0" borderId="56" xfId="0" applyBorder="1" applyAlignment="1">
      <alignment horizontal="center"/>
    </xf>
    <xf numFmtId="3" fontId="19" fillId="0" borderId="26" xfId="0" applyNumberFormat="1" applyFont="1" applyBorder="1" applyAlignment="1">
      <alignment horizontal="center" vertical="center"/>
    </xf>
    <xf numFmtId="166" fontId="3" fillId="0" borderId="4" xfId="5" applyNumberFormat="1" applyFont="1" applyFill="1" applyBorder="1" applyAlignment="1">
      <alignment horizontal="center" vertical="center"/>
    </xf>
    <xf numFmtId="166" fontId="3" fillId="0" borderId="5" xfId="5" applyNumberFormat="1" applyFont="1" applyFill="1" applyBorder="1" applyAlignment="1">
      <alignment horizontal="center" vertical="center"/>
    </xf>
    <xf numFmtId="165" fontId="23" fillId="15" borderId="16" xfId="2" applyNumberFormat="1" applyFont="1" applyFill="1" applyBorder="1" applyAlignment="1" applyProtection="1">
      <alignment horizontal="center" vertical="center" shrinkToFit="1"/>
      <protection locked="0"/>
    </xf>
    <xf numFmtId="0" fontId="0" fillId="0" borderId="13" xfId="0" applyBorder="1" applyAlignment="1">
      <alignment horizontal="center" vertical="center"/>
    </xf>
    <xf numFmtId="3" fontId="0" fillId="0" borderId="13" xfId="0" applyNumberFormat="1" applyBorder="1"/>
    <xf numFmtId="0" fontId="0" fillId="0" borderId="13" xfId="0" applyBorder="1"/>
    <xf numFmtId="3" fontId="33" fillId="0" borderId="0" xfId="0" applyNumberFormat="1" applyFont="1" applyAlignment="1">
      <alignment horizontal="center"/>
    </xf>
    <xf numFmtId="0" fontId="8" fillId="0" borderId="12" xfId="1" applyFont="1" applyFill="1" applyBorder="1" applyAlignment="1">
      <alignment horizontal="center" vertical="center"/>
    </xf>
    <xf numFmtId="0" fontId="24" fillId="13" borderId="0" xfId="0" applyFont="1" applyFill="1" applyAlignment="1">
      <alignment horizontal="center" vertical="center"/>
    </xf>
    <xf numFmtId="0" fontId="24" fillId="13" borderId="19" xfId="0" applyFont="1" applyFill="1" applyBorder="1" applyAlignment="1">
      <alignment horizontal="center" vertical="center"/>
    </xf>
    <xf numFmtId="0" fontId="6" fillId="0" borderId="13" xfId="1" applyFont="1" applyFill="1" applyBorder="1" applyAlignment="1">
      <alignment horizontal="center" vertical="center" shrinkToFit="1"/>
    </xf>
    <xf numFmtId="0" fontId="6" fillId="0" borderId="13" xfId="1" applyFont="1" applyFill="1" applyBorder="1" applyAlignment="1">
      <alignment horizontal="center" vertical="center"/>
    </xf>
    <xf numFmtId="0" fontId="9" fillId="0" borderId="13" xfId="1" applyFont="1" applyFill="1" applyBorder="1" applyAlignment="1">
      <alignment horizontal="center" vertical="center"/>
    </xf>
    <xf numFmtId="0" fontId="9" fillId="0" borderId="13" xfId="1" applyFont="1" applyFill="1" applyBorder="1" applyAlignment="1">
      <alignment horizontal="center" vertical="center" shrinkToFit="1"/>
    </xf>
    <xf numFmtId="3" fontId="10" fillId="0" borderId="13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6" borderId="11" xfId="0" applyFill="1" applyBorder="1" applyAlignment="1">
      <alignment horizontal="center"/>
    </xf>
    <xf numFmtId="166" fontId="3" fillId="22" borderId="22" xfId="5" applyNumberFormat="1" applyFont="1" applyFill="1" applyBorder="1"/>
    <xf numFmtId="3" fontId="0" fillId="22" borderId="19" xfId="0" applyNumberFormat="1" applyFill="1" applyBorder="1" applyAlignment="1">
      <alignment horizontal="center"/>
    </xf>
    <xf numFmtId="3" fontId="0" fillId="22" borderId="27" xfId="0" applyNumberFormat="1" applyFill="1" applyBorder="1"/>
    <xf numFmtId="166" fontId="3" fillId="20" borderId="7" xfId="5" applyNumberFormat="1" applyFont="1" applyFill="1" applyBorder="1"/>
    <xf numFmtId="0" fontId="0" fillId="19" borderId="7" xfId="0" applyFill="1" applyBorder="1"/>
    <xf numFmtId="0" fontId="0" fillId="21" borderId="7" xfId="0" applyFill="1" applyBorder="1"/>
    <xf numFmtId="3" fontId="24" fillId="13" borderId="19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24" fillId="13" borderId="0" xfId="0" applyNumberFormat="1" applyFont="1" applyFill="1" applyAlignment="1">
      <alignment horizontal="center" vertical="center"/>
    </xf>
    <xf numFmtId="3" fontId="37" fillId="15" borderId="0" xfId="0" applyNumberFormat="1" applyFont="1" applyFill="1" applyAlignment="1">
      <alignment horizontal="center"/>
    </xf>
    <xf numFmtId="0" fontId="37" fillId="15" borderId="0" xfId="0" applyFont="1" applyFill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3" fontId="0" fillId="0" borderId="4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3" fontId="0" fillId="0" borderId="5" xfId="0" applyNumberFormat="1" applyBorder="1" applyAlignment="1">
      <alignment horizontal="right"/>
    </xf>
    <xf numFmtId="3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3" fontId="0" fillId="0" borderId="16" xfId="0" applyNumberFormat="1" applyBorder="1" applyAlignment="1">
      <alignment horizontal="right"/>
    </xf>
    <xf numFmtId="0" fontId="0" fillId="0" borderId="13" xfId="0" applyBorder="1" applyAlignment="1">
      <alignment horizontal="right"/>
    </xf>
    <xf numFmtId="3" fontId="0" fillId="0" borderId="12" xfId="0" applyNumberFormat="1" applyBorder="1" applyAlignment="1">
      <alignment horizontal="right"/>
    </xf>
    <xf numFmtId="0" fontId="0" fillId="0" borderId="42" xfId="0" applyBorder="1" applyAlignment="1">
      <alignment horizontal="right"/>
    </xf>
    <xf numFmtId="3" fontId="0" fillId="0" borderId="10" xfId="0" applyNumberFormat="1" applyBorder="1" applyAlignment="1">
      <alignment horizontal="right"/>
    </xf>
    <xf numFmtId="0" fontId="0" fillId="0" borderId="58" xfId="0" applyBorder="1" applyAlignment="1">
      <alignment horizontal="right"/>
    </xf>
    <xf numFmtId="3" fontId="0" fillId="0" borderId="11" xfId="0" applyNumberFormat="1" applyBorder="1" applyAlignment="1">
      <alignment horizontal="right" vertical="center"/>
    </xf>
    <xf numFmtId="3" fontId="0" fillId="0" borderId="16" xfId="0" applyNumberFormat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3" fontId="0" fillId="0" borderId="13" xfId="0" applyNumberFormat="1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3" fontId="0" fillId="0" borderId="21" xfId="0" applyNumberFormat="1" applyBorder="1" applyAlignment="1">
      <alignment horizontal="right" vertical="center"/>
    </xf>
    <xf numFmtId="0" fontId="0" fillId="0" borderId="4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3" fontId="33" fillId="0" borderId="0" xfId="5" applyNumberFormat="1" applyFont="1" applyFill="1" applyBorder="1" applyAlignment="1">
      <alignment horizontal="center"/>
    </xf>
    <xf numFmtId="166" fontId="3" fillId="0" borderId="0" xfId="5" applyNumberFormat="1" applyFont="1" applyFill="1" applyBorder="1" applyAlignment="1">
      <alignment horizontal="center"/>
    </xf>
    <xf numFmtId="3" fontId="0" fillId="9" borderId="29" xfId="0" applyNumberFormat="1" applyFill="1" applyBorder="1" applyAlignment="1">
      <alignment horizontal="center"/>
    </xf>
    <xf numFmtId="14" fontId="34" fillId="15" borderId="0" xfId="0" applyNumberFormat="1" applyFont="1" applyFill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11" borderId="0" xfId="0" applyNumberFormat="1" applyFill="1" applyAlignment="1">
      <alignment horizontal="center"/>
    </xf>
    <xf numFmtId="3" fontId="0" fillId="0" borderId="0" xfId="5" applyNumberFormat="1" applyFont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0" fontId="12" fillId="0" borderId="0" xfId="3" applyFont="1" applyAlignment="1">
      <alignment horizontal="center"/>
    </xf>
    <xf numFmtId="0" fontId="38" fillId="0" borderId="0" xfId="4" applyFont="1" applyAlignment="1">
      <alignment horizontal="center"/>
    </xf>
    <xf numFmtId="3" fontId="34" fillId="15" borderId="0" xfId="0" applyNumberFormat="1" applyFont="1" applyFill="1" applyAlignment="1">
      <alignment horizontal="center" vertical="center"/>
    </xf>
    <xf numFmtId="3" fontId="34" fillId="15" borderId="0" xfId="5" applyNumberFormat="1" applyFont="1" applyFill="1" applyBorder="1" applyAlignment="1">
      <alignment horizontal="center"/>
    </xf>
    <xf numFmtId="0" fontId="34" fillId="15" borderId="0" xfId="0" applyFont="1" applyFill="1" applyAlignment="1">
      <alignment horizontal="center" vertical="center"/>
    </xf>
    <xf numFmtId="0" fontId="39" fillId="15" borderId="11" xfId="1" applyFont="1" applyFill="1" applyBorder="1" applyAlignment="1">
      <alignment horizontal="center" vertical="center"/>
    </xf>
    <xf numFmtId="3" fontId="40" fillId="15" borderId="0" xfId="0" applyNumberFormat="1" applyFont="1" applyFill="1" applyAlignment="1">
      <alignment horizontal="center"/>
    </xf>
    <xf numFmtId="0" fontId="40" fillId="15" borderId="0" xfId="0" applyFont="1" applyFill="1" applyAlignment="1">
      <alignment horizontal="center"/>
    </xf>
    <xf numFmtId="3" fontId="33" fillId="6" borderId="0" xfId="0" applyNumberFormat="1" applyFont="1" applyFill="1" applyAlignment="1">
      <alignment horizontal="center"/>
    </xf>
    <xf numFmtId="0" fontId="0" fillId="6" borderId="4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41" fillId="0" borderId="0" xfId="3" applyFont="1" applyAlignment="1">
      <alignment horizontal="center" vertical="center"/>
    </xf>
    <xf numFmtId="166" fontId="1" fillId="0" borderId="0" xfId="5" applyNumberFormat="1" applyFont="1" applyAlignment="1">
      <alignment horizontal="center"/>
    </xf>
    <xf numFmtId="166" fontId="1" fillId="0" borderId="0" xfId="5" applyNumberFormat="1" applyFont="1" applyAlignment="1">
      <alignment horizontal="center" vertical="center"/>
    </xf>
    <xf numFmtId="0" fontId="1" fillId="0" borderId="0" xfId="3" applyFont="1" applyAlignment="1">
      <alignment horizontal="center" vertical="center"/>
    </xf>
    <xf numFmtId="1" fontId="33" fillId="0" borderId="0" xfId="3" applyNumberFormat="1" applyFont="1" applyAlignment="1">
      <alignment horizontal="center" vertical="center"/>
    </xf>
    <xf numFmtId="0" fontId="1" fillId="0" borderId="0" xfId="3" applyFont="1" applyAlignment="1">
      <alignment horizontal="center"/>
    </xf>
    <xf numFmtId="1" fontId="14" fillId="10" borderId="0" xfId="5" applyNumberFormat="1" applyFont="1" applyFill="1" applyAlignment="1">
      <alignment horizontal="center" vertical="center"/>
    </xf>
    <xf numFmtId="14" fontId="3" fillId="8" borderId="53" xfId="0" applyNumberFormat="1" applyFont="1" applyFill="1" applyBorder="1" applyAlignment="1">
      <alignment horizontal="center" vertical="center"/>
    </xf>
    <xf numFmtId="14" fontId="3" fillId="8" borderId="45" xfId="0" applyNumberFormat="1" applyFont="1" applyFill="1" applyBorder="1"/>
    <xf numFmtId="14" fontId="3" fillId="8" borderId="54" xfId="0" applyNumberFormat="1" applyFont="1" applyFill="1" applyBorder="1"/>
    <xf numFmtId="1" fontId="23" fillId="15" borderId="11" xfId="2" applyNumberFormat="1" applyFont="1" applyFill="1" applyBorder="1" applyAlignment="1" applyProtection="1">
      <alignment horizontal="center" vertical="center" shrinkToFit="1"/>
      <protection locked="0"/>
    </xf>
    <xf numFmtId="165" fontId="23" fillId="15" borderId="10" xfId="2" applyNumberFormat="1" applyFont="1" applyFill="1" applyBorder="1" applyAlignment="1" applyProtection="1">
      <alignment horizontal="center" vertical="center" shrinkToFit="1"/>
      <protection locked="0"/>
    </xf>
    <xf numFmtId="165" fontId="6" fillId="0" borderId="10" xfId="2" applyNumberFormat="1" applyFont="1" applyFill="1" applyBorder="1" applyAlignment="1" applyProtection="1">
      <alignment horizontal="center" vertical="center" shrinkToFit="1"/>
      <protection locked="0"/>
    </xf>
    <xf numFmtId="0" fontId="0" fillId="16" borderId="0" xfId="0" applyFill="1" applyAlignment="1">
      <alignment horizontal="center"/>
    </xf>
    <xf numFmtId="3" fontId="0" fillId="16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165" fontId="23" fillId="15" borderId="58" xfId="2" applyNumberFormat="1" applyFont="1" applyFill="1" applyBorder="1" applyAlignment="1" applyProtection="1">
      <alignment horizontal="center" vertical="center" shrinkToFit="1"/>
      <protection locked="0"/>
    </xf>
    <xf numFmtId="0" fontId="8" fillId="16" borderId="12" xfId="1" applyFont="1" applyFill="1" applyBorder="1" applyAlignment="1">
      <alignment horizontal="center" vertical="center"/>
    </xf>
    <xf numFmtId="0" fontId="8" fillId="0" borderId="58" xfId="1" applyFont="1" applyFill="1" applyBorder="1" applyAlignment="1">
      <alignment horizontal="center" vertical="center"/>
    </xf>
    <xf numFmtId="0" fontId="8" fillId="0" borderId="60" xfId="1" applyFont="1" applyFill="1" applyBorder="1" applyAlignment="1">
      <alignment horizontal="center" vertical="center"/>
    </xf>
    <xf numFmtId="0" fontId="23" fillId="15" borderId="58" xfId="1" applyFont="1" applyFill="1" applyBorder="1" applyAlignment="1">
      <alignment horizontal="center" vertical="center"/>
    </xf>
    <xf numFmtId="0" fontId="23" fillId="15" borderId="60" xfId="1" applyFont="1" applyFill="1" applyBorder="1" applyAlignment="1">
      <alignment horizontal="center" vertical="center"/>
    </xf>
    <xf numFmtId="0" fontId="8" fillId="11" borderId="12" xfId="1" applyFont="1" applyFill="1" applyBorder="1" applyAlignment="1">
      <alignment horizontal="center" vertical="center"/>
    </xf>
    <xf numFmtId="165" fontId="23" fillId="15" borderId="18" xfId="2" applyNumberFormat="1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center" shrinkToFit="1"/>
    </xf>
    <xf numFmtId="0" fontId="0" fillId="15" borderId="0" xfId="0" applyFill="1" applyAlignment="1">
      <alignment horizontal="center"/>
    </xf>
    <xf numFmtId="0" fontId="34" fillId="15" borderId="0" xfId="0" applyFont="1" applyFill="1" applyAlignment="1">
      <alignment horizontal="left"/>
    </xf>
    <xf numFmtId="0" fontId="43" fillId="0" borderId="0" xfId="0" applyFont="1" applyAlignment="1">
      <alignment horizontal="center" vertical="center" wrapText="1"/>
    </xf>
    <xf numFmtId="3" fontId="0" fillId="11" borderId="0" xfId="0" applyNumberFormat="1" applyFill="1" applyAlignment="1">
      <alignment horizontal="center" vertical="center"/>
    </xf>
    <xf numFmtId="0" fontId="43" fillId="0" borderId="0" xfId="0" applyFont="1" applyAlignment="1">
      <alignment vertical="center" wrapText="1"/>
    </xf>
    <xf numFmtId="3" fontId="0" fillId="0" borderId="0" xfId="0" applyNumberFormat="1" applyAlignment="1">
      <alignment horizontal="right" vertical="center"/>
    </xf>
    <xf numFmtId="3" fontId="34" fillId="15" borderId="0" xfId="0" applyNumberFormat="1" applyFont="1" applyFill="1" applyAlignment="1">
      <alignment horizontal="right" vertical="center"/>
    </xf>
    <xf numFmtId="0" fontId="44" fillId="11" borderId="0" xfId="1" applyFont="1" applyFill="1" applyBorder="1" applyAlignment="1">
      <alignment horizontal="center" vertical="center"/>
    </xf>
    <xf numFmtId="0" fontId="34" fillId="15" borderId="0" xfId="0" applyFont="1" applyFill="1" applyAlignment="1">
      <alignment horizontal="center" shrinkToFit="1"/>
    </xf>
    <xf numFmtId="0" fontId="0" fillId="11" borderId="0" xfId="0" applyFill="1" applyAlignment="1">
      <alignment horizontal="left"/>
    </xf>
    <xf numFmtId="3" fontId="1" fillId="0" borderId="0" xfId="5" applyNumberFormat="1" applyFont="1" applyFill="1" applyBorder="1" applyAlignment="1">
      <alignment horizontal="center"/>
    </xf>
    <xf numFmtId="0" fontId="34" fillId="15" borderId="0" xfId="1" applyFont="1" applyFill="1" applyBorder="1" applyAlignment="1">
      <alignment horizontal="center" vertical="center"/>
    </xf>
    <xf numFmtId="3" fontId="34" fillId="15" borderId="0" xfId="1" applyNumberFormat="1" applyFont="1" applyFill="1" applyBorder="1" applyAlignment="1">
      <alignment horizontal="center" vertical="center"/>
    </xf>
    <xf numFmtId="0" fontId="44" fillId="16" borderId="0" xfId="1" applyFont="1" applyFill="1" applyBorder="1" applyAlignment="1">
      <alignment horizontal="center" vertical="center"/>
    </xf>
    <xf numFmtId="0" fontId="34" fillId="15" borderId="0" xfId="1" applyFont="1" applyFill="1" applyBorder="1" applyAlignment="1">
      <alignment horizontal="left" vertical="center"/>
    </xf>
    <xf numFmtId="0" fontId="40" fillId="15" borderId="0" xfId="1" applyFont="1" applyFill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/>
    </xf>
    <xf numFmtId="0" fontId="33" fillId="11" borderId="0" xfId="1" applyFont="1" applyFill="1" applyBorder="1" applyAlignment="1">
      <alignment horizontal="center" vertical="center"/>
    </xf>
    <xf numFmtId="165" fontId="34" fillId="15" borderId="0" xfId="2" applyNumberFormat="1" applyFont="1" applyFill="1" applyBorder="1" applyAlignment="1" applyProtection="1">
      <alignment horizontal="center" vertical="center" shrinkToFit="1"/>
      <protection locked="0"/>
    </xf>
    <xf numFmtId="0" fontId="37" fillId="15" borderId="0" xfId="1" applyFont="1" applyFill="1" applyBorder="1" applyAlignment="1">
      <alignment horizontal="center" vertical="center"/>
    </xf>
    <xf numFmtId="166" fontId="1" fillId="0" borderId="0" xfId="5" applyNumberFormat="1" applyFont="1" applyFill="1" applyBorder="1" applyAlignment="1">
      <alignment horizontal="center"/>
    </xf>
    <xf numFmtId="0" fontId="33" fillId="6" borderId="0" xfId="1" applyFont="1" applyFill="1" applyBorder="1" applyAlignment="1">
      <alignment vertical="center"/>
    </xf>
    <xf numFmtId="0" fontId="34" fillId="15" borderId="0" xfId="1" applyFont="1" applyFill="1" applyBorder="1" applyAlignment="1">
      <alignment vertical="center"/>
    </xf>
    <xf numFmtId="0" fontId="8" fillId="0" borderId="61" xfId="1" applyFont="1" applyFill="1" applyBorder="1" applyAlignment="1">
      <alignment horizontal="center" vertical="center"/>
    </xf>
    <xf numFmtId="0" fontId="23" fillId="15" borderId="61" xfId="1" applyFont="1" applyFill="1" applyBorder="1" applyAlignment="1">
      <alignment horizontal="center" vertical="center"/>
    </xf>
    <xf numFmtId="0" fontId="8" fillId="0" borderId="62" xfId="1" applyFont="1" applyFill="1" applyBorder="1" applyAlignment="1">
      <alignment horizontal="center" vertical="center"/>
    </xf>
    <xf numFmtId="0" fontId="8" fillId="11" borderId="61" xfId="1" applyFont="1" applyFill="1" applyBorder="1" applyAlignment="1">
      <alignment horizontal="center" vertical="center"/>
    </xf>
    <xf numFmtId="0" fontId="23" fillId="15" borderId="62" xfId="1" applyFont="1" applyFill="1" applyBorder="1" applyAlignment="1">
      <alignment horizontal="center" vertical="center"/>
    </xf>
    <xf numFmtId="165" fontId="6" fillId="0" borderId="18" xfId="2" applyNumberFormat="1" applyFont="1" applyFill="1" applyBorder="1" applyAlignment="1" applyProtection="1">
      <alignment horizontal="center" vertical="center" shrinkToFit="1"/>
      <protection locked="0"/>
    </xf>
    <xf numFmtId="165" fontId="6" fillId="11" borderId="10" xfId="2" applyNumberFormat="1" applyFont="1" applyFill="1" applyBorder="1" applyAlignment="1" applyProtection="1">
      <alignment horizontal="center" vertical="center" shrinkToFit="1"/>
      <protection locked="0"/>
    </xf>
    <xf numFmtId="0" fontId="6" fillId="0" borderId="10" xfId="0" applyFont="1" applyBorder="1" applyAlignment="1">
      <alignment horizontal="center" vertical="center" shrinkToFit="1"/>
    </xf>
    <xf numFmtId="0" fontId="45" fillId="0" borderId="11" xfId="0" applyFont="1" applyBorder="1" applyAlignment="1">
      <alignment horizontal="center"/>
    </xf>
    <xf numFmtId="0" fontId="8" fillId="0" borderId="15" xfId="1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3" fontId="46" fillId="0" borderId="0" xfId="0" applyNumberFormat="1" applyFont="1" applyAlignment="1">
      <alignment horizontal="center"/>
    </xf>
    <xf numFmtId="3" fontId="46" fillId="0" borderId="0" xfId="0" applyNumberFormat="1" applyFont="1" applyAlignment="1">
      <alignment horizontal="center" vertical="center"/>
    </xf>
    <xf numFmtId="0" fontId="23" fillId="15" borderId="12" xfId="1" applyFont="1" applyFill="1" applyBorder="1" applyAlignment="1">
      <alignment horizontal="center" vertical="center"/>
    </xf>
    <xf numFmtId="0" fontId="8" fillId="11" borderId="62" xfId="1" applyFont="1" applyFill="1" applyBorder="1" applyAlignment="1">
      <alignment horizontal="center" vertical="center"/>
    </xf>
    <xf numFmtId="0" fontId="8" fillId="0" borderId="18" xfId="1" applyFont="1" applyFill="1" applyBorder="1" applyAlignment="1">
      <alignment horizontal="center" vertical="center"/>
    </xf>
    <xf numFmtId="0" fontId="8" fillId="11" borderId="58" xfId="1" applyFont="1" applyFill="1" applyBorder="1" applyAlignment="1">
      <alignment horizontal="center" vertical="center"/>
    </xf>
    <xf numFmtId="3" fontId="0" fillId="11" borderId="0" xfId="0" applyNumberFormat="1" applyFill="1" applyAlignment="1">
      <alignment horizontal="right" vertical="center"/>
    </xf>
    <xf numFmtId="0" fontId="8" fillId="11" borderId="18" xfId="1" applyFon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3" fontId="47" fillId="0" borderId="0" xfId="0" applyNumberFormat="1" applyFont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/>
    </xf>
    <xf numFmtId="166" fontId="4" fillId="0" borderId="3" xfId="5" applyNumberFormat="1" applyFont="1" applyBorder="1" applyAlignment="1">
      <alignment horizontal="center" vertical="center"/>
    </xf>
    <xf numFmtId="166" fontId="4" fillId="0" borderId="4" xfId="5" applyNumberFormat="1" applyFont="1" applyBorder="1" applyAlignment="1">
      <alignment horizontal="center" vertical="center"/>
    </xf>
    <xf numFmtId="0" fontId="1" fillId="11" borderId="0" xfId="3" applyFont="1" applyFill="1" applyAlignment="1">
      <alignment horizontal="center" vertical="center"/>
    </xf>
    <xf numFmtId="0" fontId="1" fillId="6" borderId="0" xfId="3" applyFont="1" applyFill="1" applyAlignment="1">
      <alignment horizontal="center" vertical="center"/>
    </xf>
    <xf numFmtId="3" fontId="33" fillId="11" borderId="0" xfId="0" applyNumberFormat="1" applyFont="1" applyFill="1" applyAlignment="1">
      <alignment horizontal="center"/>
    </xf>
    <xf numFmtId="3" fontId="33" fillId="0" borderId="0" xfId="0" applyNumberFormat="1" applyFont="1"/>
    <xf numFmtId="0" fontId="23" fillId="15" borderId="0" xfId="1" applyFont="1" applyFill="1" applyBorder="1" applyAlignment="1">
      <alignment horizontal="center" vertical="center"/>
    </xf>
    <xf numFmtId="49" fontId="6" fillId="0" borderId="10" xfId="2" applyNumberFormat="1" applyFont="1" applyFill="1" applyBorder="1" applyAlignment="1" applyProtection="1">
      <alignment horizontal="center" vertical="center" shrinkToFit="1"/>
      <protection locked="0"/>
    </xf>
    <xf numFmtId="165" fontId="39" fillId="15" borderId="10" xfId="2" applyNumberFormat="1" applyFont="1" applyFill="1" applyBorder="1" applyAlignment="1" applyProtection="1">
      <alignment horizontal="center" vertical="center" shrinkToFit="1"/>
      <protection locked="0"/>
    </xf>
    <xf numFmtId="0" fontId="35" fillId="15" borderId="10" xfId="0" applyFont="1" applyFill="1" applyBorder="1" applyAlignment="1">
      <alignment horizontal="center"/>
    </xf>
    <xf numFmtId="0" fontId="39" fillId="15" borderId="16" xfId="1" applyFont="1" applyFill="1" applyBorder="1" applyAlignment="1">
      <alignment horizontal="center" vertical="center"/>
    </xf>
    <xf numFmtId="0" fontId="34" fillId="15" borderId="11" xfId="1" applyFont="1" applyFill="1" applyBorder="1" applyAlignment="1">
      <alignment horizontal="center" vertical="center"/>
    </xf>
    <xf numFmtId="0" fontId="49" fillId="0" borderId="11" xfId="2" applyFont="1" applyFill="1" applyBorder="1" applyAlignment="1">
      <alignment horizontal="center" vertical="center" shrinkToFit="1"/>
    </xf>
    <xf numFmtId="0" fontId="50" fillId="0" borderId="11" xfId="2" applyFont="1" applyFill="1" applyBorder="1" applyAlignment="1">
      <alignment horizontal="center" vertical="center" shrinkToFit="1"/>
    </xf>
    <xf numFmtId="0" fontId="8" fillId="0" borderId="0" xfId="1" applyFont="1" applyFill="1" applyBorder="1" applyAlignment="1">
      <alignment horizontal="center" vertical="center"/>
    </xf>
    <xf numFmtId="165" fontId="6" fillId="0" borderId="0" xfId="2" applyNumberFormat="1" applyFont="1" applyFill="1" applyBorder="1" applyAlignment="1" applyProtection="1">
      <alignment horizontal="center" vertical="center" shrinkToFit="1"/>
      <protection locked="0"/>
    </xf>
    <xf numFmtId="165" fontId="23" fillId="15" borderId="52" xfId="2" applyNumberFormat="1" applyFont="1" applyFill="1" applyBorder="1" applyAlignment="1" applyProtection="1">
      <alignment horizontal="center" vertical="center" shrinkToFit="1"/>
      <protection locked="0"/>
    </xf>
    <xf numFmtId="0" fontId="34" fillId="15" borderId="10" xfId="1" applyFont="1" applyFill="1" applyBorder="1" applyAlignment="1">
      <alignment horizontal="center" vertical="center"/>
    </xf>
    <xf numFmtId="0" fontId="34" fillId="15" borderId="16" xfId="1" applyFont="1" applyFill="1" applyBorder="1" applyAlignment="1">
      <alignment horizontal="center" vertical="center"/>
    </xf>
    <xf numFmtId="49" fontId="6" fillId="0" borderId="18" xfId="2" applyNumberFormat="1" applyFont="1" applyFill="1" applyBorder="1" applyAlignment="1" applyProtection="1">
      <alignment horizontal="center" vertical="center" shrinkToFit="1"/>
      <protection locked="0"/>
    </xf>
    <xf numFmtId="0" fontId="8" fillId="0" borderId="50" xfId="1" applyFont="1" applyFill="1" applyBorder="1" applyAlignment="1">
      <alignment horizontal="center" vertical="center"/>
    </xf>
    <xf numFmtId="165" fontId="6" fillId="0" borderId="52" xfId="2" applyNumberFormat="1" applyFont="1" applyFill="1" applyBorder="1" applyAlignment="1" applyProtection="1">
      <alignment horizontal="center" vertical="center" shrinkToFit="1"/>
      <protection locked="0"/>
    </xf>
    <xf numFmtId="0" fontId="8" fillId="0" borderId="21" xfId="1" applyFont="1" applyFill="1" applyBorder="1" applyAlignment="1">
      <alignment horizontal="center" vertical="center"/>
    </xf>
    <xf numFmtId="0" fontId="8" fillId="11" borderId="60" xfId="1" applyFont="1" applyFill="1" applyBorder="1" applyAlignment="1">
      <alignment horizontal="center" vertical="center"/>
    </xf>
    <xf numFmtId="49" fontId="8" fillId="0" borderId="10" xfId="1" applyNumberFormat="1" applyFont="1" applyFill="1" applyBorder="1" applyAlignment="1">
      <alignment horizontal="center" vertical="center"/>
    </xf>
    <xf numFmtId="165" fontId="23" fillId="15" borderId="0" xfId="2" applyNumberFormat="1" applyFont="1" applyFill="1" applyBorder="1" applyAlignment="1" applyProtection="1">
      <alignment horizontal="center" vertical="center" shrinkToFit="1"/>
      <protection locked="0"/>
    </xf>
    <xf numFmtId="0" fontId="0" fillId="0" borderId="10" xfId="0" applyBorder="1" applyAlignment="1">
      <alignment horizontal="center"/>
    </xf>
    <xf numFmtId="0" fontId="23" fillId="15" borderId="50" xfId="1" applyFont="1" applyFill="1" applyBorder="1" applyAlignment="1">
      <alignment horizontal="center" vertical="center"/>
    </xf>
    <xf numFmtId="0" fontId="23" fillId="15" borderId="13" xfId="1" applyFont="1" applyFill="1" applyBorder="1" applyAlignment="1">
      <alignment horizontal="center" vertical="center"/>
    </xf>
    <xf numFmtId="0" fontId="23" fillId="15" borderId="21" xfId="1" applyFont="1" applyFill="1" applyBorder="1" applyAlignment="1">
      <alignment horizontal="center" vertical="center"/>
    </xf>
    <xf numFmtId="14" fontId="0" fillId="0" borderId="11" xfId="0" applyNumberFormat="1" applyBorder="1" applyAlignment="1">
      <alignment horizontal="center"/>
    </xf>
    <xf numFmtId="165" fontId="8" fillId="0" borderId="11" xfId="1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 applyAlignment="1">
      <alignment horizontal="center"/>
    </xf>
    <xf numFmtId="165" fontId="23" fillId="15" borderId="12" xfId="2" applyNumberFormat="1" applyFont="1" applyFill="1" applyBorder="1" applyAlignment="1" applyProtection="1">
      <alignment horizontal="center" vertical="center" shrinkToFit="1"/>
      <protection locked="0"/>
    </xf>
    <xf numFmtId="0" fontId="34" fillId="15" borderId="10" xfId="0" applyFont="1" applyFill="1" applyBorder="1" applyAlignment="1">
      <alignment horizontal="center"/>
    </xf>
    <xf numFmtId="0" fontId="52" fillId="0" borderId="11" xfId="2" applyFont="1" applyFill="1" applyBorder="1" applyAlignment="1">
      <alignment horizontal="center" vertical="center" shrinkToFit="1"/>
    </xf>
    <xf numFmtId="0" fontId="53" fillId="0" borderId="11" xfId="2" applyFont="1" applyFill="1" applyBorder="1" applyAlignment="1">
      <alignment horizontal="center" vertical="center" shrinkToFit="1"/>
    </xf>
    <xf numFmtId="3" fontId="48" fillId="0" borderId="0" xfId="0" applyNumberFormat="1" applyFont="1" applyAlignment="1">
      <alignment horizontal="center"/>
    </xf>
    <xf numFmtId="165" fontId="6" fillId="16" borderId="10" xfId="2" applyNumberFormat="1" applyFont="1" applyFill="1" applyBorder="1" applyAlignment="1" applyProtection="1">
      <alignment horizontal="center" vertical="center" shrinkToFit="1"/>
      <protection locked="0"/>
    </xf>
    <xf numFmtId="0" fontId="7" fillId="6" borderId="10" xfId="0" applyFont="1" applyFill="1" applyBorder="1" applyAlignment="1">
      <alignment horizontal="center" shrinkToFit="1"/>
    </xf>
    <xf numFmtId="0" fontId="8" fillId="0" borderId="59" xfId="1" applyFont="1" applyFill="1" applyBorder="1" applyAlignment="1">
      <alignment horizontal="center" vertical="center"/>
    </xf>
    <xf numFmtId="0" fontId="0" fillId="0" borderId="62" xfId="0" applyBorder="1" applyAlignment="1">
      <alignment horizontal="center"/>
    </xf>
    <xf numFmtId="0" fontId="8" fillId="16" borderId="61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45" fillId="0" borderId="13" xfId="0" applyFont="1" applyBorder="1" applyAlignment="1">
      <alignment horizontal="center"/>
    </xf>
    <xf numFmtId="0" fontId="45" fillId="0" borderId="0" xfId="0" applyFont="1" applyAlignment="1">
      <alignment horizontal="center"/>
    </xf>
    <xf numFmtId="49" fontId="6" fillId="0" borderId="11" xfId="2" applyNumberFormat="1" applyFont="1" applyFill="1" applyBorder="1" applyAlignment="1" applyProtection="1">
      <alignment horizontal="center" vertical="center" shrinkToFit="1"/>
      <protection locked="0"/>
    </xf>
    <xf numFmtId="165" fontId="23" fillId="15" borderId="62" xfId="2" applyNumberFormat="1" applyFont="1" applyFill="1" applyBorder="1" applyAlignment="1" applyProtection="1">
      <alignment horizontal="center" vertical="center" shrinkToFit="1"/>
      <protection locked="0"/>
    </xf>
    <xf numFmtId="0" fontId="23" fillId="15" borderId="15" xfId="1" applyFont="1" applyFill="1" applyBorder="1" applyAlignment="1">
      <alignment horizontal="center" vertical="center"/>
    </xf>
    <xf numFmtId="165" fontId="6" fillId="0" borderId="12" xfId="2" applyNumberFormat="1" applyFont="1" applyFill="1" applyBorder="1" applyAlignment="1" applyProtection="1">
      <alignment horizontal="center" vertical="center" shrinkToFit="1"/>
      <protection locked="0"/>
    </xf>
    <xf numFmtId="0" fontId="6" fillId="6" borderId="12" xfId="1" applyFont="1" applyFill="1" applyBorder="1" applyAlignment="1">
      <alignment horizontal="center" vertical="center"/>
    </xf>
    <xf numFmtId="0" fontId="8" fillId="16" borderId="62" xfId="1" applyFont="1" applyFill="1" applyBorder="1" applyAlignment="1">
      <alignment horizontal="center" vertical="center"/>
    </xf>
    <xf numFmtId="0" fontId="8" fillId="16" borderId="18" xfId="1" applyFont="1" applyFill="1" applyBorder="1" applyAlignment="1">
      <alignment horizontal="center" vertical="center"/>
    </xf>
    <xf numFmtId="0" fontId="23" fillId="15" borderId="18" xfId="1" applyFont="1" applyFill="1" applyBorder="1" applyAlignment="1">
      <alignment horizontal="center" vertical="center"/>
    </xf>
    <xf numFmtId="0" fontId="8" fillId="15" borderId="0" xfId="1" applyFont="1" applyFill="1" applyBorder="1" applyAlignment="1">
      <alignment horizontal="center" vertical="center"/>
    </xf>
    <xf numFmtId="165" fontId="35" fillId="15" borderId="0" xfId="2" applyNumberFormat="1" applyFont="1" applyFill="1" applyBorder="1" applyAlignment="1" applyProtection="1">
      <alignment horizontal="center" vertical="center" shrinkToFit="1"/>
      <protection locked="0"/>
    </xf>
    <xf numFmtId="0" fontId="35" fillId="15" borderId="0" xfId="1" applyFont="1" applyFill="1" applyBorder="1" applyAlignment="1">
      <alignment horizontal="center" vertical="center"/>
    </xf>
    <xf numFmtId="0" fontId="23" fillId="15" borderId="64" xfId="1" applyFont="1" applyFill="1" applyBorder="1" applyAlignment="1">
      <alignment horizontal="center" vertical="center"/>
    </xf>
    <xf numFmtId="165" fontId="6" fillId="0" borderId="62" xfId="2" applyNumberFormat="1" applyFont="1" applyFill="1" applyBorder="1" applyAlignment="1" applyProtection="1">
      <alignment horizontal="center" vertical="center" shrinkToFit="1"/>
      <protection locked="0"/>
    </xf>
    <xf numFmtId="0" fontId="6" fillId="6" borderId="61" xfId="1" applyFont="1" applyFill="1" applyBorder="1" applyAlignment="1">
      <alignment horizontal="center" vertical="center"/>
    </xf>
    <xf numFmtId="0" fontId="23" fillId="15" borderId="41" xfId="1" applyFont="1" applyFill="1" applyBorder="1" applyAlignment="1">
      <alignment horizontal="center" vertical="center"/>
    </xf>
    <xf numFmtId="0" fontId="23" fillId="15" borderId="4" xfId="1" applyFont="1" applyFill="1" applyBorder="1" applyAlignment="1">
      <alignment horizontal="center" vertical="center"/>
    </xf>
    <xf numFmtId="0" fontId="8" fillId="16" borderId="60" xfId="1" applyFont="1" applyFill="1" applyBorder="1" applyAlignment="1">
      <alignment horizontal="center" vertical="center"/>
    </xf>
    <xf numFmtId="0" fontId="34" fillId="15" borderId="12" xfId="0" applyFont="1" applyFill="1" applyBorder="1" applyAlignment="1">
      <alignment horizontal="center"/>
    </xf>
    <xf numFmtId="165" fontId="8" fillId="0" borderId="61" xfId="1" applyNumberFormat="1" applyFont="1" applyFill="1" applyBorder="1" applyAlignment="1" applyProtection="1">
      <alignment horizontal="center" vertical="center"/>
      <protection locked="0"/>
    </xf>
    <xf numFmtId="0" fontId="8" fillId="16" borderId="15" xfId="1" applyFont="1" applyFill="1" applyBorder="1" applyAlignment="1">
      <alignment horizontal="center" vertical="center"/>
    </xf>
    <xf numFmtId="165" fontId="23" fillId="15" borderId="51" xfId="2" applyNumberFormat="1" applyFont="1" applyFill="1" applyBorder="1" applyAlignment="1" applyProtection="1">
      <alignment horizontal="center" vertical="center" shrinkToFit="1"/>
      <protection locked="0"/>
    </xf>
    <xf numFmtId="0" fontId="23" fillId="15" borderId="52" xfId="1" applyFont="1" applyFill="1" applyBorder="1" applyAlignment="1">
      <alignment horizontal="center" vertical="center"/>
    </xf>
    <xf numFmtId="49" fontId="6" fillId="0" borderId="52" xfId="2" applyNumberFormat="1" applyFont="1" applyFill="1" applyBorder="1" applyAlignment="1" applyProtection="1">
      <alignment horizontal="center" vertical="center" shrinkToFit="1"/>
      <protection locked="0"/>
    </xf>
    <xf numFmtId="165" fontId="6" fillId="11" borderId="18" xfId="2" applyNumberFormat="1" applyFont="1" applyFill="1" applyBorder="1" applyAlignment="1" applyProtection="1">
      <alignment horizontal="center" vertical="center" shrinkToFit="1"/>
      <protection locked="0"/>
    </xf>
    <xf numFmtId="0" fontId="8" fillId="16" borderId="9" xfId="1" applyFont="1" applyFill="1" applyBorder="1" applyAlignment="1">
      <alignment horizontal="center" vertical="center"/>
    </xf>
    <xf numFmtId="0" fontId="36" fillId="15" borderId="11" xfId="1" applyFont="1" applyFill="1" applyBorder="1" applyAlignment="1">
      <alignment horizontal="center" vertical="center"/>
    </xf>
    <xf numFmtId="0" fontId="36" fillId="15" borderId="16" xfId="1" applyFont="1" applyFill="1" applyBorder="1" applyAlignment="1">
      <alignment horizontal="center" vertical="center"/>
    </xf>
    <xf numFmtId="0" fontId="34" fillId="15" borderId="50" xfId="0" applyFont="1" applyFill="1" applyBorder="1" applyAlignment="1">
      <alignment horizontal="center"/>
    </xf>
    <xf numFmtId="165" fontId="34" fillId="15" borderId="12" xfId="2" applyNumberFormat="1" applyFont="1" applyFill="1" applyBorder="1" applyAlignment="1" applyProtection="1">
      <alignment horizontal="center" vertical="center" shrinkToFit="1"/>
      <protection locked="0"/>
    </xf>
    <xf numFmtId="0" fontId="0" fillId="11" borderId="11" xfId="0" applyFill="1" applyBorder="1" applyAlignment="1">
      <alignment horizontal="center"/>
    </xf>
    <xf numFmtId="0" fontId="34" fillId="15" borderId="12" xfId="1" applyFont="1" applyFill="1" applyBorder="1" applyAlignment="1">
      <alignment horizontal="center" vertical="center"/>
    </xf>
    <xf numFmtId="0" fontId="34" fillId="15" borderId="63" xfId="1" applyFont="1" applyFill="1" applyBorder="1" applyAlignment="1">
      <alignment horizontal="center" vertical="center"/>
    </xf>
    <xf numFmtId="0" fontId="34" fillId="15" borderId="42" xfId="1" applyFont="1" applyFill="1" applyBorder="1" applyAlignment="1">
      <alignment horizontal="center" vertical="center"/>
    </xf>
    <xf numFmtId="165" fontId="34" fillId="15" borderId="9" xfId="2" applyNumberFormat="1" applyFont="1" applyFill="1" applyBorder="1" applyAlignment="1" applyProtection="1">
      <alignment horizontal="center" vertical="center" shrinkToFit="1"/>
      <protection locked="0"/>
    </xf>
    <xf numFmtId="0" fontId="34" fillId="15" borderId="11" xfId="0" applyFont="1" applyFill="1" applyBorder="1" applyAlignment="1">
      <alignment horizontal="left"/>
    </xf>
    <xf numFmtId="0" fontId="54" fillId="0" borderId="11" xfId="2" applyFont="1" applyFill="1" applyBorder="1" applyAlignment="1">
      <alignment horizontal="center" vertical="center" shrinkToFit="1"/>
    </xf>
    <xf numFmtId="0" fontId="55" fillId="0" borderId="11" xfId="2" applyFont="1" applyFill="1" applyBorder="1" applyAlignment="1">
      <alignment horizontal="center" vertical="center" shrinkToFit="1"/>
    </xf>
    <xf numFmtId="0" fontId="8" fillId="15" borderId="16" xfId="1" applyFont="1" applyFill="1" applyBorder="1" applyAlignment="1">
      <alignment horizontal="center" vertical="center"/>
    </xf>
    <xf numFmtId="0" fontId="56" fillId="0" borderId="11" xfId="2" applyFont="1" applyFill="1" applyBorder="1" applyAlignment="1">
      <alignment horizontal="center" vertical="center" shrinkToFit="1"/>
    </xf>
    <xf numFmtId="0" fontId="57" fillId="0" borderId="11" xfId="2" applyFont="1" applyFill="1" applyBorder="1" applyAlignment="1">
      <alignment horizontal="center" vertical="center" shrinkToFit="1"/>
    </xf>
    <xf numFmtId="0" fontId="58" fillId="0" borderId="11" xfId="2" applyFont="1" applyFill="1" applyBorder="1" applyAlignment="1">
      <alignment horizontal="center" vertical="center" shrinkToFit="1"/>
    </xf>
    <xf numFmtId="0" fontId="59" fillId="0" borderId="11" xfId="2" applyFont="1" applyFill="1" applyBorder="1" applyAlignment="1">
      <alignment horizontal="center" vertical="center" shrinkToFit="1"/>
    </xf>
    <xf numFmtId="3" fontId="33" fillId="0" borderId="11" xfId="0" applyNumberFormat="1" applyFon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0" fontId="8" fillId="0" borderId="43" xfId="1" applyFont="1" applyFill="1" applyBorder="1" applyAlignment="1">
      <alignment horizontal="center" vertical="center"/>
    </xf>
    <xf numFmtId="165" fontId="6" fillId="0" borderId="13" xfId="2" applyNumberFormat="1" applyFont="1" applyFill="1" applyBorder="1" applyAlignment="1" applyProtection="1">
      <alignment horizontal="center" vertical="center" shrinkToFit="1"/>
      <protection locked="0"/>
    </xf>
    <xf numFmtId="0" fontId="44" fillId="0" borderId="65" xfId="1" applyFont="1" applyFill="1" applyBorder="1" applyAlignment="1">
      <alignment horizontal="center" vertical="center"/>
    </xf>
    <xf numFmtId="0" fontId="3" fillId="9" borderId="28" xfId="0" applyFont="1" applyFill="1" applyBorder="1" applyAlignment="1">
      <alignment horizontal="center"/>
    </xf>
    <xf numFmtId="0" fontId="3" fillId="9" borderId="29" xfId="0" applyFont="1" applyFill="1" applyBorder="1" applyAlignment="1">
      <alignment horizontal="center"/>
    </xf>
    <xf numFmtId="3" fontId="3" fillId="9" borderId="29" xfId="0" applyNumberFormat="1" applyFont="1" applyFill="1" applyBorder="1" applyAlignment="1">
      <alignment horizontal="center"/>
    </xf>
    <xf numFmtId="3" fontId="4" fillId="9" borderId="29" xfId="0" applyNumberFormat="1" applyFont="1" applyFill="1" applyBorder="1" applyAlignment="1">
      <alignment horizontal="center"/>
    </xf>
    <xf numFmtId="0" fontId="3" fillId="9" borderId="24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left" vertical="center"/>
    </xf>
    <xf numFmtId="0" fontId="3" fillId="9" borderId="29" xfId="0" applyFont="1" applyFill="1" applyBorder="1" applyAlignment="1">
      <alignment horizontal="left" vertical="center"/>
    </xf>
    <xf numFmtId="0" fontId="3" fillId="9" borderId="45" xfId="0" applyFont="1" applyFill="1" applyBorder="1" applyAlignment="1">
      <alignment horizontal="left" vertical="center"/>
    </xf>
    <xf numFmtId="0" fontId="3" fillId="9" borderId="24" xfId="0" applyFont="1" applyFill="1" applyBorder="1" applyAlignment="1">
      <alignment horizontal="left" vertical="center"/>
    </xf>
    <xf numFmtId="0" fontId="14" fillId="10" borderId="0" xfId="4" applyFont="1" applyFill="1" applyAlignment="1">
      <alignment horizontal="left"/>
    </xf>
    <xf numFmtId="0" fontId="14" fillId="7" borderId="0" xfId="4" applyFont="1" applyFill="1" applyAlignment="1">
      <alignment horizontal="left"/>
    </xf>
    <xf numFmtId="0" fontId="7" fillId="9" borderId="22" xfId="0" applyFont="1" applyFill="1" applyBorder="1" applyAlignment="1">
      <alignment horizontal="center" vertical="center" textRotation="90" wrapText="1"/>
    </xf>
    <xf numFmtId="0" fontId="7" fillId="9" borderId="19" xfId="0" applyFont="1" applyFill="1" applyBorder="1" applyAlignment="1">
      <alignment horizontal="center" vertical="center" textRotation="90" wrapText="1"/>
    </xf>
    <xf numFmtId="0" fontId="7" fillId="9" borderId="27" xfId="0" applyFont="1" applyFill="1" applyBorder="1" applyAlignment="1">
      <alignment horizontal="center" vertical="center" textRotation="90" wrapText="1"/>
    </xf>
    <xf numFmtId="0" fontId="0" fillId="18" borderId="22" xfId="0" applyFill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  <xf numFmtId="0" fontId="60" fillId="0" borderId="0" xfId="0" applyFont="1"/>
  </cellXfs>
  <cellStyles count="8">
    <cellStyle name="Hipervínculo" xfId="7" builtinId="8"/>
    <cellStyle name="Millares" xfId="5" builtinId="3"/>
    <cellStyle name="Normal" xfId="0" builtinId="0"/>
    <cellStyle name="Normal 2" xfId="4" xr:uid="{00000000-0005-0000-0000-000003000000}"/>
    <cellStyle name="Normal 3" xfId="3" xr:uid="{00000000-0005-0000-0000-000004000000}"/>
    <cellStyle name="Notas" xfId="2" builtinId="10"/>
    <cellStyle name="Porcentaje" xfId="6" builtinId="5"/>
    <cellStyle name="Salida" xfId="1" builtinId="21"/>
  </cellStyles>
  <dxfs count="177">
    <dxf>
      <alignment horizont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165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7"/>
          <bgColor theme="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7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7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\ _€_-;\-* #,##0\ _€_-;_-* &quot;-&quot;??\ _€_-;_-@_-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numFmt numFmtId="3" formatCode="#,##0"/>
      <alignment horizontal="right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\ _€_-;\-* #,##0\ _€_-;_-* &quot;-&quot;??\ _€_-;_-@_-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3" formatCode="#,##0"/>
      <alignment horizontal="right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alignment horizontal="right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\ _€_-;\-* #,##0\ _€_-;_-* &quot;-&quot;??\ _€_-;_-@_-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3" formatCode="#,##0"/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alignment horizont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165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7"/>
          <bgColor theme="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</dxf>
    <dxf>
      <font>
        <b/>
        <sz val="14"/>
        <color auto="1"/>
      </font>
      <numFmt numFmtId="165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  <protection locked="0" hidden="0"/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colors>
    <mruColors>
      <color rgb="FFFF66CC"/>
      <color rgb="FFFFFFFF"/>
      <color rgb="FFCC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123825</xdr:colOff>
          <xdr:row>0</xdr:row>
          <xdr:rowOff>66675</xdr:rowOff>
        </xdr:from>
        <xdr:to>
          <xdr:col>46</xdr:col>
          <xdr:colOff>390525</xdr:colOff>
          <xdr:row>1</xdr:row>
          <xdr:rowOff>133350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FACTURACION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FFGFHFH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ACTUAFACTURACION</a:t>
              </a:r>
            </a:p>
            <a:p>
              <a:pPr algn="ctr" rtl="0">
                <a:defRPr sz="1000"/>
              </a:pPr>
              <a:endParaRPr lang="es-E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476250</xdr:colOff>
          <xdr:row>0</xdr:row>
          <xdr:rowOff>28575</xdr:rowOff>
        </xdr:from>
        <xdr:to>
          <xdr:col>47</xdr:col>
          <xdr:colOff>828675</xdr:colOff>
          <xdr:row>1</xdr:row>
          <xdr:rowOff>152400</xdr:rowOff>
        </xdr:to>
        <xdr:sp macro="" textlink="">
          <xdr:nvSpPr>
            <xdr:cNvPr id="12400" name="Button 112" hidden="1">
              <a:extLst>
                <a:ext uri="{63B3BB69-23CF-44E3-9099-C40C66FF867C}">
                  <a14:compatExt spid="_x0000_s12400"/>
                </a:ext>
                <a:ext uri="{FF2B5EF4-FFF2-40B4-BE49-F238E27FC236}">
                  <a16:creationId xmlns:a16="http://schemas.microsoft.com/office/drawing/2014/main" id="{00000000-0008-0000-0000-00007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AUTOCONSUMO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114300</xdr:rowOff>
        </xdr:from>
        <xdr:to>
          <xdr:col>9</xdr:col>
          <xdr:colOff>666750</xdr:colOff>
          <xdr:row>6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5</xdr:row>
          <xdr:rowOff>133350</xdr:rowOff>
        </xdr:from>
        <xdr:to>
          <xdr:col>14</xdr:col>
          <xdr:colOff>466725</xdr:colOff>
          <xdr:row>9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FACTURACION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1</xdr:row>
          <xdr:rowOff>171450</xdr:rowOff>
        </xdr:from>
        <xdr:to>
          <xdr:col>8</xdr:col>
          <xdr:colOff>1114425</xdr:colOff>
          <xdr:row>7</xdr:row>
          <xdr:rowOff>161925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7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</xdr:row>
          <xdr:rowOff>152400</xdr:rowOff>
        </xdr:from>
        <xdr:to>
          <xdr:col>10</xdr:col>
          <xdr:colOff>542925</xdr:colOff>
          <xdr:row>6</xdr:row>
          <xdr:rowOff>95250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12</xdr:row>
      <xdr:rowOff>0</xdr:rowOff>
    </xdr:from>
    <xdr:to>
      <xdr:col>3</xdr:col>
      <xdr:colOff>571500</xdr:colOff>
      <xdr:row>12</xdr:row>
      <xdr:rowOff>7620</xdr:rowOff>
    </xdr:to>
    <xdr:pic>
      <xdr:nvPicPr>
        <xdr:cNvPr id="13" name="12 Imagen" descr="https://www.iberdrola.es/02sica/ngc/es/img/sp.gif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75960" y="3535680"/>
          <a:ext cx="5715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</xdr:row>
      <xdr:rowOff>0</xdr:rowOff>
    </xdr:from>
    <xdr:to>
      <xdr:col>4</xdr:col>
      <xdr:colOff>571500</xdr:colOff>
      <xdr:row>12</xdr:row>
      <xdr:rowOff>7620</xdr:rowOff>
    </xdr:to>
    <xdr:pic>
      <xdr:nvPicPr>
        <xdr:cNvPr id="14" name="13 Imagen" descr="https://www.iberdrola.es/02sica/ngc/es/img/sp.gif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8440" y="3535680"/>
          <a:ext cx="5715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571500</xdr:colOff>
      <xdr:row>12</xdr:row>
      <xdr:rowOff>7620</xdr:rowOff>
    </xdr:to>
    <xdr:pic>
      <xdr:nvPicPr>
        <xdr:cNvPr id="15" name="14 Imagen" descr="https://www.iberdrola.es/02sica/ngc/es/img/sp.gif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0920" y="3535680"/>
          <a:ext cx="5715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ww\contadoresse\database\CONSUMOS%20ELECTRICOS%20APV%202018%20definitivo%20corregido%20gandia.xlsm" TargetMode="External"/><Relationship Id="rId1" Type="http://schemas.openxmlformats.org/officeDocument/2006/relationships/externalLinkPath" Target="CONSUMOS%20ELECTRICOS%20APV%202018%20definitivo%20corregido%20gand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ecturas"/>
      <sheetName val="ContadoresVuelta"/>
      <sheetName val="Facturacion"/>
      <sheetName val="AuxAutoCon"/>
      <sheetName val="AutoConsumos"/>
      <sheetName val="Resumen"/>
      <sheetName val="Plantilla"/>
      <sheetName val="A Ozaeta"/>
      <sheetName val="Movimientos"/>
      <sheetName val="Verificar"/>
      <sheetName val="Contratos"/>
      <sheetName val="pruebas"/>
      <sheetName val="Plantilla Sagunto"/>
      <sheetName val="Plantilla Gandia"/>
      <sheetName val="concesion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Tabla7" displayName="Tabla7" ref="A2:AR548" totalsRowShown="0" headerRowDxfId="167" dataDxfId="166">
  <autoFilter ref="A2:AR548" xr:uid="{00000000-000C-0000-FFFF-FFFF00000000}">
    <filterColumn colId="0">
      <filters>
        <filter val="V"/>
        <filter val="VFIJ"/>
        <filter val="VREP"/>
        <filter val="VTOT"/>
      </filters>
    </filterColumn>
  </autoFilter>
  <sortState xmlns:xlrd2="http://schemas.microsoft.com/office/spreadsheetml/2017/richdata2" ref="A133:AR226">
    <sortCondition ref="D2:D545"/>
  </sortState>
  <tableColumns count="44">
    <tableColumn id="1" xr3:uid="{00000000-0010-0000-0000-000001000000}" name="ZONA" dataDxfId="165" dataCellStyle="Salida"/>
    <tableColumn id="2" xr3:uid="{00000000-0010-0000-0000-000002000000}" name="PETICIÓN" dataDxfId="164" dataCellStyle="Salida"/>
    <tableColumn id="3" xr3:uid="{00000000-0010-0000-0000-000003000000}" name="CONTADOR" dataDxfId="163" dataCellStyle="Notas"/>
    <tableColumn id="4" xr3:uid="{00000000-0010-0000-0000-000004000000}" name="CT" dataDxfId="162" dataCellStyle="Salida"/>
    <tableColumn id="5" xr3:uid="{00000000-0010-0000-0000-000005000000}" name="REF" dataDxfId="161" dataCellStyle="Salida"/>
    <tableColumn id="6" xr3:uid="{00000000-0010-0000-0000-000006000000}" name="ABONADO" dataDxfId="160"/>
    <tableColumn id="7" xr3:uid="{00000000-0010-0000-0000-000007000000}" name="UBICACIÓN" dataDxfId="159"/>
    <tableColumn id="8" xr3:uid="{00000000-0010-0000-0000-000008000000}" name="OBSERVACIONES" dataDxfId="158"/>
    <tableColumn id="9" xr3:uid="{00000000-0010-0000-0000-000009000000}" name="OBSERVACIONES FACTURACIÓN" dataDxfId="157"/>
    <tableColumn id="10" xr3:uid="{00000000-0010-0000-0000-00000A000000}" name="15/12/2021" dataDxfId="156"/>
    <tableColumn id="11" xr3:uid="{00000000-0010-0000-0000-00000B000000}" name="15/01/2022" dataDxfId="155"/>
    <tableColumn id="12" xr3:uid="{00000000-0010-0000-0000-00000C000000}" name="15/02/2022" dataDxfId="154"/>
    <tableColumn id="13" xr3:uid="{00000000-0010-0000-0000-00000D000000}" name="15/03/2022" dataDxfId="153"/>
    <tableColumn id="14" xr3:uid="{00000000-0010-0000-0000-00000E000000}" name="15/04/2022" dataDxfId="152"/>
    <tableColumn id="15" xr3:uid="{00000000-0010-0000-0000-00000F000000}" name="15/05/2022" dataDxfId="151"/>
    <tableColumn id="16" xr3:uid="{00000000-0010-0000-0000-000010000000}" name="15/06/2022" dataDxfId="150"/>
    <tableColumn id="17" xr3:uid="{00000000-0010-0000-0000-000011000000}" name="15/07/2022" dataDxfId="149"/>
    <tableColumn id="18" xr3:uid="{00000000-0010-0000-0000-000012000000}" name="15/08/2022" dataDxfId="148"/>
    <tableColumn id="19" xr3:uid="{00000000-0010-0000-0000-000013000000}" name="15/09/2022" dataDxfId="147"/>
    <tableColumn id="20" xr3:uid="{00000000-0010-0000-0000-000014000000}" name="15/10/2022" dataDxfId="146"/>
    <tableColumn id="21" xr3:uid="{00000000-0010-0000-0000-000015000000}" name="15/11/2022" dataDxfId="145"/>
    <tableColumn id="22" xr3:uid="{00000000-0010-0000-0000-000016000000}" name="15/12/2022" dataDxfId="144"/>
    <tableColumn id="23" xr3:uid="{00000000-0010-0000-0000-000017000000}" name="15/01/2023" dataDxfId="143"/>
    <tableColumn id="24" xr3:uid="{00000000-0010-0000-0000-000018000000}" name="Columna1" dataDxfId="142"/>
    <tableColumn id="25" xr3:uid="{00000000-0010-0000-0000-000019000000}" name="ENE" dataDxfId="141">
      <calculatedColumnFormula>IF(OR(ISBLANK(K3),ISBLANK(J3)),"",IF(AND(K3&gt;=J3,K3-J3&lt;=K3),(K3-J3)*$AK3,"!!!!"))</calculatedColumnFormula>
    </tableColumn>
    <tableColumn id="26" xr3:uid="{00000000-0010-0000-0000-00001A000000}" name="FEB" dataDxfId="140">
      <calculatedColumnFormula>IF(OR(ISBLANK(L3),ISBLANK(K3)),"",IF(AND(L3&gt;=K3,L3-K3&lt;=L3),(L3-K3)*$AK3,"!!!!"))</calculatedColumnFormula>
    </tableColumn>
    <tableColumn id="27" xr3:uid="{00000000-0010-0000-0000-00001B000000}" name="MAR" dataDxfId="139">
      <calculatedColumnFormula>IF(OR(ISBLANK(#REF!),ISBLANK(L3)),"",IF(AND(#REF!&gt;=L3,#REF!-L3&lt;=#REF!),(#REF!-L3)*$AK3,"!!!!"))</calculatedColumnFormula>
    </tableColumn>
    <tableColumn id="28" xr3:uid="{00000000-0010-0000-0000-00001C000000}" name="ABR" dataDxfId="138">
      <calculatedColumnFormula>IF(OR(ISBLANK(N3),ISBLANK(#REF!)),"",IF(AND(N3&gt;=#REF!,N3-#REF!&lt;=N3),(N3-#REF!)*$AK3,"!!!!"))</calculatedColumnFormula>
    </tableColumn>
    <tableColumn id="29" xr3:uid="{00000000-0010-0000-0000-00001D000000}" name="MAY" dataDxfId="137">
      <calculatedColumnFormula>IF(OR(ISBLANK(O3),ISBLANK(N3)),"",IF(AND(O3&gt;=N3,O3-N3&lt;=O3),(O3-N3)*$AK3,"!!!!"))</calculatedColumnFormula>
    </tableColumn>
    <tableColumn id="30" xr3:uid="{00000000-0010-0000-0000-00001E000000}" name="JUN" dataDxfId="136">
      <calculatedColumnFormula>IF(OR(ISBLANK(P3),ISBLANK(O3)),"",IF(AND(P3&gt;=O3,P3-O3&lt;=P3),(P3-O3)*$AK3,"!!!!"))</calculatedColumnFormula>
    </tableColumn>
    <tableColumn id="31" xr3:uid="{00000000-0010-0000-0000-00001F000000}" name="JUL" dataDxfId="135">
      <calculatedColumnFormula>IF(OR(ISBLANK(Q3),ISBLANK(P3)),"",IF(AND(Q3&gt;=P3,Q3-P3&lt;=Q3),(Q3-P3)*$AK3,"!!!!"))</calculatedColumnFormula>
    </tableColumn>
    <tableColumn id="32" xr3:uid="{00000000-0010-0000-0000-000020000000}" name="AGO" dataDxfId="134">
      <calculatedColumnFormula>IF(OR(ISBLANK(R3),ISBLANK(Q3)),"",IF(AND(R3&gt;=Q3,R3-Q3&lt;=R3),(R3-Q3)*$AK3,"!!!!"))</calculatedColumnFormula>
    </tableColumn>
    <tableColumn id="33" xr3:uid="{00000000-0010-0000-0000-000021000000}" name="SEP" dataDxfId="133">
      <calculatedColumnFormula>IF(OR(ISBLANK(S3),ISBLANK(R3)),"",IF(AND(S3&gt;=R3,S3-R3&lt;=S3),(S3-R3)*$AK3,"!!!!"))</calculatedColumnFormula>
    </tableColumn>
    <tableColumn id="34" xr3:uid="{00000000-0010-0000-0000-000022000000}" name="OCT" dataDxfId="132">
      <calculatedColumnFormula>IF(OR(ISBLANK(T3),ISBLANK(S3)),"",IF(AND(T3&gt;=S3,T3-S3&lt;=T3),(T3-S3)*$AK3,"!!!!"))</calculatedColumnFormula>
    </tableColumn>
    <tableColumn id="35" xr3:uid="{00000000-0010-0000-0000-000023000000}" name="NOV" dataDxfId="131">
      <calculatedColumnFormula>IF(OR(ISBLANK(U3),ISBLANK(T3)),"",IF(AND(U3&gt;=T3,U3-T3&lt;=U3),(U3-T3)*$AK3,"!!!!"))</calculatedColumnFormula>
    </tableColumn>
    <tableColumn id="36" xr3:uid="{00000000-0010-0000-0000-000024000000}" name="DIC" dataDxfId="130">
      <calculatedColumnFormula>IF(OR(ISBLANK(V3),ISBLANK(U3)),"",IF(AND(V3&gt;=U3,V3-U3&lt;=V3),(V3-U3)*$AK3,"!!!!"))</calculatedColumnFormula>
    </tableColumn>
    <tableColumn id="37" xr3:uid="{00000000-0010-0000-0000-000025000000}" name="RT" dataDxfId="129"/>
    <tableColumn id="40" xr3:uid="{00000000-0010-0000-0000-000028000000}" name="PenLect" dataDxfId="128">
      <calculatedColumnFormula>IF(DAY(TODAY())&lt;16,INDEX(J3:X3,1,MONTH(TODAY())-1),INDEX(J3:X3,1,MONTH(TODAY())))</calculatedColumnFormula>
    </tableColumn>
    <tableColumn id="39" xr3:uid="{00000000-0010-0000-0000-000027000000}" name="UltLec" dataDxfId="127">
      <calculatedColumnFormula>IF(DAY(TODAY())&lt;16,INDEX(J3:X3,1,MONTH(TODAY())),INDEX(J3:X3,1,MONTH(TODAY())+1))</calculatedColumnFormula>
    </tableColumn>
    <tableColumn id="41" xr3:uid="{00000000-0010-0000-0000-000029000000}" name="UltConsumo" dataDxfId="126">
      <calculatedColumnFormula>IF(AND(Tabla7[[#This Row],[UltLec]]&lt;&gt;0,Tabla7[[#This Row],[PenLect]]&lt;&gt;0),(AM3-AL3)*Tabla7[[#This Row],[RT]],"N/A")</calculatedColumnFormula>
    </tableColumn>
    <tableColumn id="44" xr3:uid="{00000000-0010-0000-0000-00002C000000}" name="PLANT" dataDxfId="125" dataCellStyle="Salida"/>
    <tableColumn id="43" xr3:uid="{00000000-0010-0000-0000-00002B000000}" name="TELE" dataDxfId="124" dataCellStyle="Salida"/>
    <tableColumn id="42" xr3:uid="{00000000-0010-0000-0000-00002A000000}" name="TIPO" dataDxfId="123" dataCellStyle="Salida"/>
    <tableColumn id="38" xr3:uid="{00000000-0010-0000-0000-000026000000}" name="CHECK" dataDxfId="122">
      <calculatedColumnFormula>COUNTIF(Y3:AJ3,"!!!!")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B2:AI186" totalsRowShown="0" headerRowDxfId="108" dataDxfId="107" tableBorderDxfId="106">
  <autoFilter ref="B2:AI186" xr:uid="{00000000-0009-0000-0100-000001000000}">
    <filterColumn colId="2">
      <filters>
        <filter val="150"/>
      </filters>
    </filterColumn>
  </autoFilter>
  <tableColumns count="34">
    <tableColumn id="1" xr3:uid="{00000000-0010-0000-0100-000001000000}" name="CONTADOR" dataDxfId="105" dataCellStyle="Notas"/>
    <tableColumn id="2" xr3:uid="{00000000-0010-0000-0100-000002000000}" name="CT" dataDxfId="104" dataCellStyle="Notas"/>
    <tableColumn id="3" xr3:uid="{00000000-0010-0000-0100-000003000000}" name="REF" dataDxfId="103" dataCellStyle="Notas"/>
    <tableColumn id="4" xr3:uid="{00000000-0010-0000-0100-000004000000}" name="ABONADO" dataDxfId="102" dataCellStyle="Notas"/>
    <tableColumn id="5" xr3:uid="{00000000-0010-0000-0100-000005000000}" name="UBICACIÓN" dataDxfId="101" dataCellStyle="Notas"/>
    <tableColumn id="6" xr3:uid="{00000000-0010-0000-0100-000006000000}" name="OBSERVACIONES" dataDxfId="100" dataCellStyle="Notas"/>
    <tableColumn id="7" xr3:uid="{00000000-0010-0000-0100-000007000000}" name="OBSERVACIONES FACTURACIÓN" dataDxfId="99" dataCellStyle="Notas"/>
    <tableColumn id="8" xr3:uid="{00000000-0010-0000-0100-000008000000}" name="15/12/2021" dataDxfId="98" dataCellStyle="Notas"/>
    <tableColumn id="9" xr3:uid="{00000000-0010-0000-0100-000009000000}" name="15/01/2022" dataDxfId="97" dataCellStyle="Notas"/>
    <tableColumn id="10" xr3:uid="{00000000-0010-0000-0100-00000A000000}" name="15/02/2022" dataDxfId="96" dataCellStyle="Notas"/>
    <tableColumn id="11" xr3:uid="{00000000-0010-0000-0100-00000B000000}" name="15/03/2022" dataDxfId="95" dataCellStyle="Notas"/>
    <tableColumn id="12" xr3:uid="{00000000-0010-0000-0100-00000C000000}" name="15/04/2022" dataDxfId="94" dataCellStyle="Notas"/>
    <tableColumn id="13" xr3:uid="{00000000-0010-0000-0100-00000D000000}" name="15/05/2022" dataDxfId="93" dataCellStyle="Notas"/>
    <tableColumn id="14" xr3:uid="{00000000-0010-0000-0100-00000E000000}" name="15/06/2022" dataDxfId="92" dataCellStyle="Notas"/>
    <tableColumn id="15" xr3:uid="{00000000-0010-0000-0100-00000F000000}" name="15/07/2022" dataDxfId="91" dataCellStyle="Notas"/>
    <tableColumn id="16" xr3:uid="{00000000-0010-0000-0100-000010000000}" name="15/08/2022" dataDxfId="90" dataCellStyle="Notas"/>
    <tableColumn id="17" xr3:uid="{00000000-0010-0000-0100-000011000000}" name="15/09/2022" dataDxfId="89"/>
    <tableColumn id="18" xr3:uid="{00000000-0010-0000-0100-000012000000}" name="15/10/2022" dataDxfId="88"/>
    <tableColumn id="19" xr3:uid="{00000000-0010-0000-0100-000013000000}" name="15/11/2022" dataDxfId="87"/>
    <tableColumn id="20" xr3:uid="{00000000-0010-0000-0100-000014000000}" name="15/12/2022" dataDxfId="86"/>
    <tableColumn id="21" xr3:uid="{00000000-0010-0000-0100-000015000000}" name="15/01/2023" dataDxfId="85"/>
    <tableColumn id="23" xr3:uid="{00000000-0010-0000-0100-000017000000}" name="Columna1" dataDxfId="84"/>
    <tableColumn id="24" xr3:uid="{00000000-0010-0000-0100-000018000000}" name="ENE" dataDxfId="83"/>
    <tableColumn id="25" xr3:uid="{00000000-0010-0000-0100-000019000000}" name="FEB" dataDxfId="82"/>
    <tableColumn id="26" xr3:uid="{00000000-0010-0000-0100-00001A000000}" name="MAR" dataDxfId="81"/>
    <tableColumn id="27" xr3:uid="{00000000-0010-0000-0100-00001B000000}" name="ABR" dataDxfId="80"/>
    <tableColumn id="28" xr3:uid="{00000000-0010-0000-0100-00001C000000}" name="MAY" dataDxfId="79"/>
    <tableColumn id="29" xr3:uid="{00000000-0010-0000-0100-00001D000000}" name="JUN" dataDxfId="78"/>
    <tableColumn id="30" xr3:uid="{00000000-0010-0000-0100-00001E000000}" name="JUL" dataDxfId="77"/>
    <tableColumn id="31" xr3:uid="{00000000-0010-0000-0100-00001F000000}" name="AGO" dataDxfId="76"/>
    <tableColumn id="32" xr3:uid="{00000000-0010-0000-0100-000020000000}" name="SEP" dataDxfId="75"/>
    <tableColumn id="33" xr3:uid="{00000000-0010-0000-0100-000021000000}" name="OCT" dataDxfId="74"/>
    <tableColumn id="34" xr3:uid="{00000000-0010-0000-0100-000022000000}" name="NOV" dataDxfId="73"/>
    <tableColumn id="22" xr3:uid="{00000000-0010-0000-0100-000016000000}" name="DIC" dataDxfId="7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5" displayName="Tabla5" ref="A1:G301" totalsRowShown="0" headerRowDxfId="64" dataDxfId="62" headerRowBorderDxfId="63" tableBorderDxfId="61" totalsRowBorderDxfId="60">
  <autoFilter ref="A1:G301" xr:uid="{00000000-000C-0000-FFFF-FFFF02000000}"/>
  <tableColumns count="7">
    <tableColumn id="1" xr3:uid="{00000000-0010-0000-0200-000001000000}" name="CT" dataDxfId="59" dataCellStyle="Salida"/>
    <tableColumn id="2" xr3:uid="{00000000-0010-0000-0200-000002000000}" name="CONTADOR" dataDxfId="58" dataCellStyle="Notas"/>
    <tableColumn id="3" xr3:uid="{00000000-0010-0000-0200-000003000000}" name="REF" dataDxfId="57" dataCellStyle="Salida"/>
    <tableColumn id="4" xr3:uid="{00000000-0010-0000-0200-000004000000}" name="15/12/2021" dataDxfId="56"/>
    <tableColumn id="5" xr3:uid="{00000000-0010-0000-0200-000005000000}" name="15/01/2022" dataDxfId="55"/>
    <tableColumn id="6" xr3:uid="{00000000-0010-0000-0200-000006000000}" name="ABONADO" dataDxfId="54"/>
    <tableColumn id="7" xr3:uid="{00000000-0010-0000-0200-000007000000}" name="UBICACIÓN" dataDxfId="53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a2" displayName="Tabla2" ref="A1:H339" totalsRowShown="0" headerRowDxfId="51" headerRowBorderDxfId="50" tableBorderDxfId="49">
  <autoFilter ref="A1:H339" xr:uid="{00000000-0009-0000-0100-000002000000}"/>
  <sortState xmlns:xlrd2="http://schemas.microsoft.com/office/spreadsheetml/2017/richdata2" ref="A2:H339">
    <sortCondition ref="F1:F339"/>
  </sortState>
  <tableColumns count="8">
    <tableColumn id="1" xr3:uid="{00000000-0010-0000-0300-000001000000}" name="CONTADOR" dataDxfId="48" totalsRowDxfId="47"/>
    <tableColumn id="8" xr3:uid="{00000000-0010-0000-0300-000008000000}" name="CT" dataDxfId="46" totalsRowDxfId="45"/>
    <tableColumn id="2" xr3:uid="{00000000-0010-0000-0300-000002000000}" name="ABONADO" dataDxfId="44" totalsRowDxfId="43"/>
    <tableColumn id="3" xr3:uid="{00000000-0010-0000-0300-000003000000}" name="UBICACIÓN" dataDxfId="42" totalsRowDxfId="41"/>
    <tableColumn id="4" xr3:uid="{00000000-0010-0000-0300-000004000000}" name="PenLect" dataDxfId="40" totalsRowDxfId="39"/>
    <tableColumn id="5" xr3:uid="{00000000-0010-0000-0300-000005000000}" name="REF" dataDxfId="38" totalsRowDxfId="37"/>
    <tableColumn id="6" xr3:uid="{00000000-0010-0000-0300-000006000000}" name="UltLec" dataDxfId="36" totalsRowDxfId="35"/>
    <tableColumn id="7" xr3:uid="{00000000-0010-0000-0300-000007000000}" name="UltConsumo" dataDxfId="34" totalsRowDxfId="33"/>
  </tableColumns>
  <tableStyleInfo name="TableStyleLight1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la8" displayName="Tabla8" ref="A1:G148" totalsRowShown="0" headerRowDxfId="32" dataDxfId="31" tableBorderDxfId="30">
  <sortState xmlns:xlrd2="http://schemas.microsoft.com/office/spreadsheetml/2017/richdata2" ref="A2:G148">
    <sortCondition ref="B1:B148"/>
  </sortState>
  <tableColumns count="7">
    <tableColumn id="1" xr3:uid="{00000000-0010-0000-0400-000001000000}" name="CONTADOR" dataDxfId="29"/>
    <tableColumn id="2" xr3:uid="{00000000-0010-0000-0400-000002000000}" name="CT" dataDxfId="28"/>
    <tableColumn id="3" xr3:uid="{00000000-0010-0000-0400-000003000000}" name="REF" dataDxfId="27"/>
    <tableColumn id="4" xr3:uid="{00000000-0010-0000-0400-000004000000}" name="15/12/2021" dataDxfId="26"/>
    <tableColumn id="5" xr3:uid="{00000000-0010-0000-0400-000005000000}" name="15/01/2022" dataDxfId="25"/>
    <tableColumn id="6" xr3:uid="{00000000-0010-0000-0400-000006000000}" name="ABONADO" dataDxfId="24"/>
    <tableColumn id="7" xr3:uid="{00000000-0010-0000-0400-000007000000}" name="UBICACIÓN" dataDxfId="23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57" displayName="Tabla57" ref="A1:G60" totalsRowShown="0" headerRowDxfId="19" dataDxfId="17" headerRowBorderDxfId="18" tableBorderDxfId="16" totalsRowBorderDxfId="15">
  <sortState xmlns:xlrd2="http://schemas.microsoft.com/office/spreadsheetml/2017/richdata2" ref="A2:G58">
    <sortCondition ref="A2:A58"/>
    <sortCondition ref="B2:B58"/>
  </sortState>
  <tableColumns count="7">
    <tableColumn id="1" xr3:uid="{00000000-0010-0000-0500-000001000000}" name="CT" dataDxfId="14" dataCellStyle="Salida"/>
    <tableColumn id="2" xr3:uid="{00000000-0010-0000-0500-000002000000}" name="CONTADOR" dataDxfId="13" dataCellStyle="Notas"/>
    <tableColumn id="3" xr3:uid="{00000000-0010-0000-0500-000003000000}" name="REF" dataDxfId="12" dataCellStyle="Salida"/>
    <tableColumn id="4" xr3:uid="{00000000-0010-0000-0500-000004000000}" name="UltLec" dataDxfId="11"/>
    <tableColumn id="5" xr3:uid="{00000000-0010-0000-0500-000005000000}" name="15/11/2021" dataDxfId="10"/>
    <tableColumn id="6" xr3:uid="{00000000-0010-0000-0500-000006000000}" name="ABONADO" dataDxfId="9"/>
    <tableColumn id="7" xr3:uid="{00000000-0010-0000-0500-000007000000}" name="UBICACIÓN" dataDxfId="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abla3" displayName="Tabla3" ref="A2:J37" totalsRowShown="0">
  <autoFilter ref="A2:J37" xr:uid="{00000000-0009-0000-0100-000003000000}"/>
  <tableColumns count="10">
    <tableColumn id="1" xr3:uid="{00000000-0010-0000-0600-000001000000}" name="FECHA" dataDxfId="7"/>
    <tableColumn id="2" xr3:uid="{00000000-0010-0000-0600-000002000000}" name="MOVIMIENTO" dataDxfId="6"/>
    <tableColumn id="3" xr3:uid="{00000000-0010-0000-0600-000003000000}" name="CONTADOR" dataDxfId="5"/>
    <tableColumn id="4" xr3:uid="{00000000-0010-0000-0600-000004000000}" name="CT" dataDxfId="4"/>
    <tableColumn id="5" xr3:uid="{00000000-0010-0000-0600-000005000000}" name="REF" dataDxfId="3"/>
    <tableColumn id="6" xr3:uid="{00000000-0010-0000-0600-000006000000}" name="ABONADO" dataDxfId="2"/>
    <tableColumn id="7" xr3:uid="{00000000-0010-0000-0600-000007000000}" name="UBICACION" dataDxfId="1"/>
    <tableColumn id="8" xr3:uid="{00000000-0010-0000-0600-000008000000}" name="ACTUACION" dataDxfId="0"/>
    <tableColumn id="9" xr3:uid="{00000000-0010-0000-0600-000009000000}" name="Columna1"/>
    <tableColumn id="10" xr3:uid="{00000000-0010-0000-0600-00000A000000}" name="Columna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howDetalle('0265898031','ELE',%20'05400101');" TargetMode="External"/><Relationship Id="rId3" Type="http://schemas.openxmlformats.org/officeDocument/2006/relationships/hyperlink" Target="javascript:showDetalle('0383107842','ELE',%20'05400101');" TargetMode="External"/><Relationship Id="rId7" Type="http://schemas.openxmlformats.org/officeDocument/2006/relationships/hyperlink" Target="javascript:showDetalle('0265897786','ELE',%20'05400101');" TargetMode="External"/><Relationship Id="rId2" Type="http://schemas.openxmlformats.org/officeDocument/2006/relationships/hyperlink" Target="javascript:showDetalle('0383127592','ELE',%20'05400101');" TargetMode="External"/><Relationship Id="rId1" Type="http://schemas.openxmlformats.org/officeDocument/2006/relationships/hyperlink" Target="javascript:showDetalle('0393263060','ELE',%20'05400101');" TargetMode="External"/><Relationship Id="rId6" Type="http://schemas.openxmlformats.org/officeDocument/2006/relationships/hyperlink" Target="javascript:showDetalle('0265897907','ELE',%20'05400101');" TargetMode="External"/><Relationship Id="rId5" Type="http://schemas.openxmlformats.org/officeDocument/2006/relationships/hyperlink" Target="javascript:showDetalle('0273154450','ELE',%20'05400101');" TargetMode="External"/><Relationship Id="rId4" Type="http://schemas.openxmlformats.org/officeDocument/2006/relationships/hyperlink" Target="javascript:showDetalle('0273154588','ELE',%20'05400101');" TargetMode="External"/><Relationship Id="rId9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  <pageSetUpPr fitToPage="1"/>
  </sheetPr>
  <dimension ref="A1:XFD746"/>
  <sheetViews>
    <sheetView tabSelected="1" zoomScaleNormal="100" workbookViewId="0">
      <pane xSplit="6" ySplit="1" topLeftCell="BT2" activePane="bottomRight" state="frozen"/>
      <selection pane="topRight" activeCell="G1" sqref="G1"/>
      <selection pane="bottomLeft" activeCell="A2" sqref="A2"/>
      <selection pane="bottomRight" activeCell="BX238" sqref="BX238"/>
    </sheetView>
  </sheetViews>
  <sheetFormatPr baseColWidth="10" defaultRowHeight="15" x14ac:dyDescent="0.25"/>
  <cols>
    <col min="1" max="2" width="14.85546875" customWidth="1"/>
    <col min="3" max="3" width="29.28515625" customWidth="1"/>
    <col min="4" max="4" width="14.42578125" bestFit="1" customWidth="1"/>
    <col min="5" max="5" width="8.7109375" bestFit="1" customWidth="1"/>
    <col min="6" max="6" width="36.42578125" customWidth="1"/>
    <col min="7" max="7" width="32" customWidth="1"/>
    <col min="8" max="8" width="98.42578125" hidden="1" customWidth="1"/>
    <col min="9" max="9" width="177.85546875" hidden="1" customWidth="1"/>
    <col min="10" max="10" width="15.28515625" bestFit="1" customWidth="1"/>
    <col min="11" max="12" width="15.28515625" style="226" bestFit="1" customWidth="1"/>
    <col min="13" max="14" width="15.28515625" style="260" bestFit="1" customWidth="1"/>
    <col min="15" max="15" width="15.28515625" bestFit="1" customWidth="1"/>
    <col min="16" max="16" width="15.28515625" style="226" bestFit="1" customWidth="1"/>
    <col min="17" max="17" width="15.28515625" style="433" bestFit="1" customWidth="1"/>
    <col min="18" max="19" width="15.28515625" style="226" bestFit="1" customWidth="1"/>
    <col min="20" max="20" width="15.28515625" style="260" bestFit="1" customWidth="1"/>
    <col min="21" max="22" width="15.28515625" style="226" bestFit="1" customWidth="1"/>
    <col min="23" max="23" width="15.28515625" bestFit="1" customWidth="1"/>
    <col min="24" max="24" width="14.42578125" hidden="1" customWidth="1"/>
    <col min="25" max="26" width="11.140625" hidden="1" customWidth="1"/>
    <col min="27" max="27" width="9.85546875" hidden="1" customWidth="1"/>
    <col min="28" max="28" width="9.140625" hidden="1" customWidth="1"/>
    <col min="29" max="29" width="9.85546875" hidden="1" customWidth="1"/>
    <col min="30" max="30" width="9.140625" style="226" hidden="1" customWidth="1"/>
    <col min="31" max="31" width="9.140625" hidden="1" customWidth="1"/>
    <col min="32" max="32" width="9.7109375" hidden="1" customWidth="1"/>
    <col min="33" max="33" width="9.140625" hidden="1" customWidth="1"/>
    <col min="34" max="34" width="9.140625" style="226" hidden="1" customWidth="1"/>
    <col min="35" max="35" width="9.7109375" hidden="1" customWidth="1"/>
    <col min="36" max="36" width="8.5703125" hidden="1" customWidth="1"/>
    <col min="37" max="37" width="8.42578125" hidden="1" customWidth="1"/>
    <col min="38" max="38" width="12.5703125" style="226" hidden="1" customWidth="1"/>
    <col min="39" max="39" width="11.140625" style="226" hidden="1" customWidth="1"/>
    <col min="40" max="40" width="16.5703125" style="226" hidden="1" customWidth="1"/>
    <col min="41" max="41" width="11.28515625" hidden="1" customWidth="1"/>
    <col min="42" max="42" width="9.42578125" hidden="1" customWidth="1"/>
    <col min="43" max="43" width="9.7109375" hidden="1" customWidth="1"/>
    <col min="44" max="44" width="11.28515625" hidden="1" customWidth="1"/>
    <col min="45" max="45" width="11.42578125" hidden="1" customWidth="1"/>
    <col min="46" max="46" width="12" hidden="1" customWidth="1"/>
    <col min="47" max="47" width="0" hidden="1" customWidth="1"/>
    <col min="48" max="48" width="13.5703125" hidden="1" customWidth="1"/>
    <col min="49" max="49" width="0" hidden="1" customWidth="1"/>
  </cols>
  <sheetData>
    <row r="1" spans="1:47" ht="21.75" customHeight="1" thickBot="1" x14ac:dyDescent="0.3">
      <c r="A1" s="521" t="s">
        <v>787</v>
      </c>
      <c r="B1" s="522"/>
      <c r="C1" s="522"/>
      <c r="D1" s="522"/>
      <c r="E1" s="522"/>
      <c r="F1" s="522"/>
      <c r="G1" s="522"/>
      <c r="H1" s="522"/>
      <c r="I1" s="525"/>
      <c r="J1" s="521" t="s">
        <v>679</v>
      </c>
      <c r="K1" s="523"/>
      <c r="L1" s="523"/>
      <c r="M1" s="523"/>
      <c r="N1" s="523"/>
      <c r="O1" s="522"/>
      <c r="P1" s="523"/>
      <c r="Q1" s="524"/>
      <c r="R1" s="523"/>
      <c r="S1" s="523"/>
      <c r="T1" s="523"/>
      <c r="U1" s="523"/>
      <c r="V1" s="523"/>
      <c r="W1" s="522"/>
      <c r="X1" s="525"/>
      <c r="Y1" s="521" t="s">
        <v>786</v>
      </c>
      <c r="Z1" s="522"/>
      <c r="AA1" s="522"/>
      <c r="AB1" s="522"/>
      <c r="AC1" s="522"/>
      <c r="AD1" s="523"/>
      <c r="AE1" s="522"/>
      <c r="AF1" s="522"/>
      <c r="AG1" s="522"/>
      <c r="AH1" s="523"/>
      <c r="AI1" s="522"/>
      <c r="AJ1" s="522"/>
      <c r="AK1" s="280"/>
      <c r="AL1" s="338"/>
      <c r="AM1" s="338" t="str">
        <f ca="1">CONCATENATE("15",RIGHT(TEXT(TODAY(),"dd/mm/aaaa"),8))</f>
        <v>15/06/2023</v>
      </c>
      <c r="AN1" s="338"/>
      <c r="AO1" s="236"/>
      <c r="AP1" s="236"/>
      <c r="AQ1" s="236"/>
      <c r="AR1" s="233">
        <f>SUM(AR3:AR548)</f>
        <v>3</v>
      </c>
    </row>
    <row r="2" spans="1:47" x14ac:dyDescent="0.25">
      <c r="A2" s="2" t="s">
        <v>672</v>
      </c>
      <c r="B2" s="2" t="s">
        <v>17</v>
      </c>
      <c r="C2" s="2" t="s">
        <v>18</v>
      </c>
      <c r="D2" s="2" t="s">
        <v>0</v>
      </c>
      <c r="E2" s="2" t="s">
        <v>671</v>
      </c>
      <c r="F2" s="2" t="s">
        <v>1</v>
      </c>
      <c r="G2" s="2" t="s">
        <v>2</v>
      </c>
      <c r="H2" s="2" t="s">
        <v>3</v>
      </c>
      <c r="I2" s="2" t="s">
        <v>4</v>
      </c>
      <c r="J2" s="229" t="s">
        <v>1527</v>
      </c>
      <c r="K2" s="229" t="s">
        <v>1528</v>
      </c>
      <c r="L2" s="229" t="s">
        <v>1702</v>
      </c>
      <c r="M2" s="229" t="s">
        <v>1703</v>
      </c>
      <c r="N2" s="229" t="s">
        <v>1704</v>
      </c>
      <c r="O2" s="229" t="s">
        <v>1705</v>
      </c>
      <c r="P2" s="229" t="s">
        <v>1706</v>
      </c>
      <c r="Q2" s="229" t="s">
        <v>1707</v>
      </c>
      <c r="R2" s="229" t="s">
        <v>1708</v>
      </c>
      <c r="S2" s="229" t="s">
        <v>1709</v>
      </c>
      <c r="T2" s="229" t="s">
        <v>1710</v>
      </c>
      <c r="U2" s="229" t="s">
        <v>1711</v>
      </c>
      <c r="V2" s="229" t="s">
        <v>1712</v>
      </c>
      <c r="W2" s="229" t="s">
        <v>1713</v>
      </c>
      <c r="X2" s="229" t="s">
        <v>711</v>
      </c>
      <c r="Y2" s="2" t="s">
        <v>463</v>
      </c>
      <c r="Z2" s="2" t="s">
        <v>464</v>
      </c>
      <c r="AA2" s="2" t="s">
        <v>465</v>
      </c>
      <c r="AB2" s="2" t="s">
        <v>466</v>
      </c>
      <c r="AC2" s="2" t="s">
        <v>467</v>
      </c>
      <c r="AD2" s="260" t="s">
        <v>468</v>
      </c>
      <c r="AE2" s="2" t="s">
        <v>469</v>
      </c>
      <c r="AF2" s="2" t="s">
        <v>470</v>
      </c>
      <c r="AG2" s="2" t="s">
        <v>471</v>
      </c>
      <c r="AH2" s="260" t="s">
        <v>472</v>
      </c>
      <c r="AI2" s="2" t="s">
        <v>473</v>
      </c>
      <c r="AJ2" s="2" t="s">
        <v>474</v>
      </c>
      <c r="AK2" s="281" t="s">
        <v>785</v>
      </c>
      <c r="AL2" s="260" t="s">
        <v>801</v>
      </c>
      <c r="AM2" s="260" t="s">
        <v>800</v>
      </c>
      <c r="AN2" s="260" t="s">
        <v>802</v>
      </c>
      <c r="AO2" s="2" t="s">
        <v>816</v>
      </c>
      <c r="AP2" s="2" t="s">
        <v>1073</v>
      </c>
      <c r="AQ2" s="2" t="s">
        <v>1072</v>
      </c>
      <c r="AR2" s="282" t="s">
        <v>691</v>
      </c>
    </row>
    <row r="3" spans="1:47" ht="18" hidden="1" customHeight="1" x14ac:dyDescent="0.25">
      <c r="A3" s="485" t="s">
        <v>996</v>
      </c>
      <c r="B3" s="273"/>
      <c r="C3" s="494">
        <v>79062</v>
      </c>
      <c r="D3" s="489" t="s">
        <v>997</v>
      </c>
      <c r="E3" s="274">
        <v>39836</v>
      </c>
      <c r="F3" s="275" t="s">
        <v>582</v>
      </c>
      <c r="G3" s="275" t="s">
        <v>583</v>
      </c>
      <c r="H3" s="275"/>
      <c r="I3" s="275" t="s">
        <v>995</v>
      </c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 t="str">
        <f t="shared" ref="Y3:Y46" si="0">IF(OR(ISBLANK(K3),ISBLANK(J3)),"",IF(AND(K3&gt;=J3,K3-J3&lt;=K3),(K3-J3)*$AK3,"!!!!"))</f>
        <v/>
      </c>
      <c r="Z3" s="275" t="str">
        <f t="shared" ref="Z3:Z46" si="1">IF(OR(ISBLANK(L3),ISBLANK(K3)),"",IF(AND(L3&gt;=K3,L3-K3&lt;=L3),(L3-K3)*$AK3,"!!!!"))</f>
        <v/>
      </c>
      <c r="AA3" s="275" t="str">
        <f t="shared" ref="AA3:AA46" si="2">IF(OR(ISBLANK(M3),ISBLANK(L3)),"",IF(AND(M3&gt;=L3,M3-L3&lt;=M3),(M3-L3)*$AK3,"!!!!"))</f>
        <v/>
      </c>
      <c r="AB3" s="275" t="str">
        <f t="shared" ref="AB3:AB46" si="3">IF(OR(ISBLANK(N3),ISBLANK(M3)),"",IF(AND(N3&gt;=M3,N3-M3&lt;=N3),(N3-M3)*$AK3,"!!!!"))</f>
        <v/>
      </c>
      <c r="AC3" s="275" t="str">
        <f t="shared" ref="AC3:AC46" si="4">IF(OR(ISBLANK(O3),ISBLANK(N3)),"",IF(AND(O3&gt;=N3,O3-N3&lt;=O3),(O3-N3)*$AK3,"!!!!"))</f>
        <v/>
      </c>
      <c r="AD3" s="275" t="str">
        <f t="shared" ref="AD3:AD46" si="5">IF(OR(ISBLANK(P3),ISBLANK(O3)),"",IF(AND(P3&gt;=O3,P3-O3&lt;=P3),(P3-O3)*$AK3,"!!!!"))</f>
        <v/>
      </c>
      <c r="AE3" s="275" t="str">
        <f t="shared" ref="AE3:AE46" si="6">IF(OR(ISBLANK(Q3),ISBLANK(P3)),"",IF(AND(Q3&gt;=P3,Q3-P3&lt;=Q3),(Q3-P3)*$AK3,"!!!!"))</f>
        <v/>
      </c>
      <c r="AF3" s="275" t="str">
        <f t="shared" ref="AF3:AF46" si="7">IF(OR(ISBLANK(R3),ISBLANK(Q3)),"",IF(AND(R3&gt;=Q3,R3-Q3&lt;=R3),(R3-Q3)*$AK3,"!!!!"))</f>
        <v/>
      </c>
      <c r="AG3" s="275" t="str">
        <f t="shared" ref="AG3:AG46" si="8">IF(OR(ISBLANK(S3),ISBLANK(R3)),"",IF(AND(S3&gt;=R3,S3-R3&lt;=S3),(S3-R3)*$AK3,"!!!!"))</f>
        <v/>
      </c>
      <c r="AH3" s="275" t="str">
        <f t="shared" ref="AH3:AH46" si="9">IF(OR(ISBLANK(T3),ISBLANK(S3)),"",IF(AND(T3&gt;=S3,T3-S3&lt;=T3),(T3-S3)*$AK3,"!!!!"))</f>
        <v/>
      </c>
      <c r="AI3" s="275" t="str">
        <f t="shared" ref="AI3:AI46" si="10">IF(OR(ISBLANK(U3),ISBLANK(T3)),"",IF(AND(U3&gt;=T3,U3-T3&lt;=U3),(U3-T3)*$AK3,"!!!!"))</f>
        <v/>
      </c>
      <c r="AJ3" s="275" t="str">
        <f t="shared" ref="AJ3:AJ46" si="11">IF(OR(ISBLANK(V3),ISBLANK(U3)),"",IF(AND(V3&gt;=U3,V3-U3&lt;=V3),(V3-U3)*$AK3,"!!!!"))</f>
        <v/>
      </c>
      <c r="AK3" s="275">
        <v>1</v>
      </c>
      <c r="AL3" s="277">
        <f t="shared" ref="AL3:AL66" ca="1" si="12">IF(DAY(TODAY())&lt;16,INDEX(J3:X3,1,MONTH(TODAY())-1),INDEX(J3:X3,1,MONTH(TODAY())))</f>
        <v>0</v>
      </c>
      <c r="AM3" s="277">
        <f t="shared" ref="AM3:AM66" ca="1" si="13">IF(DAY(TODAY())&lt;16,INDEX(J3:X3,1,MONTH(TODAY())),INDEX(J3:X3,1,MONTH(TODAY())+1))</f>
        <v>0</v>
      </c>
      <c r="AN3" s="277" t="str">
        <f ca="1">IF(AND(Tabla7[[#This Row],[UltLec]]&lt;&gt;0,Tabla7[[#This Row],[PenLect]]&lt;&gt;0),(AM3-AL3)*Tabla7[[#This Row],[RT]],"N/A")</f>
        <v>N/A</v>
      </c>
      <c r="AO3" s="393" t="s">
        <v>1160</v>
      </c>
      <c r="AP3" s="393" t="s">
        <v>1075</v>
      </c>
      <c r="AQ3" s="393" t="s">
        <v>1077</v>
      </c>
      <c r="AR3" s="275">
        <f t="shared" ref="AR3:AR66" si="14">COUNTIF(Y3:AJ3,"!!!!")</f>
        <v>0</v>
      </c>
      <c r="AT3" s="2" t="e">
        <f t="shared" ref="AT3:AT68" ca="1" si="15">IF(IF(DAY(TODAY())&gt;15,INDEX($Y3:$AJ3,1,MONTH(TODAY())-1),INDEX($Y3:$AJ3,1,MONTH(TODAY())-2))=0,"0",IF(DAY(TODAY())&gt;15,INDEX($Y3:$AJ3,1,MONTH(TODAY())),INDEX($Y3:$AJ3,1,MONTH(TODAY())-1))/IF(DAY(TODAY())&gt;15,INDEX($Y3:$AJ3,1,MONTH(TODAY())-1),INDEX($Y3:$AJ3,1,MONTH(TODAY())-2)))</f>
        <v>#VALUE!</v>
      </c>
    </row>
    <row r="4" spans="1:47" ht="18" hidden="1" customHeight="1" x14ac:dyDescent="0.25">
      <c r="A4" s="406" t="s">
        <v>1060</v>
      </c>
      <c r="B4" s="273" t="s">
        <v>980</v>
      </c>
      <c r="C4" s="367">
        <v>5356221</v>
      </c>
      <c r="D4" s="273" t="s">
        <v>990</v>
      </c>
      <c r="E4" s="274" t="s">
        <v>980</v>
      </c>
      <c r="F4" s="275" t="s">
        <v>985</v>
      </c>
      <c r="G4" s="275" t="s">
        <v>548</v>
      </c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 t="str">
        <f t="shared" si="0"/>
        <v/>
      </c>
      <c r="Z4" s="275" t="str">
        <f t="shared" si="1"/>
        <v/>
      </c>
      <c r="AA4" s="275" t="str">
        <f t="shared" si="2"/>
        <v/>
      </c>
      <c r="AB4" s="275" t="str">
        <f t="shared" si="3"/>
        <v/>
      </c>
      <c r="AC4" s="275" t="str">
        <f t="shared" si="4"/>
        <v/>
      </c>
      <c r="AD4" s="275" t="str">
        <f t="shared" si="5"/>
        <v/>
      </c>
      <c r="AE4" s="275" t="str">
        <f t="shared" si="6"/>
        <v/>
      </c>
      <c r="AF4" s="275" t="str">
        <f t="shared" si="7"/>
        <v/>
      </c>
      <c r="AG4" s="275" t="str">
        <f t="shared" si="8"/>
        <v/>
      </c>
      <c r="AH4" s="275" t="str">
        <f t="shared" si="9"/>
        <v/>
      </c>
      <c r="AI4" s="275" t="str">
        <f t="shared" si="10"/>
        <v/>
      </c>
      <c r="AJ4" s="275" t="str">
        <f t="shared" si="11"/>
        <v/>
      </c>
      <c r="AK4" s="275">
        <v>20</v>
      </c>
      <c r="AL4" s="277">
        <f t="shared" ca="1" si="12"/>
        <v>0</v>
      </c>
      <c r="AM4" s="277">
        <f t="shared" ca="1" si="13"/>
        <v>0</v>
      </c>
      <c r="AN4" s="277" t="str">
        <f ca="1">IF(AND(Tabla7[[#This Row],[UltLec]]&lt;&gt;0,Tabla7[[#This Row],[PenLect]]&lt;&gt;0),(AM4-AL4)*Tabla7[[#This Row],[RT]],"N/A")</f>
        <v>N/A</v>
      </c>
      <c r="AO4" s="393" t="s">
        <v>1160</v>
      </c>
      <c r="AP4" s="393" t="s">
        <v>1075</v>
      </c>
      <c r="AQ4" s="393" t="s">
        <v>1074</v>
      </c>
      <c r="AR4" s="275">
        <f t="shared" si="14"/>
        <v>0</v>
      </c>
      <c r="AT4" s="2" t="e">
        <f t="shared" ca="1" si="15"/>
        <v>#VALUE!</v>
      </c>
    </row>
    <row r="5" spans="1:47" ht="18" hidden="1" customHeight="1" x14ac:dyDescent="0.25">
      <c r="A5" s="406" t="s">
        <v>1060</v>
      </c>
      <c r="B5" s="273" t="s">
        <v>980</v>
      </c>
      <c r="C5" s="367">
        <v>10121</v>
      </c>
      <c r="D5" s="273" t="s">
        <v>989</v>
      </c>
      <c r="E5" s="274" t="s">
        <v>980</v>
      </c>
      <c r="F5" s="275" t="s">
        <v>986</v>
      </c>
      <c r="G5" s="275" t="s">
        <v>561</v>
      </c>
      <c r="H5" s="275" t="s">
        <v>561</v>
      </c>
      <c r="I5" s="275" t="s">
        <v>560</v>
      </c>
      <c r="J5" s="275"/>
      <c r="K5" s="275"/>
      <c r="L5" s="275"/>
      <c r="M5" s="275"/>
      <c r="N5" s="275"/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 t="str">
        <f t="shared" si="0"/>
        <v/>
      </c>
      <c r="Z5" s="275" t="str">
        <f t="shared" si="1"/>
        <v/>
      </c>
      <c r="AA5" s="275" t="str">
        <f t="shared" si="2"/>
        <v/>
      </c>
      <c r="AB5" s="275" t="str">
        <f t="shared" si="3"/>
        <v/>
      </c>
      <c r="AC5" s="275" t="str">
        <f t="shared" si="4"/>
        <v/>
      </c>
      <c r="AD5" s="275" t="str">
        <f t="shared" si="5"/>
        <v/>
      </c>
      <c r="AE5" s="275" t="str">
        <f t="shared" si="6"/>
        <v/>
      </c>
      <c r="AF5" s="275" t="str">
        <f t="shared" si="7"/>
        <v/>
      </c>
      <c r="AG5" s="275" t="str">
        <f t="shared" si="8"/>
        <v/>
      </c>
      <c r="AH5" s="275" t="str">
        <f t="shared" si="9"/>
        <v/>
      </c>
      <c r="AI5" s="275" t="str">
        <f t="shared" si="10"/>
        <v/>
      </c>
      <c r="AJ5" s="275" t="str">
        <f t="shared" si="11"/>
        <v/>
      </c>
      <c r="AK5" s="275">
        <v>1</v>
      </c>
      <c r="AL5" s="277">
        <f t="shared" ca="1" si="12"/>
        <v>0</v>
      </c>
      <c r="AM5" s="277">
        <f t="shared" ca="1" si="13"/>
        <v>0</v>
      </c>
      <c r="AN5" s="277" t="str">
        <f ca="1">IF(AND(Tabla7[[#This Row],[UltLec]]&lt;&gt;0,Tabla7[[#This Row],[PenLect]]&lt;&gt;0),(AM5-AL5)*Tabla7[[#This Row],[RT]],"N/A")</f>
        <v>N/A</v>
      </c>
      <c r="AO5" s="393" t="s">
        <v>1160</v>
      </c>
      <c r="AP5" s="393" t="s">
        <v>1075</v>
      </c>
      <c r="AQ5" s="393" t="s">
        <v>1074</v>
      </c>
      <c r="AR5" s="275">
        <f t="shared" si="14"/>
        <v>0</v>
      </c>
      <c r="AT5" s="2" t="e">
        <f t="shared" ca="1" si="15"/>
        <v>#VALUE!</v>
      </c>
    </row>
    <row r="6" spans="1:47" ht="18" hidden="1" customHeight="1" x14ac:dyDescent="0.25">
      <c r="A6" s="406" t="s">
        <v>1060</v>
      </c>
      <c r="B6" s="273" t="s">
        <v>980</v>
      </c>
      <c r="C6" s="444">
        <v>10122</v>
      </c>
      <c r="D6" s="273" t="s">
        <v>989</v>
      </c>
      <c r="E6" s="274" t="s">
        <v>980</v>
      </c>
      <c r="F6" s="275" t="s">
        <v>987</v>
      </c>
      <c r="G6" s="275" t="s">
        <v>559</v>
      </c>
      <c r="H6" s="275" t="s">
        <v>559</v>
      </c>
      <c r="I6" s="275" t="s">
        <v>560</v>
      </c>
      <c r="J6" s="275"/>
      <c r="K6" s="275"/>
      <c r="L6" s="275"/>
      <c r="M6" s="275"/>
      <c r="N6" s="275"/>
      <c r="O6" s="275"/>
      <c r="P6" s="275"/>
      <c r="Q6" s="275"/>
      <c r="R6" s="275"/>
      <c r="S6" s="275"/>
      <c r="T6" s="275"/>
      <c r="U6" s="275"/>
      <c r="V6" s="275"/>
      <c r="W6" s="275"/>
      <c r="X6" s="275"/>
      <c r="Y6" s="275" t="str">
        <f t="shared" si="0"/>
        <v/>
      </c>
      <c r="Z6" s="275" t="str">
        <f t="shared" si="1"/>
        <v/>
      </c>
      <c r="AA6" s="275" t="str">
        <f t="shared" si="2"/>
        <v/>
      </c>
      <c r="AB6" s="275" t="str">
        <f t="shared" si="3"/>
        <v/>
      </c>
      <c r="AC6" s="275" t="str">
        <f t="shared" si="4"/>
        <v/>
      </c>
      <c r="AD6" s="275" t="str">
        <f t="shared" si="5"/>
        <v/>
      </c>
      <c r="AE6" s="275" t="str">
        <f t="shared" si="6"/>
        <v/>
      </c>
      <c r="AF6" s="275" t="str">
        <f t="shared" si="7"/>
        <v/>
      </c>
      <c r="AG6" s="275" t="str">
        <f t="shared" si="8"/>
        <v/>
      </c>
      <c r="AH6" s="275" t="str">
        <f t="shared" si="9"/>
        <v/>
      </c>
      <c r="AI6" s="275" t="str">
        <f t="shared" si="10"/>
        <v/>
      </c>
      <c r="AJ6" s="275" t="str">
        <f t="shared" si="11"/>
        <v/>
      </c>
      <c r="AK6" s="275">
        <v>1</v>
      </c>
      <c r="AL6" s="277">
        <f t="shared" ca="1" si="12"/>
        <v>0</v>
      </c>
      <c r="AM6" s="277">
        <f t="shared" ca="1" si="13"/>
        <v>0</v>
      </c>
      <c r="AN6" s="277" t="str">
        <f ca="1">IF(AND(Tabla7[[#This Row],[UltLec]]&lt;&gt;0,Tabla7[[#This Row],[PenLect]]&lt;&gt;0),(AM6-AL6)*Tabla7[[#This Row],[RT]],"N/A")</f>
        <v>N/A</v>
      </c>
      <c r="AO6" s="393" t="s">
        <v>1160</v>
      </c>
      <c r="AP6" s="393" t="s">
        <v>1075</v>
      </c>
      <c r="AQ6" s="393" t="s">
        <v>1074</v>
      </c>
      <c r="AR6" s="275">
        <f t="shared" si="14"/>
        <v>0</v>
      </c>
      <c r="AT6" s="2" t="e">
        <f t="shared" ca="1" si="15"/>
        <v>#VALUE!</v>
      </c>
    </row>
    <row r="7" spans="1:47" ht="18" hidden="1" customHeight="1" x14ac:dyDescent="0.25">
      <c r="A7" s="405" t="s">
        <v>699</v>
      </c>
      <c r="B7" s="54"/>
      <c r="C7" s="239" t="s">
        <v>1483</v>
      </c>
      <c r="D7" s="239" t="s">
        <v>1486</v>
      </c>
      <c r="E7" s="232">
        <v>0</v>
      </c>
      <c r="F7" s="2" t="s">
        <v>376</v>
      </c>
      <c r="G7" s="2" t="s">
        <v>1636</v>
      </c>
      <c r="H7" s="2" t="s">
        <v>1485</v>
      </c>
      <c r="I7" s="2" t="s">
        <v>1484</v>
      </c>
      <c r="J7" s="260">
        <v>5355</v>
      </c>
      <c r="K7" s="260"/>
      <c r="L7" s="260"/>
      <c r="O7" s="260"/>
      <c r="P7" s="290"/>
      <c r="Q7" s="260"/>
      <c r="R7" s="260"/>
      <c r="S7" s="260"/>
      <c r="U7" s="260"/>
      <c r="V7" s="260"/>
      <c r="W7" s="260"/>
      <c r="X7" s="2"/>
      <c r="Y7" s="2" t="str">
        <f t="shared" si="0"/>
        <v/>
      </c>
      <c r="Z7" s="2" t="str">
        <f t="shared" si="1"/>
        <v/>
      </c>
      <c r="AA7" s="2" t="str">
        <f t="shared" si="2"/>
        <v/>
      </c>
      <c r="AB7" s="2" t="str">
        <f t="shared" si="3"/>
        <v/>
      </c>
      <c r="AC7" s="2" t="str">
        <f t="shared" si="4"/>
        <v/>
      </c>
      <c r="AD7" s="2" t="str">
        <f t="shared" si="5"/>
        <v/>
      </c>
      <c r="AE7" s="2" t="str">
        <f t="shared" si="6"/>
        <v/>
      </c>
      <c r="AF7" s="2" t="str">
        <f t="shared" si="7"/>
        <v/>
      </c>
      <c r="AG7" s="2" t="str">
        <f t="shared" si="8"/>
        <v/>
      </c>
      <c r="AH7" s="2" t="str">
        <f t="shared" si="9"/>
        <v/>
      </c>
      <c r="AI7" s="2" t="str">
        <f t="shared" si="10"/>
        <v/>
      </c>
      <c r="AJ7" s="2" t="str">
        <f t="shared" si="11"/>
        <v/>
      </c>
      <c r="AK7" s="2">
        <v>1</v>
      </c>
      <c r="AL7" s="260">
        <f t="shared" ca="1" si="12"/>
        <v>0</v>
      </c>
      <c r="AM7" s="260">
        <f t="shared" ca="1" si="13"/>
        <v>0</v>
      </c>
      <c r="AN7" s="260" t="str">
        <f ca="1">IF(AND(Tabla7[[#This Row],[UltLec]]&lt;&gt;0,Tabla7[[#This Row],[PenLect]]&lt;&gt;0),(AM7-AL7)*Tabla7[[#This Row],[RT]],"N/A")</f>
        <v>N/A</v>
      </c>
      <c r="AO7" s="380" t="s">
        <v>813</v>
      </c>
      <c r="AP7" s="380" t="s">
        <v>1075</v>
      </c>
      <c r="AQ7" s="380" t="s">
        <v>1074</v>
      </c>
      <c r="AR7" s="2">
        <f t="shared" si="14"/>
        <v>0</v>
      </c>
      <c r="AT7" s="2" t="e">
        <f t="shared" ca="1" si="15"/>
        <v>#VALUE!</v>
      </c>
      <c r="AU7" s="234"/>
    </row>
    <row r="8" spans="1:47" ht="18" hidden="1" customHeight="1" x14ac:dyDescent="0.25">
      <c r="A8" s="405" t="s">
        <v>701</v>
      </c>
      <c r="B8" s="54"/>
      <c r="C8" s="410">
        <v>78226859</v>
      </c>
      <c r="D8" s="54" t="s">
        <v>579</v>
      </c>
      <c r="E8" s="232">
        <v>0</v>
      </c>
      <c r="F8" s="2" t="s">
        <v>21</v>
      </c>
      <c r="G8" s="2" t="s">
        <v>580</v>
      </c>
      <c r="H8" s="2" t="s">
        <v>1253</v>
      </c>
      <c r="I8" s="2"/>
      <c r="J8" s="260">
        <v>21619994</v>
      </c>
      <c r="K8" s="260"/>
      <c r="L8" s="260"/>
      <c r="O8" s="260"/>
      <c r="P8" s="260"/>
      <c r="Q8" s="260"/>
      <c r="R8" s="260"/>
      <c r="S8" s="260"/>
      <c r="U8" s="260"/>
      <c r="V8" s="260"/>
      <c r="W8" s="2"/>
      <c r="X8" s="2"/>
      <c r="Y8" s="2" t="str">
        <f t="shared" si="0"/>
        <v/>
      </c>
      <c r="Z8" s="2" t="str">
        <f t="shared" si="1"/>
        <v/>
      </c>
      <c r="AA8" s="2" t="str">
        <f t="shared" si="2"/>
        <v/>
      </c>
      <c r="AB8" s="2" t="str">
        <f t="shared" si="3"/>
        <v/>
      </c>
      <c r="AC8" s="2" t="str">
        <f t="shared" si="4"/>
        <v/>
      </c>
      <c r="AD8" s="2" t="str">
        <f t="shared" si="5"/>
        <v/>
      </c>
      <c r="AE8" s="2" t="str">
        <f t="shared" si="6"/>
        <v/>
      </c>
      <c r="AF8" s="2" t="str">
        <f t="shared" si="7"/>
        <v/>
      </c>
      <c r="AG8" s="2" t="str">
        <f t="shared" si="8"/>
        <v/>
      </c>
      <c r="AH8" s="2" t="str">
        <f t="shared" si="9"/>
        <v/>
      </c>
      <c r="AI8" s="2" t="str">
        <f t="shared" si="10"/>
        <v/>
      </c>
      <c r="AJ8" s="2" t="str">
        <f t="shared" si="11"/>
        <v/>
      </c>
      <c r="AK8" s="2">
        <v>1</v>
      </c>
      <c r="AL8" s="260">
        <f t="shared" ca="1" si="12"/>
        <v>0</v>
      </c>
      <c r="AM8" s="260">
        <f t="shared" ca="1" si="13"/>
        <v>0</v>
      </c>
      <c r="AN8" s="260" t="str">
        <f ca="1">IF(AND(Tabla7[[#This Row],[UltLec]]&lt;&gt;0,Tabla7[[#This Row],[PenLect]]&lt;&gt;0),(AM8-AL8)*Tabla7[[#This Row],[RT]],"N/A")</f>
        <v>N/A</v>
      </c>
      <c r="AO8" s="380" t="s">
        <v>852</v>
      </c>
      <c r="AP8" s="380" t="s">
        <v>1075</v>
      </c>
      <c r="AQ8" s="380" t="s">
        <v>1074</v>
      </c>
      <c r="AR8" s="2">
        <f t="shared" si="14"/>
        <v>0</v>
      </c>
      <c r="AT8" s="2" t="e">
        <f t="shared" ca="1" si="15"/>
        <v>#VALUE!</v>
      </c>
      <c r="AU8" s="234"/>
    </row>
    <row r="9" spans="1:47" ht="18.75" hidden="1" customHeight="1" x14ac:dyDescent="0.25">
      <c r="A9" s="405" t="s">
        <v>578</v>
      </c>
      <c r="B9" s="54"/>
      <c r="C9" s="368">
        <v>79007</v>
      </c>
      <c r="D9" s="54" t="s">
        <v>581</v>
      </c>
      <c r="E9" s="232">
        <v>3</v>
      </c>
      <c r="F9" s="2" t="s">
        <v>1252</v>
      </c>
      <c r="G9" s="2" t="s">
        <v>583</v>
      </c>
      <c r="H9" s="2" t="s">
        <v>584</v>
      </c>
      <c r="I9" s="2"/>
      <c r="J9" s="260">
        <v>98539.7</v>
      </c>
      <c r="K9" s="260">
        <v>99107</v>
      </c>
      <c r="L9" s="260"/>
      <c r="O9" s="260"/>
      <c r="P9" s="308"/>
      <c r="Q9" s="260"/>
      <c r="R9" s="260"/>
      <c r="S9" s="260"/>
      <c r="U9" s="260"/>
      <c r="V9" s="260"/>
      <c r="W9" s="2"/>
      <c r="X9" s="2"/>
      <c r="Y9" s="2">
        <f t="shared" si="0"/>
        <v>567.30000000000291</v>
      </c>
      <c r="Z9" s="2" t="str">
        <f t="shared" si="1"/>
        <v/>
      </c>
      <c r="AA9" s="2" t="str">
        <f t="shared" si="2"/>
        <v/>
      </c>
      <c r="AB9" s="2" t="str">
        <f t="shared" si="3"/>
        <v/>
      </c>
      <c r="AC9" s="2" t="str">
        <f t="shared" si="4"/>
        <v/>
      </c>
      <c r="AD9" s="2" t="str">
        <f t="shared" si="5"/>
        <v/>
      </c>
      <c r="AE9" s="2" t="str">
        <f t="shared" si="6"/>
        <v/>
      </c>
      <c r="AF9" s="2" t="str">
        <f t="shared" si="7"/>
        <v/>
      </c>
      <c r="AG9" s="2" t="str">
        <f t="shared" si="8"/>
        <v/>
      </c>
      <c r="AH9" s="2" t="str">
        <f t="shared" si="9"/>
        <v/>
      </c>
      <c r="AI9" s="2" t="str">
        <f t="shared" si="10"/>
        <v/>
      </c>
      <c r="AJ9" s="2" t="str">
        <f t="shared" si="11"/>
        <v/>
      </c>
      <c r="AK9" s="2">
        <v>1</v>
      </c>
      <c r="AL9" s="260">
        <f t="shared" ca="1" si="12"/>
        <v>0</v>
      </c>
      <c r="AM9" s="260">
        <f t="shared" ca="1" si="13"/>
        <v>0</v>
      </c>
      <c r="AN9" s="260" t="str">
        <f ca="1">IF(AND(Tabla7[[#This Row],[UltLec]]&lt;&gt;0,Tabla7[[#This Row],[PenLect]]&lt;&gt;0),(AM9-AL9)*Tabla7[[#This Row],[RT]],"N/A")</f>
        <v>N/A</v>
      </c>
      <c r="AO9" s="380" t="s">
        <v>852</v>
      </c>
      <c r="AP9" s="380" t="s">
        <v>1075</v>
      </c>
      <c r="AQ9" s="380" t="s">
        <v>1074</v>
      </c>
      <c r="AR9" s="2">
        <f t="shared" si="14"/>
        <v>0</v>
      </c>
      <c r="AT9" s="2" t="e">
        <f t="shared" ca="1" si="15"/>
        <v>#VALUE!</v>
      </c>
    </row>
    <row r="10" spans="1:47" ht="18" hidden="1" customHeight="1" x14ac:dyDescent="0.25">
      <c r="A10" s="405" t="s">
        <v>578</v>
      </c>
      <c r="B10" s="54"/>
      <c r="C10" s="368">
        <v>79062</v>
      </c>
      <c r="D10" s="54" t="s">
        <v>581</v>
      </c>
      <c r="E10" s="232">
        <v>3</v>
      </c>
      <c r="F10" s="2" t="s">
        <v>21</v>
      </c>
      <c r="G10" s="2" t="s">
        <v>583</v>
      </c>
      <c r="H10" s="2" t="s">
        <v>1231</v>
      </c>
      <c r="I10" s="2"/>
      <c r="J10" s="260">
        <v>56935.4</v>
      </c>
      <c r="K10" s="260">
        <v>57422</v>
      </c>
      <c r="L10" s="260"/>
      <c r="O10" s="260"/>
      <c r="P10" s="308"/>
      <c r="Q10" s="260"/>
      <c r="R10" s="260"/>
      <c r="S10" s="260"/>
      <c r="U10" s="260"/>
      <c r="V10" s="260"/>
      <c r="W10" s="2"/>
      <c r="X10" s="2"/>
      <c r="Y10" s="2">
        <f t="shared" si="0"/>
        <v>486.59999999999854</v>
      </c>
      <c r="Z10" s="2" t="str">
        <f t="shared" si="1"/>
        <v/>
      </c>
      <c r="AA10" s="2" t="str">
        <f t="shared" si="2"/>
        <v/>
      </c>
      <c r="AB10" s="2" t="str">
        <f t="shared" si="3"/>
        <v/>
      </c>
      <c r="AC10" s="2" t="str">
        <f t="shared" si="4"/>
        <v/>
      </c>
      <c r="AD10" s="2" t="str">
        <f t="shared" si="5"/>
        <v/>
      </c>
      <c r="AE10" s="2" t="str">
        <f t="shared" si="6"/>
        <v/>
      </c>
      <c r="AF10" s="2" t="str">
        <f t="shared" si="7"/>
        <v/>
      </c>
      <c r="AG10" s="2" t="str">
        <f t="shared" si="8"/>
        <v/>
      </c>
      <c r="AH10" s="2" t="str">
        <f t="shared" si="9"/>
        <v/>
      </c>
      <c r="AI10" s="2" t="str">
        <f t="shared" si="10"/>
        <v/>
      </c>
      <c r="AJ10" s="2" t="str">
        <f t="shared" si="11"/>
        <v/>
      </c>
      <c r="AK10" s="2">
        <v>1</v>
      </c>
      <c r="AL10" s="260">
        <f t="shared" ca="1" si="12"/>
        <v>0</v>
      </c>
      <c r="AM10" s="260">
        <f t="shared" ca="1" si="13"/>
        <v>0</v>
      </c>
      <c r="AN10" s="260" t="str">
        <f ca="1">IF(AND(Tabla7[[#This Row],[UltLec]]&lt;&gt;0,Tabla7[[#This Row],[PenLect]]&lt;&gt;0),(AM10-AL10)*Tabla7[[#This Row],[RT]],"N/A")</f>
        <v>N/A</v>
      </c>
      <c r="AO10" s="380" t="s">
        <v>852</v>
      </c>
      <c r="AP10" s="380" t="s">
        <v>1075</v>
      </c>
      <c r="AQ10" s="380" t="s">
        <v>1077</v>
      </c>
      <c r="AR10" s="2">
        <f t="shared" si="14"/>
        <v>0</v>
      </c>
      <c r="AS10" s="237"/>
      <c r="AT10" s="2" t="e">
        <f t="shared" ca="1" si="15"/>
        <v>#VALUE!</v>
      </c>
    </row>
    <row r="11" spans="1:47" ht="18.75" hidden="1" customHeight="1" x14ac:dyDescent="0.25">
      <c r="A11" s="405" t="s">
        <v>578</v>
      </c>
      <c r="B11" s="54"/>
      <c r="C11" s="368">
        <v>547463</v>
      </c>
      <c r="D11" s="54" t="s">
        <v>581</v>
      </c>
      <c r="E11" s="232">
        <v>39832</v>
      </c>
      <c r="F11" s="2" t="s">
        <v>598</v>
      </c>
      <c r="G11" s="2" t="s">
        <v>599</v>
      </c>
      <c r="H11" s="2" t="s">
        <v>1262</v>
      </c>
      <c r="I11" s="2"/>
      <c r="J11" s="260">
        <v>21730</v>
      </c>
      <c r="K11" s="260">
        <v>21772</v>
      </c>
      <c r="L11" s="260"/>
      <c r="O11" s="260"/>
      <c r="P11" s="260"/>
      <c r="Q11" s="260"/>
      <c r="R11" s="260"/>
      <c r="S11" s="260"/>
      <c r="U11" s="260"/>
      <c r="V11" s="260"/>
      <c r="W11" s="2"/>
      <c r="X11" s="2"/>
      <c r="Y11" s="2">
        <f t="shared" si="0"/>
        <v>42</v>
      </c>
      <c r="Z11" s="2" t="str">
        <f t="shared" si="1"/>
        <v/>
      </c>
      <c r="AA11" s="2" t="str">
        <f t="shared" si="2"/>
        <v/>
      </c>
      <c r="AB11" s="2" t="str">
        <f t="shared" si="3"/>
        <v/>
      </c>
      <c r="AC11" s="2" t="str">
        <f t="shared" si="4"/>
        <v/>
      </c>
      <c r="AD11" s="2" t="str">
        <f t="shared" si="5"/>
        <v/>
      </c>
      <c r="AE11" s="2" t="str">
        <f t="shared" si="6"/>
        <v/>
      </c>
      <c r="AF11" s="2" t="str">
        <f t="shared" si="7"/>
        <v/>
      </c>
      <c r="AG11" s="2" t="str">
        <f t="shared" si="8"/>
        <v/>
      </c>
      <c r="AH11" s="2" t="str">
        <f t="shared" si="9"/>
        <v/>
      </c>
      <c r="AI11" s="2" t="str">
        <f t="shared" si="10"/>
        <v/>
      </c>
      <c r="AJ11" s="2" t="str">
        <f t="shared" si="11"/>
        <v/>
      </c>
      <c r="AK11" s="2">
        <v>1</v>
      </c>
      <c r="AL11" s="260">
        <f t="shared" ca="1" si="12"/>
        <v>0</v>
      </c>
      <c r="AM11" s="260">
        <f t="shared" ca="1" si="13"/>
        <v>0</v>
      </c>
      <c r="AN11" s="260" t="str">
        <f ca="1">IF(AND(Tabla7[[#This Row],[UltLec]]&lt;&gt;0,Tabla7[[#This Row],[PenLect]]&lt;&gt;0),(AM11-AL11)*Tabla7[[#This Row],[RT]],"N/A")</f>
        <v>N/A</v>
      </c>
      <c r="AO11" s="380" t="s">
        <v>852</v>
      </c>
      <c r="AP11" s="380" t="s">
        <v>1075</v>
      </c>
      <c r="AQ11" s="380" t="s">
        <v>1074</v>
      </c>
      <c r="AR11" s="2">
        <f t="shared" si="14"/>
        <v>0</v>
      </c>
      <c r="AS11" s="234"/>
      <c r="AT11" s="2" t="e">
        <f t="shared" ca="1" si="15"/>
        <v>#VALUE!</v>
      </c>
    </row>
    <row r="12" spans="1:47" ht="18.75" hidden="1" customHeight="1" x14ac:dyDescent="0.25">
      <c r="A12" s="405" t="s">
        <v>578</v>
      </c>
      <c r="B12" s="54"/>
      <c r="C12" s="368">
        <v>4492967</v>
      </c>
      <c r="D12" s="54" t="s">
        <v>581</v>
      </c>
      <c r="E12" s="232">
        <v>39875</v>
      </c>
      <c r="F12" s="2" t="s">
        <v>517</v>
      </c>
      <c r="G12" s="2" t="s">
        <v>628</v>
      </c>
      <c r="H12" s="2" t="s">
        <v>629</v>
      </c>
      <c r="I12" s="2"/>
      <c r="J12" s="260">
        <v>22679</v>
      </c>
      <c r="K12" s="260">
        <v>22793</v>
      </c>
      <c r="L12" s="260"/>
      <c r="O12" s="260"/>
      <c r="P12" s="260"/>
      <c r="Q12" s="260"/>
      <c r="R12" s="260"/>
      <c r="S12" s="260"/>
      <c r="U12" s="260"/>
      <c r="V12" s="260"/>
      <c r="W12" s="2"/>
      <c r="X12" s="2"/>
      <c r="Y12" s="2">
        <f t="shared" si="0"/>
        <v>114</v>
      </c>
      <c r="Z12" s="2" t="str">
        <f t="shared" si="1"/>
        <v/>
      </c>
      <c r="AA12" s="2" t="str">
        <f t="shared" si="2"/>
        <v/>
      </c>
      <c r="AB12" s="2" t="str">
        <f t="shared" si="3"/>
        <v/>
      </c>
      <c r="AC12" s="2" t="str">
        <f t="shared" si="4"/>
        <v/>
      </c>
      <c r="AD12" s="2" t="str">
        <f t="shared" si="5"/>
        <v/>
      </c>
      <c r="AE12" s="2" t="str">
        <f t="shared" si="6"/>
        <v/>
      </c>
      <c r="AF12" s="2" t="str">
        <f t="shared" si="7"/>
        <v/>
      </c>
      <c r="AG12" s="2" t="str">
        <f t="shared" si="8"/>
        <v/>
      </c>
      <c r="AH12" s="2" t="str">
        <f t="shared" si="9"/>
        <v/>
      </c>
      <c r="AI12" s="2" t="str">
        <f t="shared" si="10"/>
        <v/>
      </c>
      <c r="AJ12" s="2" t="str">
        <f t="shared" si="11"/>
        <v/>
      </c>
      <c r="AK12" s="2">
        <v>1</v>
      </c>
      <c r="AL12" s="260">
        <f t="shared" ca="1" si="12"/>
        <v>0</v>
      </c>
      <c r="AM12" s="260">
        <f t="shared" ca="1" si="13"/>
        <v>0</v>
      </c>
      <c r="AN12" s="260" t="str">
        <f ca="1">IF(AND(Tabla7[[#This Row],[UltLec]]&lt;&gt;0,Tabla7[[#This Row],[PenLect]]&lt;&gt;0),(AM12-AL12)*Tabla7[[#This Row],[RT]],"N/A")</f>
        <v>N/A</v>
      </c>
      <c r="AO12" s="380" t="s">
        <v>852</v>
      </c>
      <c r="AP12" s="380" t="s">
        <v>1075</v>
      </c>
      <c r="AQ12" s="380" t="s">
        <v>1074</v>
      </c>
      <c r="AR12" s="2">
        <f t="shared" si="14"/>
        <v>0</v>
      </c>
      <c r="AT12" s="2" t="e">
        <f t="shared" ca="1" si="15"/>
        <v>#VALUE!</v>
      </c>
    </row>
    <row r="13" spans="1:47" ht="18.75" hidden="1" customHeight="1" x14ac:dyDescent="0.25">
      <c r="A13" s="418" t="s">
        <v>996</v>
      </c>
      <c r="B13" s="273"/>
      <c r="C13" s="367">
        <v>7107776</v>
      </c>
      <c r="D13" s="273" t="s">
        <v>581</v>
      </c>
      <c r="E13" s="274">
        <v>39478</v>
      </c>
      <c r="F13" s="275" t="s">
        <v>847</v>
      </c>
      <c r="G13" s="275" t="s">
        <v>848</v>
      </c>
      <c r="H13" s="275" t="s">
        <v>1281</v>
      </c>
      <c r="I13" s="275" t="s">
        <v>1609</v>
      </c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5"/>
      <c r="Y13" s="275" t="str">
        <f t="shared" si="0"/>
        <v/>
      </c>
      <c r="Z13" s="275" t="str">
        <f t="shared" si="1"/>
        <v/>
      </c>
      <c r="AA13" s="275" t="str">
        <f t="shared" si="2"/>
        <v/>
      </c>
      <c r="AB13" s="275" t="str">
        <f t="shared" si="3"/>
        <v/>
      </c>
      <c r="AC13" s="275" t="str">
        <f t="shared" si="4"/>
        <v/>
      </c>
      <c r="AD13" s="275" t="str">
        <f t="shared" si="5"/>
        <v/>
      </c>
      <c r="AE13" s="275" t="str">
        <f t="shared" si="6"/>
        <v/>
      </c>
      <c r="AF13" s="275" t="str">
        <f t="shared" si="7"/>
        <v/>
      </c>
      <c r="AG13" s="275" t="str">
        <f t="shared" si="8"/>
        <v/>
      </c>
      <c r="AH13" s="275" t="str">
        <f t="shared" si="9"/>
        <v/>
      </c>
      <c r="AI13" s="275" t="str">
        <f t="shared" si="10"/>
        <v/>
      </c>
      <c r="AJ13" s="277" t="str">
        <f t="shared" si="11"/>
        <v/>
      </c>
      <c r="AK13" s="277">
        <v>1</v>
      </c>
      <c r="AL13" s="277">
        <f t="shared" ca="1" si="12"/>
        <v>0</v>
      </c>
      <c r="AM13" s="393">
        <f t="shared" ca="1" si="13"/>
        <v>0</v>
      </c>
      <c r="AN13" s="393" t="str">
        <f ca="1">IF(AND(Tabla7[[#This Row],[UltLec]]&lt;&gt;0,Tabla7[[#This Row],[PenLect]]&lt;&gt;0),(AM13-AL13)*Tabla7[[#This Row],[RT]],"N/A")</f>
        <v>N/A</v>
      </c>
      <c r="AO13" s="393" t="s">
        <v>1160</v>
      </c>
      <c r="AP13" s="275" t="s">
        <v>1075</v>
      </c>
      <c r="AQ13" s="275" t="s">
        <v>1077</v>
      </c>
      <c r="AR13" s="275">
        <f t="shared" si="14"/>
        <v>0</v>
      </c>
      <c r="AT13" s="2" t="e">
        <f t="shared" ca="1" si="15"/>
        <v>#VALUE!</v>
      </c>
    </row>
    <row r="14" spans="1:47" ht="18" hidden="1" customHeight="1" x14ac:dyDescent="0.25">
      <c r="A14" s="405" t="s">
        <v>578</v>
      </c>
      <c r="B14" s="54"/>
      <c r="C14" s="368">
        <v>10283585</v>
      </c>
      <c r="D14" s="54" t="s">
        <v>581</v>
      </c>
      <c r="E14" s="232">
        <v>39859</v>
      </c>
      <c r="F14" s="2" t="s">
        <v>594</v>
      </c>
      <c r="G14" s="2" t="s">
        <v>600</v>
      </c>
      <c r="H14" s="2" t="s">
        <v>1260</v>
      </c>
      <c r="I14" s="2"/>
      <c r="J14" s="260">
        <v>90453.2</v>
      </c>
      <c r="K14" s="260">
        <v>90633</v>
      </c>
      <c r="L14" s="260"/>
      <c r="O14" s="260"/>
      <c r="P14" s="260"/>
      <c r="Q14" s="260"/>
      <c r="R14" s="260"/>
      <c r="S14" s="260"/>
      <c r="U14" s="260"/>
      <c r="V14" s="260"/>
      <c r="W14" s="2"/>
      <c r="X14" s="2"/>
      <c r="Y14" s="2">
        <f t="shared" si="0"/>
        <v>179.80000000000291</v>
      </c>
      <c r="Z14" s="2" t="str">
        <f t="shared" si="1"/>
        <v/>
      </c>
      <c r="AA14" s="2" t="str">
        <f t="shared" si="2"/>
        <v/>
      </c>
      <c r="AB14" s="2" t="str">
        <f t="shared" si="3"/>
        <v/>
      </c>
      <c r="AC14" s="2" t="str">
        <f t="shared" si="4"/>
        <v/>
      </c>
      <c r="AD14" s="2" t="str">
        <f t="shared" si="5"/>
        <v/>
      </c>
      <c r="AE14" s="2" t="str">
        <f t="shared" si="6"/>
        <v/>
      </c>
      <c r="AF14" s="2" t="str">
        <f t="shared" si="7"/>
        <v/>
      </c>
      <c r="AG14" s="2" t="str">
        <f t="shared" si="8"/>
        <v/>
      </c>
      <c r="AH14" s="260" t="str">
        <f t="shared" si="9"/>
        <v/>
      </c>
      <c r="AI14" s="2" t="str">
        <f t="shared" si="10"/>
        <v/>
      </c>
      <c r="AJ14" s="2" t="str">
        <f t="shared" si="11"/>
        <v/>
      </c>
      <c r="AK14" s="2">
        <v>1</v>
      </c>
      <c r="AL14" s="260">
        <f t="shared" ca="1" si="12"/>
        <v>0</v>
      </c>
      <c r="AM14" s="260">
        <f t="shared" ca="1" si="13"/>
        <v>0</v>
      </c>
      <c r="AN14" s="260" t="str">
        <f ca="1">IF(AND(Tabla7[[#This Row],[UltLec]]&lt;&gt;0,Tabla7[[#This Row],[PenLect]]&lt;&gt;0),(AM14-AL14)*Tabla7[[#This Row],[RT]],"N/A")</f>
        <v>N/A</v>
      </c>
      <c r="AO14" s="380" t="s">
        <v>852</v>
      </c>
      <c r="AP14" s="380" t="s">
        <v>1075</v>
      </c>
      <c r="AQ14" s="380" t="s">
        <v>1074</v>
      </c>
      <c r="AR14" s="2">
        <f t="shared" si="14"/>
        <v>0</v>
      </c>
      <c r="AT14" s="2" t="e">
        <f t="shared" ca="1" si="15"/>
        <v>#VALUE!</v>
      </c>
    </row>
    <row r="15" spans="1:47" ht="18" hidden="1" customHeight="1" x14ac:dyDescent="0.25">
      <c r="A15" s="418" t="s">
        <v>996</v>
      </c>
      <c r="B15" s="273"/>
      <c r="C15" s="367">
        <v>10735985</v>
      </c>
      <c r="D15" s="273" t="s">
        <v>581</v>
      </c>
      <c r="E15" s="274">
        <v>39441</v>
      </c>
      <c r="F15" s="275" t="s">
        <v>847</v>
      </c>
      <c r="G15" s="275" t="s">
        <v>600</v>
      </c>
      <c r="H15" s="275" t="s">
        <v>1282</v>
      </c>
      <c r="I15" s="275" t="s">
        <v>1610</v>
      </c>
      <c r="J15" s="275"/>
      <c r="K15" s="275"/>
      <c r="L15" s="275"/>
      <c r="M15" s="275"/>
      <c r="N15" s="275"/>
      <c r="O15" s="275"/>
      <c r="P15" s="275"/>
      <c r="Q15" s="275"/>
      <c r="R15" s="275"/>
      <c r="S15" s="275"/>
      <c r="T15" s="275"/>
      <c r="U15" s="275"/>
      <c r="V15" s="275"/>
      <c r="W15" s="275"/>
      <c r="X15" s="275"/>
      <c r="Y15" s="275" t="str">
        <f t="shared" si="0"/>
        <v/>
      </c>
      <c r="Z15" s="275" t="str">
        <f t="shared" si="1"/>
        <v/>
      </c>
      <c r="AA15" s="275" t="str">
        <f t="shared" si="2"/>
        <v/>
      </c>
      <c r="AB15" s="275" t="str">
        <f t="shared" si="3"/>
        <v/>
      </c>
      <c r="AC15" s="275" t="str">
        <f t="shared" si="4"/>
        <v/>
      </c>
      <c r="AD15" s="275" t="str">
        <f t="shared" si="5"/>
        <v/>
      </c>
      <c r="AE15" s="275" t="str">
        <f t="shared" si="6"/>
        <v/>
      </c>
      <c r="AF15" s="275" t="str">
        <f t="shared" si="7"/>
        <v/>
      </c>
      <c r="AG15" s="275" t="str">
        <f t="shared" si="8"/>
        <v/>
      </c>
      <c r="AH15" s="277" t="str">
        <f t="shared" si="9"/>
        <v/>
      </c>
      <c r="AI15" s="277" t="str">
        <f t="shared" si="10"/>
        <v/>
      </c>
      <c r="AJ15" s="277" t="str">
        <f t="shared" si="11"/>
        <v/>
      </c>
      <c r="AK15" s="393">
        <v>1</v>
      </c>
      <c r="AL15" s="393">
        <f t="shared" ca="1" si="12"/>
        <v>0</v>
      </c>
      <c r="AM15" s="393">
        <f t="shared" ca="1" si="13"/>
        <v>0</v>
      </c>
      <c r="AN15" s="275" t="str">
        <f ca="1">IF(AND(Tabla7[[#This Row],[UltLec]]&lt;&gt;0,Tabla7[[#This Row],[PenLect]]&lt;&gt;0),(AM15-AL15)*Tabla7[[#This Row],[RT]],"N/A")</f>
        <v>N/A</v>
      </c>
      <c r="AO15" s="275" t="s">
        <v>1160</v>
      </c>
      <c r="AP15" s="275" t="s">
        <v>1075</v>
      </c>
      <c r="AQ15" s="275" t="s">
        <v>1077</v>
      </c>
      <c r="AR15" s="275">
        <f t="shared" si="14"/>
        <v>0</v>
      </c>
      <c r="AT15" s="2" t="e">
        <f t="shared" ca="1" si="15"/>
        <v>#VALUE!</v>
      </c>
    </row>
    <row r="16" spans="1:47" ht="18" hidden="1" customHeight="1" x14ac:dyDescent="0.25">
      <c r="A16" s="418" t="s">
        <v>996</v>
      </c>
      <c r="B16" s="273"/>
      <c r="C16" s="367">
        <v>10735985</v>
      </c>
      <c r="D16" s="273" t="s">
        <v>581</v>
      </c>
      <c r="E16" s="274">
        <v>39807</v>
      </c>
      <c r="F16" s="275" t="s">
        <v>596</v>
      </c>
      <c r="G16" s="275" t="s">
        <v>595</v>
      </c>
      <c r="H16" s="275"/>
      <c r="I16" s="275" t="s">
        <v>851</v>
      </c>
      <c r="J16" s="275"/>
      <c r="K16" s="275"/>
      <c r="L16" s="275"/>
      <c r="M16" s="275"/>
      <c r="N16" s="275"/>
      <c r="O16" s="275"/>
      <c r="P16" s="275"/>
      <c r="Q16" s="275"/>
      <c r="R16" s="275"/>
      <c r="S16" s="275"/>
      <c r="T16" s="275"/>
      <c r="U16" s="275"/>
      <c r="V16" s="275"/>
      <c r="W16" s="275"/>
      <c r="X16" s="275"/>
      <c r="Y16" s="275" t="str">
        <f t="shared" si="0"/>
        <v/>
      </c>
      <c r="Z16" s="275" t="str">
        <f t="shared" si="1"/>
        <v/>
      </c>
      <c r="AA16" s="275" t="str">
        <f t="shared" si="2"/>
        <v/>
      </c>
      <c r="AB16" s="275" t="str">
        <f t="shared" si="3"/>
        <v/>
      </c>
      <c r="AC16" s="275" t="str">
        <f t="shared" si="4"/>
        <v/>
      </c>
      <c r="AD16" s="275" t="str">
        <f t="shared" si="5"/>
        <v/>
      </c>
      <c r="AE16" s="275" t="str">
        <f t="shared" si="6"/>
        <v/>
      </c>
      <c r="AF16" s="275" t="str">
        <f t="shared" si="7"/>
        <v/>
      </c>
      <c r="AG16" s="275" t="str">
        <f t="shared" si="8"/>
        <v/>
      </c>
      <c r="AH16" s="275" t="str">
        <f t="shared" si="9"/>
        <v/>
      </c>
      <c r="AI16" s="275" t="str">
        <f t="shared" si="10"/>
        <v/>
      </c>
      <c r="AJ16" s="275" t="str">
        <f t="shared" si="11"/>
        <v/>
      </c>
      <c r="AK16" s="275">
        <v>1</v>
      </c>
      <c r="AL16" s="277">
        <f t="shared" ca="1" si="12"/>
        <v>0</v>
      </c>
      <c r="AM16" s="277">
        <f t="shared" ca="1" si="13"/>
        <v>0</v>
      </c>
      <c r="AN16" s="277" t="str">
        <f ca="1">IF(AND(Tabla7[[#This Row],[UltLec]]&lt;&gt;0,Tabla7[[#This Row],[PenLect]]&lt;&gt;0),(AM16-AL16)*Tabla7[[#This Row],[RT]],"N/A")</f>
        <v>N/A</v>
      </c>
      <c r="AO16" s="393" t="s">
        <v>1160</v>
      </c>
      <c r="AP16" s="393" t="s">
        <v>1075</v>
      </c>
      <c r="AQ16" s="393" t="s">
        <v>1074</v>
      </c>
      <c r="AR16" s="275">
        <f t="shared" si="14"/>
        <v>0</v>
      </c>
      <c r="AT16" s="2" t="e">
        <f t="shared" ca="1" si="15"/>
        <v>#VALUE!</v>
      </c>
    </row>
    <row r="17" spans="1:46" ht="18" hidden="1" customHeight="1" x14ac:dyDescent="0.25">
      <c r="A17" s="409" t="s">
        <v>996</v>
      </c>
      <c r="B17" s="273"/>
      <c r="C17" s="379">
        <v>10735985</v>
      </c>
      <c r="D17" s="376" t="s">
        <v>581</v>
      </c>
      <c r="E17" s="274">
        <v>39837</v>
      </c>
      <c r="F17" s="275" t="s">
        <v>594</v>
      </c>
      <c r="G17" s="275" t="s">
        <v>595</v>
      </c>
      <c r="H17" s="275"/>
      <c r="I17" s="275" t="s">
        <v>851</v>
      </c>
      <c r="J17" s="275"/>
      <c r="K17" s="275"/>
      <c r="L17" s="275"/>
      <c r="M17" s="275"/>
      <c r="N17" s="275"/>
      <c r="O17" s="275"/>
      <c r="P17" s="275"/>
      <c r="Q17" s="275"/>
      <c r="R17" s="275"/>
      <c r="S17" s="275"/>
      <c r="T17" s="275"/>
      <c r="U17" s="275"/>
      <c r="V17" s="275"/>
      <c r="W17" s="275"/>
      <c r="X17" s="275"/>
      <c r="Y17" s="275" t="str">
        <f t="shared" si="0"/>
        <v/>
      </c>
      <c r="Z17" s="275" t="str">
        <f t="shared" si="1"/>
        <v/>
      </c>
      <c r="AA17" s="275" t="str">
        <f t="shared" si="2"/>
        <v/>
      </c>
      <c r="AB17" s="275" t="str">
        <f t="shared" si="3"/>
        <v/>
      </c>
      <c r="AC17" s="275" t="str">
        <f t="shared" si="4"/>
        <v/>
      </c>
      <c r="AD17" s="275" t="str">
        <f t="shared" si="5"/>
        <v/>
      </c>
      <c r="AE17" s="275" t="str">
        <f t="shared" si="6"/>
        <v/>
      </c>
      <c r="AF17" s="275" t="str">
        <f t="shared" si="7"/>
        <v/>
      </c>
      <c r="AG17" s="275" t="str">
        <f t="shared" si="8"/>
        <v/>
      </c>
      <c r="AH17" s="277" t="str">
        <f t="shared" si="9"/>
        <v/>
      </c>
      <c r="AI17" s="275" t="str">
        <f t="shared" si="10"/>
        <v/>
      </c>
      <c r="AJ17" s="275" t="str">
        <f t="shared" si="11"/>
        <v/>
      </c>
      <c r="AK17" s="275">
        <v>1</v>
      </c>
      <c r="AL17" s="277">
        <f t="shared" ca="1" si="12"/>
        <v>0</v>
      </c>
      <c r="AM17" s="277">
        <f t="shared" ca="1" si="13"/>
        <v>0</v>
      </c>
      <c r="AN17" s="277" t="str">
        <f ca="1">IF(AND(Tabla7[[#This Row],[UltLec]]&lt;&gt;0,Tabla7[[#This Row],[PenLect]]&lt;&gt;0),(AM17-AL17)*Tabla7[[#This Row],[RT]],"N/A")</f>
        <v>N/A</v>
      </c>
      <c r="AO17" s="393" t="s">
        <v>1160</v>
      </c>
      <c r="AP17" s="393" t="s">
        <v>1075</v>
      </c>
      <c r="AQ17" s="393" t="s">
        <v>1074</v>
      </c>
      <c r="AR17" s="275">
        <f t="shared" si="14"/>
        <v>0</v>
      </c>
      <c r="AT17" s="2" t="e">
        <f t="shared" ca="1" si="15"/>
        <v>#VALUE!</v>
      </c>
    </row>
    <row r="18" spans="1:46" ht="18" hidden="1" customHeight="1" x14ac:dyDescent="0.25">
      <c r="A18" s="406" t="s">
        <v>996</v>
      </c>
      <c r="B18" s="273"/>
      <c r="C18" s="367">
        <v>10735985</v>
      </c>
      <c r="D18" s="273" t="s">
        <v>581</v>
      </c>
      <c r="E18" s="274">
        <v>39888</v>
      </c>
      <c r="F18" s="275" t="s">
        <v>517</v>
      </c>
      <c r="G18" s="275" t="s">
        <v>595</v>
      </c>
      <c r="H18" s="275"/>
      <c r="I18" s="275" t="s">
        <v>851</v>
      </c>
      <c r="J18" s="275"/>
      <c r="K18" s="275"/>
      <c r="L18" s="275"/>
      <c r="M18" s="275"/>
      <c r="N18" s="275"/>
      <c r="O18" s="275"/>
      <c r="P18" s="275"/>
      <c r="Q18" s="275"/>
      <c r="R18" s="275"/>
      <c r="S18" s="275"/>
      <c r="T18" s="275"/>
      <c r="U18" s="275"/>
      <c r="V18" s="275"/>
      <c r="W18" s="275"/>
      <c r="X18" s="275"/>
      <c r="Y18" s="275" t="str">
        <f t="shared" si="0"/>
        <v/>
      </c>
      <c r="Z18" s="275" t="str">
        <f t="shared" si="1"/>
        <v/>
      </c>
      <c r="AA18" s="275" t="str">
        <f t="shared" si="2"/>
        <v/>
      </c>
      <c r="AB18" s="275" t="str">
        <f t="shared" si="3"/>
        <v/>
      </c>
      <c r="AC18" s="275" t="str">
        <f t="shared" si="4"/>
        <v/>
      </c>
      <c r="AD18" s="275" t="str">
        <f t="shared" si="5"/>
        <v/>
      </c>
      <c r="AE18" s="275" t="str">
        <f t="shared" si="6"/>
        <v/>
      </c>
      <c r="AF18" s="275" t="str">
        <f t="shared" si="7"/>
        <v/>
      </c>
      <c r="AG18" s="275" t="str">
        <f t="shared" si="8"/>
        <v/>
      </c>
      <c r="AH18" s="275" t="str">
        <f t="shared" si="9"/>
        <v/>
      </c>
      <c r="AI18" s="275" t="str">
        <f t="shared" si="10"/>
        <v/>
      </c>
      <c r="AJ18" s="275" t="str">
        <f t="shared" si="11"/>
        <v/>
      </c>
      <c r="AK18" s="275">
        <v>1</v>
      </c>
      <c r="AL18" s="277">
        <f t="shared" ca="1" si="12"/>
        <v>0</v>
      </c>
      <c r="AM18" s="277">
        <f t="shared" ca="1" si="13"/>
        <v>0</v>
      </c>
      <c r="AN18" s="277" t="str">
        <f ca="1">IF(AND(Tabla7[[#This Row],[UltLec]]&lt;&gt;0,Tabla7[[#This Row],[PenLect]]&lt;&gt;0),(AM18-AL18)*Tabla7[[#This Row],[RT]],"N/A")</f>
        <v>N/A</v>
      </c>
      <c r="AO18" s="393" t="s">
        <v>1160</v>
      </c>
      <c r="AP18" s="393" t="s">
        <v>1075</v>
      </c>
      <c r="AQ18" s="393" t="s">
        <v>1074</v>
      </c>
      <c r="AR18" s="275">
        <f t="shared" si="14"/>
        <v>0</v>
      </c>
      <c r="AT18" s="2" t="e">
        <f t="shared" ca="1" si="15"/>
        <v>#VALUE!</v>
      </c>
    </row>
    <row r="19" spans="1:46" ht="18" hidden="1" customHeight="1" x14ac:dyDescent="0.25">
      <c r="A19" s="291" t="s">
        <v>578</v>
      </c>
      <c r="B19" s="54"/>
      <c r="C19" s="368">
        <v>11808535</v>
      </c>
      <c r="D19" s="54" t="s">
        <v>581</v>
      </c>
      <c r="E19" s="232">
        <v>39858</v>
      </c>
      <c r="F19" s="2" t="s">
        <v>594</v>
      </c>
      <c r="G19" s="2" t="s">
        <v>597</v>
      </c>
      <c r="H19" s="2" t="s">
        <v>1261</v>
      </c>
      <c r="I19" s="2"/>
      <c r="J19" s="260">
        <v>43909</v>
      </c>
      <c r="K19" s="260">
        <v>43932</v>
      </c>
      <c r="L19" s="260"/>
      <c r="O19" s="260"/>
      <c r="P19" s="260"/>
      <c r="Q19" s="260"/>
      <c r="R19" s="260"/>
      <c r="S19" s="260"/>
      <c r="U19" s="260"/>
      <c r="V19" s="260"/>
      <c r="W19" s="2"/>
      <c r="X19" s="2"/>
      <c r="Y19" s="2">
        <f t="shared" si="0"/>
        <v>23</v>
      </c>
      <c r="Z19" s="2" t="str">
        <f t="shared" si="1"/>
        <v/>
      </c>
      <c r="AA19" s="2" t="str">
        <f t="shared" si="2"/>
        <v/>
      </c>
      <c r="AB19" s="2" t="str">
        <f t="shared" si="3"/>
        <v/>
      </c>
      <c r="AC19" s="2" t="str">
        <f t="shared" si="4"/>
        <v/>
      </c>
      <c r="AD19" s="2" t="str">
        <f t="shared" si="5"/>
        <v/>
      </c>
      <c r="AE19" s="2" t="str">
        <f t="shared" si="6"/>
        <v/>
      </c>
      <c r="AF19" s="2" t="str">
        <f t="shared" si="7"/>
        <v/>
      </c>
      <c r="AG19" s="2" t="str">
        <f t="shared" si="8"/>
        <v/>
      </c>
      <c r="AH19" s="260" t="str">
        <f t="shared" si="9"/>
        <v/>
      </c>
      <c r="AI19" s="2" t="str">
        <f t="shared" si="10"/>
        <v/>
      </c>
      <c r="AJ19" s="2" t="str">
        <f t="shared" si="11"/>
        <v/>
      </c>
      <c r="AK19" s="2">
        <v>1</v>
      </c>
      <c r="AL19" s="260">
        <f t="shared" ca="1" si="12"/>
        <v>0</v>
      </c>
      <c r="AM19" s="260">
        <f t="shared" ca="1" si="13"/>
        <v>0</v>
      </c>
      <c r="AN19" s="260" t="str">
        <f ca="1">IF(AND(Tabla7[[#This Row],[UltLec]]&lt;&gt;0,Tabla7[[#This Row],[PenLect]]&lt;&gt;0),(AM19-AL19)*Tabla7[[#This Row],[RT]],"N/A")</f>
        <v>N/A</v>
      </c>
      <c r="AO19" s="380" t="s">
        <v>852</v>
      </c>
      <c r="AP19" s="380" t="s">
        <v>1075</v>
      </c>
      <c r="AQ19" s="380" t="s">
        <v>1074</v>
      </c>
      <c r="AR19" s="2">
        <f t="shared" si="14"/>
        <v>0</v>
      </c>
      <c r="AT19" s="2" t="e">
        <f t="shared" ca="1" si="15"/>
        <v>#VALUE!</v>
      </c>
    </row>
    <row r="20" spans="1:46" ht="18" hidden="1" customHeight="1" x14ac:dyDescent="0.25">
      <c r="A20" s="291" t="s">
        <v>578</v>
      </c>
      <c r="B20" s="54"/>
      <c r="C20" s="368">
        <v>32973653</v>
      </c>
      <c r="D20" s="54" t="s">
        <v>581</v>
      </c>
      <c r="E20" s="232">
        <v>3</v>
      </c>
      <c r="F20" s="2" t="s">
        <v>21</v>
      </c>
      <c r="G20" s="2" t="s">
        <v>1285</v>
      </c>
      <c r="H20" s="2" t="s">
        <v>1280</v>
      </c>
      <c r="I20" s="2" t="s">
        <v>664</v>
      </c>
      <c r="J20" s="260">
        <v>11324</v>
      </c>
      <c r="K20" s="260">
        <v>11324</v>
      </c>
      <c r="L20" s="260"/>
      <c r="O20" s="260"/>
      <c r="P20" s="260"/>
      <c r="Q20" s="260"/>
      <c r="R20" s="260"/>
      <c r="S20" s="260"/>
      <c r="U20" s="260"/>
      <c r="V20" s="260"/>
      <c r="W20" s="2"/>
      <c r="X20" s="2"/>
      <c r="Y20" s="2">
        <f t="shared" si="0"/>
        <v>0</v>
      </c>
      <c r="Z20" s="2" t="str">
        <f t="shared" si="1"/>
        <v/>
      </c>
      <c r="AA20" s="2" t="str">
        <f t="shared" si="2"/>
        <v/>
      </c>
      <c r="AB20" s="2" t="str">
        <f t="shared" si="3"/>
        <v/>
      </c>
      <c r="AC20" s="2" t="str">
        <f t="shared" si="4"/>
        <v/>
      </c>
      <c r="AD20" s="2" t="str">
        <f t="shared" si="5"/>
        <v/>
      </c>
      <c r="AE20" s="2" t="str">
        <f t="shared" si="6"/>
        <v/>
      </c>
      <c r="AF20" s="2" t="str">
        <f t="shared" si="7"/>
        <v/>
      </c>
      <c r="AG20" s="2" t="str">
        <f t="shared" si="8"/>
        <v/>
      </c>
      <c r="AH20" s="2" t="str">
        <f t="shared" si="9"/>
        <v/>
      </c>
      <c r="AI20" s="2" t="str">
        <f t="shared" si="10"/>
        <v/>
      </c>
      <c r="AJ20" s="2" t="str">
        <f t="shared" si="11"/>
        <v/>
      </c>
      <c r="AK20" s="2">
        <v>1</v>
      </c>
      <c r="AL20" s="260">
        <f t="shared" ca="1" si="12"/>
        <v>0</v>
      </c>
      <c r="AM20" s="260">
        <f t="shared" ca="1" si="13"/>
        <v>0</v>
      </c>
      <c r="AN20" s="260" t="str">
        <f ca="1">IF(AND(Tabla7[[#This Row],[UltLec]]&lt;&gt;0,Tabla7[[#This Row],[PenLect]]&lt;&gt;0),(AM20-AL20)*Tabla7[[#This Row],[RT]],"N/A")</f>
        <v>N/A</v>
      </c>
      <c r="AO20" s="380" t="s">
        <v>852</v>
      </c>
      <c r="AP20" s="380" t="s">
        <v>1075</v>
      </c>
      <c r="AQ20" s="380" t="s">
        <v>1074</v>
      </c>
      <c r="AR20" s="2">
        <f t="shared" si="14"/>
        <v>0</v>
      </c>
      <c r="AT20" s="2" t="e">
        <f t="shared" ca="1" si="15"/>
        <v>#VALUE!</v>
      </c>
    </row>
    <row r="21" spans="1:46" ht="18.75" hidden="1" customHeight="1" x14ac:dyDescent="0.25">
      <c r="A21" s="409" t="s">
        <v>996</v>
      </c>
      <c r="B21" s="273"/>
      <c r="C21" s="481">
        <v>50037472</v>
      </c>
      <c r="D21" s="376" t="s">
        <v>581</v>
      </c>
      <c r="E21" s="274">
        <v>39880</v>
      </c>
      <c r="F21" s="434" t="s">
        <v>592</v>
      </c>
      <c r="G21" s="434" t="s">
        <v>593</v>
      </c>
      <c r="H21" s="434" t="s">
        <v>1259</v>
      </c>
      <c r="I21" s="434" t="s">
        <v>1534</v>
      </c>
      <c r="J21" s="434"/>
      <c r="K21" s="434"/>
      <c r="L21" s="434"/>
      <c r="M21" s="434"/>
      <c r="N21" s="434"/>
      <c r="O21" s="434"/>
      <c r="P21" s="434"/>
      <c r="Q21" s="434"/>
      <c r="R21" s="434"/>
      <c r="S21" s="434"/>
      <c r="T21" s="434"/>
      <c r="U21" s="434"/>
      <c r="V21" s="434"/>
      <c r="W21" s="434"/>
      <c r="X21" s="434"/>
      <c r="Y21" s="434" t="str">
        <f t="shared" si="0"/>
        <v/>
      </c>
      <c r="Z21" s="434" t="str">
        <f t="shared" si="1"/>
        <v/>
      </c>
      <c r="AA21" s="434" t="str">
        <f t="shared" si="2"/>
        <v/>
      </c>
      <c r="AB21" s="434" t="str">
        <f t="shared" si="3"/>
        <v/>
      </c>
      <c r="AC21" s="434" t="str">
        <f t="shared" si="4"/>
        <v/>
      </c>
      <c r="AD21" s="434" t="str">
        <f t="shared" si="5"/>
        <v/>
      </c>
      <c r="AE21" s="434" t="str">
        <f t="shared" si="6"/>
        <v/>
      </c>
      <c r="AF21" s="434" t="str">
        <f t="shared" si="7"/>
        <v/>
      </c>
      <c r="AG21" s="434" t="str">
        <f t="shared" si="8"/>
        <v/>
      </c>
      <c r="AH21" s="434" t="str">
        <f t="shared" si="9"/>
        <v/>
      </c>
      <c r="AI21" s="434" t="str">
        <f t="shared" si="10"/>
        <v/>
      </c>
      <c r="AJ21" s="434" t="str">
        <f t="shared" si="11"/>
        <v/>
      </c>
      <c r="AK21" s="434">
        <v>1</v>
      </c>
      <c r="AL21" s="434">
        <f t="shared" ca="1" si="12"/>
        <v>0</v>
      </c>
      <c r="AM21" s="434">
        <f t="shared" ca="1" si="13"/>
        <v>0</v>
      </c>
      <c r="AN21" s="434" t="str">
        <f ca="1">IF(AND(Tabla7[[#This Row],[UltLec]]&lt;&gt;0,Tabla7[[#This Row],[PenLect]]&lt;&gt;0),(AM21-AL21)*Tabla7[[#This Row],[RT]],"N/A")</f>
        <v>N/A</v>
      </c>
      <c r="AO21" s="434" t="s">
        <v>1160</v>
      </c>
      <c r="AP21" s="434" t="s">
        <v>1075</v>
      </c>
      <c r="AQ21" s="434" t="s">
        <v>1077</v>
      </c>
      <c r="AR21" s="434">
        <f t="shared" si="14"/>
        <v>0</v>
      </c>
      <c r="AT21" s="2" t="e">
        <f t="shared" ca="1" si="15"/>
        <v>#VALUE!</v>
      </c>
    </row>
    <row r="22" spans="1:46" ht="18" hidden="1" customHeight="1" x14ac:dyDescent="0.25">
      <c r="A22" s="291" t="s">
        <v>578</v>
      </c>
      <c r="B22" s="54"/>
      <c r="C22" s="368">
        <v>73321615</v>
      </c>
      <c r="D22" s="54" t="s">
        <v>581</v>
      </c>
      <c r="E22" s="232">
        <v>39890</v>
      </c>
      <c r="F22" s="2" t="s">
        <v>603</v>
      </c>
      <c r="G22" s="2" t="s">
        <v>604</v>
      </c>
      <c r="H22" s="2" t="s">
        <v>1284</v>
      </c>
      <c r="I22" s="2"/>
      <c r="J22" s="260">
        <v>444055</v>
      </c>
      <c r="K22" s="260">
        <v>447579</v>
      </c>
      <c r="L22" s="260"/>
      <c r="O22" s="260"/>
      <c r="P22" s="260"/>
      <c r="Q22" s="260"/>
      <c r="R22" s="260"/>
      <c r="S22" s="260"/>
      <c r="U22" s="260"/>
      <c r="V22" s="260"/>
      <c r="W22" s="2"/>
      <c r="X22" s="2"/>
      <c r="Y22" s="2">
        <f t="shared" si="0"/>
        <v>3524</v>
      </c>
      <c r="Z22" s="2" t="str">
        <f t="shared" si="1"/>
        <v/>
      </c>
      <c r="AA22" s="2" t="str">
        <f t="shared" si="2"/>
        <v/>
      </c>
      <c r="AB22" s="2" t="str">
        <f t="shared" si="3"/>
        <v/>
      </c>
      <c r="AC22" s="2" t="str">
        <f t="shared" si="4"/>
        <v/>
      </c>
      <c r="AD22" s="2" t="str">
        <f t="shared" si="5"/>
        <v/>
      </c>
      <c r="AE22" s="2" t="str">
        <f t="shared" si="6"/>
        <v/>
      </c>
      <c r="AF22" s="2" t="str">
        <f t="shared" si="7"/>
        <v/>
      </c>
      <c r="AG22" s="2" t="str">
        <f t="shared" si="8"/>
        <v/>
      </c>
      <c r="AH22" s="2" t="str">
        <f t="shared" si="9"/>
        <v/>
      </c>
      <c r="AI22" s="2" t="str">
        <f t="shared" si="10"/>
        <v/>
      </c>
      <c r="AJ22" s="2" t="str">
        <f t="shared" si="11"/>
        <v/>
      </c>
      <c r="AK22" s="2">
        <v>1</v>
      </c>
      <c r="AL22" s="260">
        <f t="shared" ca="1" si="12"/>
        <v>0</v>
      </c>
      <c r="AM22" s="260">
        <f t="shared" ca="1" si="13"/>
        <v>0</v>
      </c>
      <c r="AN22" s="260" t="str">
        <f ca="1">IF(AND(Tabla7[[#This Row],[UltLec]]&lt;&gt;0,Tabla7[[#This Row],[PenLect]]&lt;&gt;0),(AM22-AL22)*Tabla7[[#This Row],[RT]],"N/A")</f>
        <v>N/A</v>
      </c>
      <c r="AO22" s="380" t="s">
        <v>852</v>
      </c>
      <c r="AP22" s="380" t="s">
        <v>1075</v>
      </c>
      <c r="AQ22" s="380" t="s">
        <v>1074</v>
      </c>
      <c r="AR22" s="2">
        <f t="shared" si="14"/>
        <v>0</v>
      </c>
      <c r="AT22" s="2" t="e">
        <f t="shared" ca="1" si="15"/>
        <v>#VALUE!</v>
      </c>
    </row>
    <row r="23" spans="1:46" ht="18.75" hidden="1" customHeight="1" x14ac:dyDescent="0.25">
      <c r="A23" s="407" t="s">
        <v>578</v>
      </c>
      <c r="B23" s="54"/>
      <c r="C23" s="447" t="s">
        <v>1512</v>
      </c>
      <c r="D23" s="374" t="s">
        <v>581</v>
      </c>
      <c r="E23" s="232">
        <v>39852</v>
      </c>
      <c r="F23" s="2" t="s">
        <v>1311</v>
      </c>
      <c r="G23" s="424" t="s">
        <v>1478</v>
      </c>
      <c r="H23" s="424" t="s">
        <v>1478</v>
      </c>
      <c r="I23" s="2" t="s">
        <v>1513</v>
      </c>
      <c r="J23" s="425">
        <v>6563.2</v>
      </c>
      <c r="K23" s="425">
        <v>6563</v>
      </c>
      <c r="L23" s="425"/>
      <c r="M23" s="425"/>
      <c r="N23" s="425"/>
      <c r="O23" s="425"/>
      <c r="P23" s="426"/>
      <c r="Q23" s="425"/>
      <c r="R23" s="425"/>
      <c r="S23" s="425"/>
      <c r="T23" s="425"/>
      <c r="U23" s="425"/>
      <c r="V23" s="425"/>
      <c r="W23" s="424"/>
      <c r="X23" s="424"/>
      <c r="Y23" s="424" t="str">
        <f t="shared" si="0"/>
        <v>!!!!</v>
      </c>
      <c r="Z23" s="424" t="str">
        <f t="shared" si="1"/>
        <v/>
      </c>
      <c r="AA23" s="424" t="str">
        <f t="shared" si="2"/>
        <v/>
      </c>
      <c r="AB23" s="424" t="str">
        <f t="shared" si="3"/>
        <v/>
      </c>
      <c r="AC23" s="424" t="str">
        <f t="shared" si="4"/>
        <v/>
      </c>
      <c r="AD23" s="424" t="str">
        <f t="shared" si="5"/>
        <v/>
      </c>
      <c r="AE23" s="424" t="str">
        <f t="shared" si="6"/>
        <v/>
      </c>
      <c r="AF23" s="424" t="str">
        <f t="shared" si="7"/>
        <v/>
      </c>
      <c r="AG23" s="424" t="str">
        <f t="shared" si="8"/>
        <v/>
      </c>
      <c r="AH23" s="424" t="str">
        <f t="shared" si="9"/>
        <v/>
      </c>
      <c r="AI23" s="424" t="str">
        <f t="shared" si="10"/>
        <v/>
      </c>
      <c r="AJ23" s="424" t="str">
        <f t="shared" si="11"/>
        <v/>
      </c>
      <c r="AK23" s="424">
        <v>1</v>
      </c>
      <c r="AL23" s="425">
        <f t="shared" ca="1" si="12"/>
        <v>0</v>
      </c>
      <c r="AM23" s="425">
        <f t="shared" ca="1" si="13"/>
        <v>0</v>
      </c>
      <c r="AN23" s="425" t="str">
        <f ca="1">IF(AND(Tabla7[[#This Row],[UltLec]]&lt;&gt;0,Tabla7[[#This Row],[PenLect]]&lt;&gt;0),(AM23-AL23)*Tabla7[[#This Row],[RT]],"N/A")</f>
        <v>N/A</v>
      </c>
      <c r="AO23" s="380" t="s">
        <v>852</v>
      </c>
      <c r="AP23" s="380" t="s">
        <v>1075</v>
      </c>
      <c r="AQ23" s="380" t="s">
        <v>1077</v>
      </c>
      <c r="AR23" s="2">
        <f t="shared" si="14"/>
        <v>1</v>
      </c>
      <c r="AT23" s="2" t="e">
        <f t="shared" ca="1" si="15"/>
        <v>#VALUE!</v>
      </c>
    </row>
    <row r="24" spans="1:46" ht="18.75" hidden="1" customHeight="1" x14ac:dyDescent="0.25">
      <c r="A24" s="407" t="s">
        <v>578</v>
      </c>
      <c r="B24" s="54"/>
      <c r="C24" s="410" t="s">
        <v>1614</v>
      </c>
      <c r="D24" s="374" t="s">
        <v>581</v>
      </c>
      <c r="E24" s="232">
        <v>39853</v>
      </c>
      <c r="F24" s="2" t="s">
        <v>1477</v>
      </c>
      <c r="G24" s="424" t="s">
        <v>1478</v>
      </c>
      <c r="H24" s="424" t="s">
        <v>1478</v>
      </c>
      <c r="I24" s="2" t="s">
        <v>1615</v>
      </c>
      <c r="J24" s="425">
        <v>1226.4000000000001</v>
      </c>
      <c r="K24" s="425">
        <v>1262</v>
      </c>
      <c r="L24" s="425"/>
      <c r="M24" s="425"/>
      <c r="N24" s="425"/>
      <c r="O24" s="425"/>
      <c r="P24" s="426"/>
      <c r="Q24" s="425"/>
      <c r="R24" s="425"/>
      <c r="S24" s="425"/>
      <c r="T24" s="425"/>
      <c r="U24" s="425"/>
      <c r="V24" s="425"/>
      <c r="W24" s="424"/>
      <c r="X24" s="424"/>
      <c r="Y24" s="424">
        <f t="shared" si="0"/>
        <v>35.599999999999909</v>
      </c>
      <c r="Z24" s="424" t="str">
        <f t="shared" si="1"/>
        <v/>
      </c>
      <c r="AA24" s="424" t="str">
        <f t="shared" si="2"/>
        <v/>
      </c>
      <c r="AB24" s="424" t="str">
        <f t="shared" si="3"/>
        <v/>
      </c>
      <c r="AC24" s="424" t="str">
        <f t="shared" si="4"/>
        <v/>
      </c>
      <c r="AD24" s="424" t="str">
        <f t="shared" si="5"/>
        <v/>
      </c>
      <c r="AE24" s="424" t="str">
        <f t="shared" si="6"/>
        <v/>
      </c>
      <c r="AF24" s="424" t="str">
        <f t="shared" si="7"/>
        <v/>
      </c>
      <c r="AG24" s="424" t="str">
        <f t="shared" si="8"/>
        <v/>
      </c>
      <c r="AH24" s="424" t="str">
        <f t="shared" si="9"/>
        <v/>
      </c>
      <c r="AI24" s="424" t="str">
        <f t="shared" si="10"/>
        <v/>
      </c>
      <c r="AJ24" s="424" t="str">
        <f t="shared" si="11"/>
        <v/>
      </c>
      <c r="AK24" s="424">
        <v>1</v>
      </c>
      <c r="AL24" s="425">
        <f t="shared" ca="1" si="12"/>
        <v>0</v>
      </c>
      <c r="AM24" s="425">
        <f t="shared" ca="1" si="13"/>
        <v>0</v>
      </c>
      <c r="AN24" s="425" t="str">
        <f ca="1">IF(AND(Tabla7[[#This Row],[UltLec]]&lt;&gt;0,Tabla7[[#This Row],[PenLect]]&lt;&gt;0),(AM24-AL24)*Tabla7[[#This Row],[RT]],"N/A")</f>
        <v>N/A</v>
      </c>
      <c r="AO24" s="380" t="s">
        <v>852</v>
      </c>
      <c r="AP24" s="380" t="s">
        <v>1075</v>
      </c>
      <c r="AQ24" s="380" t="s">
        <v>1077</v>
      </c>
      <c r="AR24" s="2">
        <f t="shared" si="14"/>
        <v>0</v>
      </c>
      <c r="AT24" s="2" t="e">
        <f t="shared" ca="1" si="15"/>
        <v>#VALUE!</v>
      </c>
    </row>
    <row r="25" spans="1:46" ht="18" hidden="1" customHeight="1" x14ac:dyDescent="0.25">
      <c r="A25" s="405" t="s">
        <v>578</v>
      </c>
      <c r="B25" s="54"/>
      <c r="C25" s="435" t="s">
        <v>394</v>
      </c>
      <c r="D25" s="54" t="s">
        <v>581</v>
      </c>
      <c r="E25" s="232">
        <v>3</v>
      </c>
      <c r="F25" s="2" t="s">
        <v>21</v>
      </c>
      <c r="G25" s="424" t="s">
        <v>600</v>
      </c>
      <c r="H25" s="424" t="s">
        <v>601</v>
      </c>
      <c r="I25" s="2" t="s">
        <v>1070</v>
      </c>
      <c r="J25" s="425">
        <v>15928.9</v>
      </c>
      <c r="K25" s="425">
        <v>16058</v>
      </c>
      <c r="L25" s="425"/>
      <c r="M25" s="425"/>
      <c r="N25" s="425"/>
      <c r="O25" s="425"/>
      <c r="P25" s="426"/>
      <c r="Q25" s="425"/>
      <c r="R25" s="425"/>
      <c r="S25" s="425"/>
      <c r="T25" s="425"/>
      <c r="U25" s="425"/>
      <c r="V25" s="425"/>
      <c r="W25" s="424"/>
      <c r="X25" s="424"/>
      <c r="Y25" s="424">
        <f t="shared" si="0"/>
        <v>129.10000000000036</v>
      </c>
      <c r="Z25" s="424" t="str">
        <f t="shared" si="1"/>
        <v/>
      </c>
      <c r="AA25" s="424" t="str">
        <f t="shared" si="2"/>
        <v/>
      </c>
      <c r="AB25" s="424" t="str">
        <f t="shared" si="3"/>
        <v/>
      </c>
      <c r="AC25" s="424" t="str">
        <f t="shared" si="4"/>
        <v/>
      </c>
      <c r="AD25" s="424" t="str">
        <f t="shared" si="5"/>
        <v/>
      </c>
      <c r="AE25" s="424" t="str">
        <f t="shared" si="6"/>
        <v/>
      </c>
      <c r="AF25" s="424" t="str">
        <f t="shared" si="7"/>
        <v/>
      </c>
      <c r="AG25" s="424" t="str">
        <f t="shared" si="8"/>
        <v/>
      </c>
      <c r="AH25" s="424" t="str">
        <f t="shared" si="9"/>
        <v/>
      </c>
      <c r="AI25" s="424" t="str">
        <f t="shared" si="10"/>
        <v/>
      </c>
      <c r="AJ25" s="424" t="str">
        <f t="shared" si="11"/>
        <v/>
      </c>
      <c r="AK25" s="424">
        <v>1</v>
      </c>
      <c r="AL25" s="425">
        <f t="shared" ca="1" si="12"/>
        <v>0</v>
      </c>
      <c r="AM25" s="425">
        <f t="shared" ca="1" si="13"/>
        <v>0</v>
      </c>
      <c r="AN25" s="425" t="str">
        <f ca="1">IF(AND(Tabla7[[#This Row],[UltLec]]&lt;&gt;0,Tabla7[[#This Row],[PenLect]]&lt;&gt;0),(AM25-AL25)*Tabla7[[#This Row],[RT]],"N/A")</f>
        <v>N/A</v>
      </c>
      <c r="AO25" s="380" t="s">
        <v>852</v>
      </c>
      <c r="AP25" s="380" t="s">
        <v>1075</v>
      </c>
      <c r="AQ25" s="380" t="s">
        <v>1074</v>
      </c>
      <c r="AR25" s="2">
        <f t="shared" si="14"/>
        <v>0</v>
      </c>
      <c r="AT25" s="2" t="e">
        <f t="shared" ca="1" si="15"/>
        <v>#VALUE!</v>
      </c>
    </row>
    <row r="26" spans="1:46" ht="18" hidden="1" customHeight="1" x14ac:dyDescent="0.25">
      <c r="A26" s="405" t="s">
        <v>701</v>
      </c>
      <c r="B26" s="54"/>
      <c r="C26" s="368" t="s">
        <v>398</v>
      </c>
      <c r="D26" s="54" t="s">
        <v>581</v>
      </c>
      <c r="E26" s="232">
        <v>0</v>
      </c>
      <c r="F26" s="2" t="s">
        <v>21</v>
      </c>
      <c r="G26" s="2" t="s">
        <v>585</v>
      </c>
      <c r="H26" s="2" t="s">
        <v>606</v>
      </c>
      <c r="I26" s="2"/>
      <c r="J26" s="260">
        <v>3385338</v>
      </c>
      <c r="K26" s="260" t="s">
        <v>1716</v>
      </c>
      <c r="L26" s="260"/>
      <c r="O26" s="260"/>
      <c r="P26" s="260"/>
      <c r="Q26" s="260"/>
      <c r="R26" s="260"/>
      <c r="S26" s="260"/>
      <c r="U26" s="260"/>
      <c r="V26" s="260"/>
      <c r="W26" s="2"/>
      <c r="X26" s="2"/>
      <c r="Y26" s="2" t="e">
        <f t="shared" si="0"/>
        <v>#VALUE!</v>
      </c>
      <c r="Z26" s="2" t="str">
        <f t="shared" si="1"/>
        <v/>
      </c>
      <c r="AA26" s="2" t="str">
        <f t="shared" si="2"/>
        <v/>
      </c>
      <c r="AB26" s="2" t="str">
        <f t="shared" si="3"/>
        <v/>
      </c>
      <c r="AC26" s="2" t="str">
        <f t="shared" si="4"/>
        <v/>
      </c>
      <c r="AD26" s="2" t="str">
        <f t="shared" si="5"/>
        <v/>
      </c>
      <c r="AE26" s="2" t="str">
        <f t="shared" si="6"/>
        <v/>
      </c>
      <c r="AF26" s="2" t="str">
        <f t="shared" si="7"/>
        <v/>
      </c>
      <c r="AG26" s="2" t="str">
        <f t="shared" si="8"/>
        <v/>
      </c>
      <c r="AH26" s="2" t="str">
        <f t="shared" si="9"/>
        <v/>
      </c>
      <c r="AI26" s="2" t="str">
        <f t="shared" si="10"/>
        <v/>
      </c>
      <c r="AJ26" s="2" t="str">
        <f t="shared" si="11"/>
        <v/>
      </c>
      <c r="AK26" s="2">
        <v>1</v>
      </c>
      <c r="AL26" s="260">
        <f t="shared" ca="1" si="12"/>
        <v>0</v>
      </c>
      <c r="AM26" s="260">
        <f t="shared" ca="1" si="13"/>
        <v>0</v>
      </c>
      <c r="AN26" s="260" t="str">
        <f ca="1">IF(AND(Tabla7[[#This Row],[UltLec]]&lt;&gt;0,Tabla7[[#This Row],[PenLect]]&lt;&gt;0),(AM26-AL26)*Tabla7[[#This Row],[RT]],"N/A")</f>
        <v>N/A</v>
      </c>
      <c r="AO26" s="380" t="s">
        <v>852</v>
      </c>
      <c r="AP26" s="380" t="s">
        <v>1075</v>
      </c>
      <c r="AQ26" s="380" t="s">
        <v>1074</v>
      </c>
      <c r="AR26" s="2">
        <f t="shared" si="14"/>
        <v>0</v>
      </c>
      <c r="AT26" s="2" t="e">
        <f t="shared" ca="1" si="15"/>
        <v>#VALUE!</v>
      </c>
    </row>
    <row r="27" spans="1:46" ht="18" hidden="1" customHeight="1" x14ac:dyDescent="0.25">
      <c r="A27" s="405" t="s">
        <v>578</v>
      </c>
      <c r="B27" s="54"/>
      <c r="C27" s="368" t="s">
        <v>393</v>
      </c>
      <c r="D27" s="54" t="s">
        <v>581</v>
      </c>
      <c r="E27" s="232">
        <v>39895</v>
      </c>
      <c r="F27" s="2" t="s">
        <v>1258</v>
      </c>
      <c r="G27" s="2" t="s">
        <v>585</v>
      </c>
      <c r="H27" s="2" t="s">
        <v>591</v>
      </c>
      <c r="I27" s="2"/>
      <c r="J27" s="260">
        <v>608873</v>
      </c>
      <c r="K27" s="260">
        <v>611600</v>
      </c>
      <c r="L27" s="260"/>
      <c r="O27" s="260"/>
      <c r="P27" s="260"/>
      <c r="Q27" s="260"/>
      <c r="R27" s="260"/>
      <c r="S27" s="260"/>
      <c r="U27" s="260"/>
      <c r="V27" s="260"/>
      <c r="W27" s="2"/>
      <c r="X27" s="2"/>
      <c r="Y27" s="2">
        <f t="shared" si="0"/>
        <v>2727</v>
      </c>
      <c r="Z27" s="2" t="str">
        <f t="shared" si="1"/>
        <v/>
      </c>
      <c r="AA27" s="2" t="str">
        <f t="shared" si="2"/>
        <v/>
      </c>
      <c r="AB27" s="2" t="str">
        <f t="shared" si="3"/>
        <v/>
      </c>
      <c r="AC27" s="2" t="str">
        <f t="shared" si="4"/>
        <v/>
      </c>
      <c r="AD27" s="2" t="str">
        <f t="shared" si="5"/>
        <v/>
      </c>
      <c r="AE27" s="2" t="str">
        <f t="shared" si="6"/>
        <v/>
      </c>
      <c r="AF27" s="2" t="str">
        <f t="shared" si="7"/>
        <v/>
      </c>
      <c r="AG27" s="2" t="str">
        <f t="shared" si="8"/>
        <v/>
      </c>
      <c r="AH27" s="2" t="str">
        <f t="shared" si="9"/>
        <v/>
      </c>
      <c r="AI27" s="2" t="str">
        <f t="shared" si="10"/>
        <v/>
      </c>
      <c r="AJ27" s="2" t="str">
        <f t="shared" si="11"/>
        <v/>
      </c>
      <c r="AK27" s="2">
        <v>1</v>
      </c>
      <c r="AL27" s="260">
        <f t="shared" ca="1" si="12"/>
        <v>0</v>
      </c>
      <c r="AM27" s="260">
        <f t="shared" ca="1" si="13"/>
        <v>0</v>
      </c>
      <c r="AN27" s="260" t="str">
        <f ca="1">IF(AND(Tabla7[[#This Row],[UltLec]]&lt;&gt;0,Tabla7[[#This Row],[PenLect]]&lt;&gt;0),(AM27-AL27)*Tabla7[[#This Row],[RT]],"N/A")</f>
        <v>N/A</v>
      </c>
      <c r="AO27" s="380" t="s">
        <v>852</v>
      </c>
      <c r="AP27" s="380" t="s">
        <v>1075</v>
      </c>
      <c r="AQ27" s="380" t="s">
        <v>1074</v>
      </c>
      <c r="AR27" s="2">
        <f t="shared" si="14"/>
        <v>0</v>
      </c>
      <c r="AT27" s="2" t="e">
        <f t="shared" ca="1" si="15"/>
        <v>#VALUE!</v>
      </c>
    </row>
    <row r="28" spans="1:46" ht="18" hidden="1" customHeight="1" x14ac:dyDescent="0.25">
      <c r="A28" s="405" t="s">
        <v>578</v>
      </c>
      <c r="B28" s="54"/>
      <c r="C28" s="368" t="s">
        <v>392</v>
      </c>
      <c r="D28" s="54" t="s">
        <v>581</v>
      </c>
      <c r="E28" s="232">
        <v>3</v>
      </c>
      <c r="F28" s="2" t="s">
        <v>21</v>
      </c>
      <c r="G28" s="2" t="s">
        <v>585</v>
      </c>
      <c r="H28" s="2" t="s">
        <v>590</v>
      </c>
      <c r="I28" s="2"/>
      <c r="J28" s="260">
        <v>2083</v>
      </c>
      <c r="K28" s="260">
        <v>2102</v>
      </c>
      <c r="L28" s="260"/>
      <c r="O28" s="260"/>
      <c r="P28" s="260"/>
      <c r="Q28" s="260"/>
      <c r="R28" s="260"/>
      <c r="S28" s="260"/>
      <c r="U28" s="260"/>
      <c r="V28" s="260"/>
      <c r="W28" s="2"/>
      <c r="X28" s="2"/>
      <c r="Y28" s="2">
        <f t="shared" si="0"/>
        <v>19</v>
      </c>
      <c r="Z28" s="2" t="str">
        <f t="shared" si="1"/>
        <v/>
      </c>
      <c r="AA28" s="2" t="str">
        <f t="shared" si="2"/>
        <v/>
      </c>
      <c r="AB28" s="2" t="str">
        <f t="shared" si="3"/>
        <v/>
      </c>
      <c r="AC28" s="2" t="str">
        <f t="shared" si="4"/>
        <v/>
      </c>
      <c r="AD28" s="2" t="str">
        <f t="shared" si="5"/>
        <v/>
      </c>
      <c r="AE28" s="2" t="str">
        <f t="shared" si="6"/>
        <v/>
      </c>
      <c r="AF28" s="2" t="str">
        <f t="shared" si="7"/>
        <v/>
      </c>
      <c r="AG28" s="2" t="str">
        <f t="shared" si="8"/>
        <v/>
      </c>
      <c r="AH28" s="2" t="str">
        <f t="shared" si="9"/>
        <v/>
      </c>
      <c r="AI28" s="2" t="str">
        <f t="shared" si="10"/>
        <v/>
      </c>
      <c r="AJ28" s="2" t="str">
        <f t="shared" si="11"/>
        <v/>
      </c>
      <c r="AK28" s="2">
        <v>1</v>
      </c>
      <c r="AL28" s="260">
        <f t="shared" ca="1" si="12"/>
        <v>0</v>
      </c>
      <c r="AM28" s="260">
        <f t="shared" ca="1" si="13"/>
        <v>0</v>
      </c>
      <c r="AN28" s="260" t="str">
        <f ca="1">IF(AND(Tabla7[[#This Row],[UltLec]]&lt;&gt;0,Tabla7[[#This Row],[PenLect]]&lt;&gt;0),(AM28-AL28)*Tabla7[[#This Row],[RT]],"N/A")</f>
        <v>N/A</v>
      </c>
      <c r="AO28" s="380" t="s">
        <v>852</v>
      </c>
      <c r="AP28" s="380" t="s">
        <v>1075</v>
      </c>
      <c r="AQ28" s="380" t="s">
        <v>1074</v>
      </c>
      <c r="AR28" s="2">
        <f t="shared" si="14"/>
        <v>0</v>
      </c>
      <c r="AT28" s="2" t="e">
        <f t="shared" ca="1" si="15"/>
        <v>#VALUE!</v>
      </c>
    </row>
    <row r="29" spans="1:46" ht="18" hidden="1" customHeight="1" x14ac:dyDescent="0.25">
      <c r="A29" s="405" t="s">
        <v>701</v>
      </c>
      <c r="B29" s="54"/>
      <c r="C29" s="368" t="s">
        <v>391</v>
      </c>
      <c r="D29" s="54" t="s">
        <v>581</v>
      </c>
      <c r="E29" s="232">
        <v>3</v>
      </c>
      <c r="F29" s="2" t="s">
        <v>21</v>
      </c>
      <c r="G29" s="2" t="s">
        <v>585</v>
      </c>
      <c r="H29" s="2" t="s">
        <v>1283</v>
      </c>
      <c r="I29" s="2"/>
      <c r="J29" s="260">
        <v>335247</v>
      </c>
      <c r="K29" s="260">
        <v>336318</v>
      </c>
      <c r="L29" s="260"/>
      <c r="O29" s="260"/>
      <c r="P29" s="260"/>
      <c r="Q29" s="260"/>
      <c r="R29" s="260"/>
      <c r="S29" s="260"/>
      <c r="U29" s="260"/>
      <c r="V29" s="260"/>
      <c r="W29" s="2"/>
      <c r="X29" s="2"/>
      <c r="Y29" s="2">
        <f t="shared" si="0"/>
        <v>1071</v>
      </c>
      <c r="Z29" s="2" t="str">
        <f t="shared" si="1"/>
        <v/>
      </c>
      <c r="AA29" s="2" t="str">
        <f t="shared" si="2"/>
        <v/>
      </c>
      <c r="AB29" s="2" t="str">
        <f t="shared" si="3"/>
        <v/>
      </c>
      <c r="AC29" s="2" t="str">
        <f t="shared" si="4"/>
        <v/>
      </c>
      <c r="AD29" s="2" t="str">
        <f t="shared" si="5"/>
        <v/>
      </c>
      <c r="AE29" s="2" t="str">
        <f t="shared" si="6"/>
        <v/>
      </c>
      <c r="AF29" s="2" t="str">
        <f t="shared" si="7"/>
        <v/>
      </c>
      <c r="AG29" s="2" t="str">
        <f t="shared" si="8"/>
        <v/>
      </c>
      <c r="AH29" s="2" t="str">
        <f t="shared" si="9"/>
        <v/>
      </c>
      <c r="AI29" s="2" t="str">
        <f t="shared" si="10"/>
        <v/>
      </c>
      <c r="AJ29" s="2" t="str">
        <f t="shared" si="11"/>
        <v/>
      </c>
      <c r="AK29" s="2">
        <v>1</v>
      </c>
      <c r="AL29" s="260">
        <f t="shared" ca="1" si="12"/>
        <v>0</v>
      </c>
      <c r="AM29" s="260">
        <f t="shared" ca="1" si="13"/>
        <v>0</v>
      </c>
      <c r="AN29" s="260" t="str">
        <f ca="1">IF(AND(Tabla7[[#This Row],[UltLec]]&lt;&gt;0,Tabla7[[#This Row],[PenLect]]&lt;&gt;0),(AM29-AL29)*Tabla7[[#This Row],[RT]],"N/A")</f>
        <v>N/A</v>
      </c>
      <c r="AO29" s="380" t="s">
        <v>852</v>
      </c>
      <c r="AP29" s="380" t="s">
        <v>1075</v>
      </c>
      <c r="AQ29" s="380" t="s">
        <v>1074</v>
      </c>
      <c r="AR29" s="2">
        <f t="shared" si="14"/>
        <v>0</v>
      </c>
      <c r="AT29" s="2" t="e">
        <f t="shared" ca="1" si="15"/>
        <v>#VALUE!</v>
      </c>
    </row>
    <row r="30" spans="1:46" ht="18.75" hidden="1" customHeight="1" x14ac:dyDescent="0.25">
      <c r="A30" s="405" t="s">
        <v>578</v>
      </c>
      <c r="B30" s="54"/>
      <c r="C30" s="368" t="s">
        <v>390</v>
      </c>
      <c r="D30" s="54" t="s">
        <v>581</v>
      </c>
      <c r="E30" s="232">
        <v>3</v>
      </c>
      <c r="F30" s="2" t="s">
        <v>21</v>
      </c>
      <c r="G30" s="2" t="s">
        <v>585</v>
      </c>
      <c r="H30" s="2" t="s">
        <v>589</v>
      </c>
      <c r="I30" s="2"/>
      <c r="J30" s="260">
        <v>30143</v>
      </c>
      <c r="K30" s="260">
        <v>30143</v>
      </c>
      <c r="L30" s="260"/>
      <c r="O30" s="260"/>
      <c r="P30" s="260"/>
      <c r="Q30" s="260"/>
      <c r="R30" s="260"/>
      <c r="S30" s="260"/>
      <c r="U30" s="260"/>
      <c r="V30" s="260"/>
      <c r="W30" s="2"/>
      <c r="X30" s="2"/>
      <c r="Y30" s="2">
        <f t="shared" si="0"/>
        <v>0</v>
      </c>
      <c r="Z30" s="2" t="str">
        <f t="shared" si="1"/>
        <v/>
      </c>
      <c r="AA30" s="2" t="str">
        <f t="shared" si="2"/>
        <v/>
      </c>
      <c r="AB30" s="2" t="str">
        <f t="shared" si="3"/>
        <v/>
      </c>
      <c r="AC30" s="2" t="str">
        <f t="shared" si="4"/>
        <v/>
      </c>
      <c r="AD30" s="2" t="str">
        <f t="shared" si="5"/>
        <v/>
      </c>
      <c r="AE30" s="2" t="str">
        <f t="shared" si="6"/>
        <v/>
      </c>
      <c r="AF30" s="2" t="str">
        <f t="shared" si="7"/>
        <v/>
      </c>
      <c r="AG30" s="2" t="str">
        <f t="shared" si="8"/>
        <v/>
      </c>
      <c r="AH30" s="2" t="str">
        <f t="shared" si="9"/>
        <v/>
      </c>
      <c r="AI30" s="2" t="str">
        <f t="shared" si="10"/>
        <v/>
      </c>
      <c r="AJ30" s="2" t="str">
        <f t="shared" si="11"/>
        <v/>
      </c>
      <c r="AK30" s="2">
        <v>1</v>
      </c>
      <c r="AL30" s="260">
        <f t="shared" ca="1" si="12"/>
        <v>0</v>
      </c>
      <c r="AM30" s="260">
        <f t="shared" ca="1" si="13"/>
        <v>0</v>
      </c>
      <c r="AN30" s="260" t="str">
        <f ca="1">IF(AND(Tabla7[[#This Row],[UltLec]]&lt;&gt;0,Tabla7[[#This Row],[PenLect]]&lt;&gt;0),(AM30-AL30)*Tabla7[[#This Row],[RT]],"N/A")</f>
        <v>N/A</v>
      </c>
      <c r="AO30" s="380" t="s">
        <v>852</v>
      </c>
      <c r="AP30" s="380" t="s">
        <v>1075</v>
      </c>
      <c r="AQ30" s="380" t="s">
        <v>1074</v>
      </c>
      <c r="AR30" s="2">
        <f t="shared" si="14"/>
        <v>0</v>
      </c>
      <c r="AT30" s="2" t="e">
        <f t="shared" ca="1" si="15"/>
        <v>#VALUE!</v>
      </c>
    </row>
    <row r="31" spans="1:46" ht="18" hidden="1" customHeight="1" x14ac:dyDescent="0.25">
      <c r="A31" s="405" t="s">
        <v>578</v>
      </c>
      <c r="B31" s="54"/>
      <c r="C31" s="368" t="s">
        <v>389</v>
      </c>
      <c r="D31" s="54" t="s">
        <v>581</v>
      </c>
      <c r="E31" s="232">
        <v>39835</v>
      </c>
      <c r="F31" s="2" t="s">
        <v>587</v>
      </c>
      <c r="G31" s="2" t="s">
        <v>588</v>
      </c>
      <c r="H31" s="2" t="s">
        <v>1257</v>
      </c>
      <c r="I31" s="2"/>
      <c r="J31" s="260">
        <v>125421</v>
      </c>
      <c r="K31" s="260">
        <v>126089</v>
      </c>
      <c r="L31" s="260"/>
      <c r="O31" s="260"/>
      <c r="P31" s="260"/>
      <c r="Q31" s="260"/>
      <c r="R31" s="260"/>
      <c r="S31" s="260"/>
      <c r="U31" s="260"/>
      <c r="V31" s="260"/>
      <c r="W31" s="2"/>
      <c r="X31" s="2"/>
      <c r="Y31" s="2">
        <f t="shared" si="0"/>
        <v>668</v>
      </c>
      <c r="Z31" s="2" t="str">
        <f t="shared" si="1"/>
        <v/>
      </c>
      <c r="AA31" s="2" t="str">
        <f t="shared" si="2"/>
        <v/>
      </c>
      <c r="AB31" s="2" t="str">
        <f t="shared" si="3"/>
        <v/>
      </c>
      <c r="AC31" s="2" t="str">
        <f t="shared" si="4"/>
        <v/>
      </c>
      <c r="AD31" s="2" t="str">
        <f t="shared" si="5"/>
        <v/>
      </c>
      <c r="AE31" s="2" t="str">
        <f t="shared" si="6"/>
        <v/>
      </c>
      <c r="AF31" s="2" t="str">
        <f t="shared" si="7"/>
        <v/>
      </c>
      <c r="AG31" s="2" t="str">
        <f t="shared" si="8"/>
        <v/>
      </c>
      <c r="AH31" s="2" t="str">
        <f t="shared" si="9"/>
        <v/>
      </c>
      <c r="AI31" s="2" t="str">
        <f t="shared" si="10"/>
        <v/>
      </c>
      <c r="AJ31" s="2" t="str">
        <f t="shared" si="11"/>
        <v/>
      </c>
      <c r="AK31" s="2">
        <v>1</v>
      </c>
      <c r="AL31" s="260">
        <f t="shared" ca="1" si="12"/>
        <v>0</v>
      </c>
      <c r="AM31" s="260">
        <f t="shared" ca="1" si="13"/>
        <v>0</v>
      </c>
      <c r="AN31" s="260" t="str">
        <f ca="1">IF(AND(Tabla7[[#This Row],[UltLec]]&lt;&gt;0,Tabla7[[#This Row],[PenLect]]&lt;&gt;0),(AM31-AL31)*Tabla7[[#This Row],[RT]],"N/A")</f>
        <v>N/A</v>
      </c>
      <c r="AO31" s="380" t="s">
        <v>852</v>
      </c>
      <c r="AP31" s="380" t="s">
        <v>1075</v>
      </c>
      <c r="AQ31" s="380" t="s">
        <v>1077</v>
      </c>
      <c r="AR31" s="2">
        <f t="shared" si="14"/>
        <v>0</v>
      </c>
      <c r="AT31" s="2" t="e">
        <f t="shared" ca="1" si="15"/>
        <v>#VALUE!</v>
      </c>
    </row>
    <row r="32" spans="1:46" ht="18" hidden="1" customHeight="1" x14ac:dyDescent="0.25">
      <c r="A32" s="405" t="s">
        <v>578</v>
      </c>
      <c r="B32" s="54"/>
      <c r="C32" s="368" t="s">
        <v>385</v>
      </c>
      <c r="D32" s="54" t="s">
        <v>581</v>
      </c>
      <c r="E32" s="232">
        <v>3</v>
      </c>
      <c r="F32" s="2" t="s">
        <v>21</v>
      </c>
      <c r="G32" s="2" t="s">
        <v>585</v>
      </c>
      <c r="H32" s="2" t="s">
        <v>1254</v>
      </c>
      <c r="I32" s="2"/>
      <c r="J32" s="260">
        <v>807664</v>
      </c>
      <c r="K32" s="260">
        <v>812761</v>
      </c>
      <c r="L32" s="260"/>
      <c r="O32" s="260"/>
      <c r="P32" s="260"/>
      <c r="Q32" s="260"/>
      <c r="R32" s="260"/>
      <c r="S32" s="260"/>
      <c r="U32" s="392"/>
      <c r="V32" s="260"/>
      <c r="W32" s="2"/>
      <c r="X32" s="2"/>
      <c r="Y32" s="2">
        <f t="shared" si="0"/>
        <v>5097</v>
      </c>
      <c r="Z32" s="2" t="str">
        <f t="shared" si="1"/>
        <v/>
      </c>
      <c r="AA32" s="2" t="str">
        <f t="shared" si="2"/>
        <v/>
      </c>
      <c r="AB32" s="2" t="str">
        <f t="shared" si="3"/>
        <v/>
      </c>
      <c r="AC32" s="2" t="str">
        <f t="shared" si="4"/>
        <v/>
      </c>
      <c r="AD32" s="2" t="str">
        <f t="shared" si="5"/>
        <v/>
      </c>
      <c r="AE32" s="2" t="str">
        <f t="shared" si="6"/>
        <v/>
      </c>
      <c r="AF32" s="2" t="str">
        <f t="shared" si="7"/>
        <v/>
      </c>
      <c r="AG32" s="2" t="str">
        <f t="shared" si="8"/>
        <v/>
      </c>
      <c r="AH32" s="2" t="str">
        <f t="shared" si="9"/>
        <v/>
      </c>
      <c r="AI32" s="2" t="str">
        <f t="shared" si="10"/>
        <v/>
      </c>
      <c r="AJ32" s="2" t="str">
        <f t="shared" si="11"/>
        <v/>
      </c>
      <c r="AK32" s="2">
        <v>1</v>
      </c>
      <c r="AL32" s="260">
        <f t="shared" ca="1" si="12"/>
        <v>0</v>
      </c>
      <c r="AM32" s="260">
        <f t="shared" ca="1" si="13"/>
        <v>0</v>
      </c>
      <c r="AN32" s="260" t="str">
        <f ca="1">IF(AND(Tabla7[[#This Row],[UltLec]]&lt;&gt;0,Tabla7[[#This Row],[PenLect]]&lt;&gt;0),(AM32-AL32)*Tabla7[[#This Row],[RT]],"N/A")</f>
        <v>N/A</v>
      </c>
      <c r="AO32" s="380" t="s">
        <v>852</v>
      </c>
      <c r="AP32" s="380" t="s">
        <v>1075</v>
      </c>
      <c r="AQ32" s="380" t="s">
        <v>1074</v>
      </c>
      <c r="AR32" s="2">
        <f t="shared" si="14"/>
        <v>0</v>
      </c>
      <c r="AT32" s="2" t="e">
        <f t="shared" ca="1" si="15"/>
        <v>#VALUE!</v>
      </c>
    </row>
    <row r="33" spans="1:46" ht="18" hidden="1" customHeight="1" x14ac:dyDescent="0.25">
      <c r="A33" s="405" t="s">
        <v>578</v>
      </c>
      <c r="B33" s="54"/>
      <c r="C33" s="368" t="s">
        <v>397</v>
      </c>
      <c r="D33" s="54" t="s">
        <v>581</v>
      </c>
      <c r="E33" s="232">
        <v>3</v>
      </c>
      <c r="F33" s="2" t="s">
        <v>21</v>
      </c>
      <c r="G33" s="2" t="s">
        <v>585</v>
      </c>
      <c r="H33" s="2" t="s">
        <v>1264</v>
      </c>
      <c r="I33" s="2"/>
      <c r="J33" s="260">
        <v>176716</v>
      </c>
      <c r="K33" s="260">
        <v>177144</v>
      </c>
      <c r="L33" s="260"/>
      <c r="O33" s="260"/>
      <c r="P33" s="260"/>
      <c r="Q33" s="260"/>
      <c r="R33" s="260"/>
      <c r="S33" s="260"/>
      <c r="U33" s="260"/>
      <c r="V33" s="260"/>
      <c r="W33" s="2"/>
      <c r="X33" s="2"/>
      <c r="Y33" s="2">
        <f t="shared" si="0"/>
        <v>428</v>
      </c>
      <c r="Z33" s="2" t="str">
        <f t="shared" si="1"/>
        <v/>
      </c>
      <c r="AA33" s="2" t="str">
        <f t="shared" si="2"/>
        <v/>
      </c>
      <c r="AB33" s="2" t="str">
        <f t="shared" si="3"/>
        <v/>
      </c>
      <c r="AC33" s="2" t="str">
        <f t="shared" si="4"/>
        <v/>
      </c>
      <c r="AD33" s="2" t="str">
        <f t="shared" si="5"/>
        <v/>
      </c>
      <c r="AE33" s="2" t="str">
        <f t="shared" si="6"/>
        <v/>
      </c>
      <c r="AF33" s="2" t="str">
        <f t="shared" si="7"/>
        <v/>
      </c>
      <c r="AG33" s="2" t="str">
        <f t="shared" si="8"/>
        <v/>
      </c>
      <c r="AH33" s="2" t="str">
        <f t="shared" si="9"/>
        <v/>
      </c>
      <c r="AI33" s="2" t="str">
        <f t="shared" si="10"/>
        <v/>
      </c>
      <c r="AJ33" s="2" t="str">
        <f t="shared" si="11"/>
        <v/>
      </c>
      <c r="AK33" s="2">
        <v>1</v>
      </c>
      <c r="AL33" s="260">
        <f t="shared" ca="1" si="12"/>
        <v>0</v>
      </c>
      <c r="AM33" s="260">
        <f t="shared" ca="1" si="13"/>
        <v>0</v>
      </c>
      <c r="AN33" s="260" t="str">
        <f ca="1">IF(AND(Tabla7[[#This Row],[UltLec]]&lt;&gt;0,Tabla7[[#This Row],[PenLect]]&lt;&gt;0),(AM33-AL33)*Tabla7[[#This Row],[RT]],"N/A")</f>
        <v>N/A</v>
      </c>
      <c r="AO33" s="380" t="s">
        <v>852</v>
      </c>
      <c r="AP33" s="380" t="s">
        <v>1075</v>
      </c>
      <c r="AQ33" s="380" t="s">
        <v>1074</v>
      </c>
      <c r="AR33" s="2">
        <f t="shared" si="14"/>
        <v>0</v>
      </c>
      <c r="AT33" s="2" t="e">
        <f t="shared" ca="1" si="15"/>
        <v>#VALUE!</v>
      </c>
    </row>
    <row r="34" spans="1:46" ht="18.75" hidden="1" customHeight="1" x14ac:dyDescent="0.25">
      <c r="A34" s="405" t="s">
        <v>578</v>
      </c>
      <c r="B34" s="54"/>
      <c r="C34" s="368" t="s">
        <v>396</v>
      </c>
      <c r="D34" s="54" t="s">
        <v>581</v>
      </c>
      <c r="E34" s="232">
        <v>3</v>
      </c>
      <c r="F34" s="2" t="s">
        <v>21</v>
      </c>
      <c r="G34" s="2" t="s">
        <v>585</v>
      </c>
      <c r="H34" s="2" t="s">
        <v>605</v>
      </c>
      <c r="I34" s="2"/>
      <c r="J34" s="260">
        <v>17</v>
      </c>
      <c r="K34" s="260">
        <v>17</v>
      </c>
      <c r="L34" s="260"/>
      <c r="O34" s="260"/>
      <c r="P34" s="260"/>
      <c r="Q34" s="260"/>
      <c r="R34" s="260"/>
      <c r="S34" s="260"/>
      <c r="U34" s="260"/>
      <c r="V34" s="260"/>
      <c r="W34" s="2"/>
      <c r="X34" s="2"/>
      <c r="Y34" s="2">
        <f t="shared" si="0"/>
        <v>0</v>
      </c>
      <c r="Z34" s="2" t="str">
        <f t="shared" si="1"/>
        <v/>
      </c>
      <c r="AA34" s="2" t="str">
        <f t="shared" si="2"/>
        <v/>
      </c>
      <c r="AB34" s="2" t="str">
        <f t="shared" si="3"/>
        <v/>
      </c>
      <c r="AC34" s="2" t="str">
        <f t="shared" si="4"/>
        <v/>
      </c>
      <c r="AD34" s="2" t="str">
        <f t="shared" si="5"/>
        <v/>
      </c>
      <c r="AE34" s="2" t="str">
        <f t="shared" si="6"/>
        <v/>
      </c>
      <c r="AF34" s="2" t="str">
        <f t="shared" si="7"/>
        <v/>
      </c>
      <c r="AG34" s="2" t="str">
        <f t="shared" si="8"/>
        <v/>
      </c>
      <c r="AH34" s="2" t="str">
        <f t="shared" si="9"/>
        <v/>
      </c>
      <c r="AI34" s="2" t="str">
        <f t="shared" si="10"/>
        <v/>
      </c>
      <c r="AJ34" s="2" t="str">
        <f t="shared" si="11"/>
        <v/>
      </c>
      <c r="AK34" s="2">
        <v>1</v>
      </c>
      <c r="AL34" s="260">
        <f t="shared" ca="1" si="12"/>
        <v>0</v>
      </c>
      <c r="AM34" s="260">
        <f t="shared" ca="1" si="13"/>
        <v>0</v>
      </c>
      <c r="AN34" s="260" t="str">
        <f ca="1">IF(AND(Tabla7[[#This Row],[UltLec]]&lt;&gt;0,Tabla7[[#This Row],[PenLect]]&lt;&gt;0),(AM34-AL34)*Tabla7[[#This Row],[RT]],"N/A")</f>
        <v>N/A</v>
      </c>
      <c r="AO34" s="380" t="s">
        <v>852</v>
      </c>
      <c r="AP34" s="380" t="s">
        <v>1075</v>
      </c>
      <c r="AQ34" s="380" t="s">
        <v>1074</v>
      </c>
      <c r="AR34" s="2">
        <f t="shared" si="14"/>
        <v>0</v>
      </c>
      <c r="AT34" s="2" t="e">
        <f t="shared" ca="1" si="15"/>
        <v>#VALUE!</v>
      </c>
    </row>
    <row r="35" spans="1:46" ht="18.75" hidden="1" customHeight="1" x14ac:dyDescent="0.25">
      <c r="A35" s="405" t="s">
        <v>701</v>
      </c>
      <c r="B35" s="54"/>
      <c r="C35" s="368" t="s">
        <v>386</v>
      </c>
      <c r="D35" s="54" t="s">
        <v>581</v>
      </c>
      <c r="E35" s="232">
        <v>0</v>
      </c>
      <c r="F35" s="2" t="s">
        <v>21</v>
      </c>
      <c r="G35" s="2" t="s">
        <v>585</v>
      </c>
      <c r="H35" s="2" t="s">
        <v>1255</v>
      </c>
      <c r="I35" s="2"/>
      <c r="J35" s="260">
        <v>495931</v>
      </c>
      <c r="K35" s="260">
        <v>499502</v>
      </c>
      <c r="L35" s="260"/>
      <c r="O35" s="260"/>
      <c r="P35" s="260"/>
      <c r="Q35" s="260"/>
      <c r="R35" s="260"/>
      <c r="S35" s="260"/>
      <c r="U35" s="260"/>
      <c r="V35" s="260"/>
      <c r="W35" s="2"/>
      <c r="X35" s="2"/>
      <c r="Y35" s="2">
        <f t="shared" si="0"/>
        <v>3571</v>
      </c>
      <c r="Z35" s="2" t="str">
        <f t="shared" si="1"/>
        <v/>
      </c>
      <c r="AA35" s="2" t="str">
        <f t="shared" si="2"/>
        <v/>
      </c>
      <c r="AB35" s="2" t="str">
        <f t="shared" si="3"/>
        <v/>
      </c>
      <c r="AC35" s="2" t="str">
        <f t="shared" si="4"/>
        <v/>
      </c>
      <c r="AD35" s="2" t="str">
        <f t="shared" si="5"/>
        <v/>
      </c>
      <c r="AE35" s="2" t="str">
        <f t="shared" si="6"/>
        <v/>
      </c>
      <c r="AF35" s="2" t="str">
        <f t="shared" si="7"/>
        <v/>
      </c>
      <c r="AG35" s="2" t="str">
        <f t="shared" si="8"/>
        <v/>
      </c>
      <c r="AH35" s="2" t="str">
        <f t="shared" si="9"/>
        <v/>
      </c>
      <c r="AI35" s="2" t="str">
        <f t="shared" si="10"/>
        <v/>
      </c>
      <c r="AJ35" s="2" t="str">
        <f t="shared" si="11"/>
        <v/>
      </c>
      <c r="AK35" s="2">
        <v>1</v>
      </c>
      <c r="AL35" s="260">
        <f t="shared" ca="1" si="12"/>
        <v>0</v>
      </c>
      <c r="AM35" s="260">
        <f t="shared" ca="1" si="13"/>
        <v>0</v>
      </c>
      <c r="AN35" s="260" t="str">
        <f ca="1">IF(AND(Tabla7[[#This Row],[UltLec]]&lt;&gt;0,Tabla7[[#This Row],[PenLect]]&lt;&gt;0),(AM35-AL35)*Tabla7[[#This Row],[RT]],"N/A")</f>
        <v>N/A</v>
      </c>
      <c r="AO35" s="380" t="s">
        <v>852</v>
      </c>
      <c r="AP35" s="380" t="s">
        <v>1075</v>
      </c>
      <c r="AQ35" s="380" t="s">
        <v>1074</v>
      </c>
      <c r="AR35" s="2">
        <f t="shared" si="14"/>
        <v>0</v>
      </c>
      <c r="AT35" s="2" t="e">
        <f t="shared" ca="1" si="15"/>
        <v>#VALUE!</v>
      </c>
    </row>
    <row r="36" spans="1:46" ht="18.75" hidden="1" customHeight="1" x14ac:dyDescent="0.25">
      <c r="A36" s="405" t="s">
        <v>701</v>
      </c>
      <c r="B36" s="54"/>
      <c r="C36" s="368" t="s">
        <v>387</v>
      </c>
      <c r="D36" s="54" t="s">
        <v>581</v>
      </c>
      <c r="E36" s="232">
        <v>0</v>
      </c>
      <c r="F36" s="2" t="s">
        <v>21</v>
      </c>
      <c r="G36" s="2" t="s">
        <v>585</v>
      </c>
      <c r="H36" s="2" t="s">
        <v>586</v>
      </c>
      <c r="I36" s="2"/>
      <c r="J36" s="260">
        <v>795010</v>
      </c>
      <c r="K36" s="260">
        <v>799882</v>
      </c>
      <c r="L36" s="260"/>
      <c r="O36" s="260"/>
      <c r="P36" s="260"/>
      <c r="Q36" s="260"/>
      <c r="R36" s="260"/>
      <c r="S36" s="260"/>
      <c r="U36" s="260"/>
      <c r="V36" s="260"/>
      <c r="W36" s="2"/>
      <c r="X36" s="2"/>
      <c r="Y36" s="2">
        <f t="shared" si="0"/>
        <v>4872</v>
      </c>
      <c r="Z36" s="2" t="str">
        <f t="shared" si="1"/>
        <v/>
      </c>
      <c r="AA36" s="2" t="str">
        <f t="shared" si="2"/>
        <v/>
      </c>
      <c r="AB36" s="2" t="str">
        <f t="shared" si="3"/>
        <v/>
      </c>
      <c r="AC36" s="2" t="str">
        <f t="shared" si="4"/>
        <v/>
      </c>
      <c r="AD36" s="2" t="str">
        <f t="shared" si="5"/>
        <v/>
      </c>
      <c r="AE36" s="2" t="str">
        <f t="shared" si="6"/>
        <v/>
      </c>
      <c r="AF36" s="2" t="str">
        <f t="shared" si="7"/>
        <v/>
      </c>
      <c r="AG36" s="2" t="str">
        <f t="shared" si="8"/>
        <v/>
      </c>
      <c r="AH36" s="2" t="str">
        <f t="shared" si="9"/>
        <v/>
      </c>
      <c r="AI36" s="2" t="str">
        <f t="shared" si="10"/>
        <v/>
      </c>
      <c r="AJ36" s="2" t="str">
        <f t="shared" si="11"/>
        <v/>
      </c>
      <c r="AK36" s="2">
        <v>1</v>
      </c>
      <c r="AL36" s="260">
        <f t="shared" ca="1" si="12"/>
        <v>0</v>
      </c>
      <c r="AM36" s="260">
        <f t="shared" ca="1" si="13"/>
        <v>0</v>
      </c>
      <c r="AN36" s="260" t="str">
        <f ca="1">IF(AND(Tabla7[[#This Row],[UltLec]]&lt;&gt;0,Tabla7[[#This Row],[PenLect]]&lt;&gt;0),(AM36-AL36)*Tabla7[[#This Row],[RT]],"N/A")</f>
        <v>N/A</v>
      </c>
      <c r="AO36" s="380" t="s">
        <v>852</v>
      </c>
      <c r="AP36" s="380" t="s">
        <v>1075</v>
      </c>
      <c r="AQ36" s="380" t="s">
        <v>1074</v>
      </c>
      <c r="AR36" s="2">
        <f t="shared" si="14"/>
        <v>0</v>
      </c>
      <c r="AT36" s="2" t="e">
        <f t="shared" ca="1" si="15"/>
        <v>#VALUE!</v>
      </c>
    </row>
    <row r="37" spans="1:46" ht="18" hidden="1" customHeight="1" x14ac:dyDescent="0.25">
      <c r="A37" s="405" t="s">
        <v>578</v>
      </c>
      <c r="B37" s="54"/>
      <c r="C37" s="368" t="s">
        <v>399</v>
      </c>
      <c r="D37" s="54" t="s">
        <v>581</v>
      </c>
      <c r="E37" s="232">
        <v>3</v>
      </c>
      <c r="F37" s="2" t="s">
        <v>21</v>
      </c>
      <c r="G37" s="2" t="s">
        <v>585</v>
      </c>
      <c r="H37" s="2" t="s">
        <v>607</v>
      </c>
      <c r="I37" s="2"/>
      <c r="J37" s="260">
        <v>57831</v>
      </c>
      <c r="K37" s="260">
        <v>58667</v>
      </c>
      <c r="L37" s="260"/>
      <c r="O37" s="260"/>
      <c r="P37" s="260"/>
      <c r="Q37" s="260"/>
      <c r="R37" s="260"/>
      <c r="S37" s="260"/>
      <c r="U37" s="260"/>
      <c r="V37" s="260"/>
      <c r="W37" s="2"/>
      <c r="X37" s="2"/>
      <c r="Y37" s="2">
        <f t="shared" si="0"/>
        <v>836</v>
      </c>
      <c r="Z37" s="2" t="str">
        <f t="shared" si="1"/>
        <v/>
      </c>
      <c r="AA37" s="2" t="str">
        <f t="shared" si="2"/>
        <v/>
      </c>
      <c r="AB37" s="2" t="str">
        <f t="shared" si="3"/>
        <v/>
      </c>
      <c r="AC37" s="2" t="str">
        <f t="shared" si="4"/>
        <v/>
      </c>
      <c r="AD37" s="2" t="str">
        <f t="shared" si="5"/>
        <v/>
      </c>
      <c r="AE37" s="2" t="str">
        <f t="shared" si="6"/>
        <v/>
      </c>
      <c r="AF37" s="2" t="str">
        <f t="shared" si="7"/>
        <v/>
      </c>
      <c r="AG37" s="2" t="str">
        <f t="shared" si="8"/>
        <v/>
      </c>
      <c r="AH37" s="2" t="str">
        <f t="shared" si="9"/>
        <v/>
      </c>
      <c r="AI37" s="2" t="str">
        <f t="shared" si="10"/>
        <v/>
      </c>
      <c r="AJ37" s="2" t="str">
        <f t="shared" si="11"/>
        <v/>
      </c>
      <c r="AK37" s="2">
        <v>1</v>
      </c>
      <c r="AL37" s="260">
        <f t="shared" ca="1" si="12"/>
        <v>0</v>
      </c>
      <c r="AM37" s="260">
        <f t="shared" ca="1" si="13"/>
        <v>0</v>
      </c>
      <c r="AN37" s="260" t="str">
        <f ca="1">IF(AND(Tabla7[[#This Row],[UltLec]]&lt;&gt;0,Tabla7[[#This Row],[PenLect]]&lt;&gt;0),(AM37-AL37)*Tabla7[[#This Row],[RT]],"N/A")</f>
        <v>N/A</v>
      </c>
      <c r="AO37" s="380" t="s">
        <v>852</v>
      </c>
      <c r="AP37" s="380" t="s">
        <v>1075</v>
      </c>
      <c r="AQ37" s="380" t="s">
        <v>1074</v>
      </c>
      <c r="AR37" s="2">
        <f t="shared" si="14"/>
        <v>0</v>
      </c>
      <c r="AT37" s="2" t="e">
        <f t="shared" ca="1" si="15"/>
        <v>#VALUE!</v>
      </c>
    </row>
    <row r="38" spans="1:46" ht="18" hidden="1" customHeight="1" x14ac:dyDescent="0.25">
      <c r="A38" s="405" t="s">
        <v>578</v>
      </c>
      <c r="B38" s="54"/>
      <c r="C38" s="368" t="s">
        <v>400</v>
      </c>
      <c r="D38" s="54" t="s">
        <v>581</v>
      </c>
      <c r="E38" s="232">
        <v>3</v>
      </c>
      <c r="F38" s="2" t="s">
        <v>21</v>
      </c>
      <c r="G38" s="2" t="s">
        <v>585</v>
      </c>
      <c r="H38" s="2" t="s">
        <v>610</v>
      </c>
      <c r="I38" s="2"/>
      <c r="J38" s="260">
        <v>30</v>
      </c>
      <c r="K38" s="260">
        <v>30</v>
      </c>
      <c r="L38" s="260"/>
      <c r="O38" s="260"/>
      <c r="P38" s="260"/>
      <c r="Q38" s="260"/>
      <c r="R38" s="260"/>
      <c r="S38" s="260"/>
      <c r="U38" s="260"/>
      <c r="V38" s="260"/>
      <c r="W38" s="2"/>
      <c r="X38" s="2"/>
      <c r="Y38" s="2">
        <f t="shared" si="0"/>
        <v>0</v>
      </c>
      <c r="Z38" s="2" t="str">
        <f t="shared" si="1"/>
        <v/>
      </c>
      <c r="AA38" s="2" t="str">
        <f t="shared" si="2"/>
        <v/>
      </c>
      <c r="AB38" s="2" t="str">
        <f t="shared" si="3"/>
        <v/>
      </c>
      <c r="AC38" s="2" t="str">
        <f t="shared" si="4"/>
        <v/>
      </c>
      <c r="AD38" s="2" t="str">
        <f t="shared" si="5"/>
        <v/>
      </c>
      <c r="AE38" s="2" t="str">
        <f t="shared" si="6"/>
        <v/>
      </c>
      <c r="AF38" s="2" t="str">
        <f t="shared" si="7"/>
        <v/>
      </c>
      <c r="AG38" s="2" t="str">
        <f t="shared" si="8"/>
        <v/>
      </c>
      <c r="AH38" s="2" t="str">
        <f t="shared" si="9"/>
        <v/>
      </c>
      <c r="AI38" s="2" t="str">
        <f t="shared" si="10"/>
        <v/>
      </c>
      <c r="AJ38" s="2" t="str">
        <f t="shared" si="11"/>
        <v/>
      </c>
      <c r="AK38" s="2">
        <v>1</v>
      </c>
      <c r="AL38" s="260">
        <f t="shared" ca="1" si="12"/>
        <v>0</v>
      </c>
      <c r="AM38" s="260">
        <f t="shared" ca="1" si="13"/>
        <v>0</v>
      </c>
      <c r="AN38" s="260" t="str">
        <f ca="1">IF(AND(Tabla7[[#This Row],[UltLec]]&lt;&gt;0,Tabla7[[#This Row],[PenLect]]&lt;&gt;0),(AM38-AL38)*Tabla7[[#This Row],[RT]],"N/A")</f>
        <v>N/A</v>
      </c>
      <c r="AO38" s="380" t="s">
        <v>852</v>
      </c>
      <c r="AP38" s="380" t="s">
        <v>1075</v>
      </c>
      <c r="AQ38" s="380" t="s">
        <v>1074</v>
      </c>
      <c r="AR38" s="2">
        <f t="shared" si="14"/>
        <v>0</v>
      </c>
      <c r="AT38" s="2" t="e">
        <f t="shared" ca="1" si="15"/>
        <v>#VALUE!</v>
      </c>
    </row>
    <row r="39" spans="1:46" ht="18" hidden="1" customHeight="1" x14ac:dyDescent="0.25">
      <c r="A39" s="406" t="s">
        <v>996</v>
      </c>
      <c r="B39" s="273"/>
      <c r="C39" s="276" t="s">
        <v>388</v>
      </c>
      <c r="D39" s="273" t="s">
        <v>581</v>
      </c>
      <c r="E39" s="274">
        <v>39305</v>
      </c>
      <c r="F39" s="434" t="s">
        <v>622</v>
      </c>
      <c r="G39" s="434" t="s">
        <v>585</v>
      </c>
      <c r="H39" s="434" t="s">
        <v>1256</v>
      </c>
      <c r="I39" s="434" t="s">
        <v>1440</v>
      </c>
      <c r="J39" s="275"/>
      <c r="K39" s="275"/>
      <c r="L39" s="275"/>
      <c r="M39" s="275"/>
      <c r="N39" s="275"/>
      <c r="O39" s="275"/>
      <c r="P39" s="275"/>
      <c r="Q39" s="275"/>
      <c r="R39" s="275"/>
      <c r="S39" s="275"/>
      <c r="T39" s="275"/>
      <c r="U39" s="275"/>
      <c r="V39" s="275"/>
      <c r="W39" s="275"/>
      <c r="X39" s="275"/>
      <c r="Y39" s="275" t="str">
        <f t="shared" si="0"/>
        <v/>
      </c>
      <c r="Z39" s="275" t="str">
        <f t="shared" si="1"/>
        <v/>
      </c>
      <c r="AA39" s="275" t="str">
        <f t="shared" si="2"/>
        <v/>
      </c>
      <c r="AB39" s="275" t="str">
        <f t="shared" si="3"/>
        <v/>
      </c>
      <c r="AC39" s="275" t="str">
        <f t="shared" si="4"/>
        <v/>
      </c>
      <c r="AD39" s="275" t="str">
        <f t="shared" si="5"/>
        <v/>
      </c>
      <c r="AE39" s="275" t="str">
        <f t="shared" si="6"/>
        <v/>
      </c>
      <c r="AF39" s="275" t="str">
        <f t="shared" si="7"/>
        <v/>
      </c>
      <c r="AG39" s="275" t="str">
        <f t="shared" si="8"/>
        <v/>
      </c>
      <c r="AH39" s="275" t="str">
        <f t="shared" si="9"/>
        <v/>
      </c>
      <c r="AI39" s="275" t="str">
        <f t="shared" si="10"/>
        <v/>
      </c>
      <c r="AJ39" s="275" t="str">
        <f t="shared" si="11"/>
        <v/>
      </c>
      <c r="AK39" s="275">
        <v>1</v>
      </c>
      <c r="AL39" s="275">
        <f t="shared" ca="1" si="12"/>
        <v>0</v>
      </c>
      <c r="AM39" s="277">
        <f t="shared" ca="1" si="13"/>
        <v>0</v>
      </c>
      <c r="AN39" s="275" t="str">
        <f ca="1">IF(AND(Tabla7[[#This Row],[UltLec]]&lt;&gt;0,Tabla7[[#This Row],[PenLect]]&lt;&gt;0),(AM39-AL39)*Tabla7[[#This Row],[RT]],"N/A")</f>
        <v>N/A</v>
      </c>
      <c r="AO39" s="275" t="s">
        <v>1160</v>
      </c>
      <c r="AP39" s="400" t="s">
        <v>1075</v>
      </c>
      <c r="AQ39" s="400" t="s">
        <v>1074</v>
      </c>
      <c r="AR39" s="275">
        <f t="shared" si="14"/>
        <v>0</v>
      </c>
      <c r="AT39" s="2" t="e">
        <f t="shared" ca="1" si="15"/>
        <v>#VALUE!</v>
      </c>
    </row>
    <row r="40" spans="1:46" ht="18" hidden="1" customHeight="1" x14ac:dyDescent="0.25">
      <c r="A40" s="405" t="s">
        <v>578</v>
      </c>
      <c r="B40" s="54"/>
      <c r="C40" s="368" t="s">
        <v>395</v>
      </c>
      <c r="D40" s="54" t="s">
        <v>581</v>
      </c>
      <c r="E40" s="232">
        <v>3</v>
      </c>
      <c r="F40" s="2" t="s">
        <v>21</v>
      </c>
      <c r="G40" s="2" t="s">
        <v>602</v>
      </c>
      <c r="H40" s="2" t="s">
        <v>1263</v>
      </c>
      <c r="I40" s="2"/>
      <c r="J40" s="260">
        <v>4301</v>
      </c>
      <c r="K40" s="260">
        <v>4301</v>
      </c>
      <c r="L40" s="260"/>
      <c r="O40" s="260"/>
      <c r="P40" s="260"/>
      <c r="Q40" s="260"/>
      <c r="R40" s="260"/>
      <c r="S40" s="260"/>
      <c r="U40" s="260"/>
      <c r="V40" s="260"/>
      <c r="W40" s="2"/>
      <c r="X40" s="2"/>
      <c r="Y40" s="2">
        <f t="shared" si="0"/>
        <v>0</v>
      </c>
      <c r="Z40" s="2" t="str">
        <f t="shared" si="1"/>
        <v/>
      </c>
      <c r="AA40" s="2" t="str">
        <f t="shared" si="2"/>
        <v/>
      </c>
      <c r="AB40" s="2" t="str">
        <f t="shared" si="3"/>
        <v/>
      </c>
      <c r="AC40" s="2" t="str">
        <f t="shared" si="4"/>
        <v/>
      </c>
      <c r="AD40" s="2" t="str">
        <f t="shared" si="5"/>
        <v/>
      </c>
      <c r="AE40" s="2" t="str">
        <f t="shared" si="6"/>
        <v/>
      </c>
      <c r="AF40" s="2" t="str">
        <f t="shared" si="7"/>
        <v/>
      </c>
      <c r="AG40" s="2" t="str">
        <f t="shared" si="8"/>
        <v/>
      </c>
      <c r="AH40" s="2" t="str">
        <f t="shared" si="9"/>
        <v/>
      </c>
      <c r="AI40" s="2" t="str">
        <f t="shared" si="10"/>
        <v/>
      </c>
      <c r="AJ40" s="2" t="str">
        <f t="shared" si="11"/>
        <v/>
      </c>
      <c r="AK40" s="2">
        <v>2</v>
      </c>
      <c r="AL40" s="260">
        <f t="shared" ca="1" si="12"/>
        <v>0</v>
      </c>
      <c r="AM40" s="260">
        <f t="shared" ca="1" si="13"/>
        <v>0</v>
      </c>
      <c r="AN40" s="260" t="str">
        <f ca="1">IF(AND(Tabla7[[#This Row],[UltLec]]&lt;&gt;0,Tabla7[[#This Row],[PenLect]]&lt;&gt;0),(AM40-AL40)*Tabla7[[#This Row],[RT]],"N/A")</f>
        <v>N/A</v>
      </c>
      <c r="AO40" s="380" t="s">
        <v>852</v>
      </c>
      <c r="AP40" s="380" t="s">
        <v>1075</v>
      </c>
      <c r="AQ40" s="380" t="s">
        <v>1077</v>
      </c>
      <c r="AR40" s="2">
        <f t="shared" si="14"/>
        <v>0</v>
      </c>
      <c r="AT40" s="2" t="e">
        <f t="shared" ca="1" si="15"/>
        <v>#VALUE!</v>
      </c>
    </row>
    <row r="41" spans="1:46" ht="18" hidden="1" customHeight="1" x14ac:dyDescent="0.25">
      <c r="A41" s="406" t="s">
        <v>996</v>
      </c>
      <c r="B41" s="267"/>
      <c r="C41" s="367" t="s">
        <v>395</v>
      </c>
      <c r="D41" s="273" t="s">
        <v>581</v>
      </c>
      <c r="E41" s="274">
        <v>39806</v>
      </c>
      <c r="F41" s="275" t="s">
        <v>596</v>
      </c>
      <c r="G41" s="275" t="s">
        <v>602</v>
      </c>
      <c r="H41" s="275"/>
      <c r="I41" s="275"/>
      <c r="J41" s="275"/>
      <c r="K41" s="275"/>
      <c r="L41" s="275"/>
      <c r="M41" s="275"/>
      <c r="N41" s="275"/>
      <c r="O41" s="275"/>
      <c r="P41" s="275"/>
      <c r="Q41" s="275"/>
      <c r="R41" s="275"/>
      <c r="S41" s="275"/>
      <c r="T41" s="275"/>
      <c r="U41" s="275"/>
      <c r="V41" s="275"/>
      <c r="W41" s="275"/>
      <c r="X41" s="275"/>
      <c r="Y41" s="275" t="str">
        <f t="shared" si="0"/>
        <v/>
      </c>
      <c r="Z41" s="275" t="str">
        <f t="shared" si="1"/>
        <v/>
      </c>
      <c r="AA41" s="275" t="str">
        <f t="shared" si="2"/>
        <v/>
      </c>
      <c r="AB41" s="275" t="str">
        <f t="shared" si="3"/>
        <v/>
      </c>
      <c r="AC41" s="275" t="str">
        <f t="shared" si="4"/>
        <v/>
      </c>
      <c r="AD41" s="275" t="str">
        <f t="shared" si="5"/>
        <v/>
      </c>
      <c r="AE41" s="275" t="str">
        <f t="shared" si="6"/>
        <v/>
      </c>
      <c r="AF41" s="275" t="str">
        <f t="shared" si="7"/>
        <v/>
      </c>
      <c r="AG41" s="275" t="str">
        <f t="shared" si="8"/>
        <v/>
      </c>
      <c r="AH41" s="275" t="str">
        <f t="shared" si="9"/>
        <v/>
      </c>
      <c r="AI41" s="275" t="str">
        <f t="shared" si="10"/>
        <v/>
      </c>
      <c r="AJ41" s="275" t="str">
        <f t="shared" si="11"/>
        <v/>
      </c>
      <c r="AK41" s="275">
        <v>1</v>
      </c>
      <c r="AL41" s="277">
        <f t="shared" ca="1" si="12"/>
        <v>0</v>
      </c>
      <c r="AM41" s="277">
        <f t="shared" ca="1" si="13"/>
        <v>0</v>
      </c>
      <c r="AN41" s="277" t="str">
        <f ca="1">IF(AND(Tabla7[[#This Row],[UltLec]]&lt;&gt;0,Tabla7[[#This Row],[PenLect]]&lt;&gt;0),(AM41-AL41)*Tabla7[[#This Row],[RT]],"N/A")</f>
        <v>N/A</v>
      </c>
      <c r="AO41" s="393" t="s">
        <v>1160</v>
      </c>
      <c r="AP41" s="393" t="s">
        <v>1075</v>
      </c>
      <c r="AQ41" s="393" t="s">
        <v>1077</v>
      </c>
      <c r="AR41" s="275">
        <f t="shared" si="14"/>
        <v>0</v>
      </c>
      <c r="AT41" s="2" t="e">
        <f t="shared" ca="1" si="15"/>
        <v>#VALUE!</v>
      </c>
    </row>
    <row r="42" spans="1:46" ht="18" hidden="1" customHeight="1" x14ac:dyDescent="0.25">
      <c r="A42" s="405" t="s">
        <v>578</v>
      </c>
      <c r="B42" s="54"/>
      <c r="C42" s="368" t="s">
        <v>1287</v>
      </c>
      <c r="D42" s="54" t="s">
        <v>581</v>
      </c>
      <c r="E42" s="232">
        <v>3</v>
      </c>
      <c r="F42" s="2" t="s">
        <v>21</v>
      </c>
      <c r="G42" s="2" t="s">
        <v>611</v>
      </c>
      <c r="H42" s="2" t="s">
        <v>1266</v>
      </c>
      <c r="I42" s="2" t="s">
        <v>612</v>
      </c>
      <c r="J42" s="260">
        <v>27768</v>
      </c>
      <c r="K42" s="260">
        <v>27768</v>
      </c>
      <c r="L42" s="260"/>
      <c r="O42" s="260"/>
      <c r="P42" s="260"/>
      <c r="Q42" s="260"/>
      <c r="R42" s="260"/>
      <c r="S42" s="260"/>
      <c r="U42" s="260"/>
      <c r="V42" s="260"/>
      <c r="W42" s="2"/>
      <c r="X42" s="2"/>
      <c r="Y42" s="2">
        <f t="shared" si="0"/>
        <v>0</v>
      </c>
      <c r="Z42" s="2" t="str">
        <f t="shared" si="1"/>
        <v/>
      </c>
      <c r="AA42" s="2" t="str">
        <f t="shared" si="2"/>
        <v/>
      </c>
      <c r="AB42" s="2" t="str">
        <f t="shared" si="3"/>
        <v/>
      </c>
      <c r="AC42" s="2" t="str">
        <f t="shared" si="4"/>
        <v/>
      </c>
      <c r="AD42" s="2" t="str">
        <f t="shared" si="5"/>
        <v/>
      </c>
      <c r="AE42" s="2" t="str">
        <f t="shared" si="6"/>
        <v/>
      </c>
      <c r="AF42" s="2" t="str">
        <f t="shared" si="7"/>
        <v/>
      </c>
      <c r="AG42" s="2" t="str">
        <f t="shared" si="8"/>
        <v/>
      </c>
      <c r="AH42" s="2" t="str">
        <f t="shared" si="9"/>
        <v/>
      </c>
      <c r="AI42" s="2" t="str">
        <f t="shared" si="10"/>
        <v/>
      </c>
      <c r="AJ42" s="2" t="str">
        <f t="shared" si="11"/>
        <v/>
      </c>
      <c r="AK42" s="2">
        <v>1</v>
      </c>
      <c r="AL42" s="260">
        <f t="shared" ca="1" si="12"/>
        <v>0</v>
      </c>
      <c r="AM42" s="260">
        <f t="shared" ca="1" si="13"/>
        <v>0</v>
      </c>
      <c r="AN42" s="260" t="str">
        <f ca="1">IF(AND(Tabla7[[#This Row],[UltLec]]&lt;&gt;0,Tabla7[[#This Row],[PenLect]]&lt;&gt;0),(AM42-AL42)*Tabla7[[#This Row],[RT]],"N/A")</f>
        <v>N/A</v>
      </c>
      <c r="AO42" s="380" t="s">
        <v>852</v>
      </c>
      <c r="AP42" s="380" t="s">
        <v>1075</v>
      </c>
      <c r="AQ42" s="380" t="s">
        <v>1074</v>
      </c>
      <c r="AR42" s="2">
        <f t="shared" si="14"/>
        <v>0</v>
      </c>
      <c r="AT42" s="2" t="e">
        <f t="shared" ca="1" si="15"/>
        <v>#VALUE!</v>
      </c>
    </row>
    <row r="43" spans="1:46" ht="18" hidden="1" customHeight="1" x14ac:dyDescent="0.25">
      <c r="A43" s="405" t="s">
        <v>578</v>
      </c>
      <c r="B43" s="54">
        <v>1207</v>
      </c>
      <c r="C43" s="368" t="s">
        <v>1288</v>
      </c>
      <c r="D43" s="54" t="s">
        <v>581</v>
      </c>
      <c r="E43" s="232">
        <v>39324</v>
      </c>
      <c r="F43" s="2" t="s">
        <v>1250</v>
      </c>
      <c r="G43" s="2" t="s">
        <v>600</v>
      </c>
      <c r="H43" s="2" t="s">
        <v>1265</v>
      </c>
      <c r="I43" s="2" t="s">
        <v>1251</v>
      </c>
      <c r="J43" s="260">
        <v>3495</v>
      </c>
      <c r="K43" s="260">
        <v>3502</v>
      </c>
      <c r="L43" s="260"/>
      <c r="O43" s="260"/>
      <c r="P43" s="308"/>
      <c r="Q43" s="260"/>
      <c r="R43" s="260"/>
      <c r="S43" s="260"/>
      <c r="U43" s="260"/>
      <c r="V43" s="260"/>
      <c r="W43" s="2"/>
      <c r="X43" s="2"/>
      <c r="Y43" s="2">
        <f t="shared" si="0"/>
        <v>7</v>
      </c>
      <c r="Z43" s="2" t="str">
        <f t="shared" si="1"/>
        <v/>
      </c>
      <c r="AA43" s="2" t="str">
        <f t="shared" si="2"/>
        <v/>
      </c>
      <c r="AB43" s="2" t="str">
        <f t="shared" si="3"/>
        <v/>
      </c>
      <c r="AC43" s="2" t="str">
        <f t="shared" si="4"/>
        <v/>
      </c>
      <c r="AD43" s="2" t="str">
        <f t="shared" si="5"/>
        <v/>
      </c>
      <c r="AE43" s="2" t="str">
        <f t="shared" si="6"/>
        <v/>
      </c>
      <c r="AF43" s="2" t="str">
        <f t="shared" si="7"/>
        <v/>
      </c>
      <c r="AG43" s="2" t="str">
        <f t="shared" si="8"/>
        <v/>
      </c>
      <c r="AH43" s="2" t="str">
        <f t="shared" si="9"/>
        <v/>
      </c>
      <c r="AI43" s="2" t="str">
        <f t="shared" si="10"/>
        <v/>
      </c>
      <c r="AJ43" s="2" t="str">
        <f t="shared" si="11"/>
        <v/>
      </c>
      <c r="AK43" s="2">
        <v>1</v>
      </c>
      <c r="AL43" s="260">
        <f t="shared" ca="1" si="12"/>
        <v>0</v>
      </c>
      <c r="AM43" s="260">
        <f t="shared" ca="1" si="13"/>
        <v>0</v>
      </c>
      <c r="AN43" s="260" t="str">
        <f ca="1">IF(AND(Tabla7[[#This Row],[UltLec]]&lt;&gt;0,Tabla7[[#This Row],[PenLect]]&lt;&gt;0),(AM43-AL43)*Tabla7[[#This Row],[RT]],"N/A")</f>
        <v>N/A</v>
      </c>
      <c r="AO43" s="380" t="s">
        <v>852</v>
      </c>
      <c r="AP43" s="380" t="s">
        <v>1075</v>
      </c>
      <c r="AQ43" s="380" t="s">
        <v>1077</v>
      </c>
      <c r="AR43" s="2">
        <f t="shared" si="14"/>
        <v>0</v>
      </c>
      <c r="AT43" s="2" t="e">
        <f t="shared" ca="1" si="15"/>
        <v>#VALUE!</v>
      </c>
    </row>
    <row r="44" spans="1:46" ht="18" hidden="1" customHeight="1" x14ac:dyDescent="0.25">
      <c r="A44" s="406" t="s">
        <v>996</v>
      </c>
      <c r="B44" s="406">
        <v>1969</v>
      </c>
      <c r="C44" s="406" t="s">
        <v>1476</v>
      </c>
      <c r="D44" s="406" t="s">
        <v>581</v>
      </c>
      <c r="E44" s="406">
        <v>39842</v>
      </c>
      <c r="F44" s="406" t="s">
        <v>1632</v>
      </c>
      <c r="G44" s="406" t="s">
        <v>1633</v>
      </c>
      <c r="H44" s="406"/>
      <c r="I44" s="406" t="s">
        <v>1645</v>
      </c>
      <c r="J44" s="406"/>
      <c r="K44" s="406"/>
      <c r="L44" s="406"/>
      <c r="M44" s="406"/>
      <c r="N44" s="406"/>
      <c r="O44" s="406"/>
      <c r="P44" s="406"/>
      <c r="Q44" s="406"/>
      <c r="R44" s="406"/>
      <c r="S44" s="406"/>
      <c r="T44" s="406"/>
      <c r="U44" s="406"/>
      <c r="V44" s="406"/>
      <c r="W44" s="406"/>
      <c r="X44" s="406"/>
      <c r="Y44" s="406" t="str">
        <f t="shared" si="0"/>
        <v/>
      </c>
      <c r="Z44" s="406" t="str">
        <f t="shared" si="1"/>
        <v/>
      </c>
      <c r="AA44" s="406" t="str">
        <f t="shared" si="2"/>
        <v/>
      </c>
      <c r="AB44" s="406" t="str">
        <f t="shared" si="3"/>
        <v/>
      </c>
      <c r="AC44" s="406" t="str">
        <f t="shared" si="4"/>
        <v/>
      </c>
      <c r="AD44" s="406" t="str">
        <f t="shared" si="5"/>
        <v/>
      </c>
      <c r="AE44" s="406" t="str">
        <f t="shared" si="6"/>
        <v/>
      </c>
      <c r="AF44" s="406" t="str">
        <f t="shared" si="7"/>
        <v/>
      </c>
      <c r="AG44" s="406" t="str">
        <f t="shared" si="8"/>
        <v/>
      </c>
      <c r="AH44" s="406" t="str">
        <f t="shared" si="9"/>
        <v/>
      </c>
      <c r="AI44" s="406" t="str">
        <f t="shared" si="10"/>
        <v/>
      </c>
      <c r="AJ44" s="406" t="str">
        <f t="shared" si="11"/>
        <v/>
      </c>
      <c r="AK44" s="406">
        <v>1</v>
      </c>
      <c r="AL44" s="406">
        <f t="shared" ca="1" si="12"/>
        <v>0</v>
      </c>
      <c r="AM44" s="406">
        <f t="shared" ca="1" si="13"/>
        <v>0</v>
      </c>
      <c r="AN44" s="406" t="str">
        <f ca="1">IF(AND(Tabla7[[#This Row],[UltLec]]&lt;&gt;0,Tabla7[[#This Row],[PenLect]]&lt;&gt;0),(AM44-AL44)*Tabla7[[#This Row],[RT]],"N/A")</f>
        <v>N/A</v>
      </c>
      <c r="AO44" s="406" t="s">
        <v>1160</v>
      </c>
      <c r="AP44" s="406" t="s">
        <v>1075</v>
      </c>
      <c r="AQ44" s="406" t="s">
        <v>1077</v>
      </c>
      <c r="AR44" s="406">
        <f t="shared" si="14"/>
        <v>0</v>
      </c>
      <c r="AT44" s="2" t="e">
        <f t="shared" ca="1" si="15"/>
        <v>#VALUE!</v>
      </c>
    </row>
    <row r="45" spans="1:46" ht="18" hidden="1" customHeight="1" x14ac:dyDescent="0.25">
      <c r="A45" s="406" t="s">
        <v>996</v>
      </c>
      <c r="B45" s="273">
        <v>1123</v>
      </c>
      <c r="C45" s="367" t="s">
        <v>418</v>
      </c>
      <c r="D45" s="273" t="s">
        <v>581</v>
      </c>
      <c r="E45" s="274">
        <v>30000</v>
      </c>
      <c r="F45" s="275" t="s">
        <v>608</v>
      </c>
      <c r="G45" s="275" t="s">
        <v>583</v>
      </c>
      <c r="H45" s="275" t="s">
        <v>1267</v>
      </c>
      <c r="I45" s="275" t="s">
        <v>1267</v>
      </c>
      <c r="J45" s="382"/>
      <c r="K45" s="275"/>
      <c r="L45" s="275"/>
      <c r="M45" s="275"/>
      <c r="N45" s="275"/>
      <c r="O45" s="275"/>
      <c r="P45" s="275"/>
      <c r="Q45" s="275"/>
      <c r="R45" s="275"/>
      <c r="S45" s="275"/>
      <c r="T45" s="275"/>
      <c r="U45" s="382"/>
      <c r="V45" s="382"/>
      <c r="W45" s="382"/>
      <c r="X45" s="382"/>
      <c r="Y45" s="382" t="str">
        <f t="shared" si="0"/>
        <v/>
      </c>
      <c r="Z45" s="382" t="str">
        <f t="shared" si="1"/>
        <v/>
      </c>
      <c r="AA45" s="382" t="str">
        <f t="shared" si="2"/>
        <v/>
      </c>
      <c r="AB45" s="382" t="str">
        <f t="shared" si="3"/>
        <v/>
      </c>
      <c r="AC45" s="382" t="str">
        <f t="shared" si="4"/>
        <v/>
      </c>
      <c r="AD45" s="382" t="str">
        <f t="shared" si="5"/>
        <v/>
      </c>
      <c r="AE45" s="382" t="str">
        <f t="shared" si="6"/>
        <v/>
      </c>
      <c r="AF45" s="382" t="str">
        <f t="shared" si="7"/>
        <v/>
      </c>
      <c r="AG45" s="382" t="str">
        <f t="shared" si="8"/>
        <v/>
      </c>
      <c r="AH45" s="382" t="str">
        <f t="shared" si="9"/>
        <v/>
      </c>
      <c r="AI45" s="382" t="str">
        <f t="shared" si="10"/>
        <v/>
      </c>
      <c r="AJ45" s="382" t="str">
        <f t="shared" si="11"/>
        <v/>
      </c>
      <c r="AK45" s="275">
        <v>1</v>
      </c>
      <c r="AL45" s="277">
        <f t="shared" ca="1" si="12"/>
        <v>0</v>
      </c>
      <c r="AM45" s="277">
        <f t="shared" ca="1" si="13"/>
        <v>0</v>
      </c>
      <c r="AN45" s="277" t="str">
        <f ca="1">IF(AND(Tabla7[[#This Row],[UltLec]]&lt;&gt;0,Tabla7[[#This Row],[PenLect]]&lt;&gt;0),(AM45-AL45)*Tabla7[[#This Row],[RT]],"N/A")</f>
        <v>N/A</v>
      </c>
      <c r="AO45" s="393" t="s">
        <v>1160</v>
      </c>
      <c r="AP45" s="393" t="s">
        <v>1075</v>
      </c>
      <c r="AQ45" s="393" t="s">
        <v>1077</v>
      </c>
      <c r="AR45" s="275">
        <f t="shared" si="14"/>
        <v>0</v>
      </c>
      <c r="AT45" s="2" t="e">
        <f t="shared" ca="1" si="15"/>
        <v>#VALUE!</v>
      </c>
    </row>
    <row r="46" spans="1:46" ht="18" hidden="1" customHeight="1" x14ac:dyDescent="0.25">
      <c r="A46" s="406" t="s">
        <v>996</v>
      </c>
      <c r="B46" s="273" t="s">
        <v>613</v>
      </c>
      <c r="C46" s="367">
        <v>19552008</v>
      </c>
      <c r="D46" s="273" t="s">
        <v>614</v>
      </c>
      <c r="E46" s="274">
        <v>39886</v>
      </c>
      <c r="F46" s="275" t="s">
        <v>615</v>
      </c>
      <c r="G46" s="275" t="s">
        <v>616</v>
      </c>
      <c r="H46" s="275"/>
      <c r="I46" s="275"/>
      <c r="J46" s="275"/>
      <c r="K46" s="275"/>
      <c r="L46" s="275"/>
      <c r="M46" s="275"/>
      <c r="N46" s="275"/>
      <c r="O46" s="275"/>
      <c r="P46" s="275"/>
      <c r="Q46" s="275"/>
      <c r="R46" s="275"/>
      <c r="S46" s="275"/>
      <c r="T46" s="275"/>
      <c r="U46" s="275"/>
      <c r="V46" s="275"/>
      <c r="W46" s="275"/>
      <c r="X46" s="275"/>
      <c r="Y46" s="275" t="str">
        <f t="shared" si="0"/>
        <v/>
      </c>
      <c r="Z46" s="275" t="str">
        <f t="shared" si="1"/>
        <v/>
      </c>
      <c r="AA46" s="275" t="str">
        <f t="shared" si="2"/>
        <v/>
      </c>
      <c r="AB46" s="275" t="str">
        <f t="shared" si="3"/>
        <v/>
      </c>
      <c r="AC46" s="275" t="str">
        <f t="shared" si="4"/>
        <v/>
      </c>
      <c r="AD46" s="275" t="str">
        <f t="shared" si="5"/>
        <v/>
      </c>
      <c r="AE46" s="275" t="str">
        <f t="shared" si="6"/>
        <v/>
      </c>
      <c r="AF46" s="275" t="str">
        <f t="shared" si="7"/>
        <v/>
      </c>
      <c r="AG46" s="275" t="str">
        <f t="shared" si="8"/>
        <v/>
      </c>
      <c r="AH46" s="275" t="str">
        <f t="shared" si="9"/>
        <v/>
      </c>
      <c r="AI46" s="275" t="str">
        <f t="shared" si="10"/>
        <v/>
      </c>
      <c r="AJ46" s="275" t="str">
        <f t="shared" si="11"/>
        <v/>
      </c>
      <c r="AK46" s="275">
        <v>1</v>
      </c>
      <c r="AL46" s="277">
        <f t="shared" ca="1" si="12"/>
        <v>0</v>
      </c>
      <c r="AM46" s="277">
        <f t="shared" ca="1" si="13"/>
        <v>0</v>
      </c>
      <c r="AN46" s="277" t="str">
        <f ca="1">IF(AND(Tabla7[[#This Row],[UltLec]]&lt;&gt;0,Tabla7[[#This Row],[PenLect]]&lt;&gt;0),(AM46-AL46)*Tabla7[[#This Row],[RT]],"N/A")</f>
        <v>N/A</v>
      </c>
      <c r="AO46" s="393" t="s">
        <v>1160</v>
      </c>
      <c r="AP46" s="393" t="s">
        <v>1075</v>
      </c>
      <c r="AQ46" s="393" t="s">
        <v>1074</v>
      </c>
      <c r="AR46" s="275">
        <f t="shared" si="14"/>
        <v>0</v>
      </c>
      <c r="AT46" s="2" t="e">
        <f t="shared" ca="1" si="15"/>
        <v>#VALUE!</v>
      </c>
    </row>
    <row r="47" spans="1:46" ht="18" hidden="1" customHeight="1" x14ac:dyDescent="0.25">
      <c r="A47" s="405" t="s">
        <v>578</v>
      </c>
      <c r="B47" s="54">
        <v>1968</v>
      </c>
      <c r="C47" s="368">
        <v>42522472</v>
      </c>
      <c r="D47" s="54" t="s">
        <v>614</v>
      </c>
      <c r="E47" s="232">
        <v>39824</v>
      </c>
      <c r="F47" s="2" t="s">
        <v>615</v>
      </c>
      <c r="G47" s="2" t="s">
        <v>1650</v>
      </c>
      <c r="H47" s="2"/>
      <c r="I47" s="2" t="s">
        <v>1651</v>
      </c>
      <c r="J47" s="260">
        <v>7726</v>
      </c>
      <c r="K47" s="260">
        <v>9501</v>
      </c>
      <c r="L47" s="260"/>
      <c r="O47" s="260"/>
      <c r="P47" s="260"/>
      <c r="Q47" s="260"/>
      <c r="R47" s="260"/>
      <c r="S47" s="260"/>
      <c r="U47" s="260"/>
      <c r="V47" s="260"/>
      <c r="W47" s="2"/>
      <c r="X47" s="2"/>
      <c r="Y47" s="2">
        <f t="shared" ref="Y47:Y69" si="16">IF(OR(ISBLANK(K47),ISBLANK(J47)),"",IF(AND(K47&gt;=J47,K47-J47&lt;=K47),(K47-J47)*$AK47,"!!!!"))</f>
        <v>1775</v>
      </c>
      <c r="Z47" s="2" t="str">
        <f t="shared" ref="Z47:Z69" si="17">IF(OR(ISBLANK(L47),ISBLANK(K47)),"",IF(AND(L47&gt;=K47,L47-K47&lt;=L47),(L47-K47)*$AK47,"!!!!"))</f>
        <v/>
      </c>
      <c r="AA47" s="2" t="str">
        <f>IF(OR(ISBLANK(#REF!),ISBLANK(L47)),"",IF(AND(#REF!&gt;=L47,#REF!-L47&lt;=#REF!),(#REF!-L47)*$AK47,"!!!!"))</f>
        <v/>
      </c>
      <c r="AB47" s="2" t="str">
        <f>IF(OR(ISBLANK(N47),ISBLANK(#REF!)),"",IF(AND(N47&gt;=#REF!,N47-#REF!&lt;=N47),(N47-#REF!)*$AK47,"!!!!"))</f>
        <v/>
      </c>
      <c r="AC47" s="2" t="str">
        <f t="shared" ref="AC47:AC78" si="18">IF(OR(ISBLANK(O47),ISBLANK(N47)),"",IF(AND(O47&gt;=N47,O47-N47&lt;=O47),(O47-N47)*$AK47,"!!!!"))</f>
        <v/>
      </c>
      <c r="AD47" s="2" t="str">
        <f t="shared" ref="AD47:AD78" si="19">IF(OR(ISBLANK(P47),ISBLANK(O47)),"",IF(AND(P47&gt;=O47,P47-O47&lt;=P47),(P47-O47)*$AK47,"!!!!"))</f>
        <v/>
      </c>
      <c r="AE47" s="2" t="str">
        <f t="shared" ref="AE47:AE78" si="20">IF(OR(ISBLANK(Q47),ISBLANK(P47)),"",IF(AND(Q47&gt;=P47,Q47-P47&lt;=Q47),(Q47-P47)*$AK47,"!!!!"))</f>
        <v/>
      </c>
      <c r="AF47" s="2" t="str">
        <f t="shared" ref="AF47:AF78" si="21">IF(OR(ISBLANK(R47),ISBLANK(Q47)),"",IF(AND(R47&gt;=Q47,R47-Q47&lt;=R47),(R47-Q47)*$AK47,"!!!!"))</f>
        <v/>
      </c>
      <c r="AG47" s="2" t="str">
        <f t="shared" ref="AG47:AG78" si="22">IF(OR(ISBLANK(S47),ISBLANK(R47)),"",IF(AND(S47&gt;=R47,S47-R47&lt;=S47),(S47-R47)*$AK47,"!!!!"))</f>
        <v/>
      </c>
      <c r="AH47" s="2" t="str">
        <f t="shared" ref="AH47:AH78" si="23">IF(OR(ISBLANK(T47),ISBLANK(S47)),"",IF(AND(T47&gt;=S47,T47-S47&lt;=T47),(T47-S47)*$AK47,"!!!!"))</f>
        <v/>
      </c>
      <c r="AI47" s="2" t="str">
        <f t="shared" ref="AI47:AI78" si="24">IF(OR(ISBLANK(U47),ISBLANK(T47)),"",IF(AND(U47&gt;=T47,U47-T47&lt;=U47),(U47-T47)*$AK47,"!!!!"))</f>
        <v/>
      </c>
      <c r="AJ47" s="2" t="str">
        <f t="shared" ref="AJ47:AJ78" si="25">IF(OR(ISBLANK(V47),ISBLANK(U47)),"",IF(AND(V47&gt;=U47,V47-U47&lt;=V47),(V47-U47)*$AK47,"!!!!"))</f>
        <v/>
      </c>
      <c r="AK47" s="2">
        <v>1</v>
      </c>
      <c r="AL47" s="260">
        <f t="shared" ca="1" si="12"/>
        <v>0</v>
      </c>
      <c r="AM47" s="260">
        <f t="shared" ca="1" si="13"/>
        <v>0</v>
      </c>
      <c r="AN47" s="260" t="str">
        <f ca="1">IF(AND(Tabla7[[#This Row],[UltLec]]&lt;&gt;0,Tabla7[[#This Row],[PenLect]]&lt;&gt;0),(AM47-AL47)*Tabla7[[#This Row],[RT]],"N/A")</f>
        <v>N/A</v>
      </c>
      <c r="AO47" s="380" t="s">
        <v>852</v>
      </c>
      <c r="AP47" s="380" t="s">
        <v>1075</v>
      </c>
      <c r="AQ47" s="380" t="s">
        <v>1074</v>
      </c>
      <c r="AR47" s="2">
        <f t="shared" si="14"/>
        <v>0</v>
      </c>
      <c r="AT47" s="2" t="e">
        <f t="shared" ca="1" si="15"/>
        <v>#VALUE!</v>
      </c>
    </row>
    <row r="48" spans="1:46" ht="18" hidden="1" customHeight="1" x14ac:dyDescent="0.25">
      <c r="A48" s="406" t="s">
        <v>996</v>
      </c>
      <c r="B48" s="54"/>
      <c r="C48" s="367">
        <v>3789280061</v>
      </c>
      <c r="D48" s="367" t="s">
        <v>614</v>
      </c>
      <c r="E48" s="367">
        <v>39886</v>
      </c>
      <c r="F48" s="275" t="s">
        <v>615</v>
      </c>
      <c r="G48" s="275" t="s">
        <v>1229</v>
      </c>
      <c r="H48" s="275" t="s">
        <v>1230</v>
      </c>
      <c r="I48" s="275" t="s">
        <v>1664</v>
      </c>
      <c r="J48" s="275"/>
      <c r="K48" s="275"/>
      <c r="L48" s="275"/>
      <c r="M48" s="275"/>
      <c r="N48" s="275"/>
      <c r="O48" s="275"/>
      <c r="P48" s="275"/>
      <c r="Q48" s="275"/>
      <c r="R48" s="275"/>
      <c r="S48" s="275"/>
      <c r="T48" s="275"/>
      <c r="U48" s="275"/>
      <c r="V48" s="275"/>
      <c r="W48" s="275"/>
      <c r="X48" s="275"/>
      <c r="Y48" s="275" t="str">
        <f t="shared" si="16"/>
        <v/>
      </c>
      <c r="Z48" s="275" t="str">
        <f t="shared" si="17"/>
        <v/>
      </c>
      <c r="AA48" s="275" t="str">
        <f t="shared" ref="AA48:AB55" si="26">IF(OR(ISBLANK(M48),ISBLANK(L48)),"",IF(AND(M48&gt;=L48,M48-L48&lt;=M48),(M48-L48)*$AK48,"!!!!"))</f>
        <v/>
      </c>
      <c r="AB48" s="275" t="str">
        <f t="shared" si="26"/>
        <v/>
      </c>
      <c r="AC48" s="275" t="str">
        <f t="shared" si="18"/>
        <v/>
      </c>
      <c r="AD48" s="275" t="str">
        <f t="shared" si="19"/>
        <v/>
      </c>
      <c r="AE48" s="275" t="str">
        <f t="shared" si="20"/>
        <v/>
      </c>
      <c r="AF48" s="275" t="str">
        <f t="shared" si="21"/>
        <v/>
      </c>
      <c r="AG48" s="275" t="str">
        <f t="shared" si="22"/>
        <v/>
      </c>
      <c r="AH48" s="275" t="str">
        <f t="shared" si="23"/>
        <v/>
      </c>
      <c r="AI48" s="275" t="str">
        <f t="shared" si="24"/>
        <v/>
      </c>
      <c r="AJ48" s="275" t="str">
        <f t="shared" si="25"/>
        <v/>
      </c>
      <c r="AK48" s="275">
        <v>1</v>
      </c>
      <c r="AL48" s="275">
        <f t="shared" ca="1" si="12"/>
        <v>0</v>
      </c>
      <c r="AM48" s="275">
        <f t="shared" ca="1" si="13"/>
        <v>0</v>
      </c>
      <c r="AN48" s="275" t="str">
        <f ca="1">IF(AND(Tabla7[[#This Row],[UltLec]]&lt;&gt;0,Tabla7[[#This Row],[PenLect]]&lt;&gt;0),(AM48-AL48)*Tabla7[[#This Row],[RT]],"N/A")</f>
        <v>N/A</v>
      </c>
      <c r="AO48" s="275" t="s">
        <v>1160</v>
      </c>
      <c r="AP48" s="275" t="s">
        <v>1075</v>
      </c>
      <c r="AQ48" s="275" t="s">
        <v>1074</v>
      </c>
      <c r="AR48" s="275">
        <f t="shared" si="14"/>
        <v>0</v>
      </c>
      <c r="AT48" s="2" t="e">
        <f t="shared" ca="1" si="15"/>
        <v>#VALUE!</v>
      </c>
    </row>
    <row r="49" spans="1:46" ht="18" hidden="1" customHeight="1" x14ac:dyDescent="0.25">
      <c r="A49" s="405" t="s">
        <v>578</v>
      </c>
      <c r="B49" s="54"/>
      <c r="C49" s="435" t="s">
        <v>1494</v>
      </c>
      <c r="D49" s="54" t="s">
        <v>614</v>
      </c>
      <c r="E49" s="232">
        <v>39899</v>
      </c>
      <c r="F49" s="2" t="s">
        <v>615</v>
      </c>
      <c r="G49" s="2" t="s">
        <v>618</v>
      </c>
      <c r="H49" s="2" t="s">
        <v>1271</v>
      </c>
      <c r="I49" s="2" t="s">
        <v>1495</v>
      </c>
      <c r="J49" s="260">
        <v>4506.8999999999996</v>
      </c>
      <c r="K49" s="260">
        <v>4850</v>
      </c>
      <c r="L49" s="260"/>
      <c r="O49" s="260"/>
      <c r="P49" s="260"/>
      <c r="Q49" s="260"/>
      <c r="R49" s="260"/>
      <c r="S49" s="260"/>
      <c r="U49" s="260"/>
      <c r="V49" s="260"/>
      <c r="W49" s="2"/>
      <c r="X49" s="2"/>
      <c r="Y49" s="2">
        <f t="shared" si="16"/>
        <v>343.10000000000036</v>
      </c>
      <c r="Z49" s="2" t="str">
        <f t="shared" si="17"/>
        <v/>
      </c>
      <c r="AA49" s="2" t="str">
        <f t="shared" si="26"/>
        <v/>
      </c>
      <c r="AB49" s="2" t="str">
        <f t="shared" si="26"/>
        <v/>
      </c>
      <c r="AC49" s="2" t="str">
        <f t="shared" si="18"/>
        <v/>
      </c>
      <c r="AD49" s="2" t="str">
        <f t="shared" si="19"/>
        <v/>
      </c>
      <c r="AE49" s="2" t="str">
        <f t="shared" si="20"/>
        <v/>
      </c>
      <c r="AF49" s="2" t="str">
        <f t="shared" si="21"/>
        <v/>
      </c>
      <c r="AG49" s="2" t="str">
        <f t="shared" si="22"/>
        <v/>
      </c>
      <c r="AH49" s="2" t="str">
        <f t="shared" si="23"/>
        <v/>
      </c>
      <c r="AI49" s="2" t="str">
        <f t="shared" si="24"/>
        <v/>
      </c>
      <c r="AJ49" s="2" t="str">
        <f t="shared" si="25"/>
        <v/>
      </c>
      <c r="AK49" s="2">
        <v>1</v>
      </c>
      <c r="AL49" s="260">
        <f t="shared" ca="1" si="12"/>
        <v>0</v>
      </c>
      <c r="AM49" s="260">
        <f t="shared" ca="1" si="13"/>
        <v>0</v>
      </c>
      <c r="AN49" s="260" t="str">
        <f ca="1">IF(AND(Tabla7[[#This Row],[UltLec]]&lt;&gt;0,Tabla7[[#This Row],[PenLect]]&lt;&gt;0),(AM49-AL49)*Tabla7[[#This Row],[RT]],"N/A")</f>
        <v>N/A</v>
      </c>
      <c r="AO49" s="380" t="s">
        <v>852</v>
      </c>
      <c r="AP49" s="380" t="s">
        <v>1075</v>
      </c>
      <c r="AQ49" s="380" t="s">
        <v>1074</v>
      </c>
      <c r="AR49" s="2">
        <f t="shared" si="14"/>
        <v>0</v>
      </c>
      <c r="AT49" s="2" t="e">
        <f t="shared" ca="1" si="15"/>
        <v>#VALUE!</v>
      </c>
    </row>
    <row r="50" spans="1:46" ht="18" hidden="1" customHeight="1" x14ac:dyDescent="0.25">
      <c r="A50" s="408" t="s">
        <v>578</v>
      </c>
      <c r="B50" s="262"/>
      <c r="C50" s="411" t="s">
        <v>401</v>
      </c>
      <c r="D50" s="262" t="s">
        <v>614</v>
      </c>
      <c r="E50" s="235">
        <v>3</v>
      </c>
      <c r="F50" s="371" t="s">
        <v>21</v>
      </c>
      <c r="G50" s="371" t="s">
        <v>618</v>
      </c>
      <c r="H50" s="371" t="s">
        <v>617</v>
      </c>
      <c r="I50" s="371" t="s">
        <v>861</v>
      </c>
      <c r="J50" s="341">
        <v>766764</v>
      </c>
      <c r="K50" s="341">
        <v>785727</v>
      </c>
      <c r="L50" s="341"/>
      <c r="M50" s="341"/>
      <c r="N50" s="341"/>
      <c r="O50" s="341"/>
      <c r="P50" s="341"/>
      <c r="Q50" s="341"/>
      <c r="R50" s="341"/>
      <c r="S50" s="341"/>
      <c r="T50" s="341"/>
      <c r="U50" s="341"/>
      <c r="V50" s="341"/>
      <c r="W50" s="371"/>
      <c r="X50" s="371"/>
      <c r="Y50" s="371">
        <f t="shared" si="16"/>
        <v>18963</v>
      </c>
      <c r="Z50" s="371" t="str">
        <f t="shared" si="17"/>
        <v/>
      </c>
      <c r="AA50" s="371" t="str">
        <f t="shared" si="26"/>
        <v/>
      </c>
      <c r="AB50" s="371" t="str">
        <f t="shared" si="26"/>
        <v/>
      </c>
      <c r="AC50" s="371" t="str">
        <f t="shared" si="18"/>
        <v/>
      </c>
      <c r="AD50" s="371" t="str">
        <f t="shared" si="19"/>
        <v/>
      </c>
      <c r="AE50" s="371" t="str">
        <f t="shared" si="20"/>
        <v/>
      </c>
      <c r="AF50" s="371" t="str">
        <f t="shared" si="21"/>
        <v/>
      </c>
      <c r="AG50" s="371" t="str">
        <f t="shared" si="22"/>
        <v/>
      </c>
      <c r="AH50" s="371" t="str">
        <f t="shared" si="23"/>
        <v/>
      </c>
      <c r="AI50" s="371" t="str">
        <f t="shared" si="24"/>
        <v/>
      </c>
      <c r="AJ50" s="371" t="str">
        <f t="shared" si="25"/>
        <v/>
      </c>
      <c r="AK50" s="371">
        <v>1</v>
      </c>
      <c r="AL50" s="341">
        <f t="shared" ca="1" si="12"/>
        <v>0</v>
      </c>
      <c r="AM50" s="341">
        <f t="shared" ca="1" si="13"/>
        <v>0</v>
      </c>
      <c r="AN50" s="341" t="str">
        <f ca="1">IF(AND(Tabla7[[#This Row],[UltLec]]&lt;&gt;0,Tabla7[[#This Row],[PenLect]]&lt;&gt;0),(AM50-AL50)*Tabla7[[#This Row],[RT]],"N/A")</f>
        <v>N/A</v>
      </c>
      <c r="AO50" s="389" t="s">
        <v>852</v>
      </c>
      <c r="AP50" s="389" t="s">
        <v>1075</v>
      </c>
      <c r="AQ50" s="389" t="s">
        <v>1074</v>
      </c>
      <c r="AR50" s="371">
        <f t="shared" si="14"/>
        <v>0</v>
      </c>
      <c r="AT50" s="2" t="e">
        <f t="shared" ca="1" si="15"/>
        <v>#VALUE!</v>
      </c>
    </row>
    <row r="51" spans="1:46" ht="18" hidden="1" customHeight="1" x14ac:dyDescent="0.25">
      <c r="A51" s="405" t="s">
        <v>578</v>
      </c>
      <c r="B51" s="54"/>
      <c r="C51" s="368" t="s">
        <v>402</v>
      </c>
      <c r="D51" s="54" t="s">
        <v>614</v>
      </c>
      <c r="E51" s="232">
        <v>39881</v>
      </c>
      <c r="F51" s="2" t="s">
        <v>615</v>
      </c>
      <c r="G51" s="2" t="s">
        <v>618</v>
      </c>
      <c r="H51" s="2" t="s">
        <v>619</v>
      </c>
      <c r="I51" s="2"/>
      <c r="J51" s="260">
        <v>87190</v>
      </c>
      <c r="K51" s="260">
        <v>87190</v>
      </c>
      <c r="L51" s="260"/>
      <c r="O51" s="260"/>
      <c r="P51" s="260"/>
      <c r="Q51" s="260"/>
      <c r="R51" s="260"/>
      <c r="S51" s="260"/>
      <c r="U51" s="260"/>
      <c r="V51" s="260"/>
      <c r="W51" s="2"/>
      <c r="X51" s="2"/>
      <c r="Y51" s="2">
        <f t="shared" si="16"/>
        <v>0</v>
      </c>
      <c r="Z51" s="2" t="str">
        <f t="shared" si="17"/>
        <v/>
      </c>
      <c r="AA51" s="2" t="str">
        <f t="shared" si="26"/>
        <v/>
      </c>
      <c r="AB51" s="2" t="str">
        <f t="shared" si="26"/>
        <v/>
      </c>
      <c r="AC51" s="2" t="str">
        <f t="shared" si="18"/>
        <v/>
      </c>
      <c r="AD51" s="2" t="str">
        <f t="shared" si="19"/>
        <v/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  <c r="AI51" s="2" t="str">
        <f t="shared" si="24"/>
        <v/>
      </c>
      <c r="AJ51" s="2" t="str">
        <f t="shared" si="25"/>
        <v/>
      </c>
      <c r="AK51" s="2">
        <v>1</v>
      </c>
      <c r="AL51" s="260">
        <f t="shared" ca="1" si="12"/>
        <v>0</v>
      </c>
      <c r="AM51" s="260">
        <f t="shared" ca="1" si="13"/>
        <v>0</v>
      </c>
      <c r="AN51" s="260" t="str">
        <f ca="1">IF(AND(Tabla7[[#This Row],[UltLec]]&lt;&gt;0,Tabla7[[#This Row],[PenLect]]&lt;&gt;0),(AM51-AL51)*Tabla7[[#This Row],[RT]],"N/A")</f>
        <v>N/A</v>
      </c>
      <c r="AO51" s="380" t="s">
        <v>852</v>
      </c>
      <c r="AP51" s="380" t="s">
        <v>1075</v>
      </c>
      <c r="AQ51" s="380" t="s">
        <v>1074</v>
      </c>
      <c r="AR51" s="2">
        <f t="shared" si="14"/>
        <v>0</v>
      </c>
      <c r="AT51" s="2" t="e">
        <f t="shared" ca="1" si="15"/>
        <v>#VALUE!</v>
      </c>
    </row>
    <row r="52" spans="1:46" ht="18" hidden="1" customHeight="1" x14ac:dyDescent="0.25">
      <c r="A52" s="405" t="s">
        <v>578</v>
      </c>
      <c r="B52" s="54"/>
      <c r="C52" s="368" t="s">
        <v>403</v>
      </c>
      <c r="D52" s="54" t="s">
        <v>614</v>
      </c>
      <c r="E52" s="232">
        <v>39882</v>
      </c>
      <c r="F52" s="2" t="s">
        <v>615</v>
      </c>
      <c r="G52" s="2" t="s">
        <v>618</v>
      </c>
      <c r="H52" s="2" t="s">
        <v>620</v>
      </c>
      <c r="I52" s="2"/>
      <c r="J52" s="260">
        <v>78697</v>
      </c>
      <c r="K52" s="260">
        <v>78697</v>
      </c>
      <c r="L52" s="260"/>
      <c r="O52" s="260"/>
      <c r="P52" s="260"/>
      <c r="Q52" s="260"/>
      <c r="R52" s="260"/>
      <c r="S52" s="260"/>
      <c r="U52" s="260"/>
      <c r="V52" s="260"/>
      <c r="W52" s="2"/>
      <c r="X52" s="2"/>
      <c r="Y52" s="2">
        <f t="shared" si="16"/>
        <v>0</v>
      </c>
      <c r="Z52" s="2" t="str">
        <f t="shared" si="17"/>
        <v/>
      </c>
      <c r="AA52" s="2" t="str">
        <f t="shared" si="26"/>
        <v/>
      </c>
      <c r="AB52" s="2" t="str">
        <f t="shared" si="26"/>
        <v/>
      </c>
      <c r="AC52" s="2" t="str">
        <f t="shared" si="18"/>
        <v/>
      </c>
      <c r="AD52" s="2" t="str">
        <f t="shared" si="19"/>
        <v/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  <c r="AI52" s="2" t="str">
        <f t="shared" si="24"/>
        <v/>
      </c>
      <c r="AJ52" s="2" t="str">
        <f t="shared" si="25"/>
        <v/>
      </c>
      <c r="AK52" s="2">
        <v>1</v>
      </c>
      <c r="AL52" s="260">
        <f t="shared" ca="1" si="12"/>
        <v>0</v>
      </c>
      <c r="AM52" s="260">
        <f t="shared" ca="1" si="13"/>
        <v>0</v>
      </c>
      <c r="AN52" s="260" t="str">
        <f ca="1">IF(AND(Tabla7[[#This Row],[UltLec]]&lt;&gt;0,Tabla7[[#This Row],[PenLect]]&lt;&gt;0),(AM52-AL52)*Tabla7[[#This Row],[RT]],"N/A")</f>
        <v>N/A</v>
      </c>
      <c r="AO52" s="380" t="s">
        <v>852</v>
      </c>
      <c r="AP52" s="380" t="s">
        <v>1075</v>
      </c>
      <c r="AQ52" s="380" t="s">
        <v>1074</v>
      </c>
      <c r="AR52" s="2">
        <f t="shared" si="14"/>
        <v>0</v>
      </c>
      <c r="AT52" s="2" t="e">
        <f t="shared" ca="1" si="15"/>
        <v>#VALUE!</v>
      </c>
    </row>
    <row r="53" spans="1:46" ht="18" hidden="1" customHeight="1" x14ac:dyDescent="0.25">
      <c r="A53" s="405" t="s">
        <v>578</v>
      </c>
      <c r="B53" s="54" t="s">
        <v>621</v>
      </c>
      <c r="C53" s="368" t="s">
        <v>404</v>
      </c>
      <c r="D53" s="54" t="s">
        <v>614</v>
      </c>
      <c r="E53" s="232">
        <v>39065</v>
      </c>
      <c r="F53" s="2" t="s">
        <v>615</v>
      </c>
      <c r="G53" s="2" t="s">
        <v>618</v>
      </c>
      <c r="H53" s="2" t="s">
        <v>1268</v>
      </c>
      <c r="I53" s="2"/>
      <c r="J53" s="260">
        <v>27860</v>
      </c>
      <c r="K53" s="260">
        <v>28020</v>
      </c>
      <c r="L53" s="260"/>
      <c r="O53" s="260"/>
      <c r="P53" s="260"/>
      <c r="Q53" s="260"/>
      <c r="R53" s="260"/>
      <c r="S53" s="260"/>
      <c r="U53" s="260"/>
      <c r="V53" s="260"/>
      <c r="W53" s="2"/>
      <c r="X53" s="2"/>
      <c r="Y53" s="2">
        <f t="shared" si="16"/>
        <v>160</v>
      </c>
      <c r="Z53" s="2" t="str">
        <f t="shared" si="17"/>
        <v/>
      </c>
      <c r="AA53" s="2" t="str">
        <f t="shared" si="26"/>
        <v/>
      </c>
      <c r="AB53" s="2" t="str">
        <f t="shared" si="26"/>
        <v/>
      </c>
      <c r="AC53" s="2" t="str">
        <f t="shared" si="18"/>
        <v/>
      </c>
      <c r="AD53" s="2" t="str">
        <f t="shared" si="19"/>
        <v/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  <c r="AI53" s="2" t="str">
        <f t="shared" si="24"/>
        <v/>
      </c>
      <c r="AJ53" s="2" t="str">
        <f t="shared" si="25"/>
        <v/>
      </c>
      <c r="AK53" s="2">
        <v>1</v>
      </c>
      <c r="AL53" s="260">
        <f t="shared" ca="1" si="12"/>
        <v>0</v>
      </c>
      <c r="AM53" s="260">
        <f t="shared" ca="1" si="13"/>
        <v>0</v>
      </c>
      <c r="AN53" s="260" t="str">
        <f ca="1">IF(AND(Tabla7[[#This Row],[UltLec]]&lt;&gt;0,Tabla7[[#This Row],[PenLect]]&lt;&gt;0),(AM53-AL53)*Tabla7[[#This Row],[RT]],"N/A")</f>
        <v>N/A</v>
      </c>
      <c r="AO53" s="380" t="s">
        <v>852</v>
      </c>
      <c r="AP53" s="380" t="s">
        <v>1075</v>
      </c>
      <c r="AQ53" s="380" t="s">
        <v>1074</v>
      </c>
      <c r="AR53" s="2">
        <f t="shared" si="14"/>
        <v>0</v>
      </c>
      <c r="AT53" s="2" t="e">
        <f t="shared" ca="1" si="15"/>
        <v>#VALUE!</v>
      </c>
    </row>
    <row r="54" spans="1:46" ht="18" hidden="1" customHeight="1" x14ac:dyDescent="0.25">
      <c r="A54" s="406" t="s">
        <v>996</v>
      </c>
      <c r="B54" s="273"/>
      <c r="C54" s="367" t="s">
        <v>410</v>
      </c>
      <c r="D54" s="273" t="s">
        <v>614</v>
      </c>
      <c r="E54" s="274">
        <v>3</v>
      </c>
      <c r="F54" s="275" t="s">
        <v>21</v>
      </c>
      <c r="G54" s="275" t="s">
        <v>618</v>
      </c>
      <c r="H54" s="275" t="s">
        <v>1269</v>
      </c>
      <c r="I54" s="275"/>
      <c r="J54" s="277"/>
      <c r="K54" s="277"/>
      <c r="L54" s="277"/>
      <c r="M54" s="277"/>
      <c r="N54" s="277"/>
      <c r="O54" s="277"/>
      <c r="P54" s="277"/>
      <c r="Q54" s="277"/>
      <c r="R54" s="277"/>
      <c r="S54" s="277"/>
      <c r="T54" s="277"/>
      <c r="U54" s="277"/>
      <c r="V54" s="277"/>
      <c r="W54" s="275"/>
      <c r="X54" s="275"/>
      <c r="Y54" s="275" t="str">
        <f t="shared" si="16"/>
        <v/>
      </c>
      <c r="Z54" s="275" t="str">
        <f t="shared" si="17"/>
        <v/>
      </c>
      <c r="AA54" s="275" t="str">
        <f t="shared" si="26"/>
        <v/>
      </c>
      <c r="AB54" s="275" t="str">
        <f t="shared" si="26"/>
        <v/>
      </c>
      <c r="AC54" s="275" t="str">
        <f t="shared" si="18"/>
        <v/>
      </c>
      <c r="AD54" s="275" t="str">
        <f t="shared" si="19"/>
        <v/>
      </c>
      <c r="AE54" s="275" t="str">
        <f t="shared" si="20"/>
        <v/>
      </c>
      <c r="AF54" s="275" t="str">
        <f t="shared" si="21"/>
        <v/>
      </c>
      <c r="AG54" s="275" t="str">
        <f t="shared" si="22"/>
        <v/>
      </c>
      <c r="AH54" s="275" t="str">
        <f t="shared" si="23"/>
        <v/>
      </c>
      <c r="AI54" s="275" t="str">
        <f t="shared" si="24"/>
        <v/>
      </c>
      <c r="AJ54" s="275" t="str">
        <f t="shared" si="25"/>
        <v/>
      </c>
      <c r="AK54" s="275">
        <v>1</v>
      </c>
      <c r="AL54" s="277">
        <f t="shared" ca="1" si="12"/>
        <v>0</v>
      </c>
      <c r="AM54" s="277">
        <f t="shared" ca="1" si="13"/>
        <v>0</v>
      </c>
      <c r="AN54" s="277" t="str">
        <f ca="1">IF(AND(Tabla7[[#This Row],[UltLec]]&lt;&gt;0,Tabla7[[#This Row],[PenLect]]&lt;&gt;0),(AM54-AL54)*Tabla7[[#This Row],[RT]],"N/A")</f>
        <v>N/A</v>
      </c>
      <c r="AO54" s="393" t="s">
        <v>1160</v>
      </c>
      <c r="AP54" s="393" t="s">
        <v>1075</v>
      </c>
      <c r="AQ54" s="393" t="s">
        <v>1074</v>
      </c>
      <c r="AR54" s="275">
        <f t="shared" si="14"/>
        <v>0</v>
      </c>
      <c r="AT54" s="2" t="e">
        <f t="shared" ca="1" si="15"/>
        <v>#VALUE!</v>
      </c>
    </row>
    <row r="55" spans="1:46" ht="18" hidden="1" customHeight="1" x14ac:dyDescent="0.25">
      <c r="A55" s="406" t="s">
        <v>996</v>
      </c>
      <c r="B55" s="273">
        <v>1214</v>
      </c>
      <c r="C55" s="276" t="s">
        <v>410</v>
      </c>
      <c r="D55" s="273" t="s">
        <v>614</v>
      </c>
      <c r="E55" s="274">
        <v>39838</v>
      </c>
      <c r="F55" s="275" t="s">
        <v>1395</v>
      </c>
      <c r="G55" s="275" t="s">
        <v>618</v>
      </c>
      <c r="H55" s="275" t="s">
        <v>1269</v>
      </c>
      <c r="I55" s="275" t="s">
        <v>1582</v>
      </c>
      <c r="J55" s="275"/>
      <c r="K55" s="275"/>
      <c r="L55" s="275"/>
      <c r="M55" s="275"/>
      <c r="N55" s="275"/>
      <c r="O55" s="275"/>
      <c r="P55" s="275"/>
      <c r="Q55" s="275"/>
      <c r="R55" s="275"/>
      <c r="S55" s="275"/>
      <c r="T55" s="275"/>
      <c r="U55" s="275"/>
      <c r="V55" s="275"/>
      <c r="W55" s="275"/>
      <c r="X55" s="275"/>
      <c r="Y55" s="275" t="str">
        <f t="shared" si="16"/>
        <v/>
      </c>
      <c r="Z55" s="275" t="str">
        <f t="shared" si="17"/>
        <v/>
      </c>
      <c r="AA55" s="275" t="str">
        <f t="shared" si="26"/>
        <v/>
      </c>
      <c r="AB55" s="275" t="str">
        <f t="shared" si="26"/>
        <v/>
      </c>
      <c r="AC55" s="275" t="str">
        <f t="shared" si="18"/>
        <v/>
      </c>
      <c r="AD55" s="275" t="str">
        <f t="shared" si="19"/>
        <v/>
      </c>
      <c r="AE55" s="275" t="str">
        <f t="shared" si="20"/>
        <v/>
      </c>
      <c r="AF55" s="275" t="str">
        <f t="shared" si="21"/>
        <v/>
      </c>
      <c r="AG55" s="275" t="str">
        <f t="shared" si="22"/>
        <v/>
      </c>
      <c r="AH55" s="275" t="str">
        <f t="shared" si="23"/>
        <v/>
      </c>
      <c r="AI55" s="275" t="str">
        <f t="shared" si="24"/>
        <v/>
      </c>
      <c r="AJ55" s="275" t="str">
        <f t="shared" si="25"/>
        <v/>
      </c>
      <c r="AK55" s="275">
        <v>1</v>
      </c>
      <c r="AL55" s="277">
        <f t="shared" ca="1" si="12"/>
        <v>0</v>
      </c>
      <c r="AM55" s="277">
        <f t="shared" ca="1" si="13"/>
        <v>0</v>
      </c>
      <c r="AN55" s="277" t="str">
        <f ca="1">IF(AND(Tabla7[[#This Row],[UltLec]]&lt;&gt;0,Tabla7[[#This Row],[PenLect]]&lt;&gt;0),(AM55-AL55)*Tabla7[[#This Row],[RT]],"N/A")</f>
        <v>N/A</v>
      </c>
      <c r="AO55" s="393" t="s">
        <v>1160</v>
      </c>
      <c r="AP55" s="393" t="s">
        <v>1075</v>
      </c>
      <c r="AQ55" s="393" t="s">
        <v>1074</v>
      </c>
      <c r="AR55" s="275">
        <f t="shared" si="14"/>
        <v>0</v>
      </c>
      <c r="AT55" s="2" t="e">
        <f t="shared" ca="1" si="15"/>
        <v>#VALUE!</v>
      </c>
    </row>
    <row r="56" spans="1:46" ht="18" hidden="1" customHeight="1" x14ac:dyDescent="0.25">
      <c r="A56" s="405" t="s">
        <v>578</v>
      </c>
      <c r="B56" s="54"/>
      <c r="C56" s="368" t="s">
        <v>410</v>
      </c>
      <c r="D56" s="54" t="s">
        <v>614</v>
      </c>
      <c r="E56" s="232">
        <v>39861</v>
      </c>
      <c r="F56" s="2" t="s">
        <v>615</v>
      </c>
      <c r="G56" s="2" t="s">
        <v>618</v>
      </c>
      <c r="H56" s="2" t="s">
        <v>1269</v>
      </c>
      <c r="I56" s="2" t="s">
        <v>1674</v>
      </c>
      <c r="J56" s="260">
        <v>6361.7</v>
      </c>
      <c r="K56" s="260">
        <v>6478</v>
      </c>
      <c r="L56" s="260"/>
      <c r="O56" s="260"/>
      <c r="P56" s="260"/>
      <c r="Q56" s="260"/>
      <c r="R56" s="260"/>
      <c r="S56" s="260"/>
      <c r="U56" s="260"/>
      <c r="V56" s="260"/>
      <c r="W56" s="2"/>
      <c r="X56" s="2"/>
      <c r="Y56" s="2">
        <f t="shared" si="16"/>
        <v>116.30000000000018</v>
      </c>
      <c r="Z56" s="2" t="str">
        <f t="shared" si="17"/>
        <v/>
      </c>
      <c r="AA56" s="2" t="str">
        <f>IF(OR(ISBLANK(#REF!),ISBLANK(L56)),"",IF(AND(#REF!&gt;=L56,#REF!-L56&lt;=#REF!),(#REF!-L56)*$AK56,"!!!!"))</f>
        <v/>
      </c>
      <c r="AB56" s="2" t="str">
        <f>IF(OR(ISBLANK(N56),ISBLANK(#REF!)),"",IF(AND(N56&gt;=#REF!,N56-#REF!&lt;=N56),(N56-#REF!)*$AK56,"!!!!"))</f>
        <v/>
      </c>
      <c r="AC56" s="2" t="str">
        <f t="shared" si="18"/>
        <v/>
      </c>
      <c r="AD56" s="2" t="str">
        <f t="shared" si="19"/>
        <v/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  <c r="AI56" s="2" t="str">
        <f t="shared" si="24"/>
        <v/>
      </c>
      <c r="AJ56" s="2" t="str">
        <f t="shared" si="25"/>
        <v/>
      </c>
      <c r="AK56" s="2">
        <v>1</v>
      </c>
      <c r="AL56" s="260">
        <f t="shared" ca="1" si="12"/>
        <v>0</v>
      </c>
      <c r="AM56" s="260">
        <f t="shared" ca="1" si="13"/>
        <v>0</v>
      </c>
      <c r="AN56" s="260" t="str">
        <f ca="1">IF(AND(Tabla7[[#This Row],[UltLec]]&lt;&gt;0,Tabla7[[#This Row],[PenLect]]&lt;&gt;0),(AM56-AL56)*Tabla7[[#This Row],[RT]],"N/A")</f>
        <v>N/A</v>
      </c>
      <c r="AO56" s="380" t="s">
        <v>852</v>
      </c>
      <c r="AP56" s="380" t="s">
        <v>1075</v>
      </c>
      <c r="AQ56" s="380" t="s">
        <v>1074</v>
      </c>
      <c r="AR56" s="2">
        <f t="shared" si="14"/>
        <v>0</v>
      </c>
      <c r="AT56" s="2" t="e">
        <f t="shared" ca="1" si="15"/>
        <v>#VALUE!</v>
      </c>
    </row>
    <row r="57" spans="1:46" ht="18" hidden="1" customHeight="1" x14ac:dyDescent="0.25">
      <c r="A57" s="405" t="s">
        <v>578</v>
      </c>
      <c r="B57" s="54"/>
      <c r="C57" s="368" t="s">
        <v>405</v>
      </c>
      <c r="D57" s="54" t="s">
        <v>614</v>
      </c>
      <c r="E57" s="232">
        <v>39658</v>
      </c>
      <c r="F57" s="2" t="s">
        <v>615</v>
      </c>
      <c r="G57" s="2" t="s">
        <v>618</v>
      </c>
      <c r="H57" s="2" t="s">
        <v>1270</v>
      </c>
      <c r="I57" s="2" t="s">
        <v>1321</v>
      </c>
      <c r="J57" s="260">
        <v>40285.300000000003</v>
      </c>
      <c r="K57" s="260">
        <v>40589</v>
      </c>
      <c r="L57" s="260"/>
      <c r="O57" s="260"/>
      <c r="P57" s="260"/>
      <c r="Q57" s="260"/>
      <c r="R57" s="260"/>
      <c r="S57" s="260"/>
      <c r="U57" s="260"/>
      <c r="V57" s="260"/>
      <c r="W57" s="2"/>
      <c r="X57" s="2"/>
      <c r="Y57" s="2">
        <f t="shared" si="16"/>
        <v>303.69999999999709</v>
      </c>
      <c r="Z57" s="2" t="str">
        <f t="shared" si="17"/>
        <v/>
      </c>
      <c r="AA57" s="2" t="str">
        <f t="shared" ref="AA57:AA80" si="27">IF(OR(ISBLANK(M57),ISBLANK(L57)),"",IF(AND(M57&gt;=L57,M57-L57&lt;=M57),(M57-L57)*$AK57,"!!!!"))</f>
        <v/>
      </c>
      <c r="AB57" s="2" t="str">
        <f t="shared" ref="AB57:AB80" si="28">IF(OR(ISBLANK(N57),ISBLANK(M57)),"",IF(AND(N57&gt;=M57,N57-M57&lt;=N57),(N57-M57)*$AK57,"!!!!"))</f>
        <v/>
      </c>
      <c r="AC57" s="2" t="str">
        <f t="shared" si="18"/>
        <v/>
      </c>
      <c r="AD57" s="2" t="str">
        <f t="shared" si="19"/>
        <v/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  <c r="AI57" s="2" t="str">
        <f t="shared" si="24"/>
        <v/>
      </c>
      <c r="AJ57" s="2" t="str">
        <f t="shared" si="25"/>
        <v/>
      </c>
      <c r="AK57" s="2">
        <v>1</v>
      </c>
      <c r="AL57" s="260">
        <f t="shared" ca="1" si="12"/>
        <v>0</v>
      </c>
      <c r="AM57" s="260">
        <f t="shared" ca="1" si="13"/>
        <v>0</v>
      </c>
      <c r="AN57" s="260" t="str">
        <f ca="1">IF(AND(Tabla7[[#This Row],[UltLec]]&lt;&gt;0,Tabla7[[#This Row],[PenLect]]&lt;&gt;0),(AM57-AL57)*Tabla7[[#This Row],[RT]],"N/A")</f>
        <v>N/A</v>
      </c>
      <c r="AO57" s="380" t="s">
        <v>852</v>
      </c>
      <c r="AP57" s="380" t="s">
        <v>1075</v>
      </c>
      <c r="AQ57" s="380" t="s">
        <v>1074</v>
      </c>
      <c r="AR57" s="2">
        <f t="shared" si="14"/>
        <v>0</v>
      </c>
      <c r="AT57" s="2" t="e">
        <f t="shared" ca="1" si="15"/>
        <v>#VALUE!</v>
      </c>
    </row>
    <row r="58" spans="1:46" ht="18" hidden="1" customHeight="1" x14ac:dyDescent="0.25">
      <c r="A58" s="406" t="s">
        <v>996</v>
      </c>
      <c r="B58" s="273">
        <v>472</v>
      </c>
      <c r="C58" s="367" t="s">
        <v>405</v>
      </c>
      <c r="D58" s="273" t="s">
        <v>614</v>
      </c>
      <c r="E58" s="274">
        <v>39874</v>
      </c>
      <c r="F58" s="275" t="s">
        <v>622</v>
      </c>
      <c r="G58" s="275" t="s">
        <v>618</v>
      </c>
      <c r="H58" s="275" t="s">
        <v>623</v>
      </c>
      <c r="I58" s="275"/>
      <c r="J58" s="275"/>
      <c r="K58" s="275"/>
      <c r="L58" s="275"/>
      <c r="M58" s="275"/>
      <c r="N58" s="275"/>
      <c r="O58" s="275"/>
      <c r="P58" s="275"/>
      <c r="Q58" s="275"/>
      <c r="R58" s="275"/>
      <c r="S58" s="275"/>
      <c r="T58" s="275"/>
      <c r="U58" s="275"/>
      <c r="V58" s="275"/>
      <c r="W58" s="275"/>
      <c r="X58" s="275"/>
      <c r="Y58" s="275" t="str">
        <f t="shared" si="16"/>
        <v/>
      </c>
      <c r="Z58" s="275" t="str">
        <f t="shared" si="17"/>
        <v/>
      </c>
      <c r="AA58" s="275" t="str">
        <f t="shared" si="27"/>
        <v/>
      </c>
      <c r="AB58" s="275" t="str">
        <f t="shared" si="28"/>
        <v/>
      </c>
      <c r="AC58" s="275" t="str">
        <f t="shared" si="18"/>
        <v/>
      </c>
      <c r="AD58" s="275" t="str">
        <f t="shared" si="19"/>
        <v/>
      </c>
      <c r="AE58" s="275" t="str">
        <f t="shared" si="20"/>
        <v/>
      </c>
      <c r="AF58" s="275" t="str">
        <f t="shared" si="21"/>
        <v/>
      </c>
      <c r="AG58" s="275" t="str">
        <f t="shared" si="22"/>
        <v/>
      </c>
      <c r="AH58" s="275" t="str">
        <f t="shared" si="23"/>
        <v/>
      </c>
      <c r="AI58" s="275" t="str">
        <f t="shared" si="24"/>
        <v/>
      </c>
      <c r="AJ58" s="275" t="str">
        <f t="shared" si="25"/>
        <v/>
      </c>
      <c r="AK58" s="275">
        <v>1</v>
      </c>
      <c r="AL58" s="277">
        <f t="shared" ca="1" si="12"/>
        <v>0</v>
      </c>
      <c r="AM58" s="277">
        <f t="shared" ca="1" si="13"/>
        <v>0</v>
      </c>
      <c r="AN58" s="277" t="str">
        <f ca="1">IF(AND(Tabla7[[#This Row],[UltLec]]&lt;&gt;0,Tabla7[[#This Row],[PenLect]]&lt;&gt;0),(AM58-AL58)*Tabla7[[#This Row],[RT]],"N/A")</f>
        <v>N/A</v>
      </c>
      <c r="AO58" s="393" t="s">
        <v>1160</v>
      </c>
      <c r="AP58" s="393" t="s">
        <v>1075</v>
      </c>
      <c r="AQ58" s="393" t="s">
        <v>1074</v>
      </c>
      <c r="AR58" s="275">
        <f t="shared" si="14"/>
        <v>0</v>
      </c>
      <c r="AT58" s="2" t="e">
        <f t="shared" ca="1" si="15"/>
        <v>#VALUE!</v>
      </c>
    </row>
    <row r="59" spans="1:46" ht="18" hidden="1" customHeight="1" x14ac:dyDescent="0.25">
      <c r="A59" s="406" t="s">
        <v>996</v>
      </c>
      <c r="B59" s="273"/>
      <c r="C59" s="276" t="s">
        <v>405</v>
      </c>
      <c r="D59" s="273" t="s">
        <v>614</v>
      </c>
      <c r="E59" s="274">
        <v>39941</v>
      </c>
      <c r="F59" s="275" t="s">
        <v>1071</v>
      </c>
      <c r="G59" s="275" t="s">
        <v>618</v>
      </c>
      <c r="H59" s="275" t="s">
        <v>1270</v>
      </c>
      <c r="I59" s="275" t="s">
        <v>1293</v>
      </c>
      <c r="J59" s="275"/>
      <c r="K59" s="275"/>
      <c r="L59" s="275"/>
      <c r="M59" s="275"/>
      <c r="N59" s="275"/>
      <c r="O59" s="275"/>
      <c r="P59" s="275"/>
      <c r="Q59" s="275"/>
      <c r="R59" s="275"/>
      <c r="S59" s="275"/>
      <c r="T59" s="275"/>
      <c r="U59" s="275"/>
      <c r="V59" s="275"/>
      <c r="W59" s="275"/>
      <c r="X59" s="275"/>
      <c r="Y59" s="275" t="str">
        <f t="shared" si="16"/>
        <v/>
      </c>
      <c r="Z59" s="275" t="str">
        <f t="shared" si="17"/>
        <v/>
      </c>
      <c r="AA59" s="275" t="str">
        <f t="shared" si="27"/>
        <v/>
      </c>
      <c r="AB59" s="275" t="str">
        <f t="shared" si="28"/>
        <v/>
      </c>
      <c r="AC59" s="275" t="str">
        <f t="shared" si="18"/>
        <v/>
      </c>
      <c r="AD59" s="275" t="str">
        <f t="shared" si="19"/>
        <v/>
      </c>
      <c r="AE59" s="275" t="str">
        <f t="shared" si="20"/>
        <v/>
      </c>
      <c r="AF59" s="275" t="str">
        <f t="shared" si="21"/>
        <v/>
      </c>
      <c r="AG59" s="275" t="str">
        <f t="shared" si="22"/>
        <v/>
      </c>
      <c r="AH59" s="275" t="str">
        <f t="shared" si="23"/>
        <v/>
      </c>
      <c r="AI59" s="275" t="str">
        <f t="shared" si="24"/>
        <v/>
      </c>
      <c r="AJ59" s="275" t="str">
        <f t="shared" si="25"/>
        <v/>
      </c>
      <c r="AK59" s="275">
        <v>1</v>
      </c>
      <c r="AL59" s="277">
        <f t="shared" ca="1" si="12"/>
        <v>0</v>
      </c>
      <c r="AM59" s="277">
        <f t="shared" ca="1" si="13"/>
        <v>0</v>
      </c>
      <c r="AN59" s="277" t="str">
        <f ca="1">IF(AND(Tabla7[[#This Row],[UltLec]]&lt;&gt;0,Tabla7[[#This Row],[PenLect]]&lt;&gt;0),(AM59-AL59)*Tabla7[[#This Row],[RT]],"N/A")</f>
        <v>N/A</v>
      </c>
      <c r="AO59" s="275" t="s">
        <v>1160</v>
      </c>
      <c r="AP59" s="275" t="s">
        <v>1075</v>
      </c>
      <c r="AQ59" s="275" t="s">
        <v>1074</v>
      </c>
      <c r="AR59" s="275">
        <f t="shared" si="14"/>
        <v>0</v>
      </c>
      <c r="AT59" s="2" t="e">
        <f t="shared" ca="1" si="15"/>
        <v>#VALUE!</v>
      </c>
    </row>
    <row r="60" spans="1:46" ht="18" hidden="1" customHeight="1" x14ac:dyDescent="0.25">
      <c r="A60" s="406" t="s">
        <v>996</v>
      </c>
      <c r="B60" s="273"/>
      <c r="C60" s="367" t="s">
        <v>406</v>
      </c>
      <c r="D60" s="273" t="s">
        <v>614</v>
      </c>
      <c r="E60" s="274">
        <v>3</v>
      </c>
      <c r="F60" s="275" t="s">
        <v>21</v>
      </c>
      <c r="G60" s="275" t="s">
        <v>618</v>
      </c>
      <c r="H60" s="275" t="s">
        <v>624</v>
      </c>
      <c r="I60" s="275" t="s">
        <v>1506</v>
      </c>
      <c r="J60" s="277"/>
      <c r="K60" s="277"/>
      <c r="L60" s="277"/>
      <c r="M60" s="277"/>
      <c r="N60" s="277"/>
      <c r="O60" s="277"/>
      <c r="P60" s="277"/>
      <c r="Q60" s="277"/>
      <c r="R60" s="277"/>
      <c r="S60" s="277"/>
      <c r="T60" s="277"/>
      <c r="U60" s="277"/>
      <c r="V60" s="277"/>
      <c r="W60" s="275"/>
      <c r="X60" s="275"/>
      <c r="Y60" s="275" t="str">
        <f t="shared" si="16"/>
        <v/>
      </c>
      <c r="Z60" s="275" t="str">
        <f t="shared" si="17"/>
        <v/>
      </c>
      <c r="AA60" s="275" t="str">
        <f t="shared" si="27"/>
        <v/>
      </c>
      <c r="AB60" s="275" t="str">
        <f t="shared" si="28"/>
        <v/>
      </c>
      <c r="AC60" s="275" t="str">
        <f t="shared" si="18"/>
        <v/>
      </c>
      <c r="AD60" s="275" t="str">
        <f t="shared" si="19"/>
        <v/>
      </c>
      <c r="AE60" s="275" t="str">
        <f t="shared" si="20"/>
        <v/>
      </c>
      <c r="AF60" s="275" t="str">
        <f t="shared" si="21"/>
        <v/>
      </c>
      <c r="AG60" s="275" t="str">
        <f t="shared" si="22"/>
        <v/>
      </c>
      <c r="AH60" s="275" t="str">
        <f t="shared" si="23"/>
        <v/>
      </c>
      <c r="AI60" s="275" t="str">
        <f t="shared" si="24"/>
        <v/>
      </c>
      <c r="AJ60" s="275" t="str">
        <f t="shared" si="25"/>
        <v/>
      </c>
      <c r="AK60" s="275">
        <v>1</v>
      </c>
      <c r="AL60" s="277">
        <f t="shared" ca="1" si="12"/>
        <v>0</v>
      </c>
      <c r="AM60" s="277">
        <f t="shared" ca="1" si="13"/>
        <v>0</v>
      </c>
      <c r="AN60" s="277" t="str">
        <f ca="1">IF(AND(Tabla7[[#This Row],[UltLec]]&lt;&gt;0,Tabla7[[#This Row],[PenLect]]&lt;&gt;0),(AM60-AL60)*Tabla7[[#This Row],[RT]],"N/A")</f>
        <v>N/A</v>
      </c>
      <c r="AO60" s="393" t="s">
        <v>1160</v>
      </c>
      <c r="AP60" s="393" t="s">
        <v>1075</v>
      </c>
      <c r="AQ60" s="393" t="s">
        <v>1074</v>
      </c>
      <c r="AR60" s="275">
        <f t="shared" si="14"/>
        <v>0</v>
      </c>
      <c r="AT60" s="2" t="e">
        <f t="shared" ca="1" si="15"/>
        <v>#VALUE!</v>
      </c>
    </row>
    <row r="61" spans="1:46" ht="18" hidden="1" customHeight="1" x14ac:dyDescent="0.25">
      <c r="A61" s="405" t="s">
        <v>578</v>
      </c>
      <c r="B61" s="54"/>
      <c r="C61" s="368" t="s">
        <v>406</v>
      </c>
      <c r="D61" s="54" t="s">
        <v>614</v>
      </c>
      <c r="E61" s="232">
        <v>3</v>
      </c>
      <c r="F61" s="2" t="s">
        <v>21</v>
      </c>
      <c r="G61" s="2" t="s">
        <v>618</v>
      </c>
      <c r="H61" s="2" t="s">
        <v>624</v>
      </c>
      <c r="I61" s="2" t="s">
        <v>1507</v>
      </c>
      <c r="J61" s="260">
        <v>16679.400000000001</v>
      </c>
      <c r="K61" s="260">
        <v>17781</v>
      </c>
      <c r="L61" s="260"/>
      <c r="O61" s="260"/>
      <c r="P61" s="260"/>
      <c r="Q61" s="260"/>
      <c r="R61" s="260"/>
      <c r="S61" s="260"/>
      <c r="U61" s="260"/>
      <c r="V61" s="260"/>
      <c r="W61" s="2"/>
      <c r="X61" s="2"/>
      <c r="Y61" s="2">
        <f t="shared" si="16"/>
        <v>1101.5999999999985</v>
      </c>
      <c r="Z61" s="2" t="str">
        <f t="shared" si="17"/>
        <v/>
      </c>
      <c r="AA61" s="2" t="str">
        <f t="shared" si="27"/>
        <v/>
      </c>
      <c r="AB61" s="2" t="str">
        <f t="shared" si="28"/>
        <v/>
      </c>
      <c r="AC61" s="2" t="str">
        <f t="shared" si="18"/>
        <v/>
      </c>
      <c r="AD61" s="2" t="str">
        <f t="shared" si="19"/>
        <v/>
      </c>
      <c r="AE61" s="2" t="str">
        <f t="shared" si="20"/>
        <v/>
      </c>
      <c r="AF61" s="2" t="str">
        <f t="shared" si="21"/>
        <v/>
      </c>
      <c r="AG61" s="2" t="str">
        <f t="shared" si="22"/>
        <v/>
      </c>
      <c r="AH61" s="2" t="str">
        <f t="shared" si="23"/>
        <v/>
      </c>
      <c r="AI61" s="2" t="str">
        <f t="shared" si="24"/>
        <v/>
      </c>
      <c r="AJ61" s="2" t="str">
        <f t="shared" si="25"/>
        <v/>
      </c>
      <c r="AK61" s="2">
        <v>1</v>
      </c>
      <c r="AL61" s="260">
        <f t="shared" ca="1" si="12"/>
        <v>0</v>
      </c>
      <c r="AM61" s="260">
        <f t="shared" ca="1" si="13"/>
        <v>0</v>
      </c>
      <c r="AN61" s="260" t="str">
        <f ca="1">IF(AND(Tabla7[[#This Row],[UltLec]]&lt;&gt;0,Tabla7[[#This Row],[PenLect]]&lt;&gt;0),(AM61-AL61)*Tabla7[[#This Row],[RT]],"N/A")</f>
        <v>N/A</v>
      </c>
      <c r="AO61" s="380" t="s">
        <v>852</v>
      </c>
      <c r="AP61" s="380" t="s">
        <v>1075</v>
      </c>
      <c r="AQ61" s="380" t="s">
        <v>1074</v>
      </c>
      <c r="AR61" s="2">
        <f t="shared" si="14"/>
        <v>0</v>
      </c>
      <c r="AT61" s="2" t="e">
        <f t="shared" ca="1" si="15"/>
        <v>#VALUE!</v>
      </c>
    </row>
    <row r="62" spans="1:46" ht="18" hidden="1" customHeight="1" x14ac:dyDescent="0.25">
      <c r="A62" s="405" t="s">
        <v>578</v>
      </c>
      <c r="B62" s="54"/>
      <c r="C62" s="368" t="s">
        <v>407</v>
      </c>
      <c r="D62" s="54" t="s">
        <v>614</v>
      </c>
      <c r="E62" s="232">
        <v>3</v>
      </c>
      <c r="F62" s="2" t="s">
        <v>21</v>
      </c>
      <c r="G62" s="2" t="s">
        <v>618</v>
      </c>
      <c r="H62" s="2" t="s">
        <v>625</v>
      </c>
      <c r="I62" s="2"/>
      <c r="J62" s="260">
        <v>602.5</v>
      </c>
      <c r="K62" s="260">
        <v>603</v>
      </c>
      <c r="L62" s="260"/>
      <c r="O62" s="260"/>
      <c r="P62" s="260"/>
      <c r="Q62" s="260"/>
      <c r="R62" s="260"/>
      <c r="S62" s="260"/>
      <c r="U62" s="260"/>
      <c r="V62" s="260"/>
      <c r="W62" s="2"/>
      <c r="X62" s="2"/>
      <c r="Y62" s="2">
        <f t="shared" si="16"/>
        <v>0.5</v>
      </c>
      <c r="Z62" s="2" t="str">
        <f t="shared" si="17"/>
        <v/>
      </c>
      <c r="AA62" s="2" t="str">
        <f t="shared" si="27"/>
        <v/>
      </c>
      <c r="AB62" s="2" t="str">
        <f t="shared" si="28"/>
        <v/>
      </c>
      <c r="AC62" s="2" t="str">
        <f t="shared" si="18"/>
        <v/>
      </c>
      <c r="AD62" s="2" t="str">
        <f t="shared" si="19"/>
        <v/>
      </c>
      <c r="AE62" s="2" t="str">
        <f t="shared" si="20"/>
        <v/>
      </c>
      <c r="AF62" s="2" t="str">
        <f t="shared" si="21"/>
        <v/>
      </c>
      <c r="AG62" s="2" t="str">
        <f t="shared" si="22"/>
        <v/>
      </c>
      <c r="AH62" s="2" t="str">
        <f t="shared" si="23"/>
        <v/>
      </c>
      <c r="AI62" s="2" t="str">
        <f t="shared" si="24"/>
        <v/>
      </c>
      <c r="AJ62" s="2" t="str">
        <f t="shared" si="25"/>
        <v/>
      </c>
      <c r="AK62" s="2">
        <v>1</v>
      </c>
      <c r="AL62" s="260">
        <f t="shared" ca="1" si="12"/>
        <v>0</v>
      </c>
      <c r="AM62" s="260">
        <f t="shared" ca="1" si="13"/>
        <v>0</v>
      </c>
      <c r="AN62" s="260" t="str">
        <f ca="1">IF(AND(Tabla7[[#This Row],[UltLec]]&lt;&gt;0,Tabla7[[#This Row],[PenLect]]&lt;&gt;0),(AM62-AL62)*Tabla7[[#This Row],[RT]],"N/A")</f>
        <v>N/A</v>
      </c>
      <c r="AO62" s="380" t="s">
        <v>852</v>
      </c>
      <c r="AP62" s="380" t="s">
        <v>1075</v>
      </c>
      <c r="AQ62" s="380" t="s">
        <v>1074</v>
      </c>
      <c r="AR62" s="2">
        <f t="shared" si="14"/>
        <v>0</v>
      </c>
      <c r="AT62" s="2" t="e">
        <f t="shared" ca="1" si="15"/>
        <v>#VALUE!</v>
      </c>
    </row>
    <row r="63" spans="1:46" ht="18" hidden="1" customHeight="1" x14ac:dyDescent="0.25">
      <c r="A63" s="405" t="s">
        <v>578</v>
      </c>
      <c r="B63" s="54"/>
      <c r="C63" s="368" t="s">
        <v>408</v>
      </c>
      <c r="D63" s="54" t="s">
        <v>614</v>
      </c>
      <c r="E63" s="232">
        <v>3</v>
      </c>
      <c r="F63" s="2" t="s">
        <v>21</v>
      </c>
      <c r="G63" s="2" t="s">
        <v>618</v>
      </c>
      <c r="H63" s="2" t="s">
        <v>626</v>
      </c>
      <c r="I63" s="2" t="s">
        <v>627</v>
      </c>
      <c r="J63" s="260">
        <v>121933.9</v>
      </c>
      <c r="K63" s="260">
        <v>123658</v>
      </c>
      <c r="L63" s="260"/>
      <c r="O63" s="260"/>
      <c r="P63" s="260"/>
      <c r="Q63" s="260"/>
      <c r="R63" s="260"/>
      <c r="S63" s="260"/>
      <c r="U63" s="260"/>
      <c r="V63" s="260"/>
      <c r="W63" s="2"/>
      <c r="X63" s="2"/>
      <c r="Y63" s="2">
        <f t="shared" si="16"/>
        <v>1724.1000000000058</v>
      </c>
      <c r="Z63" s="2" t="str">
        <f t="shared" si="17"/>
        <v/>
      </c>
      <c r="AA63" s="2" t="str">
        <f t="shared" si="27"/>
        <v/>
      </c>
      <c r="AB63" s="2" t="str">
        <f t="shared" si="28"/>
        <v/>
      </c>
      <c r="AC63" s="2" t="str">
        <f t="shared" si="18"/>
        <v/>
      </c>
      <c r="AD63" s="2" t="str">
        <f t="shared" si="19"/>
        <v/>
      </c>
      <c r="AE63" s="2" t="str">
        <f t="shared" si="20"/>
        <v/>
      </c>
      <c r="AF63" s="2" t="str">
        <f t="shared" si="21"/>
        <v/>
      </c>
      <c r="AG63" s="2" t="str">
        <f t="shared" si="22"/>
        <v/>
      </c>
      <c r="AH63" s="2" t="str">
        <f t="shared" si="23"/>
        <v/>
      </c>
      <c r="AI63" s="2" t="str">
        <f t="shared" si="24"/>
        <v/>
      </c>
      <c r="AJ63" s="2" t="str">
        <f t="shared" si="25"/>
        <v/>
      </c>
      <c r="AK63" s="2">
        <v>1</v>
      </c>
      <c r="AL63" s="260">
        <f t="shared" ca="1" si="12"/>
        <v>0</v>
      </c>
      <c r="AM63" s="260">
        <f t="shared" ca="1" si="13"/>
        <v>0</v>
      </c>
      <c r="AN63" s="260" t="str">
        <f ca="1">IF(AND(Tabla7[[#This Row],[UltLec]]&lt;&gt;0,Tabla7[[#This Row],[PenLect]]&lt;&gt;0),(AM63-AL63)*Tabla7[[#This Row],[RT]],"N/A")</f>
        <v>N/A</v>
      </c>
      <c r="AO63" s="380" t="s">
        <v>852</v>
      </c>
      <c r="AP63" s="380" t="s">
        <v>1075</v>
      </c>
      <c r="AQ63" s="380" t="s">
        <v>1074</v>
      </c>
      <c r="AR63" s="2">
        <f t="shared" si="14"/>
        <v>0</v>
      </c>
      <c r="AT63" s="2" t="e">
        <f t="shared" ca="1" si="15"/>
        <v>#VALUE!</v>
      </c>
    </row>
    <row r="64" spans="1:46" ht="18" hidden="1" customHeight="1" x14ac:dyDescent="0.25">
      <c r="A64" s="406" t="s">
        <v>996</v>
      </c>
      <c r="B64" s="273">
        <v>1962</v>
      </c>
      <c r="C64" s="367" t="s">
        <v>409</v>
      </c>
      <c r="D64" s="273" t="s">
        <v>614</v>
      </c>
      <c r="E64" s="274">
        <v>39870</v>
      </c>
      <c r="F64" s="275" t="s">
        <v>1632</v>
      </c>
      <c r="G64" s="275" t="s">
        <v>1635</v>
      </c>
      <c r="H64" s="275" t="s">
        <v>1634</v>
      </c>
      <c r="I64" s="275" t="s">
        <v>1695</v>
      </c>
      <c r="J64" s="275">
        <v>536</v>
      </c>
      <c r="K64" s="275"/>
      <c r="L64" s="275"/>
      <c r="M64" s="275"/>
      <c r="N64" s="275"/>
      <c r="O64" s="275"/>
      <c r="P64" s="275"/>
      <c r="Q64" s="275"/>
      <c r="R64" s="275"/>
      <c r="S64" s="275"/>
      <c r="T64" s="275"/>
      <c r="U64" s="275"/>
      <c r="V64" s="275"/>
      <c r="W64" s="275"/>
      <c r="X64" s="275"/>
      <c r="Y64" s="275" t="str">
        <f t="shared" si="16"/>
        <v/>
      </c>
      <c r="Z64" s="275" t="str">
        <f t="shared" si="17"/>
        <v/>
      </c>
      <c r="AA64" s="275" t="str">
        <f t="shared" si="27"/>
        <v/>
      </c>
      <c r="AB64" s="275" t="str">
        <f t="shared" si="28"/>
        <v/>
      </c>
      <c r="AC64" s="275" t="str">
        <f t="shared" si="18"/>
        <v/>
      </c>
      <c r="AD64" s="275" t="str">
        <f t="shared" si="19"/>
        <v/>
      </c>
      <c r="AE64" s="275" t="str">
        <f t="shared" si="20"/>
        <v/>
      </c>
      <c r="AF64" s="275" t="str">
        <f t="shared" si="21"/>
        <v/>
      </c>
      <c r="AG64" s="275" t="str">
        <f t="shared" si="22"/>
        <v/>
      </c>
      <c r="AH64" s="275" t="str">
        <f t="shared" si="23"/>
        <v/>
      </c>
      <c r="AI64" s="275" t="str">
        <f t="shared" si="24"/>
        <v/>
      </c>
      <c r="AJ64" s="275" t="str">
        <f t="shared" si="25"/>
        <v/>
      </c>
      <c r="AK64" s="275">
        <v>1</v>
      </c>
      <c r="AL64" s="275">
        <f t="shared" ca="1" si="12"/>
        <v>0</v>
      </c>
      <c r="AM64" s="275">
        <f t="shared" ca="1" si="13"/>
        <v>0</v>
      </c>
      <c r="AN64" s="275" t="str">
        <f ca="1">IF(AND(Tabla7[[#This Row],[UltLec]]&lt;&gt;0,Tabla7[[#This Row],[PenLect]]&lt;&gt;0),(AM64-AL64)*Tabla7[[#This Row],[RT]],"N/A")</f>
        <v>N/A</v>
      </c>
      <c r="AO64" s="275" t="s">
        <v>1160</v>
      </c>
      <c r="AP64" s="275" t="s">
        <v>1075</v>
      </c>
      <c r="AQ64" s="275" t="s">
        <v>1435</v>
      </c>
      <c r="AR64" s="275">
        <f t="shared" si="14"/>
        <v>0</v>
      </c>
      <c r="AT64" s="2" t="e">
        <f t="shared" ca="1" si="15"/>
        <v>#VALUE!</v>
      </c>
    </row>
    <row r="65" spans="1:46" ht="18" hidden="1" customHeight="1" x14ac:dyDescent="0.25">
      <c r="A65" s="406" t="s">
        <v>996</v>
      </c>
      <c r="B65" s="273"/>
      <c r="C65" s="367" t="s">
        <v>409</v>
      </c>
      <c r="D65" s="273" t="s">
        <v>614</v>
      </c>
      <c r="E65" s="274">
        <v>39899</v>
      </c>
      <c r="F65" s="275" t="s">
        <v>615</v>
      </c>
      <c r="G65" s="275" t="s">
        <v>618</v>
      </c>
      <c r="H65" s="275" t="s">
        <v>1271</v>
      </c>
      <c r="I65" s="434" t="s">
        <v>1496</v>
      </c>
      <c r="J65" s="275"/>
      <c r="K65" s="275"/>
      <c r="L65" s="275"/>
      <c r="M65" s="275"/>
      <c r="N65" s="275"/>
      <c r="O65" s="275"/>
      <c r="P65" s="275"/>
      <c r="Q65" s="275"/>
      <c r="R65" s="275"/>
      <c r="S65" s="275"/>
      <c r="T65" s="275"/>
      <c r="U65" s="275"/>
      <c r="V65" s="275"/>
      <c r="W65" s="275"/>
      <c r="X65" s="275"/>
      <c r="Y65" s="275" t="str">
        <f t="shared" si="16"/>
        <v/>
      </c>
      <c r="Z65" s="275" t="str">
        <f t="shared" si="17"/>
        <v/>
      </c>
      <c r="AA65" s="275" t="str">
        <f t="shared" si="27"/>
        <v/>
      </c>
      <c r="AB65" s="275" t="str">
        <f t="shared" si="28"/>
        <v/>
      </c>
      <c r="AC65" s="275" t="str">
        <f t="shared" si="18"/>
        <v/>
      </c>
      <c r="AD65" s="275" t="str">
        <f t="shared" si="19"/>
        <v/>
      </c>
      <c r="AE65" s="275" t="str">
        <f t="shared" si="20"/>
        <v/>
      </c>
      <c r="AF65" s="275" t="str">
        <f t="shared" si="21"/>
        <v/>
      </c>
      <c r="AG65" s="275" t="str">
        <f t="shared" si="22"/>
        <v/>
      </c>
      <c r="AH65" s="275" t="str">
        <f t="shared" si="23"/>
        <v/>
      </c>
      <c r="AI65" s="275" t="str">
        <f t="shared" si="24"/>
        <v/>
      </c>
      <c r="AJ65" s="275" t="str">
        <f t="shared" si="25"/>
        <v/>
      </c>
      <c r="AK65" s="275">
        <v>1</v>
      </c>
      <c r="AL65" s="275">
        <f t="shared" ca="1" si="12"/>
        <v>0</v>
      </c>
      <c r="AM65" s="275">
        <f t="shared" ca="1" si="13"/>
        <v>0</v>
      </c>
      <c r="AN65" s="275" t="str">
        <f ca="1">IF(AND(Tabla7[[#This Row],[UltLec]]&lt;&gt;0,Tabla7[[#This Row],[PenLect]]&lt;&gt;0),(AM65-AL65)*Tabla7[[#This Row],[RT]],"N/A")</f>
        <v>N/A</v>
      </c>
      <c r="AO65" s="275" t="s">
        <v>1160</v>
      </c>
      <c r="AP65" s="275" t="s">
        <v>1075</v>
      </c>
      <c r="AQ65" s="275" t="s">
        <v>1074</v>
      </c>
      <c r="AR65" s="275">
        <f t="shared" si="14"/>
        <v>0</v>
      </c>
      <c r="AT65" s="2" t="e">
        <f t="shared" ca="1" si="15"/>
        <v>#VALUE!</v>
      </c>
    </row>
    <row r="66" spans="1:46" ht="18.75" hidden="1" x14ac:dyDescent="0.25">
      <c r="A66" s="406" t="s">
        <v>996</v>
      </c>
      <c r="B66" s="273"/>
      <c r="C66" s="276" t="s">
        <v>1340</v>
      </c>
      <c r="D66" s="273" t="s">
        <v>614</v>
      </c>
      <c r="E66" s="274">
        <v>39646</v>
      </c>
      <c r="F66" s="275" t="s">
        <v>1341</v>
      </c>
      <c r="G66" s="275" t="s">
        <v>1343</v>
      </c>
      <c r="H66" s="275" t="s">
        <v>1342</v>
      </c>
      <c r="I66" s="275" t="s">
        <v>1430</v>
      </c>
      <c r="J66" s="275"/>
      <c r="K66" s="275"/>
      <c r="L66" s="275"/>
      <c r="M66" s="275"/>
      <c r="N66" s="275"/>
      <c r="O66" s="275"/>
      <c r="P66" s="275"/>
      <c r="Q66" s="275"/>
      <c r="R66" s="275"/>
      <c r="S66" s="275"/>
      <c r="T66" s="275"/>
      <c r="U66" s="275"/>
      <c r="V66" s="275"/>
      <c r="W66" s="275"/>
      <c r="X66" s="275"/>
      <c r="Y66" s="275" t="str">
        <f t="shared" si="16"/>
        <v/>
      </c>
      <c r="Z66" s="275" t="str">
        <f t="shared" si="17"/>
        <v/>
      </c>
      <c r="AA66" s="275" t="str">
        <f t="shared" si="27"/>
        <v/>
      </c>
      <c r="AB66" s="275" t="str">
        <f t="shared" si="28"/>
        <v/>
      </c>
      <c r="AC66" s="275" t="str">
        <f t="shared" si="18"/>
        <v/>
      </c>
      <c r="AD66" s="275" t="str">
        <f t="shared" si="19"/>
        <v/>
      </c>
      <c r="AE66" s="275" t="str">
        <f t="shared" si="20"/>
        <v/>
      </c>
      <c r="AF66" s="275" t="str">
        <f t="shared" si="21"/>
        <v/>
      </c>
      <c r="AG66" s="275" t="str">
        <f t="shared" si="22"/>
        <v/>
      </c>
      <c r="AH66" s="275" t="str">
        <f t="shared" si="23"/>
        <v/>
      </c>
      <c r="AI66" s="275" t="str">
        <f t="shared" si="24"/>
        <v/>
      </c>
      <c r="AJ66" s="275" t="str">
        <f t="shared" si="25"/>
        <v/>
      </c>
      <c r="AK66" s="275">
        <v>1</v>
      </c>
      <c r="AL66" s="275">
        <f t="shared" ca="1" si="12"/>
        <v>0</v>
      </c>
      <c r="AM66" s="275">
        <f t="shared" ca="1" si="13"/>
        <v>0</v>
      </c>
      <c r="AN66" s="275" t="str">
        <f ca="1">IF(AND(Tabla7[[#This Row],[UltLec]]&lt;&gt;0,Tabla7[[#This Row],[PenLect]]&lt;&gt;0),(AM66-AL66)*Tabla7[[#This Row],[RT]],"N/A")</f>
        <v>N/A</v>
      </c>
      <c r="AO66" s="393" t="s">
        <v>1160</v>
      </c>
      <c r="AP66" s="393" t="s">
        <v>1075</v>
      </c>
      <c r="AQ66" s="393" t="s">
        <v>1074</v>
      </c>
      <c r="AR66" s="393">
        <f t="shared" si="14"/>
        <v>0</v>
      </c>
      <c r="AT66" s="2" t="e">
        <f t="shared" ca="1" si="15"/>
        <v>#VALUE!</v>
      </c>
    </row>
    <row r="67" spans="1:46" ht="18.75" hidden="1" x14ac:dyDescent="0.25">
      <c r="A67" s="405" t="s">
        <v>578</v>
      </c>
      <c r="B67" s="54"/>
      <c r="C67" s="412" t="s">
        <v>1662</v>
      </c>
      <c r="D67" s="54" t="s">
        <v>614</v>
      </c>
      <c r="E67" s="232">
        <v>39886</v>
      </c>
      <c r="F67" s="2" t="s">
        <v>615</v>
      </c>
      <c r="G67" s="2" t="s">
        <v>1229</v>
      </c>
      <c r="H67" s="2" t="s">
        <v>1230</v>
      </c>
      <c r="I67" s="2" t="s">
        <v>1663</v>
      </c>
      <c r="J67" s="260">
        <v>182.6</v>
      </c>
      <c r="K67" s="260">
        <v>270</v>
      </c>
      <c r="L67" s="290"/>
      <c r="M67" s="290"/>
      <c r="N67" s="290"/>
      <c r="O67" s="290"/>
      <c r="P67" s="260"/>
      <c r="Q67" s="290"/>
      <c r="R67" s="260"/>
      <c r="S67" s="290"/>
      <c r="T67" s="290"/>
      <c r="U67" s="336"/>
      <c r="V67" s="260"/>
      <c r="W67" s="264"/>
      <c r="X67" s="264"/>
      <c r="Y67" s="264">
        <f t="shared" si="16"/>
        <v>87.4</v>
      </c>
      <c r="Z67" s="264" t="str">
        <f t="shared" si="17"/>
        <v/>
      </c>
      <c r="AA67" s="264" t="str">
        <f t="shared" si="27"/>
        <v/>
      </c>
      <c r="AB67" s="264" t="str">
        <f t="shared" si="28"/>
        <v/>
      </c>
      <c r="AC67" s="264" t="str">
        <f t="shared" si="18"/>
        <v/>
      </c>
      <c r="AD67" s="264" t="str">
        <f t="shared" si="19"/>
        <v/>
      </c>
      <c r="AE67" s="264" t="str">
        <f t="shared" si="20"/>
        <v/>
      </c>
      <c r="AF67" s="264" t="str">
        <f t="shared" si="21"/>
        <v/>
      </c>
      <c r="AG67" s="264" t="str">
        <f t="shared" si="22"/>
        <v/>
      </c>
      <c r="AH67" s="264" t="str">
        <f t="shared" si="23"/>
        <v/>
      </c>
      <c r="AI67" s="264" t="str">
        <f t="shared" si="24"/>
        <v/>
      </c>
      <c r="AJ67" s="264" t="str">
        <f t="shared" si="25"/>
        <v/>
      </c>
      <c r="AK67" s="264">
        <v>1</v>
      </c>
      <c r="AL67" s="290">
        <f t="shared" ref="AL67:AL130" ca="1" si="29">IF(DAY(TODAY())&lt;16,INDEX(J67:X67,1,MONTH(TODAY())-1),INDEX(J67:X67,1,MONTH(TODAY())))</f>
        <v>0</v>
      </c>
      <c r="AM67" s="290">
        <f t="shared" ref="AM67:AM130" ca="1" si="30">IF(DAY(TODAY())&lt;16,INDEX(J67:X67,1,MONTH(TODAY())),INDEX(J67:X67,1,MONTH(TODAY())+1))</f>
        <v>0</v>
      </c>
      <c r="AN67" s="290" t="str">
        <f ca="1">IF(AND(Tabla7[[#This Row],[UltLec]]&lt;&gt;0,Tabla7[[#This Row],[PenLect]]&lt;&gt;0),(AM67-AL67)*Tabla7[[#This Row],[RT]],"N/A")</f>
        <v>N/A</v>
      </c>
      <c r="AO67" s="398" t="s">
        <v>852</v>
      </c>
      <c r="AP67" s="398" t="s">
        <v>1075</v>
      </c>
      <c r="AQ67" s="398" t="s">
        <v>1074</v>
      </c>
      <c r="AR67" s="264">
        <f t="shared" ref="AR67:AR130" si="31">COUNTIF(Y67:AJ67,"!!!!")</f>
        <v>0</v>
      </c>
      <c r="AT67" s="2" t="e">
        <f t="shared" ca="1" si="15"/>
        <v>#VALUE!</v>
      </c>
    </row>
    <row r="68" spans="1:46" ht="18.75" hidden="1" x14ac:dyDescent="0.25">
      <c r="A68" s="406" t="s">
        <v>1676</v>
      </c>
      <c r="B68" s="273"/>
      <c r="C68" s="276">
        <v>542779</v>
      </c>
      <c r="D68" s="273" t="s">
        <v>630</v>
      </c>
      <c r="E68" s="274">
        <v>39869</v>
      </c>
      <c r="F68" s="275" t="s">
        <v>1675</v>
      </c>
      <c r="G68" s="2" t="s">
        <v>631</v>
      </c>
      <c r="H68" s="2" t="s">
        <v>1272</v>
      </c>
      <c r="I68" s="275" t="s">
        <v>1673</v>
      </c>
      <c r="J68" s="275"/>
      <c r="K68" s="275"/>
      <c r="L68" s="275"/>
      <c r="M68" s="275"/>
      <c r="N68" s="275"/>
      <c r="O68" s="275"/>
      <c r="P68" s="275"/>
      <c r="Q68" s="275"/>
      <c r="R68" s="275"/>
      <c r="S68" s="275"/>
      <c r="T68" s="275"/>
      <c r="U68" s="275"/>
      <c r="V68" s="275"/>
      <c r="W68" s="275"/>
      <c r="X68" s="275"/>
      <c r="Y68" s="275" t="str">
        <f t="shared" si="16"/>
        <v/>
      </c>
      <c r="Z68" s="275" t="str">
        <f t="shared" si="17"/>
        <v/>
      </c>
      <c r="AA68" s="275" t="str">
        <f t="shared" si="27"/>
        <v/>
      </c>
      <c r="AB68" s="275" t="str">
        <f t="shared" si="28"/>
        <v/>
      </c>
      <c r="AC68" s="275" t="str">
        <f t="shared" si="18"/>
        <v/>
      </c>
      <c r="AD68" s="275" t="str">
        <f t="shared" si="19"/>
        <v/>
      </c>
      <c r="AE68" s="275" t="str">
        <f t="shared" si="20"/>
        <v/>
      </c>
      <c r="AF68" s="275" t="str">
        <f t="shared" si="21"/>
        <v/>
      </c>
      <c r="AG68" s="275" t="str">
        <f t="shared" si="22"/>
        <v/>
      </c>
      <c r="AH68" s="275" t="str">
        <f t="shared" si="23"/>
        <v/>
      </c>
      <c r="AI68" s="275" t="str">
        <f t="shared" si="24"/>
        <v/>
      </c>
      <c r="AJ68" s="275" t="str">
        <f t="shared" si="25"/>
        <v/>
      </c>
      <c r="AK68" s="275">
        <v>1</v>
      </c>
      <c r="AL68" s="275">
        <f t="shared" ca="1" si="29"/>
        <v>0</v>
      </c>
      <c r="AM68" s="275">
        <f t="shared" ca="1" si="30"/>
        <v>0</v>
      </c>
      <c r="AN68" s="275" t="str">
        <f ca="1">IF(AND(Tabla7[[#This Row],[UltLec]]&lt;&gt;0,Tabla7[[#This Row],[PenLect]]&lt;&gt;0),(AM68-AL68)*Tabla7[[#This Row],[RT]],"N/A")</f>
        <v>N/A</v>
      </c>
      <c r="AO68" s="275" t="s">
        <v>1160</v>
      </c>
      <c r="AP68" s="275" t="s">
        <v>1076</v>
      </c>
      <c r="AQ68" s="275" t="s">
        <v>1074</v>
      </c>
      <c r="AR68" s="275">
        <f t="shared" si="31"/>
        <v>0</v>
      </c>
      <c r="AT68" s="2" t="e">
        <f t="shared" ca="1" si="15"/>
        <v>#VALUE!</v>
      </c>
    </row>
    <row r="69" spans="1:46" ht="18.75" hidden="1" x14ac:dyDescent="0.25">
      <c r="A69" s="405" t="s">
        <v>578</v>
      </c>
      <c r="B69" s="54"/>
      <c r="C69" s="368">
        <v>17070</v>
      </c>
      <c r="D69" s="54" t="s">
        <v>632</v>
      </c>
      <c r="E69" s="232">
        <v>39873</v>
      </c>
      <c r="F69" s="2" t="s">
        <v>1273</v>
      </c>
      <c r="G69" s="2" t="s">
        <v>634</v>
      </c>
      <c r="H69" s="2" t="s">
        <v>635</v>
      </c>
      <c r="I69" s="2" t="s">
        <v>850</v>
      </c>
      <c r="J69" s="392">
        <v>17465</v>
      </c>
      <c r="K69" s="260">
        <v>17496</v>
      </c>
      <c r="L69" s="260"/>
      <c r="O69" s="260"/>
      <c r="P69" s="260"/>
      <c r="Q69" s="260"/>
      <c r="R69" s="260"/>
      <c r="S69" s="260"/>
      <c r="U69" s="260"/>
      <c r="V69" s="392"/>
      <c r="W69" s="2"/>
      <c r="X69" s="2"/>
      <c r="Y69" s="2">
        <f t="shared" si="16"/>
        <v>31</v>
      </c>
      <c r="Z69" s="2" t="str">
        <f t="shared" si="17"/>
        <v/>
      </c>
      <c r="AA69" s="2" t="str">
        <f t="shared" si="27"/>
        <v/>
      </c>
      <c r="AB69" s="2" t="str">
        <f t="shared" si="28"/>
        <v/>
      </c>
      <c r="AC69" s="2" t="str">
        <f t="shared" si="18"/>
        <v/>
      </c>
      <c r="AD69" s="2" t="str">
        <f t="shared" si="19"/>
        <v/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  <c r="AI69" s="2" t="str">
        <f t="shared" si="24"/>
        <v/>
      </c>
      <c r="AJ69" s="2" t="str">
        <f t="shared" si="25"/>
        <v/>
      </c>
      <c r="AK69" s="2">
        <v>1</v>
      </c>
      <c r="AL69" s="260">
        <f t="shared" ca="1" si="29"/>
        <v>0</v>
      </c>
      <c r="AM69" s="260">
        <f t="shared" ca="1" si="30"/>
        <v>0</v>
      </c>
      <c r="AN69" s="260" t="str">
        <f ca="1">IF(AND(Tabla7[[#This Row],[UltLec]]&lt;&gt;0,Tabla7[[#This Row],[PenLect]]&lt;&gt;0),(AM69-AL69)*Tabla7[[#This Row],[RT]],"N/A")</f>
        <v>N/A</v>
      </c>
      <c r="AO69" s="380" t="s">
        <v>852</v>
      </c>
      <c r="AP69" s="380" t="s">
        <v>1075</v>
      </c>
      <c r="AQ69" s="380" t="s">
        <v>1077</v>
      </c>
      <c r="AR69" s="2">
        <f t="shared" si="31"/>
        <v>0</v>
      </c>
      <c r="AT69" s="2" t="e">
        <f t="shared" ref="AT69:AT132" ca="1" si="32">IF(IF(DAY(TODAY())&gt;15,INDEX($Y69:$AJ69,1,MONTH(TODAY())-1),INDEX($Y69:$AJ69,1,MONTH(TODAY())-2))=0,"0",IF(DAY(TODAY())&gt;15,INDEX($Y69:$AJ69,1,MONTH(TODAY())),INDEX($Y69:$AJ69,1,MONTH(TODAY())-1))/IF(DAY(TODAY())&gt;15,INDEX($Y69:$AJ69,1,MONTH(TODAY())-1),INDEX($Y69:$AJ69,1,MONTH(TODAY())-2)))</f>
        <v>#VALUE!</v>
      </c>
    </row>
    <row r="70" spans="1:46" ht="18" hidden="1" customHeight="1" x14ac:dyDescent="0.25">
      <c r="A70" s="406" t="s">
        <v>996</v>
      </c>
      <c r="B70" s="267"/>
      <c r="C70" s="367">
        <v>17070</v>
      </c>
      <c r="D70" s="273" t="s">
        <v>632</v>
      </c>
      <c r="E70" s="274">
        <v>39873</v>
      </c>
      <c r="F70" s="275" t="s">
        <v>633</v>
      </c>
      <c r="G70" s="275" t="s">
        <v>634</v>
      </c>
      <c r="H70" s="275" t="s">
        <v>635</v>
      </c>
      <c r="I70" s="275" t="s">
        <v>849</v>
      </c>
      <c r="J70" s="275"/>
      <c r="K70" s="275"/>
      <c r="L70" s="275"/>
      <c r="M70" s="275"/>
      <c r="N70" s="275"/>
      <c r="O70" s="275"/>
      <c r="P70" s="275"/>
      <c r="Q70" s="275"/>
      <c r="R70" s="275"/>
      <c r="S70" s="275"/>
      <c r="T70" s="275"/>
      <c r="U70" s="275"/>
      <c r="V70" s="275"/>
      <c r="W70" s="275"/>
      <c r="X70" s="275"/>
      <c r="Y70" s="275"/>
      <c r="Z70" s="275" t="str">
        <f t="shared" ref="Z70:Z108" si="33">IF(OR(ISBLANK(L70),ISBLANK(K70)),"",IF(AND(L70&gt;=K70,L70-K70&lt;=L70),(L70-K70)*$AK70,"!!!!"))</f>
        <v/>
      </c>
      <c r="AA70" s="275" t="str">
        <f t="shared" si="27"/>
        <v/>
      </c>
      <c r="AB70" s="275" t="str">
        <f t="shared" si="28"/>
        <v/>
      </c>
      <c r="AC70" s="275" t="str">
        <f t="shared" si="18"/>
        <v/>
      </c>
      <c r="AD70" s="275" t="str">
        <f t="shared" si="19"/>
        <v/>
      </c>
      <c r="AE70" s="275" t="str">
        <f t="shared" si="20"/>
        <v/>
      </c>
      <c r="AF70" s="275" t="str">
        <f t="shared" si="21"/>
        <v/>
      </c>
      <c r="AG70" s="275" t="str">
        <f t="shared" si="22"/>
        <v/>
      </c>
      <c r="AH70" s="275" t="str">
        <f t="shared" si="23"/>
        <v/>
      </c>
      <c r="AI70" s="275" t="str">
        <f t="shared" si="24"/>
        <v/>
      </c>
      <c r="AJ70" s="275" t="str">
        <f t="shared" si="25"/>
        <v/>
      </c>
      <c r="AK70" s="275">
        <v>1</v>
      </c>
      <c r="AL70" s="277">
        <f t="shared" ca="1" si="29"/>
        <v>0</v>
      </c>
      <c r="AM70" s="277">
        <f t="shared" ca="1" si="30"/>
        <v>0</v>
      </c>
      <c r="AN70" s="277" t="str">
        <f ca="1">IF(AND(Tabla7[[#This Row],[UltLec]]&lt;&gt;0,Tabla7[[#This Row],[PenLect]]&lt;&gt;0),(AM70-AL70)*Tabla7[[#This Row],[RT]],"N/A")</f>
        <v>N/A</v>
      </c>
      <c r="AO70" s="393" t="s">
        <v>1160</v>
      </c>
      <c r="AP70" s="393" t="s">
        <v>1075</v>
      </c>
      <c r="AQ70" s="393" t="s">
        <v>1077</v>
      </c>
      <c r="AR70" s="275">
        <f t="shared" si="31"/>
        <v>0</v>
      </c>
      <c r="AT70" s="2" t="e">
        <f t="shared" ca="1" si="32"/>
        <v>#VALUE!</v>
      </c>
    </row>
    <row r="71" spans="1:46" ht="18" hidden="1" customHeight="1" x14ac:dyDescent="0.25">
      <c r="A71" s="405" t="s">
        <v>578</v>
      </c>
      <c r="B71" s="54"/>
      <c r="C71" s="368">
        <v>30574059</v>
      </c>
      <c r="D71" s="54" t="s">
        <v>632</v>
      </c>
      <c r="E71" s="232">
        <v>3</v>
      </c>
      <c r="F71" s="2" t="s">
        <v>21</v>
      </c>
      <c r="G71" s="2" t="s">
        <v>641</v>
      </c>
      <c r="H71" s="2" t="s">
        <v>640</v>
      </c>
      <c r="I71" s="2" t="s">
        <v>642</v>
      </c>
      <c r="J71" s="392">
        <v>218183.5</v>
      </c>
      <c r="K71" s="260">
        <v>220176</v>
      </c>
      <c r="L71" s="260"/>
      <c r="O71" s="260"/>
      <c r="P71" s="260"/>
      <c r="Q71" s="260"/>
      <c r="R71" s="260"/>
      <c r="S71" s="260"/>
      <c r="U71" s="260"/>
      <c r="V71" s="392"/>
      <c r="W71" s="2"/>
      <c r="X71" s="2"/>
      <c r="Y71" s="2">
        <f t="shared" ref="Y71:Y108" si="34">IF(OR(ISBLANK(K71),ISBLANK(J71)),"",IF(AND(K71&gt;=J71,K71-J71&lt;=K71),(K71-J71)*$AK71,"!!!!"))</f>
        <v>1992.5</v>
      </c>
      <c r="Z71" s="2" t="str">
        <f t="shared" si="33"/>
        <v/>
      </c>
      <c r="AA71" s="2" t="str">
        <f t="shared" si="27"/>
        <v/>
      </c>
      <c r="AB71" s="2" t="str">
        <f t="shared" si="28"/>
        <v/>
      </c>
      <c r="AC71" s="2" t="str">
        <f t="shared" si="18"/>
        <v/>
      </c>
      <c r="AD71" s="2" t="str">
        <f t="shared" si="19"/>
        <v/>
      </c>
      <c r="AE71" s="2" t="str">
        <f t="shared" si="20"/>
        <v/>
      </c>
      <c r="AF71" s="2" t="str">
        <f t="shared" si="21"/>
        <v/>
      </c>
      <c r="AG71" s="2" t="str">
        <f t="shared" si="22"/>
        <v/>
      </c>
      <c r="AH71" s="2" t="str">
        <f t="shared" si="23"/>
        <v/>
      </c>
      <c r="AI71" s="2" t="str">
        <f t="shared" si="24"/>
        <v/>
      </c>
      <c r="AJ71" s="2" t="str">
        <f t="shared" si="25"/>
        <v/>
      </c>
      <c r="AK71" s="2">
        <v>1</v>
      </c>
      <c r="AL71" s="260">
        <f t="shared" ca="1" si="29"/>
        <v>0</v>
      </c>
      <c r="AM71" s="260">
        <f t="shared" ca="1" si="30"/>
        <v>0</v>
      </c>
      <c r="AN71" s="260" t="str">
        <f ca="1">IF(AND(Tabla7[[#This Row],[UltLec]]&lt;&gt;0,Tabla7[[#This Row],[PenLect]]&lt;&gt;0),(AM71-AL71)*Tabla7[[#This Row],[RT]],"N/A")</f>
        <v>N/A</v>
      </c>
      <c r="AO71" s="380" t="s">
        <v>852</v>
      </c>
      <c r="AP71" s="380" t="s">
        <v>1075</v>
      </c>
      <c r="AQ71" s="380" t="s">
        <v>1074</v>
      </c>
      <c r="AR71" s="2">
        <f t="shared" si="31"/>
        <v>0</v>
      </c>
      <c r="AT71" s="2" t="e">
        <f t="shared" ca="1" si="32"/>
        <v>#VALUE!</v>
      </c>
    </row>
    <row r="72" spans="1:46" ht="18" hidden="1" customHeight="1" x14ac:dyDescent="0.25">
      <c r="A72" s="405" t="s">
        <v>578</v>
      </c>
      <c r="B72" s="54"/>
      <c r="C72" s="368">
        <v>50564017</v>
      </c>
      <c r="D72" s="54" t="s">
        <v>632</v>
      </c>
      <c r="E72" s="232">
        <v>39878</v>
      </c>
      <c r="F72" s="2" t="s">
        <v>594</v>
      </c>
      <c r="G72" s="2" t="s">
        <v>636</v>
      </c>
      <c r="H72" s="2" t="s">
        <v>637</v>
      </c>
      <c r="I72" s="2"/>
      <c r="J72" s="392">
        <v>277885.59999999998</v>
      </c>
      <c r="K72" s="260">
        <v>279669</v>
      </c>
      <c r="L72" s="260"/>
      <c r="O72" s="260"/>
      <c r="P72" s="260"/>
      <c r="Q72" s="260"/>
      <c r="R72" s="260"/>
      <c r="S72" s="260"/>
      <c r="U72" s="260"/>
      <c r="V72" s="392"/>
      <c r="W72" s="2"/>
      <c r="X72" s="2"/>
      <c r="Y72" s="2">
        <f t="shared" si="34"/>
        <v>1783.4000000000233</v>
      </c>
      <c r="Z72" s="2" t="str">
        <f t="shared" si="33"/>
        <v/>
      </c>
      <c r="AA72" s="2" t="str">
        <f t="shared" si="27"/>
        <v/>
      </c>
      <c r="AB72" s="2" t="str">
        <f t="shared" si="28"/>
        <v/>
      </c>
      <c r="AC72" s="2" t="str">
        <f t="shared" si="18"/>
        <v/>
      </c>
      <c r="AD72" s="2" t="str">
        <f t="shared" si="19"/>
        <v/>
      </c>
      <c r="AE72" s="2" t="str">
        <f t="shared" si="20"/>
        <v/>
      </c>
      <c r="AF72" s="2" t="str">
        <f t="shared" si="21"/>
        <v/>
      </c>
      <c r="AG72" s="2" t="str">
        <f t="shared" si="22"/>
        <v/>
      </c>
      <c r="AH72" s="260" t="str">
        <f t="shared" si="23"/>
        <v/>
      </c>
      <c r="AI72" s="2" t="str">
        <f t="shared" si="24"/>
        <v/>
      </c>
      <c r="AJ72" s="2" t="str">
        <f t="shared" si="25"/>
        <v/>
      </c>
      <c r="AK72" s="2">
        <v>1</v>
      </c>
      <c r="AL72" s="260">
        <f t="shared" ca="1" si="29"/>
        <v>0</v>
      </c>
      <c r="AM72" s="260">
        <f t="shared" ca="1" si="30"/>
        <v>0</v>
      </c>
      <c r="AN72" s="260" t="str">
        <f ca="1">IF(AND(Tabla7[[#This Row],[UltLec]]&lt;&gt;0,Tabla7[[#This Row],[PenLect]]&lt;&gt;0),(AM72-AL72)*Tabla7[[#This Row],[RT]],"N/A")</f>
        <v>N/A</v>
      </c>
      <c r="AO72" s="380" t="s">
        <v>852</v>
      </c>
      <c r="AP72" s="380" t="s">
        <v>1075</v>
      </c>
      <c r="AQ72" s="380" t="s">
        <v>1074</v>
      </c>
      <c r="AR72" s="2">
        <f t="shared" si="31"/>
        <v>0</v>
      </c>
      <c r="AT72" s="2" t="e">
        <f t="shared" ca="1" si="32"/>
        <v>#VALUE!</v>
      </c>
    </row>
    <row r="73" spans="1:46" ht="18" hidden="1" customHeight="1" x14ac:dyDescent="0.25">
      <c r="A73" s="406" t="s">
        <v>996</v>
      </c>
      <c r="B73" s="267"/>
      <c r="C73" s="367">
        <v>85006712</v>
      </c>
      <c r="D73" s="273" t="s">
        <v>632</v>
      </c>
      <c r="E73" s="274">
        <v>39809</v>
      </c>
      <c r="F73" s="275" t="s">
        <v>594</v>
      </c>
      <c r="G73" s="275" t="s">
        <v>638</v>
      </c>
      <c r="H73" s="275" t="s">
        <v>1274</v>
      </c>
      <c r="I73" s="275" t="s">
        <v>1646</v>
      </c>
      <c r="J73" s="275"/>
      <c r="K73" s="275"/>
      <c r="L73" s="275"/>
      <c r="M73" s="275"/>
      <c r="N73" s="275"/>
      <c r="O73" s="275"/>
      <c r="P73" s="275"/>
      <c r="Q73" s="275"/>
      <c r="R73" s="275"/>
      <c r="S73" s="275"/>
      <c r="T73" s="275"/>
      <c r="U73" s="275"/>
      <c r="V73" s="275"/>
      <c r="W73" s="275"/>
      <c r="X73" s="275"/>
      <c r="Y73" s="275" t="str">
        <f t="shared" si="34"/>
        <v/>
      </c>
      <c r="Z73" s="275" t="str">
        <f t="shared" si="33"/>
        <v/>
      </c>
      <c r="AA73" s="275" t="str">
        <f t="shared" si="27"/>
        <v/>
      </c>
      <c r="AB73" s="275" t="str">
        <f t="shared" si="28"/>
        <v/>
      </c>
      <c r="AC73" s="275" t="str">
        <f t="shared" si="18"/>
        <v/>
      </c>
      <c r="AD73" s="275" t="str">
        <f t="shared" si="19"/>
        <v/>
      </c>
      <c r="AE73" s="275" t="str">
        <f t="shared" si="20"/>
        <v/>
      </c>
      <c r="AF73" s="275" t="str">
        <f t="shared" si="21"/>
        <v/>
      </c>
      <c r="AG73" s="275" t="str">
        <f t="shared" si="22"/>
        <v/>
      </c>
      <c r="AH73" s="275" t="str">
        <f t="shared" si="23"/>
        <v/>
      </c>
      <c r="AI73" s="275" t="str">
        <f t="shared" si="24"/>
        <v/>
      </c>
      <c r="AJ73" s="275" t="str">
        <f t="shared" si="25"/>
        <v/>
      </c>
      <c r="AK73" s="275">
        <v>1</v>
      </c>
      <c r="AL73" s="277">
        <f t="shared" ca="1" si="29"/>
        <v>0</v>
      </c>
      <c r="AM73" s="277">
        <f t="shared" ca="1" si="30"/>
        <v>0</v>
      </c>
      <c r="AN73" s="277" t="str">
        <f ca="1">IF(AND(Tabla7[[#This Row],[UltLec]]&lt;&gt;0,Tabla7[[#This Row],[PenLect]]&lt;&gt;0),(AM73-AL73)*Tabla7[[#This Row],[RT]],"N/A")</f>
        <v>N/A</v>
      </c>
      <c r="AO73" s="393" t="s">
        <v>1160</v>
      </c>
      <c r="AP73" s="393" t="s">
        <v>1075</v>
      </c>
      <c r="AQ73" s="393" t="s">
        <v>1074</v>
      </c>
      <c r="AR73" s="275">
        <f t="shared" si="31"/>
        <v>0</v>
      </c>
      <c r="AT73" s="2" t="e">
        <f t="shared" ca="1" si="32"/>
        <v>#VALUE!</v>
      </c>
    </row>
    <row r="74" spans="1:46" ht="18" hidden="1" customHeight="1" x14ac:dyDescent="0.25">
      <c r="A74" s="405" t="s">
        <v>578</v>
      </c>
      <c r="B74" s="54"/>
      <c r="C74" s="368">
        <v>85006713</v>
      </c>
      <c r="D74" s="54" t="s">
        <v>632</v>
      </c>
      <c r="E74" s="232">
        <v>39810</v>
      </c>
      <c r="F74" s="2" t="s">
        <v>594</v>
      </c>
      <c r="G74" s="2" t="s">
        <v>638</v>
      </c>
      <c r="H74" s="2" t="s">
        <v>1286</v>
      </c>
      <c r="I74" s="2"/>
      <c r="J74" s="392">
        <v>1353408</v>
      </c>
      <c r="K74" s="260">
        <v>1370376</v>
      </c>
      <c r="L74" s="260"/>
      <c r="O74" s="260"/>
      <c r="P74" s="260"/>
      <c r="Q74" s="260"/>
      <c r="R74" s="260"/>
      <c r="S74" s="260"/>
      <c r="U74" s="260"/>
      <c r="V74" s="392"/>
      <c r="W74" s="2"/>
      <c r="X74" s="2"/>
      <c r="Y74" s="2">
        <f t="shared" si="34"/>
        <v>16968</v>
      </c>
      <c r="Z74" s="2" t="str">
        <f t="shared" si="33"/>
        <v/>
      </c>
      <c r="AA74" s="2" t="str">
        <f t="shared" si="27"/>
        <v/>
      </c>
      <c r="AB74" s="2" t="str">
        <f t="shared" si="28"/>
        <v/>
      </c>
      <c r="AC74" s="2" t="str">
        <f t="shared" si="18"/>
        <v/>
      </c>
      <c r="AD74" s="2" t="str">
        <f t="shared" si="19"/>
        <v/>
      </c>
      <c r="AE74" s="2" t="str">
        <f t="shared" si="20"/>
        <v/>
      </c>
      <c r="AF74" s="2" t="str">
        <f t="shared" si="21"/>
        <v/>
      </c>
      <c r="AG74" s="2" t="str">
        <f t="shared" si="22"/>
        <v/>
      </c>
      <c r="AH74" s="260" t="str">
        <f t="shared" si="23"/>
        <v/>
      </c>
      <c r="AI74" s="2" t="str">
        <f t="shared" si="24"/>
        <v/>
      </c>
      <c r="AJ74" s="2" t="str">
        <f t="shared" si="25"/>
        <v/>
      </c>
      <c r="AK74" s="2">
        <v>1</v>
      </c>
      <c r="AL74" s="260">
        <f t="shared" ca="1" si="29"/>
        <v>0</v>
      </c>
      <c r="AM74" s="260">
        <f t="shared" ca="1" si="30"/>
        <v>0</v>
      </c>
      <c r="AN74" s="260" t="str">
        <f ca="1">IF(AND(Tabla7[[#This Row],[UltLec]]&lt;&gt;0,Tabla7[[#This Row],[PenLect]]&lt;&gt;0),(AM74-AL74)*Tabla7[[#This Row],[RT]],"N/A")</f>
        <v>N/A</v>
      </c>
      <c r="AO74" s="380" t="s">
        <v>852</v>
      </c>
      <c r="AP74" s="380" t="s">
        <v>1075</v>
      </c>
      <c r="AQ74" s="380" t="s">
        <v>1074</v>
      </c>
      <c r="AR74" s="2">
        <f t="shared" si="31"/>
        <v>0</v>
      </c>
      <c r="AT74" s="2" t="e">
        <f t="shared" ca="1" si="32"/>
        <v>#VALUE!</v>
      </c>
    </row>
    <row r="75" spans="1:46" ht="18" hidden="1" customHeight="1" x14ac:dyDescent="0.25">
      <c r="A75" s="405" t="s">
        <v>578</v>
      </c>
      <c r="B75" s="54"/>
      <c r="C75" s="368" t="s">
        <v>411</v>
      </c>
      <c r="D75" s="54" t="s">
        <v>632</v>
      </c>
      <c r="E75" s="232">
        <v>3</v>
      </c>
      <c r="F75" s="2" t="s">
        <v>639</v>
      </c>
      <c r="G75" s="2" t="s">
        <v>638</v>
      </c>
      <c r="H75" s="2" t="s">
        <v>1275</v>
      </c>
      <c r="I75" s="2"/>
      <c r="J75" s="392">
        <v>716846.6</v>
      </c>
      <c r="K75" s="260">
        <v>719152</v>
      </c>
      <c r="L75" s="260"/>
      <c r="O75" s="260"/>
      <c r="P75" s="260"/>
      <c r="Q75" s="260"/>
      <c r="R75" s="260"/>
      <c r="S75" s="260"/>
      <c r="U75" s="260"/>
      <c r="V75" s="392"/>
      <c r="W75" s="2"/>
      <c r="X75" s="2"/>
      <c r="Y75" s="2">
        <f t="shared" si="34"/>
        <v>2305.4000000000233</v>
      </c>
      <c r="Z75" s="2" t="str">
        <f t="shared" si="33"/>
        <v/>
      </c>
      <c r="AA75" s="2" t="str">
        <f t="shared" si="27"/>
        <v/>
      </c>
      <c r="AB75" s="2" t="str">
        <f t="shared" si="28"/>
        <v/>
      </c>
      <c r="AC75" s="2" t="str">
        <f t="shared" si="18"/>
        <v/>
      </c>
      <c r="AD75" s="2" t="str">
        <f t="shared" si="19"/>
        <v/>
      </c>
      <c r="AE75" s="2" t="str">
        <f t="shared" si="20"/>
        <v/>
      </c>
      <c r="AF75" s="2" t="str">
        <f t="shared" si="21"/>
        <v/>
      </c>
      <c r="AG75" s="2" t="str">
        <f t="shared" si="22"/>
        <v/>
      </c>
      <c r="AH75" s="2" t="str">
        <f t="shared" si="23"/>
        <v/>
      </c>
      <c r="AI75" s="2" t="str">
        <f t="shared" si="24"/>
        <v/>
      </c>
      <c r="AJ75" s="2" t="str">
        <f t="shared" si="25"/>
        <v/>
      </c>
      <c r="AK75" s="2">
        <v>1</v>
      </c>
      <c r="AL75" s="260">
        <f t="shared" ca="1" si="29"/>
        <v>0</v>
      </c>
      <c r="AM75" s="260">
        <f t="shared" ca="1" si="30"/>
        <v>0</v>
      </c>
      <c r="AN75" s="260" t="str">
        <f ca="1">IF(AND(Tabla7[[#This Row],[UltLec]]&lt;&gt;0,Tabla7[[#This Row],[PenLect]]&lt;&gt;0),(AM75-AL75)*Tabla7[[#This Row],[RT]],"N/A")</f>
        <v>N/A</v>
      </c>
      <c r="AO75" s="380" t="s">
        <v>852</v>
      </c>
      <c r="AP75" s="380" t="s">
        <v>1075</v>
      </c>
      <c r="AQ75" s="380" t="s">
        <v>1074</v>
      </c>
      <c r="AR75" s="2">
        <f t="shared" si="31"/>
        <v>0</v>
      </c>
      <c r="AT75" s="2" t="e">
        <f t="shared" ca="1" si="32"/>
        <v>#VALUE!</v>
      </c>
    </row>
    <row r="76" spans="1:46" ht="18" hidden="1" customHeight="1" x14ac:dyDescent="0.25">
      <c r="A76" s="405" t="s">
        <v>578</v>
      </c>
      <c r="B76" s="54"/>
      <c r="C76" s="368">
        <v>50767753</v>
      </c>
      <c r="D76" s="54" t="s">
        <v>643</v>
      </c>
      <c r="E76" s="232">
        <v>3</v>
      </c>
      <c r="F76" s="2" t="s">
        <v>21</v>
      </c>
      <c r="G76" s="2" t="s">
        <v>1276</v>
      </c>
      <c r="H76" s="2" t="s">
        <v>1277</v>
      </c>
      <c r="I76" s="2"/>
      <c r="J76" s="392">
        <v>3101</v>
      </c>
      <c r="K76" s="260">
        <v>3104</v>
      </c>
      <c r="L76" s="260"/>
      <c r="O76" s="260"/>
      <c r="P76" s="260"/>
      <c r="Q76" s="260"/>
      <c r="R76" s="260"/>
      <c r="S76" s="260"/>
      <c r="U76" s="260"/>
      <c r="V76" s="392"/>
      <c r="W76" s="2"/>
      <c r="X76" s="2"/>
      <c r="Y76" s="2">
        <f t="shared" si="34"/>
        <v>3</v>
      </c>
      <c r="Z76" s="2" t="str">
        <f t="shared" si="33"/>
        <v/>
      </c>
      <c r="AA76" s="2" t="str">
        <f t="shared" si="27"/>
        <v/>
      </c>
      <c r="AB76" s="2" t="str">
        <f t="shared" si="28"/>
        <v/>
      </c>
      <c r="AC76" s="2" t="str">
        <f t="shared" si="18"/>
        <v/>
      </c>
      <c r="AD76" s="2" t="str">
        <f t="shared" si="19"/>
        <v/>
      </c>
      <c r="AE76" s="2" t="str">
        <f t="shared" si="20"/>
        <v/>
      </c>
      <c r="AF76" s="2" t="str">
        <f t="shared" si="21"/>
        <v/>
      </c>
      <c r="AG76" s="2" t="str">
        <f t="shared" si="22"/>
        <v/>
      </c>
      <c r="AH76" s="2" t="str">
        <f t="shared" si="23"/>
        <v/>
      </c>
      <c r="AI76" s="2" t="str">
        <f t="shared" si="24"/>
        <v/>
      </c>
      <c r="AJ76" s="2" t="str">
        <f t="shared" si="25"/>
        <v/>
      </c>
      <c r="AK76" s="2">
        <v>1</v>
      </c>
      <c r="AL76" s="260">
        <f t="shared" ca="1" si="29"/>
        <v>0</v>
      </c>
      <c r="AM76" s="260">
        <f t="shared" ca="1" si="30"/>
        <v>0</v>
      </c>
      <c r="AN76" s="260" t="str">
        <f ca="1">IF(AND(Tabla7[[#This Row],[UltLec]]&lt;&gt;0,Tabla7[[#This Row],[PenLect]]&lt;&gt;0),(AM76-AL76)*Tabla7[[#This Row],[RT]],"N/A")</f>
        <v>N/A</v>
      </c>
      <c r="AO76" s="380" t="s">
        <v>852</v>
      </c>
      <c r="AP76" s="380" t="s">
        <v>1075</v>
      </c>
      <c r="AQ76" s="380" t="s">
        <v>1074</v>
      </c>
      <c r="AR76" s="2">
        <f t="shared" si="31"/>
        <v>0</v>
      </c>
      <c r="AT76" s="2" t="e">
        <f t="shared" ca="1" si="32"/>
        <v>#VALUE!</v>
      </c>
    </row>
    <row r="77" spans="1:46" ht="18" hidden="1" customHeight="1" x14ac:dyDescent="0.25">
      <c r="A77" s="405" t="s">
        <v>578</v>
      </c>
      <c r="B77" s="54"/>
      <c r="C77" s="368">
        <v>50767755</v>
      </c>
      <c r="D77" s="54" t="s">
        <v>643</v>
      </c>
      <c r="E77" s="232">
        <v>3</v>
      </c>
      <c r="F77" s="2" t="s">
        <v>21</v>
      </c>
      <c r="G77" s="2" t="s">
        <v>1276</v>
      </c>
      <c r="H77" s="2" t="s">
        <v>1278</v>
      </c>
      <c r="I77" s="2"/>
      <c r="J77" s="392">
        <v>9711</v>
      </c>
      <c r="K77" s="260">
        <v>9711</v>
      </c>
      <c r="L77" s="260"/>
      <c r="O77" s="260"/>
      <c r="P77" s="260"/>
      <c r="Q77" s="260"/>
      <c r="R77" s="260"/>
      <c r="S77" s="260"/>
      <c r="U77" s="260"/>
      <c r="V77" s="392"/>
      <c r="W77" s="2"/>
      <c r="X77" s="2"/>
      <c r="Y77" s="2">
        <f t="shared" si="34"/>
        <v>0</v>
      </c>
      <c r="Z77" s="2" t="str">
        <f t="shared" si="33"/>
        <v/>
      </c>
      <c r="AA77" s="2" t="str">
        <f t="shared" si="27"/>
        <v/>
      </c>
      <c r="AB77" s="2" t="str">
        <f t="shared" si="28"/>
        <v/>
      </c>
      <c r="AC77" s="2" t="str">
        <f t="shared" si="18"/>
        <v/>
      </c>
      <c r="AD77" s="2" t="str">
        <f t="shared" si="19"/>
        <v/>
      </c>
      <c r="AE77" s="2" t="str">
        <f t="shared" si="20"/>
        <v/>
      </c>
      <c r="AF77" s="2" t="str">
        <f t="shared" si="21"/>
        <v/>
      </c>
      <c r="AG77" s="2" t="str">
        <f t="shared" si="22"/>
        <v/>
      </c>
      <c r="AH77" s="2" t="str">
        <f t="shared" si="23"/>
        <v/>
      </c>
      <c r="AI77" s="2" t="str">
        <f t="shared" si="24"/>
        <v/>
      </c>
      <c r="AJ77" s="2" t="str">
        <f t="shared" si="25"/>
        <v/>
      </c>
      <c r="AK77" s="2">
        <v>1</v>
      </c>
      <c r="AL77" s="260">
        <f t="shared" ca="1" si="29"/>
        <v>0</v>
      </c>
      <c r="AM77" s="260">
        <f t="shared" ca="1" si="30"/>
        <v>0</v>
      </c>
      <c r="AN77" s="260" t="str">
        <f ca="1">IF(AND(Tabla7[[#This Row],[UltLec]]&lt;&gt;0,Tabla7[[#This Row],[PenLect]]&lt;&gt;0),(AM77-AL77)*Tabla7[[#This Row],[RT]],"N/A")</f>
        <v>N/A</v>
      </c>
      <c r="AO77" s="380" t="s">
        <v>852</v>
      </c>
      <c r="AP77" s="380" t="s">
        <v>1075</v>
      </c>
      <c r="AQ77" s="380" t="s">
        <v>1074</v>
      </c>
      <c r="AR77" s="2">
        <f t="shared" si="31"/>
        <v>0</v>
      </c>
      <c r="AT77" s="2" t="e">
        <f t="shared" ca="1" si="32"/>
        <v>#VALUE!</v>
      </c>
    </row>
    <row r="78" spans="1:46" ht="18" hidden="1" customHeight="1" x14ac:dyDescent="0.25">
      <c r="A78" s="406" t="s">
        <v>996</v>
      </c>
      <c r="B78" s="267"/>
      <c r="C78" s="367">
        <v>220167029</v>
      </c>
      <c r="D78" s="273" t="s">
        <v>643</v>
      </c>
      <c r="E78" s="274">
        <v>39865</v>
      </c>
      <c r="F78" s="393" t="s">
        <v>1497</v>
      </c>
      <c r="G78" s="393" t="s">
        <v>1499</v>
      </c>
      <c r="H78" s="393" t="s">
        <v>1498</v>
      </c>
      <c r="I78" s="393" t="s">
        <v>1619</v>
      </c>
      <c r="J78" s="393"/>
      <c r="K78" s="453"/>
      <c r="L78" s="434"/>
      <c r="M78" s="434"/>
      <c r="N78" s="393"/>
      <c r="O78" s="393"/>
      <c r="P78" s="393"/>
      <c r="Q78" s="393"/>
      <c r="R78" s="482"/>
      <c r="S78" s="453"/>
      <c r="T78" s="434"/>
      <c r="U78" s="434"/>
      <c r="V78" s="393"/>
      <c r="W78" s="393"/>
      <c r="X78" s="393"/>
      <c r="Y78" s="393" t="str">
        <f t="shared" si="34"/>
        <v/>
      </c>
      <c r="Z78" s="482" t="str">
        <f t="shared" si="33"/>
        <v/>
      </c>
      <c r="AA78" s="453" t="str">
        <f t="shared" si="27"/>
        <v/>
      </c>
      <c r="AB78" s="434" t="str">
        <f t="shared" si="28"/>
        <v/>
      </c>
      <c r="AC78" s="434" t="str">
        <f t="shared" si="18"/>
        <v/>
      </c>
      <c r="AD78" s="393" t="str">
        <f t="shared" si="19"/>
        <v/>
      </c>
      <c r="AE78" s="393" t="str">
        <f t="shared" si="20"/>
        <v/>
      </c>
      <c r="AF78" s="393" t="str">
        <f t="shared" si="21"/>
        <v/>
      </c>
      <c r="AG78" s="393" t="str">
        <f t="shared" si="22"/>
        <v/>
      </c>
      <c r="AH78" s="482" t="str">
        <f t="shared" si="23"/>
        <v/>
      </c>
      <c r="AI78" s="453" t="str">
        <f t="shared" si="24"/>
        <v/>
      </c>
      <c r="AJ78" s="434" t="str">
        <f t="shared" si="25"/>
        <v/>
      </c>
      <c r="AK78" s="434">
        <v>1</v>
      </c>
      <c r="AL78" s="393">
        <f t="shared" ca="1" si="29"/>
        <v>0</v>
      </c>
      <c r="AM78" s="393">
        <f t="shared" ca="1" si="30"/>
        <v>0</v>
      </c>
      <c r="AN78" s="393" t="str">
        <f ca="1">IF(AND(Tabla7[[#This Row],[UltLec]]&lt;&gt;0,Tabla7[[#This Row],[PenLect]]&lt;&gt;0),(AM78-AL78)*Tabla7[[#This Row],[RT]],"N/A")</f>
        <v>N/A</v>
      </c>
      <c r="AO78" s="393" t="s">
        <v>1160</v>
      </c>
      <c r="AP78" s="393" t="s">
        <v>1075</v>
      </c>
      <c r="AQ78" s="483" t="s">
        <v>1074</v>
      </c>
      <c r="AR78" s="484">
        <f t="shared" si="31"/>
        <v>0</v>
      </c>
      <c r="AT78" s="2" t="e">
        <f t="shared" ca="1" si="32"/>
        <v>#VALUE!</v>
      </c>
    </row>
    <row r="79" spans="1:46" ht="18" hidden="1" customHeight="1" x14ac:dyDescent="0.25">
      <c r="A79" s="405" t="s">
        <v>701</v>
      </c>
      <c r="B79" s="54"/>
      <c r="C79" s="368" t="s">
        <v>412</v>
      </c>
      <c r="D79" s="54" t="s">
        <v>643</v>
      </c>
      <c r="E79" s="232">
        <v>0</v>
      </c>
      <c r="F79" s="2" t="s">
        <v>21</v>
      </c>
      <c r="G79" s="2" t="s">
        <v>1276</v>
      </c>
      <c r="H79" s="2" t="s">
        <v>644</v>
      </c>
      <c r="I79" s="2"/>
      <c r="J79" s="392">
        <v>667764</v>
      </c>
      <c r="K79" s="260">
        <v>677789</v>
      </c>
      <c r="L79" s="260"/>
      <c r="O79" s="260"/>
      <c r="P79" s="260"/>
      <c r="Q79" s="260"/>
      <c r="R79" s="260"/>
      <c r="S79" s="260"/>
      <c r="U79" s="260"/>
      <c r="V79" s="392"/>
      <c r="W79" s="260"/>
      <c r="X79" s="2"/>
      <c r="Y79" s="2">
        <f t="shared" si="34"/>
        <v>10025</v>
      </c>
      <c r="Z79" s="2" t="str">
        <f t="shared" si="33"/>
        <v/>
      </c>
      <c r="AA79" s="2" t="str">
        <f t="shared" si="27"/>
        <v/>
      </c>
      <c r="AB79" s="2" t="str">
        <f t="shared" si="28"/>
        <v/>
      </c>
      <c r="AC79" s="2" t="str">
        <f t="shared" ref="AC79:AC101" si="35">IF(OR(ISBLANK(O79),ISBLANK(N79)),"",IF(AND(O79&gt;=N79,O79-N79&lt;=O79),(O79-N79)*$AK79,"!!!!"))</f>
        <v/>
      </c>
      <c r="AD79" s="2" t="str">
        <f t="shared" ref="AD79:AD101" si="36">IF(OR(ISBLANK(P79),ISBLANK(O79)),"",IF(AND(P79&gt;=O79,P79-O79&lt;=P79),(P79-O79)*$AK79,"!!!!"))</f>
        <v/>
      </c>
      <c r="AE79" s="2" t="str">
        <f t="shared" ref="AE79:AE101" si="37">IF(OR(ISBLANK(Q79),ISBLANK(P79)),"",IF(AND(Q79&gt;=P79,Q79-P79&lt;=Q79),(Q79-P79)*$AK79,"!!!!"))</f>
        <v/>
      </c>
      <c r="AF79" s="2" t="str">
        <f t="shared" ref="AF79:AF101" si="38">IF(OR(ISBLANK(R79),ISBLANK(Q79)),"",IF(AND(R79&gt;=Q79,R79-Q79&lt;=R79),(R79-Q79)*$AK79,"!!!!"))</f>
        <v/>
      </c>
      <c r="AG79" s="2" t="str">
        <f t="shared" ref="AG79:AG101" si="39">IF(OR(ISBLANK(S79),ISBLANK(R79)),"",IF(AND(S79&gt;=R79,S79-R79&lt;=S79),(S79-R79)*$AK79,"!!!!"))</f>
        <v/>
      </c>
      <c r="AH79" s="2" t="str">
        <f t="shared" ref="AH79:AH101" si="40">IF(OR(ISBLANK(T79),ISBLANK(S79)),"",IF(AND(T79&gt;=S79,T79-S79&lt;=T79),(T79-S79)*$AK79,"!!!!"))</f>
        <v/>
      </c>
      <c r="AI79" s="2" t="str">
        <f t="shared" ref="AI79:AI101" si="41">IF(OR(ISBLANK(U79),ISBLANK(T79)),"",IF(AND(U79&gt;=T79,U79-T79&lt;=U79),(U79-T79)*$AK79,"!!!!"))</f>
        <v/>
      </c>
      <c r="AJ79" s="2" t="str">
        <f t="shared" ref="AJ79:AJ101" si="42">IF(OR(ISBLANK(V79),ISBLANK(U79)),"",IF(AND(V79&gt;=U79,V79-U79&lt;=V79),(V79-U79)*$AK79,"!!!!"))</f>
        <v/>
      </c>
      <c r="AK79" s="2">
        <v>1</v>
      </c>
      <c r="AL79" s="260">
        <f t="shared" ca="1" si="29"/>
        <v>0</v>
      </c>
      <c r="AM79" s="260">
        <f t="shared" ca="1" si="30"/>
        <v>0</v>
      </c>
      <c r="AN79" s="260" t="str">
        <f ca="1">IF(AND(Tabla7[[#This Row],[UltLec]]&lt;&gt;0,Tabla7[[#This Row],[PenLect]]&lt;&gt;0),(AM79-AL79)*Tabla7[[#This Row],[RT]],"N/A")</f>
        <v>N/A</v>
      </c>
      <c r="AO79" s="380" t="s">
        <v>852</v>
      </c>
      <c r="AP79" s="380" t="s">
        <v>1075</v>
      </c>
      <c r="AQ79" s="380" t="s">
        <v>1074</v>
      </c>
      <c r="AR79" s="2">
        <f t="shared" si="31"/>
        <v>0</v>
      </c>
      <c r="AT79" s="2" t="e">
        <f t="shared" ca="1" si="32"/>
        <v>#VALUE!</v>
      </c>
    </row>
    <row r="80" spans="1:46" ht="18" hidden="1" customHeight="1" x14ac:dyDescent="0.25">
      <c r="A80" s="405" t="s">
        <v>578</v>
      </c>
      <c r="B80" s="54"/>
      <c r="C80" s="368">
        <v>219472272</v>
      </c>
      <c r="D80" s="54" t="s">
        <v>1472</v>
      </c>
      <c r="E80" s="232">
        <v>39857</v>
      </c>
      <c r="F80" s="2" t="s">
        <v>1473</v>
      </c>
      <c r="G80" s="2" t="s">
        <v>1474</v>
      </c>
      <c r="H80" s="2" t="s">
        <v>1474</v>
      </c>
      <c r="I80" s="2" t="s">
        <v>1475</v>
      </c>
      <c r="J80" s="260">
        <v>16554</v>
      </c>
      <c r="K80" s="260">
        <v>16554</v>
      </c>
      <c r="L80" s="260"/>
      <c r="O80" s="260"/>
      <c r="P80" s="260"/>
      <c r="Q80" s="260"/>
      <c r="R80" s="260"/>
      <c r="S80" s="260"/>
      <c r="U80" s="260"/>
      <c r="V80" s="260"/>
      <c r="W80" s="2"/>
      <c r="X80" s="2"/>
      <c r="Y80" s="2">
        <f t="shared" si="34"/>
        <v>0</v>
      </c>
      <c r="Z80" s="2" t="str">
        <f t="shared" si="33"/>
        <v/>
      </c>
      <c r="AA80" s="2" t="str">
        <f t="shared" si="27"/>
        <v/>
      </c>
      <c r="AB80" s="2" t="str">
        <f t="shared" si="28"/>
        <v/>
      </c>
      <c r="AC80" s="2" t="str">
        <f t="shared" si="35"/>
        <v/>
      </c>
      <c r="AD80" s="2" t="str">
        <f t="shared" si="36"/>
        <v/>
      </c>
      <c r="AE80" s="2" t="str">
        <f t="shared" si="37"/>
        <v/>
      </c>
      <c r="AF80" s="2" t="str">
        <f t="shared" si="38"/>
        <v/>
      </c>
      <c r="AG80" s="2" t="str">
        <f t="shared" si="39"/>
        <v/>
      </c>
      <c r="AH80" s="260" t="str">
        <f t="shared" si="40"/>
        <v/>
      </c>
      <c r="AI80" s="2" t="str">
        <f t="shared" si="41"/>
        <v/>
      </c>
      <c r="AJ80" s="2" t="str">
        <f t="shared" si="42"/>
        <v/>
      </c>
      <c r="AK80" s="2">
        <v>1</v>
      </c>
      <c r="AL80" s="260">
        <f t="shared" ca="1" si="29"/>
        <v>0</v>
      </c>
      <c r="AM80" s="260">
        <f t="shared" ca="1" si="30"/>
        <v>0</v>
      </c>
      <c r="AN80" s="260" t="str">
        <f ca="1">IF(AND(Tabla7[[#This Row],[UltLec]]&lt;&gt;0,Tabla7[[#This Row],[PenLect]]&lt;&gt;0),(AM80-AL80)*Tabla7[[#This Row],[RT]],"N/A")</f>
        <v>N/A</v>
      </c>
      <c r="AO80" s="380" t="s">
        <v>852</v>
      </c>
      <c r="AP80" s="380" t="s">
        <v>1075</v>
      </c>
      <c r="AQ80" s="380" t="s">
        <v>1074</v>
      </c>
      <c r="AR80" s="2">
        <f t="shared" si="31"/>
        <v>0</v>
      </c>
      <c r="AT80" s="2" t="e">
        <f t="shared" ca="1" si="32"/>
        <v>#VALUE!</v>
      </c>
    </row>
    <row r="81" spans="1:46" ht="18" hidden="1" customHeight="1" x14ac:dyDescent="0.25">
      <c r="A81" s="406" t="s">
        <v>996</v>
      </c>
      <c r="B81" s="267"/>
      <c r="C81" s="367" t="s">
        <v>1648</v>
      </c>
      <c r="D81" s="273" t="s">
        <v>1472</v>
      </c>
      <c r="E81" s="274">
        <v>39823</v>
      </c>
      <c r="F81" s="393" t="s">
        <v>1632</v>
      </c>
      <c r="G81" s="393" t="s">
        <v>1649</v>
      </c>
      <c r="H81" s="393" t="s">
        <v>1665</v>
      </c>
      <c r="I81" s="393" t="s">
        <v>1692</v>
      </c>
      <c r="J81" s="393">
        <v>145</v>
      </c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 t="str">
        <f t="shared" si="34"/>
        <v/>
      </c>
      <c r="Z81" s="393" t="str">
        <f t="shared" si="33"/>
        <v/>
      </c>
      <c r="AA81" s="393" t="str">
        <f>IF(OR(ISBLANK(#REF!),ISBLANK(L81)),"",IF(AND(#REF!&gt;=L81,#REF!-L81&lt;=#REF!),(#REF!-L81)*$AK81,"!!!!"))</f>
        <v/>
      </c>
      <c r="AB81" s="393" t="str">
        <f>IF(OR(ISBLANK(N81),ISBLANK(#REF!)),"",IF(AND(N81&gt;=#REF!,N81-#REF!&lt;=N81),(N81-#REF!)*$AK81,"!!!!"))</f>
        <v/>
      </c>
      <c r="AC81" s="393" t="str">
        <f t="shared" si="35"/>
        <v/>
      </c>
      <c r="AD81" s="393" t="str">
        <f t="shared" si="36"/>
        <v/>
      </c>
      <c r="AE81" s="393" t="str">
        <f t="shared" si="37"/>
        <v/>
      </c>
      <c r="AF81" s="393" t="str">
        <f t="shared" si="38"/>
        <v/>
      </c>
      <c r="AG81" s="393" t="str">
        <f t="shared" si="39"/>
        <v/>
      </c>
      <c r="AH81" s="393" t="str">
        <f t="shared" si="40"/>
        <v/>
      </c>
      <c r="AI81" s="393" t="str">
        <f t="shared" si="41"/>
        <v/>
      </c>
      <c r="AJ81" s="393" t="str">
        <f t="shared" si="42"/>
        <v/>
      </c>
      <c r="AK81" s="393">
        <v>1</v>
      </c>
      <c r="AL81" s="393">
        <f t="shared" ca="1" si="29"/>
        <v>0</v>
      </c>
      <c r="AM81" s="393">
        <f t="shared" ca="1" si="30"/>
        <v>0</v>
      </c>
      <c r="AN81" s="393" t="str">
        <f ca="1">IF(AND(Tabla7[[#This Row],[UltLec]]&lt;&gt;0,Tabla7[[#This Row],[PenLect]]&lt;&gt;0),(AM81-AL81)*Tabla7[[#This Row],[RT]],"N/A")</f>
        <v>N/A</v>
      </c>
      <c r="AO81" s="393" t="s">
        <v>1160</v>
      </c>
      <c r="AP81" s="393" t="s">
        <v>1075</v>
      </c>
      <c r="AQ81" s="393" t="s">
        <v>1435</v>
      </c>
      <c r="AR81" s="393">
        <f t="shared" si="31"/>
        <v>0</v>
      </c>
      <c r="AT81" s="2" t="e">
        <f t="shared" ca="1" si="32"/>
        <v>#VALUE!</v>
      </c>
    </row>
    <row r="82" spans="1:46" ht="18" hidden="1" customHeight="1" x14ac:dyDescent="0.25">
      <c r="A82" s="406" t="s">
        <v>996</v>
      </c>
      <c r="B82" s="267"/>
      <c r="C82" s="367">
        <v>41709388</v>
      </c>
      <c r="D82" s="273" t="s">
        <v>645</v>
      </c>
      <c r="E82" s="274">
        <v>0</v>
      </c>
      <c r="F82" s="393" t="s">
        <v>21</v>
      </c>
      <c r="G82" s="393" t="s">
        <v>609</v>
      </c>
      <c r="H82" s="393" t="s">
        <v>646</v>
      </c>
      <c r="I82" s="393" t="s">
        <v>1279</v>
      </c>
      <c r="J82" s="393"/>
      <c r="K82" s="393"/>
      <c r="L82" s="393"/>
      <c r="M82" s="393"/>
      <c r="N82" s="393"/>
      <c r="O82" s="393"/>
      <c r="P82" s="393"/>
      <c r="Q82" s="393"/>
      <c r="R82" s="393"/>
      <c r="S82" s="393"/>
      <c r="T82" s="393"/>
      <c r="U82" s="275"/>
      <c r="V82" s="393"/>
      <c r="W82" s="393"/>
      <c r="X82" s="393"/>
      <c r="Y82" s="393" t="str">
        <f t="shared" si="34"/>
        <v/>
      </c>
      <c r="Z82" s="393" t="str">
        <f t="shared" si="33"/>
        <v/>
      </c>
      <c r="AA82" s="393" t="str">
        <f>IF(OR(ISBLANK(M82),ISBLANK(L82)),"",IF(AND(M82&gt;=L82,M82-L82&lt;=M82),(M82-L82)*$AK82,"!!!!"))</f>
        <v/>
      </c>
      <c r="AB82" s="393" t="str">
        <f>IF(OR(ISBLANK(N82),ISBLANK(M82)),"",IF(AND(N82&gt;=M82,N82-M82&lt;=N82),(N82-M82)*$AK82,"!!!!"))</f>
        <v/>
      </c>
      <c r="AC82" s="393" t="str">
        <f t="shared" si="35"/>
        <v/>
      </c>
      <c r="AD82" s="393" t="str">
        <f t="shared" si="36"/>
        <v/>
      </c>
      <c r="AE82" s="393" t="str">
        <f t="shared" si="37"/>
        <v/>
      </c>
      <c r="AF82" s="393" t="str">
        <f t="shared" si="38"/>
        <v/>
      </c>
      <c r="AG82" s="393" t="str">
        <f t="shared" si="39"/>
        <v/>
      </c>
      <c r="AH82" s="393" t="str">
        <f t="shared" si="40"/>
        <v/>
      </c>
      <c r="AI82" s="393" t="str">
        <f t="shared" si="41"/>
        <v/>
      </c>
      <c r="AJ82" s="393" t="str">
        <f t="shared" si="42"/>
        <v/>
      </c>
      <c r="AK82" s="393">
        <v>1</v>
      </c>
      <c r="AL82" s="394">
        <f t="shared" ca="1" si="29"/>
        <v>0</v>
      </c>
      <c r="AM82" s="394">
        <f t="shared" ca="1" si="30"/>
        <v>0</v>
      </c>
      <c r="AN82" s="394" t="str">
        <f ca="1">IF(AND(Tabla7[[#This Row],[UltLec]]&lt;&gt;0,Tabla7[[#This Row],[PenLect]]&lt;&gt;0),(AM82-AL82)*Tabla7[[#This Row],[RT]],"N/A")</f>
        <v>N/A</v>
      </c>
      <c r="AO82" s="393" t="s">
        <v>1160</v>
      </c>
      <c r="AP82" s="393" t="s">
        <v>1075</v>
      </c>
      <c r="AQ82" s="393" t="s">
        <v>1074</v>
      </c>
      <c r="AR82" s="393">
        <f t="shared" si="31"/>
        <v>0</v>
      </c>
      <c r="AT82" s="2" t="e">
        <f t="shared" ca="1" si="32"/>
        <v>#VALUE!</v>
      </c>
    </row>
    <row r="83" spans="1:46" ht="18" hidden="1" customHeight="1" x14ac:dyDescent="0.25">
      <c r="A83" s="406" t="s">
        <v>996</v>
      </c>
      <c r="B83" s="273"/>
      <c r="C83" s="367">
        <v>49311166</v>
      </c>
      <c r="D83" s="273" t="s">
        <v>645</v>
      </c>
      <c r="E83" s="274">
        <v>0</v>
      </c>
      <c r="F83" s="275" t="s">
        <v>21</v>
      </c>
      <c r="G83" s="275" t="s">
        <v>609</v>
      </c>
      <c r="H83" s="275" t="s">
        <v>646</v>
      </c>
      <c r="I83" s="275" t="s">
        <v>1301</v>
      </c>
      <c r="J83" s="348"/>
      <c r="K83" s="277"/>
      <c r="L83" s="277"/>
      <c r="M83" s="277"/>
      <c r="N83" s="277"/>
      <c r="O83" s="277"/>
      <c r="P83" s="347"/>
      <c r="Q83" s="393"/>
      <c r="R83" s="275"/>
      <c r="S83" s="277"/>
      <c r="T83" s="275"/>
      <c r="U83" s="275"/>
      <c r="V83" s="348"/>
      <c r="W83" s="277"/>
      <c r="X83" s="275"/>
      <c r="Y83" s="275" t="str">
        <f t="shared" si="34"/>
        <v/>
      </c>
      <c r="Z83" s="275" t="str">
        <f t="shared" si="33"/>
        <v/>
      </c>
      <c r="AA83" s="275" t="str">
        <f>IF(OR(ISBLANK(M83),ISBLANK(L83)),"",IF(AND(M83&gt;=L83,M83-L83&lt;=M83),(M83-L83)*$AK83,"!!!!"))</f>
        <v/>
      </c>
      <c r="AB83" s="275" t="str">
        <f>IF(OR(ISBLANK(N83),ISBLANK(M83)),"",IF(AND(N83&gt;=M83,N83-M83&lt;=N83),(N83-M83)*$AK83,"!!!!"))</f>
        <v/>
      </c>
      <c r="AC83" s="275" t="str">
        <f t="shared" si="35"/>
        <v/>
      </c>
      <c r="AD83" s="275" t="str">
        <f t="shared" si="36"/>
        <v/>
      </c>
      <c r="AE83" s="275" t="str">
        <f t="shared" si="37"/>
        <v/>
      </c>
      <c r="AF83" s="275" t="str">
        <f t="shared" si="38"/>
        <v/>
      </c>
      <c r="AG83" s="275" t="str">
        <f t="shared" si="39"/>
        <v/>
      </c>
      <c r="AH83" s="275" t="str">
        <f t="shared" si="40"/>
        <v/>
      </c>
      <c r="AI83" s="275" t="str">
        <f t="shared" si="41"/>
        <v/>
      </c>
      <c r="AJ83" s="275" t="str">
        <f t="shared" si="42"/>
        <v/>
      </c>
      <c r="AK83" s="275">
        <v>1</v>
      </c>
      <c r="AL83" s="277">
        <f t="shared" ca="1" si="29"/>
        <v>0</v>
      </c>
      <c r="AM83" s="277">
        <f t="shared" ca="1" si="30"/>
        <v>0</v>
      </c>
      <c r="AN83" s="277" t="str">
        <f ca="1">IF(AND(Tabla7[[#This Row],[UltLec]]&lt;&gt;0,Tabla7[[#This Row],[PenLect]]&lt;&gt;0),(AM83-AL83)*Tabla7[[#This Row],[RT]],"N/A")</f>
        <v>N/A</v>
      </c>
      <c r="AO83" s="393" t="s">
        <v>1160</v>
      </c>
      <c r="AP83" s="393" t="s">
        <v>1075</v>
      </c>
      <c r="AQ83" s="393" t="s">
        <v>1074</v>
      </c>
      <c r="AR83" s="275">
        <f t="shared" si="31"/>
        <v>0</v>
      </c>
      <c r="AT83" s="2" t="e">
        <f t="shared" ca="1" si="32"/>
        <v>#VALUE!</v>
      </c>
    </row>
    <row r="84" spans="1:46" ht="18" hidden="1" customHeight="1" x14ac:dyDescent="0.25">
      <c r="A84" s="406" t="s">
        <v>996</v>
      </c>
      <c r="B84" s="273"/>
      <c r="C84" s="276">
        <v>49521162</v>
      </c>
      <c r="D84" s="273" t="s">
        <v>645</v>
      </c>
      <c r="E84" s="274">
        <v>39864</v>
      </c>
      <c r="F84" s="434" t="s">
        <v>1480</v>
      </c>
      <c r="G84" s="434" t="s">
        <v>1394</v>
      </c>
      <c r="H84" s="434" t="s">
        <v>1380</v>
      </c>
      <c r="I84" s="434" t="s">
        <v>1500</v>
      </c>
      <c r="J84" s="434"/>
      <c r="K84" s="434"/>
      <c r="L84" s="434"/>
      <c r="M84" s="434"/>
      <c r="N84" s="434"/>
      <c r="O84" s="434"/>
      <c r="P84" s="434"/>
      <c r="Q84" s="434"/>
      <c r="R84" s="434"/>
      <c r="S84" s="434"/>
      <c r="T84" s="434"/>
      <c r="U84" s="275"/>
      <c r="V84" s="434"/>
      <c r="W84" s="434"/>
      <c r="X84" s="434"/>
      <c r="Y84" s="434" t="str">
        <f t="shared" si="34"/>
        <v/>
      </c>
      <c r="Z84" s="434" t="str">
        <f t="shared" si="33"/>
        <v/>
      </c>
      <c r="AA84" s="434" t="str">
        <f>IF(OR(ISBLANK(#REF!),ISBLANK(L84)),"",IF(AND(#REF!&gt;=L84,#REF!-L84&lt;=#REF!),(#REF!-L84)*$AK84,"!!!!"))</f>
        <v/>
      </c>
      <c r="AB84" s="434" t="str">
        <f>IF(OR(ISBLANK(N84),ISBLANK(#REF!)),"",IF(AND(N84&gt;=#REF!,N84-#REF!&lt;=N84),(N84-#REF!)*$AK84,"!!!!"))</f>
        <v/>
      </c>
      <c r="AC84" s="434" t="str">
        <f t="shared" si="35"/>
        <v/>
      </c>
      <c r="AD84" s="434" t="str">
        <f t="shared" si="36"/>
        <v/>
      </c>
      <c r="AE84" s="434" t="str">
        <f t="shared" si="37"/>
        <v/>
      </c>
      <c r="AF84" s="434" t="str">
        <f t="shared" si="38"/>
        <v/>
      </c>
      <c r="AG84" s="434" t="str">
        <f t="shared" si="39"/>
        <v/>
      </c>
      <c r="AH84" s="434" t="str">
        <f t="shared" si="40"/>
        <v/>
      </c>
      <c r="AI84" s="434" t="str">
        <f t="shared" si="41"/>
        <v/>
      </c>
      <c r="AJ84" s="434" t="str">
        <f t="shared" si="42"/>
        <v/>
      </c>
      <c r="AK84" s="434">
        <v>1</v>
      </c>
      <c r="AL84" s="434">
        <f t="shared" ca="1" si="29"/>
        <v>0</v>
      </c>
      <c r="AM84" s="434">
        <f t="shared" ca="1" si="30"/>
        <v>0</v>
      </c>
      <c r="AN84" s="434" t="str">
        <f ca="1">IF(AND(Tabla7[[#This Row],[UltLec]]&lt;&gt;0,Tabla7[[#This Row],[PenLect]]&lt;&gt;0),(AM84-AL84)*Tabla7[[#This Row],[RT]],"N/A")</f>
        <v>N/A</v>
      </c>
      <c r="AO84" s="434" t="s">
        <v>1160</v>
      </c>
      <c r="AP84" s="434" t="s">
        <v>1075</v>
      </c>
      <c r="AQ84" s="434"/>
      <c r="AR84" s="434">
        <f t="shared" si="31"/>
        <v>0</v>
      </c>
      <c r="AT84" s="2" t="e">
        <f t="shared" ca="1" si="32"/>
        <v>#VALUE!</v>
      </c>
    </row>
    <row r="85" spans="1:46" ht="18" hidden="1" customHeight="1" x14ac:dyDescent="0.25">
      <c r="A85" s="406" t="s">
        <v>996</v>
      </c>
      <c r="B85" s="273"/>
      <c r="C85" s="367">
        <v>49553886</v>
      </c>
      <c r="D85" s="273" t="s">
        <v>645</v>
      </c>
      <c r="E85" s="274">
        <v>39822</v>
      </c>
      <c r="F85" s="275" t="s">
        <v>1379</v>
      </c>
      <c r="G85" s="383" t="s">
        <v>1394</v>
      </c>
      <c r="H85" s="275" t="s">
        <v>1380</v>
      </c>
      <c r="I85" s="275" t="s">
        <v>1381</v>
      </c>
      <c r="J85" s="348"/>
      <c r="K85" s="277"/>
      <c r="L85" s="277"/>
      <c r="M85" s="277"/>
      <c r="N85" s="277"/>
      <c r="O85" s="277"/>
      <c r="P85" s="347"/>
      <c r="Q85" s="277"/>
      <c r="R85" s="277"/>
      <c r="S85" s="277"/>
      <c r="T85" s="275"/>
      <c r="U85" s="275"/>
      <c r="V85" s="348"/>
      <c r="W85" s="277"/>
      <c r="X85" s="275"/>
      <c r="Y85" s="275" t="str">
        <f t="shared" si="34"/>
        <v/>
      </c>
      <c r="Z85" s="275" t="str">
        <f t="shared" si="33"/>
        <v/>
      </c>
      <c r="AA85" s="275" t="str">
        <f>IF(OR(ISBLANK(#REF!),ISBLANK(L85)),"",IF(AND(#REF!&gt;=L85,#REF!-L85&lt;=#REF!),(#REF!-L85)*$AK85,"!!!!"))</f>
        <v/>
      </c>
      <c r="AB85" s="275" t="str">
        <f>IF(OR(ISBLANK(N85),ISBLANK(#REF!)),"",IF(AND(N85&gt;=#REF!,N85-#REF!&lt;=N85),(N85-#REF!)*$AK85,"!!!!"))</f>
        <v/>
      </c>
      <c r="AC85" s="275" t="str">
        <f t="shared" si="35"/>
        <v/>
      </c>
      <c r="AD85" s="275" t="str">
        <f t="shared" si="36"/>
        <v/>
      </c>
      <c r="AE85" s="275" t="str">
        <f t="shared" si="37"/>
        <v/>
      </c>
      <c r="AF85" s="275" t="str">
        <f t="shared" si="38"/>
        <v/>
      </c>
      <c r="AG85" s="275" t="str">
        <f t="shared" si="39"/>
        <v/>
      </c>
      <c r="AH85" s="275" t="str">
        <f t="shared" si="40"/>
        <v/>
      </c>
      <c r="AI85" s="275" t="str">
        <f t="shared" si="41"/>
        <v/>
      </c>
      <c r="AJ85" s="275" t="str">
        <f t="shared" si="42"/>
        <v/>
      </c>
      <c r="AK85" s="275">
        <v>1</v>
      </c>
      <c r="AL85" s="277">
        <f t="shared" ca="1" si="29"/>
        <v>0</v>
      </c>
      <c r="AM85" s="277">
        <f t="shared" ca="1" si="30"/>
        <v>0</v>
      </c>
      <c r="AN85" s="277" t="str">
        <f ca="1">IF(AND(Tabla7[[#This Row],[UltLec]]&lt;&gt;0,Tabla7[[#This Row],[PenLect]]&lt;&gt;0),(AM85-AL85)*Tabla7[[#This Row],[RT]],"N/A")</f>
        <v>N/A</v>
      </c>
      <c r="AO85" s="393" t="s">
        <v>1160</v>
      </c>
      <c r="AP85" s="393" t="s">
        <v>1075</v>
      </c>
      <c r="AQ85" s="393" t="s">
        <v>1074</v>
      </c>
      <c r="AR85" s="275">
        <f t="shared" si="31"/>
        <v>0</v>
      </c>
      <c r="AT85" s="2" t="e">
        <f t="shared" ca="1" si="32"/>
        <v>#VALUE!</v>
      </c>
    </row>
    <row r="86" spans="1:46" ht="18" hidden="1" customHeight="1" x14ac:dyDescent="0.25">
      <c r="A86" s="406" t="s">
        <v>996</v>
      </c>
      <c r="B86" s="273"/>
      <c r="C86" s="276">
        <v>49553886</v>
      </c>
      <c r="D86" s="273" t="s">
        <v>645</v>
      </c>
      <c r="E86" s="274">
        <v>39864</v>
      </c>
      <c r="F86" s="434" t="s">
        <v>1480</v>
      </c>
      <c r="G86" s="434" t="s">
        <v>1394</v>
      </c>
      <c r="H86" s="434" t="s">
        <v>1380</v>
      </c>
      <c r="I86" s="434" t="s">
        <v>1492</v>
      </c>
      <c r="J86" s="434"/>
      <c r="K86" s="434"/>
      <c r="L86" s="434"/>
      <c r="M86" s="434"/>
      <c r="N86" s="434"/>
      <c r="O86" s="434"/>
      <c r="P86" s="434"/>
      <c r="Q86" s="434"/>
      <c r="R86" s="434"/>
      <c r="S86" s="434"/>
      <c r="T86" s="434"/>
      <c r="U86" s="275"/>
      <c r="V86" s="434"/>
      <c r="W86" s="434"/>
      <c r="X86" s="434"/>
      <c r="Y86" s="434" t="str">
        <f t="shared" si="34"/>
        <v/>
      </c>
      <c r="Z86" s="434" t="str">
        <f t="shared" si="33"/>
        <v/>
      </c>
      <c r="AA86" s="434" t="str">
        <f>IF(OR(ISBLANK(#REF!),ISBLANK(L86)),"",IF(AND(#REF!&gt;=L86,#REF!-L86&lt;=#REF!),(#REF!-L86)*$AK86,"!!!!"))</f>
        <v/>
      </c>
      <c r="AB86" s="434" t="str">
        <f>IF(OR(ISBLANK(N86),ISBLANK(#REF!)),"",IF(AND(N86&gt;=#REF!,N86-#REF!&lt;=N86),(N86-#REF!)*$AK86,"!!!!"))</f>
        <v/>
      </c>
      <c r="AC86" s="434" t="str">
        <f t="shared" si="35"/>
        <v/>
      </c>
      <c r="AD86" s="434" t="str">
        <f t="shared" si="36"/>
        <v/>
      </c>
      <c r="AE86" s="434" t="str">
        <f t="shared" si="37"/>
        <v/>
      </c>
      <c r="AF86" s="434" t="str">
        <f t="shared" si="38"/>
        <v/>
      </c>
      <c r="AG86" s="434" t="str">
        <f t="shared" si="39"/>
        <v/>
      </c>
      <c r="AH86" s="434" t="str">
        <f t="shared" si="40"/>
        <v/>
      </c>
      <c r="AI86" s="434" t="str">
        <f t="shared" si="41"/>
        <v/>
      </c>
      <c r="AJ86" s="434" t="str">
        <f t="shared" si="42"/>
        <v/>
      </c>
      <c r="AK86" s="434">
        <v>1</v>
      </c>
      <c r="AL86" s="434">
        <f t="shared" ca="1" si="29"/>
        <v>0</v>
      </c>
      <c r="AM86" s="434">
        <f t="shared" ca="1" si="30"/>
        <v>0</v>
      </c>
      <c r="AN86" s="434" t="str">
        <f ca="1">IF(AND(Tabla7[[#This Row],[UltLec]]&lt;&gt;0,Tabla7[[#This Row],[PenLect]]&lt;&gt;0),(AM86-AL86)*Tabla7[[#This Row],[RT]],"N/A")</f>
        <v>N/A</v>
      </c>
      <c r="AO86" s="434" t="s">
        <v>1160</v>
      </c>
      <c r="AP86" s="434" t="s">
        <v>1075</v>
      </c>
      <c r="AQ86" s="434" t="s">
        <v>1074</v>
      </c>
      <c r="AR86" s="434">
        <f t="shared" si="31"/>
        <v>0</v>
      </c>
      <c r="AT86" s="2" t="e">
        <f t="shared" ca="1" si="32"/>
        <v>#VALUE!</v>
      </c>
    </row>
    <row r="87" spans="1:46" ht="18" hidden="1" customHeight="1" x14ac:dyDescent="0.25">
      <c r="A87" s="406" t="s">
        <v>996</v>
      </c>
      <c r="B87" s="273"/>
      <c r="C87" s="367">
        <v>502100616</v>
      </c>
      <c r="D87" s="273" t="s">
        <v>645</v>
      </c>
      <c r="E87" s="274">
        <v>39850</v>
      </c>
      <c r="F87" s="275" t="s">
        <v>1480</v>
      </c>
      <c r="G87" s="383" t="s">
        <v>1569</v>
      </c>
      <c r="H87" s="275"/>
      <c r="I87" s="275" t="s">
        <v>1647</v>
      </c>
      <c r="J87" s="348"/>
      <c r="K87" s="277"/>
      <c r="L87" s="277"/>
      <c r="M87" s="277"/>
      <c r="N87" s="277"/>
      <c r="O87" s="277"/>
      <c r="P87" s="347"/>
      <c r="Q87" s="277"/>
      <c r="R87" s="277"/>
      <c r="S87" s="277"/>
      <c r="T87" s="275"/>
      <c r="U87" s="275"/>
      <c r="V87" s="348"/>
      <c r="W87" s="277"/>
      <c r="X87" s="275"/>
      <c r="Y87" s="275" t="str">
        <f t="shared" si="34"/>
        <v/>
      </c>
      <c r="Z87" s="275" t="str">
        <f t="shared" si="33"/>
        <v/>
      </c>
      <c r="AA87" s="275" t="str">
        <f t="shared" ref="AA87:AB89" si="43">IF(OR(ISBLANK(M87),ISBLANK(L87)),"",IF(AND(M87&gt;=L87,M87-L87&lt;=M87),(M87-L87)*$AK87,"!!!!"))</f>
        <v/>
      </c>
      <c r="AB87" s="275" t="str">
        <f t="shared" si="43"/>
        <v/>
      </c>
      <c r="AC87" s="275" t="str">
        <f t="shared" si="35"/>
        <v/>
      </c>
      <c r="AD87" s="275" t="str">
        <f t="shared" si="36"/>
        <v/>
      </c>
      <c r="AE87" s="275" t="str">
        <f t="shared" si="37"/>
        <v/>
      </c>
      <c r="AF87" s="275" t="str">
        <f t="shared" si="38"/>
        <v/>
      </c>
      <c r="AG87" s="275" t="str">
        <f t="shared" si="39"/>
        <v/>
      </c>
      <c r="AH87" s="275" t="str">
        <f t="shared" si="40"/>
        <v/>
      </c>
      <c r="AI87" s="275" t="str">
        <f t="shared" si="41"/>
        <v/>
      </c>
      <c r="AJ87" s="275" t="str">
        <f t="shared" si="42"/>
        <v/>
      </c>
      <c r="AK87" s="275">
        <v>1</v>
      </c>
      <c r="AL87" s="277">
        <f t="shared" ca="1" si="29"/>
        <v>0</v>
      </c>
      <c r="AM87" s="277">
        <f t="shared" ca="1" si="30"/>
        <v>0</v>
      </c>
      <c r="AN87" s="277" t="str">
        <f ca="1">IF(AND(Tabla7[[#This Row],[UltLec]]&lt;&gt;0,Tabla7[[#This Row],[PenLect]]&lt;&gt;0),(AM87-AL87)*Tabla7[[#This Row],[RT]],"N/A")</f>
        <v>N/A</v>
      </c>
      <c r="AO87" s="393" t="s">
        <v>1160</v>
      </c>
      <c r="AP87" s="393" t="s">
        <v>1075</v>
      </c>
      <c r="AQ87" s="393" t="s">
        <v>1074</v>
      </c>
      <c r="AR87" s="275">
        <f t="shared" si="31"/>
        <v>0</v>
      </c>
      <c r="AT87" s="2" t="e">
        <f t="shared" ca="1" si="32"/>
        <v>#VALUE!</v>
      </c>
    </row>
    <row r="88" spans="1:46" ht="18" hidden="1" customHeight="1" x14ac:dyDescent="0.25">
      <c r="A88" s="406" t="s">
        <v>996</v>
      </c>
      <c r="B88" s="273"/>
      <c r="C88" s="367">
        <v>502100621</v>
      </c>
      <c r="D88" s="273" t="s">
        <v>645</v>
      </c>
      <c r="E88" s="274">
        <v>39863</v>
      </c>
      <c r="F88" s="275" t="s">
        <v>1379</v>
      </c>
      <c r="G88" s="383" t="s">
        <v>1569</v>
      </c>
      <c r="H88" s="275" t="s">
        <v>1644</v>
      </c>
      <c r="I88" s="275" t="s">
        <v>1580</v>
      </c>
      <c r="J88" s="348"/>
      <c r="K88" s="277"/>
      <c r="L88" s="277"/>
      <c r="M88" s="277"/>
      <c r="N88" s="277"/>
      <c r="O88" s="277"/>
      <c r="P88" s="347"/>
      <c r="Q88" s="277"/>
      <c r="R88" s="277"/>
      <c r="S88" s="277"/>
      <c r="T88" s="275"/>
      <c r="U88" s="275"/>
      <c r="V88" s="348"/>
      <c r="W88" s="277"/>
      <c r="X88" s="275"/>
      <c r="Y88" s="275" t="str">
        <f t="shared" si="34"/>
        <v/>
      </c>
      <c r="Z88" s="275" t="str">
        <f t="shared" si="33"/>
        <v/>
      </c>
      <c r="AA88" s="275" t="str">
        <f t="shared" si="43"/>
        <v/>
      </c>
      <c r="AB88" s="275" t="str">
        <f t="shared" si="43"/>
        <v/>
      </c>
      <c r="AC88" s="275" t="str">
        <f t="shared" si="35"/>
        <v/>
      </c>
      <c r="AD88" s="275" t="str">
        <f t="shared" si="36"/>
        <v/>
      </c>
      <c r="AE88" s="275" t="str">
        <f t="shared" si="37"/>
        <v/>
      </c>
      <c r="AF88" s="275" t="str">
        <f t="shared" si="38"/>
        <v/>
      </c>
      <c r="AG88" s="275" t="str">
        <f t="shared" si="39"/>
        <v/>
      </c>
      <c r="AH88" s="275" t="str">
        <f t="shared" si="40"/>
        <v/>
      </c>
      <c r="AI88" s="275" t="str">
        <f t="shared" si="41"/>
        <v/>
      </c>
      <c r="AJ88" s="275" t="str">
        <f t="shared" si="42"/>
        <v/>
      </c>
      <c r="AK88" s="275">
        <v>1</v>
      </c>
      <c r="AL88" s="277">
        <f t="shared" ca="1" si="29"/>
        <v>0</v>
      </c>
      <c r="AM88" s="277">
        <f t="shared" ca="1" si="30"/>
        <v>0</v>
      </c>
      <c r="AN88" s="277" t="str">
        <f ca="1">IF(AND(Tabla7[[#This Row],[UltLec]]&lt;&gt;0,Tabla7[[#This Row],[PenLect]]&lt;&gt;0),(AM88-AL88)*Tabla7[[#This Row],[RT]],"N/A")</f>
        <v>N/A</v>
      </c>
      <c r="AO88" s="393" t="s">
        <v>1160</v>
      </c>
      <c r="AP88" s="393" t="s">
        <v>1075</v>
      </c>
      <c r="AQ88" s="393" t="s">
        <v>1074</v>
      </c>
      <c r="AR88" s="275">
        <f t="shared" si="31"/>
        <v>0</v>
      </c>
      <c r="AT88" s="2" t="e">
        <f t="shared" ca="1" si="32"/>
        <v>#VALUE!</v>
      </c>
    </row>
    <row r="89" spans="1:46" ht="18" hidden="1" customHeight="1" x14ac:dyDescent="0.25">
      <c r="A89" s="406" t="s">
        <v>996</v>
      </c>
      <c r="B89" s="273"/>
      <c r="C89" s="367">
        <v>502100624</v>
      </c>
      <c r="D89" s="273" t="s">
        <v>645</v>
      </c>
      <c r="E89" s="274">
        <v>39814</v>
      </c>
      <c r="F89" s="275" t="s">
        <v>1578</v>
      </c>
      <c r="G89" s="383" t="s">
        <v>1569</v>
      </c>
      <c r="H89" s="275" t="s">
        <v>1643</v>
      </c>
      <c r="I89" s="275" t="s">
        <v>1579</v>
      </c>
      <c r="J89" s="348"/>
      <c r="K89" s="277"/>
      <c r="L89" s="277"/>
      <c r="M89" s="277"/>
      <c r="N89" s="277"/>
      <c r="O89" s="277"/>
      <c r="P89" s="347"/>
      <c r="Q89" s="277"/>
      <c r="R89" s="277"/>
      <c r="S89" s="277"/>
      <c r="T89" s="275"/>
      <c r="U89" s="275"/>
      <c r="V89" s="348"/>
      <c r="W89" s="277"/>
      <c r="X89" s="275"/>
      <c r="Y89" s="275" t="str">
        <f t="shared" si="34"/>
        <v/>
      </c>
      <c r="Z89" s="275" t="str">
        <f t="shared" si="33"/>
        <v/>
      </c>
      <c r="AA89" s="275" t="str">
        <f t="shared" si="43"/>
        <v/>
      </c>
      <c r="AB89" s="275" t="str">
        <f t="shared" si="43"/>
        <v/>
      </c>
      <c r="AC89" s="275" t="str">
        <f t="shared" si="35"/>
        <v/>
      </c>
      <c r="AD89" s="275" t="str">
        <f t="shared" si="36"/>
        <v/>
      </c>
      <c r="AE89" s="275" t="str">
        <f t="shared" si="37"/>
        <v/>
      </c>
      <c r="AF89" s="275" t="str">
        <f t="shared" si="38"/>
        <v/>
      </c>
      <c r="AG89" s="275" t="str">
        <f t="shared" si="39"/>
        <v/>
      </c>
      <c r="AH89" s="275" t="str">
        <f t="shared" si="40"/>
        <v/>
      </c>
      <c r="AI89" s="275" t="str">
        <f t="shared" si="41"/>
        <v/>
      </c>
      <c r="AJ89" s="275" t="str">
        <f t="shared" si="42"/>
        <v/>
      </c>
      <c r="AK89" s="275">
        <v>1</v>
      </c>
      <c r="AL89" s="277">
        <f t="shared" ca="1" si="29"/>
        <v>0</v>
      </c>
      <c r="AM89" s="277">
        <f t="shared" ca="1" si="30"/>
        <v>0</v>
      </c>
      <c r="AN89" s="277" t="str">
        <f ca="1">IF(AND(Tabla7[[#This Row],[UltLec]]&lt;&gt;0,Tabla7[[#This Row],[PenLect]]&lt;&gt;0),(AM89-AL89)*Tabla7[[#This Row],[RT]],"N/A")</f>
        <v>N/A</v>
      </c>
      <c r="AO89" s="393" t="s">
        <v>1160</v>
      </c>
      <c r="AP89" s="393" t="s">
        <v>1075</v>
      </c>
      <c r="AQ89" s="393" t="s">
        <v>1074</v>
      </c>
      <c r="AR89" s="275">
        <f t="shared" si="31"/>
        <v>0</v>
      </c>
      <c r="AT89" s="2" t="e">
        <f t="shared" ca="1" si="32"/>
        <v>#VALUE!</v>
      </c>
    </row>
    <row r="90" spans="1:46" ht="18" hidden="1" customHeight="1" x14ac:dyDescent="0.25">
      <c r="A90" s="406" t="s">
        <v>996</v>
      </c>
      <c r="B90" s="273"/>
      <c r="C90" s="276" t="s">
        <v>1493</v>
      </c>
      <c r="D90" s="273" t="s">
        <v>645</v>
      </c>
      <c r="E90" s="274">
        <v>39864</v>
      </c>
      <c r="F90" s="434" t="s">
        <v>1480</v>
      </c>
      <c r="G90" s="434" t="s">
        <v>1394</v>
      </c>
      <c r="H90" s="434" t="s">
        <v>1380</v>
      </c>
      <c r="I90" s="434" t="s">
        <v>1501</v>
      </c>
      <c r="J90" s="434"/>
      <c r="K90" s="434"/>
      <c r="L90" s="434"/>
      <c r="M90" s="434"/>
      <c r="N90" s="434"/>
      <c r="O90" s="434"/>
      <c r="P90" s="434"/>
      <c r="Q90" s="434"/>
      <c r="R90" s="434"/>
      <c r="S90" s="434"/>
      <c r="T90" s="434"/>
      <c r="U90" s="275"/>
      <c r="V90" s="434"/>
      <c r="W90" s="434"/>
      <c r="X90" s="434"/>
      <c r="Y90" s="434" t="str">
        <f t="shared" si="34"/>
        <v/>
      </c>
      <c r="Z90" s="434" t="str">
        <f t="shared" si="33"/>
        <v/>
      </c>
      <c r="AA90" s="434" t="str">
        <f>IF(OR(ISBLANK(#REF!),ISBLANK(L90)),"",IF(AND(#REF!&gt;=L90,#REF!-L90&lt;=#REF!),(#REF!-L90)*$AK90,"!!!!"))</f>
        <v/>
      </c>
      <c r="AB90" s="434" t="str">
        <f>IF(OR(ISBLANK(N90),ISBLANK(#REF!)),"",IF(AND(N90&gt;=#REF!,N90-#REF!&lt;=N90),(N90-#REF!)*$AK90,"!!!!"))</f>
        <v/>
      </c>
      <c r="AC90" s="434" t="str">
        <f t="shared" si="35"/>
        <v/>
      </c>
      <c r="AD90" s="434" t="str">
        <f t="shared" si="36"/>
        <v/>
      </c>
      <c r="AE90" s="434" t="str">
        <f t="shared" si="37"/>
        <v/>
      </c>
      <c r="AF90" s="434" t="str">
        <f t="shared" si="38"/>
        <v/>
      </c>
      <c r="AG90" s="434" t="str">
        <f t="shared" si="39"/>
        <v/>
      </c>
      <c r="AH90" s="434" t="str">
        <f t="shared" si="40"/>
        <v/>
      </c>
      <c r="AI90" s="434" t="str">
        <f t="shared" si="41"/>
        <v/>
      </c>
      <c r="AJ90" s="434" t="str">
        <f t="shared" si="42"/>
        <v/>
      </c>
      <c r="AK90" s="434">
        <v>1</v>
      </c>
      <c r="AL90" s="434">
        <f t="shared" ca="1" si="29"/>
        <v>0</v>
      </c>
      <c r="AM90" s="434">
        <f t="shared" ca="1" si="30"/>
        <v>0</v>
      </c>
      <c r="AN90" s="434" t="str">
        <f ca="1">IF(AND(Tabla7[[#This Row],[UltLec]]&lt;&gt;0,Tabla7[[#This Row],[PenLect]]&lt;&gt;0),(AM90-AL90)*Tabla7[[#This Row],[RT]],"N/A")</f>
        <v>N/A</v>
      </c>
      <c r="AO90" s="434" t="s">
        <v>1160</v>
      </c>
      <c r="AP90" s="434" t="s">
        <v>1075</v>
      </c>
      <c r="AQ90" s="434" t="s">
        <v>1074</v>
      </c>
      <c r="AR90" s="434">
        <f t="shared" si="31"/>
        <v>0</v>
      </c>
      <c r="AT90" s="2" t="e">
        <f t="shared" ca="1" si="32"/>
        <v>#VALUE!</v>
      </c>
    </row>
    <row r="91" spans="1:46" ht="18" hidden="1" customHeight="1" x14ac:dyDescent="0.25">
      <c r="A91" s="405" t="s">
        <v>578</v>
      </c>
      <c r="B91" s="54"/>
      <c r="C91" s="368" t="s">
        <v>1572</v>
      </c>
      <c r="D91" s="54" t="s">
        <v>645</v>
      </c>
      <c r="E91" s="232">
        <v>39871</v>
      </c>
      <c r="F91" s="2" t="s">
        <v>594</v>
      </c>
      <c r="G91" s="299" t="s">
        <v>1569</v>
      </c>
      <c r="H91" s="427" t="s">
        <v>1573</v>
      </c>
      <c r="I91" s="2" t="s">
        <v>1574</v>
      </c>
      <c r="J91" s="425">
        <v>124126</v>
      </c>
      <c r="K91" s="425">
        <v>444750</v>
      </c>
      <c r="L91" s="425"/>
      <c r="M91" s="425"/>
      <c r="N91" s="425"/>
      <c r="O91" s="425"/>
      <c r="P91" s="426"/>
      <c r="Q91" s="425"/>
      <c r="R91" s="425"/>
      <c r="S91" s="425"/>
      <c r="T91" s="425"/>
      <c r="U91" s="260"/>
      <c r="V91" s="425"/>
      <c r="W91" s="424"/>
      <c r="X91" s="424"/>
      <c r="Y91" s="424">
        <f t="shared" si="34"/>
        <v>320624</v>
      </c>
      <c r="Z91" s="424" t="str">
        <f t="shared" si="33"/>
        <v/>
      </c>
      <c r="AA91" s="424" t="str">
        <f t="shared" ref="AA91:AA122" si="44">IF(OR(ISBLANK(M91),ISBLANK(L91)),"",IF(AND(M91&gt;=L91,M91-L91&lt;=M91),(M91-L91)*$AK91,"!!!!"))</f>
        <v/>
      </c>
      <c r="AB91" s="424" t="str">
        <f t="shared" ref="AB91:AB122" si="45">IF(OR(ISBLANK(N91),ISBLANK(M91)),"",IF(AND(N91&gt;=M91,N91-M91&lt;=N91),(N91-M91)*$AK91,"!!!!"))</f>
        <v/>
      </c>
      <c r="AC91" s="424" t="str">
        <f t="shared" si="35"/>
        <v/>
      </c>
      <c r="AD91" s="424" t="str">
        <f t="shared" si="36"/>
        <v/>
      </c>
      <c r="AE91" s="424" t="str">
        <f t="shared" si="37"/>
        <v/>
      </c>
      <c r="AF91" s="424" t="str">
        <f t="shared" si="38"/>
        <v/>
      </c>
      <c r="AG91" s="424" t="str">
        <f t="shared" si="39"/>
        <v/>
      </c>
      <c r="AH91" s="424" t="str">
        <f t="shared" si="40"/>
        <v/>
      </c>
      <c r="AI91" s="424" t="str">
        <f t="shared" si="41"/>
        <v/>
      </c>
      <c r="AJ91" s="424" t="str">
        <f t="shared" si="42"/>
        <v/>
      </c>
      <c r="AK91" s="424">
        <v>1</v>
      </c>
      <c r="AL91" s="425">
        <f t="shared" ca="1" si="29"/>
        <v>0</v>
      </c>
      <c r="AM91" s="425">
        <f t="shared" ca="1" si="30"/>
        <v>0</v>
      </c>
      <c r="AN91" s="260" t="str">
        <f ca="1">IF(AND(Tabla7[[#This Row],[UltLec]]&lt;&gt;0,Tabla7[[#This Row],[PenLect]]&lt;&gt;0),(AM91-AL91)*Tabla7[[#This Row],[RT]],"N/A")</f>
        <v>N/A</v>
      </c>
      <c r="AO91" s="380" t="s">
        <v>852</v>
      </c>
      <c r="AP91" s="380" t="s">
        <v>1075</v>
      </c>
      <c r="AQ91" s="380" t="s">
        <v>1074</v>
      </c>
      <c r="AR91" s="2">
        <f t="shared" si="31"/>
        <v>0</v>
      </c>
      <c r="AT91" s="2" t="e">
        <f t="shared" ca="1" si="32"/>
        <v>#VALUE!</v>
      </c>
    </row>
    <row r="92" spans="1:46" ht="18" hidden="1" customHeight="1" x14ac:dyDescent="0.25">
      <c r="A92" s="405" t="s">
        <v>578</v>
      </c>
      <c r="B92" s="54"/>
      <c r="C92" s="368" t="s">
        <v>1575</v>
      </c>
      <c r="D92" s="54" t="s">
        <v>645</v>
      </c>
      <c r="E92" s="232">
        <v>39872</v>
      </c>
      <c r="F92" s="2" t="s">
        <v>594</v>
      </c>
      <c r="G92" s="299" t="s">
        <v>1569</v>
      </c>
      <c r="H92" s="427" t="s">
        <v>1576</v>
      </c>
      <c r="I92" s="2" t="s">
        <v>1577</v>
      </c>
      <c r="J92" s="425">
        <v>100804</v>
      </c>
      <c r="K92" s="425">
        <v>100804</v>
      </c>
      <c r="L92" s="425"/>
      <c r="M92" s="425"/>
      <c r="N92" s="425"/>
      <c r="O92" s="425"/>
      <c r="P92" s="426"/>
      <c r="Q92" s="425"/>
      <c r="R92" s="425"/>
      <c r="S92" s="425"/>
      <c r="T92" s="425"/>
      <c r="U92" s="260"/>
      <c r="V92" s="425"/>
      <c r="W92" s="424"/>
      <c r="X92" s="424"/>
      <c r="Y92" s="424">
        <f t="shared" si="34"/>
        <v>0</v>
      </c>
      <c r="Z92" s="424" t="str">
        <f t="shared" si="33"/>
        <v/>
      </c>
      <c r="AA92" s="424" t="str">
        <f t="shared" si="44"/>
        <v/>
      </c>
      <c r="AB92" s="424" t="str">
        <f t="shared" si="45"/>
        <v/>
      </c>
      <c r="AC92" s="424" t="str">
        <f t="shared" si="35"/>
        <v/>
      </c>
      <c r="AD92" s="424" t="str">
        <f t="shared" si="36"/>
        <v/>
      </c>
      <c r="AE92" s="424" t="str">
        <f t="shared" si="37"/>
        <v/>
      </c>
      <c r="AF92" s="424" t="str">
        <f t="shared" si="38"/>
        <v/>
      </c>
      <c r="AG92" s="424" t="str">
        <f t="shared" si="39"/>
        <v/>
      </c>
      <c r="AH92" s="424" t="str">
        <f t="shared" si="40"/>
        <v/>
      </c>
      <c r="AI92" s="424" t="str">
        <f t="shared" si="41"/>
        <v/>
      </c>
      <c r="AJ92" s="424" t="str">
        <f t="shared" si="42"/>
        <v/>
      </c>
      <c r="AK92" s="424">
        <v>1</v>
      </c>
      <c r="AL92" s="425">
        <f t="shared" ca="1" si="29"/>
        <v>0</v>
      </c>
      <c r="AM92" s="425">
        <f t="shared" ca="1" si="30"/>
        <v>0</v>
      </c>
      <c r="AN92" s="260" t="str">
        <f ca="1">IF(AND(Tabla7[[#This Row],[UltLec]]&lt;&gt;0,Tabla7[[#This Row],[PenLect]]&lt;&gt;0),(AM92-AL92)*Tabla7[[#This Row],[RT]],"N/A")</f>
        <v>N/A</v>
      </c>
      <c r="AO92" s="380" t="s">
        <v>852</v>
      </c>
      <c r="AP92" s="380" t="s">
        <v>1075</v>
      </c>
      <c r="AQ92" s="380" t="s">
        <v>1074</v>
      </c>
      <c r="AR92" s="2">
        <f t="shared" si="31"/>
        <v>0</v>
      </c>
      <c r="AT92" s="2" t="e">
        <f t="shared" ca="1" si="32"/>
        <v>#VALUE!</v>
      </c>
    </row>
    <row r="93" spans="1:46" ht="18" hidden="1" customHeight="1" x14ac:dyDescent="0.25">
      <c r="A93" s="405" t="s">
        <v>578</v>
      </c>
      <c r="B93" s="54"/>
      <c r="C93" s="368" t="s">
        <v>1568</v>
      </c>
      <c r="D93" s="54" t="s">
        <v>645</v>
      </c>
      <c r="E93" s="232">
        <v>39803</v>
      </c>
      <c r="F93" s="2" t="s">
        <v>594</v>
      </c>
      <c r="G93" s="299" t="s">
        <v>1569</v>
      </c>
      <c r="H93" s="299" t="s">
        <v>1570</v>
      </c>
      <c r="I93" s="2" t="s">
        <v>1571</v>
      </c>
      <c r="J93" s="425">
        <v>275943</v>
      </c>
      <c r="K93" s="425">
        <v>275943</v>
      </c>
      <c r="L93" s="425"/>
      <c r="M93" s="425"/>
      <c r="O93" s="260"/>
      <c r="P93" s="426"/>
      <c r="Q93" s="425"/>
      <c r="R93" s="425"/>
      <c r="S93" s="425"/>
      <c r="T93" s="425"/>
      <c r="U93" s="260"/>
      <c r="V93" s="425"/>
      <c r="W93" s="424"/>
      <c r="X93" s="424"/>
      <c r="Y93" s="424">
        <f t="shared" si="34"/>
        <v>0</v>
      </c>
      <c r="Z93" s="424" t="str">
        <f t="shared" si="33"/>
        <v/>
      </c>
      <c r="AA93" s="424" t="str">
        <f t="shared" si="44"/>
        <v/>
      </c>
      <c r="AB93" s="424" t="str">
        <f t="shared" si="45"/>
        <v/>
      </c>
      <c r="AC93" s="424" t="str">
        <f t="shared" si="35"/>
        <v/>
      </c>
      <c r="AD93" s="424" t="str">
        <f t="shared" si="36"/>
        <v/>
      </c>
      <c r="AE93" s="424" t="str">
        <f t="shared" si="37"/>
        <v/>
      </c>
      <c r="AF93" s="424" t="str">
        <f t="shared" si="38"/>
        <v/>
      </c>
      <c r="AG93" s="424" t="str">
        <f t="shared" si="39"/>
        <v/>
      </c>
      <c r="AH93" s="424" t="str">
        <f t="shared" si="40"/>
        <v/>
      </c>
      <c r="AI93" s="424" t="str">
        <f t="shared" si="41"/>
        <v/>
      </c>
      <c r="AJ93" s="424" t="str">
        <f t="shared" si="42"/>
        <v/>
      </c>
      <c r="AK93" s="424">
        <v>1</v>
      </c>
      <c r="AL93" s="425">
        <f t="shared" ca="1" si="29"/>
        <v>0</v>
      </c>
      <c r="AM93" s="425">
        <f t="shared" ca="1" si="30"/>
        <v>0</v>
      </c>
      <c r="AN93" s="260" t="str">
        <f ca="1">IF(AND(Tabla7[[#This Row],[UltLec]]&lt;&gt;0,Tabla7[[#This Row],[PenLect]]&lt;&gt;0),(AM93-AL93)*Tabla7[[#This Row],[RT]],"N/A")</f>
        <v>N/A</v>
      </c>
      <c r="AO93" s="380" t="s">
        <v>852</v>
      </c>
      <c r="AP93" s="380" t="s">
        <v>1075</v>
      </c>
      <c r="AQ93" s="380" t="s">
        <v>1074</v>
      </c>
      <c r="AR93" s="2">
        <f t="shared" si="31"/>
        <v>0</v>
      </c>
      <c r="AT93" s="2" t="e">
        <f t="shared" ca="1" si="32"/>
        <v>#VALUE!</v>
      </c>
    </row>
    <row r="94" spans="1:46" ht="18" hidden="1" customHeight="1" x14ac:dyDescent="0.25">
      <c r="A94" s="406" t="s">
        <v>1081</v>
      </c>
      <c r="B94" s="273"/>
      <c r="C94" s="367">
        <v>28302205</v>
      </c>
      <c r="D94" s="273" t="s">
        <v>484</v>
      </c>
      <c r="E94" s="274">
        <v>39501</v>
      </c>
      <c r="F94" s="275" t="s">
        <v>499</v>
      </c>
      <c r="G94" s="275" t="s">
        <v>500</v>
      </c>
      <c r="H94" s="275" t="s">
        <v>345</v>
      </c>
      <c r="I94" s="275" t="s">
        <v>1041</v>
      </c>
      <c r="J94" s="277"/>
      <c r="K94" s="275"/>
      <c r="L94" s="275"/>
      <c r="M94" s="275"/>
      <c r="N94" s="275"/>
      <c r="O94" s="275"/>
      <c r="P94" s="275"/>
      <c r="Q94" s="275"/>
      <c r="R94" s="275"/>
      <c r="S94" s="275"/>
      <c r="T94" s="275"/>
      <c r="U94" s="275"/>
      <c r="V94" s="277"/>
      <c r="W94" s="388"/>
      <c r="X94" s="275"/>
      <c r="Y94" s="275" t="str">
        <f t="shared" si="34"/>
        <v/>
      </c>
      <c r="Z94" s="275" t="str">
        <f t="shared" si="33"/>
        <v/>
      </c>
      <c r="AA94" s="275" t="str">
        <f t="shared" si="44"/>
        <v/>
      </c>
      <c r="AB94" s="275" t="str">
        <f t="shared" si="45"/>
        <v/>
      </c>
      <c r="AC94" s="275" t="str">
        <f t="shared" si="35"/>
        <v/>
      </c>
      <c r="AD94" s="275" t="str">
        <f t="shared" si="36"/>
        <v/>
      </c>
      <c r="AE94" s="275" t="str">
        <f t="shared" si="37"/>
        <v/>
      </c>
      <c r="AF94" s="275" t="str">
        <f t="shared" si="38"/>
        <v/>
      </c>
      <c r="AG94" s="275" t="str">
        <f t="shared" si="39"/>
        <v/>
      </c>
      <c r="AH94" s="275" t="str">
        <f t="shared" si="40"/>
        <v/>
      </c>
      <c r="AI94" s="275" t="str">
        <f t="shared" si="41"/>
        <v/>
      </c>
      <c r="AJ94" s="275" t="str">
        <f t="shared" si="42"/>
        <v/>
      </c>
      <c r="AK94" s="275">
        <v>1</v>
      </c>
      <c r="AL94" s="277">
        <f t="shared" ca="1" si="29"/>
        <v>0</v>
      </c>
      <c r="AM94" s="277">
        <f t="shared" ca="1" si="30"/>
        <v>0</v>
      </c>
      <c r="AN94" s="277" t="str">
        <f ca="1">IF(AND(Tabla7[[#This Row],[UltLec]]&lt;&gt;0,Tabla7[[#This Row],[PenLect]]&lt;&gt;0),(AM94-AL94)*Tabla7[[#This Row],[RT]],"N/A")</f>
        <v>N/A</v>
      </c>
      <c r="AO94" s="393" t="s">
        <v>1160</v>
      </c>
      <c r="AP94" s="393" t="s">
        <v>1076</v>
      </c>
      <c r="AQ94" s="393" t="s">
        <v>1074</v>
      </c>
      <c r="AR94" s="275">
        <f t="shared" si="31"/>
        <v>0</v>
      </c>
      <c r="AT94" s="2" t="e">
        <f t="shared" ca="1" si="32"/>
        <v>#VALUE!</v>
      </c>
    </row>
    <row r="95" spans="1:46" ht="18" hidden="1" customHeight="1" x14ac:dyDescent="0.25">
      <c r="A95" s="408" t="s">
        <v>484</v>
      </c>
      <c r="B95" s="262"/>
      <c r="C95" s="411">
        <v>83061189</v>
      </c>
      <c r="D95" s="262" t="s">
        <v>484</v>
      </c>
      <c r="E95" s="235">
        <v>39539</v>
      </c>
      <c r="F95" s="371" t="s">
        <v>145</v>
      </c>
      <c r="G95" s="371" t="s">
        <v>982</v>
      </c>
      <c r="H95" s="371" t="s">
        <v>1014</v>
      </c>
      <c r="I95" s="371"/>
      <c r="J95" s="341">
        <v>2833229</v>
      </c>
      <c r="K95" s="341"/>
      <c r="L95" s="341"/>
      <c r="M95" s="341"/>
      <c r="N95" s="341"/>
      <c r="O95" s="341"/>
      <c r="P95" s="341"/>
      <c r="Q95" s="341"/>
      <c r="R95" s="341"/>
      <c r="S95" s="341"/>
      <c r="T95" s="341"/>
      <c r="U95" s="341"/>
      <c r="V95" s="341"/>
      <c r="W95" s="371"/>
      <c r="X95" s="371"/>
      <c r="Y95" s="341" t="str">
        <f t="shared" si="34"/>
        <v/>
      </c>
      <c r="Z95" s="341" t="str">
        <f t="shared" si="33"/>
        <v/>
      </c>
      <c r="AA95" s="341" t="str">
        <f t="shared" si="44"/>
        <v/>
      </c>
      <c r="AB95" s="341" t="str">
        <f t="shared" si="45"/>
        <v/>
      </c>
      <c r="AC95" s="341" t="str">
        <f t="shared" si="35"/>
        <v/>
      </c>
      <c r="AD95" s="341" t="str">
        <f t="shared" si="36"/>
        <v/>
      </c>
      <c r="AE95" s="341" t="str">
        <f t="shared" si="37"/>
        <v/>
      </c>
      <c r="AF95" s="341" t="str">
        <f t="shared" si="38"/>
        <v/>
      </c>
      <c r="AG95" s="341" t="str">
        <f t="shared" si="39"/>
        <v/>
      </c>
      <c r="AH95" s="341" t="str">
        <f t="shared" si="40"/>
        <v/>
      </c>
      <c r="AI95" s="341" t="str">
        <f t="shared" si="41"/>
        <v/>
      </c>
      <c r="AJ95" s="341" t="str">
        <f t="shared" si="42"/>
        <v/>
      </c>
      <c r="AK95" s="371">
        <v>1</v>
      </c>
      <c r="AL95" s="341">
        <f t="shared" ca="1" si="29"/>
        <v>0</v>
      </c>
      <c r="AM95" s="341">
        <f t="shared" ca="1" si="30"/>
        <v>0</v>
      </c>
      <c r="AN95" s="341" t="str">
        <f ca="1">IF(AND(Tabla7[[#This Row],[UltLec]]&lt;&gt;0,Tabla7[[#This Row],[PenLect]]&lt;&gt;0),(AM95-AL95)*Tabla7[[#This Row],[RT]],"N/A")</f>
        <v>N/A</v>
      </c>
      <c r="AO95" s="371" t="s">
        <v>1020</v>
      </c>
      <c r="AP95" s="389" t="s">
        <v>1076</v>
      </c>
      <c r="AQ95" s="389" t="s">
        <v>1074</v>
      </c>
      <c r="AR95" s="371">
        <f t="shared" si="31"/>
        <v>0</v>
      </c>
      <c r="AT95" s="2" t="e">
        <f t="shared" ca="1" si="32"/>
        <v>#VALUE!</v>
      </c>
    </row>
    <row r="96" spans="1:46" ht="18" hidden="1" customHeight="1" x14ac:dyDescent="0.25">
      <c r="A96" s="406" t="s">
        <v>1060</v>
      </c>
      <c r="B96" s="273" t="s">
        <v>980</v>
      </c>
      <c r="C96" s="367">
        <v>94811189</v>
      </c>
      <c r="D96" s="273" t="s">
        <v>484</v>
      </c>
      <c r="E96" s="274" t="s">
        <v>980</v>
      </c>
      <c r="F96" s="275" t="s">
        <v>984</v>
      </c>
      <c r="G96" s="275" t="s">
        <v>486</v>
      </c>
      <c r="H96" s="275" t="s">
        <v>498</v>
      </c>
      <c r="I96" s="275" t="s">
        <v>865</v>
      </c>
      <c r="J96" s="275"/>
      <c r="K96" s="275"/>
      <c r="L96" s="275"/>
      <c r="M96" s="275"/>
      <c r="N96" s="275"/>
      <c r="O96" s="275"/>
      <c r="P96" s="275"/>
      <c r="Q96" s="275"/>
      <c r="R96" s="275"/>
      <c r="S96" s="275"/>
      <c r="T96" s="275"/>
      <c r="U96" s="275"/>
      <c r="V96" s="275"/>
      <c r="W96" s="277"/>
      <c r="X96" s="275"/>
      <c r="Y96" s="275" t="str">
        <f t="shared" si="34"/>
        <v/>
      </c>
      <c r="Z96" s="275" t="str">
        <f t="shared" si="33"/>
        <v/>
      </c>
      <c r="AA96" s="275" t="str">
        <f t="shared" si="44"/>
        <v/>
      </c>
      <c r="AB96" s="275" t="str">
        <f t="shared" si="45"/>
        <v/>
      </c>
      <c r="AC96" s="275" t="str">
        <f t="shared" si="35"/>
        <v/>
      </c>
      <c r="AD96" s="275" t="str">
        <f t="shared" si="36"/>
        <v/>
      </c>
      <c r="AE96" s="275" t="str">
        <f t="shared" si="37"/>
        <v/>
      </c>
      <c r="AF96" s="275" t="str">
        <f t="shared" si="38"/>
        <v/>
      </c>
      <c r="AG96" s="275" t="str">
        <f t="shared" si="39"/>
        <v/>
      </c>
      <c r="AH96" s="275" t="str">
        <f t="shared" si="40"/>
        <v/>
      </c>
      <c r="AI96" s="275" t="str">
        <f t="shared" si="41"/>
        <v/>
      </c>
      <c r="AJ96" s="275" t="str">
        <f t="shared" si="42"/>
        <v/>
      </c>
      <c r="AK96" s="275">
        <v>1</v>
      </c>
      <c r="AL96" s="277">
        <f t="shared" ca="1" si="29"/>
        <v>0</v>
      </c>
      <c r="AM96" s="277">
        <f t="shared" ca="1" si="30"/>
        <v>0</v>
      </c>
      <c r="AN96" s="277" t="str">
        <f ca="1">IF(AND(Tabla7[[#This Row],[UltLec]]&lt;&gt;0,Tabla7[[#This Row],[PenLect]]&lt;&gt;0),(AM96-AL96)*Tabla7[[#This Row],[RT]],"N/A")</f>
        <v>N/A</v>
      </c>
      <c r="AO96" s="393" t="s">
        <v>1160</v>
      </c>
      <c r="AP96" s="393" t="s">
        <v>1076</v>
      </c>
      <c r="AQ96" s="393" t="s">
        <v>1074</v>
      </c>
      <c r="AR96" s="275">
        <f t="shared" si="31"/>
        <v>0</v>
      </c>
      <c r="AT96" s="2" t="e">
        <f t="shared" ca="1" si="32"/>
        <v>#VALUE!</v>
      </c>
    </row>
    <row r="97" spans="1:46" ht="18" hidden="1" customHeight="1" x14ac:dyDescent="0.25">
      <c r="A97" s="405" t="s">
        <v>484</v>
      </c>
      <c r="B97" s="54"/>
      <c r="C97" s="368">
        <v>94811334</v>
      </c>
      <c r="D97" s="54" t="s">
        <v>484</v>
      </c>
      <c r="E97" s="232">
        <v>39483</v>
      </c>
      <c r="F97" s="2" t="s">
        <v>490</v>
      </c>
      <c r="G97" s="2" t="s">
        <v>488</v>
      </c>
      <c r="H97" s="2" t="s">
        <v>491</v>
      </c>
      <c r="I97" s="2" t="s">
        <v>866</v>
      </c>
      <c r="J97" s="260">
        <v>3783766</v>
      </c>
      <c r="K97" s="260"/>
      <c r="L97" s="260"/>
      <c r="O97" s="260"/>
      <c r="P97" s="260"/>
      <c r="Q97" s="260"/>
      <c r="R97" s="260"/>
      <c r="S97" s="260"/>
      <c r="U97" s="260"/>
      <c r="V97" s="260"/>
      <c r="W97" s="260"/>
      <c r="X97" s="2"/>
      <c r="Y97" s="2" t="str">
        <f t="shared" si="34"/>
        <v/>
      </c>
      <c r="Z97" s="2" t="str">
        <f t="shared" si="33"/>
        <v/>
      </c>
      <c r="AA97" s="2" t="str">
        <f t="shared" si="44"/>
        <v/>
      </c>
      <c r="AB97" s="2" t="str">
        <f t="shared" si="45"/>
        <v/>
      </c>
      <c r="AC97" s="2" t="str">
        <f t="shared" si="35"/>
        <v/>
      </c>
      <c r="AD97" s="260" t="str">
        <f t="shared" si="36"/>
        <v/>
      </c>
      <c r="AE97" s="2" t="str">
        <f t="shared" si="37"/>
        <v/>
      </c>
      <c r="AF97" s="2" t="str">
        <f t="shared" si="38"/>
        <v/>
      </c>
      <c r="AG97" s="2" t="str">
        <f t="shared" si="39"/>
        <v/>
      </c>
      <c r="AH97" s="2" t="str">
        <f t="shared" si="40"/>
        <v/>
      </c>
      <c r="AI97" s="2" t="str">
        <f t="shared" si="41"/>
        <v/>
      </c>
      <c r="AJ97" s="2" t="str">
        <f t="shared" si="42"/>
        <v/>
      </c>
      <c r="AK97" s="2">
        <v>1</v>
      </c>
      <c r="AL97" s="260">
        <f t="shared" ca="1" si="29"/>
        <v>0</v>
      </c>
      <c r="AM97" s="260">
        <f t="shared" ca="1" si="30"/>
        <v>0</v>
      </c>
      <c r="AN97" s="260" t="str">
        <f ca="1">IF(AND(Tabla7[[#This Row],[UltLec]]&lt;&gt;0,Tabla7[[#This Row],[PenLect]]&lt;&gt;0),(AM97-AL97)*Tabla7[[#This Row],[RT]],"N/A")</f>
        <v>N/A</v>
      </c>
      <c r="AO97" s="380" t="s">
        <v>1020</v>
      </c>
      <c r="AP97" s="380" t="s">
        <v>1076</v>
      </c>
      <c r="AQ97" s="380" t="s">
        <v>1074</v>
      </c>
      <c r="AR97" s="2">
        <f t="shared" si="31"/>
        <v>0</v>
      </c>
      <c r="AT97" s="2" t="e">
        <f t="shared" ca="1" si="32"/>
        <v>#VALUE!</v>
      </c>
    </row>
    <row r="98" spans="1:46" ht="18" hidden="1" customHeight="1" x14ac:dyDescent="0.25">
      <c r="A98" s="405" t="s">
        <v>484</v>
      </c>
      <c r="B98" s="54"/>
      <c r="C98" s="368">
        <v>94811340</v>
      </c>
      <c r="D98" s="54" t="s">
        <v>484</v>
      </c>
      <c r="E98" s="232">
        <v>39947</v>
      </c>
      <c r="F98" s="2" t="s">
        <v>487</v>
      </c>
      <c r="G98" s="2" t="s">
        <v>488</v>
      </c>
      <c r="H98" s="2" t="s">
        <v>489</v>
      </c>
      <c r="I98" s="2" t="s">
        <v>867</v>
      </c>
      <c r="J98" s="260">
        <v>6379501</v>
      </c>
      <c r="K98" s="260"/>
      <c r="L98" s="260"/>
      <c r="O98" s="260"/>
      <c r="P98" s="260"/>
      <c r="Q98" s="260"/>
      <c r="R98" s="260"/>
      <c r="S98" s="260"/>
      <c r="U98" s="260"/>
      <c r="V98" s="260"/>
      <c r="W98" s="260"/>
      <c r="X98" s="2"/>
      <c r="Y98" s="2" t="str">
        <f t="shared" si="34"/>
        <v/>
      </c>
      <c r="Z98" s="2" t="str">
        <f t="shared" si="33"/>
        <v/>
      </c>
      <c r="AA98" s="2" t="str">
        <f t="shared" si="44"/>
        <v/>
      </c>
      <c r="AB98" s="2" t="str">
        <f t="shared" si="45"/>
        <v/>
      </c>
      <c r="AC98" s="2" t="str">
        <f t="shared" si="35"/>
        <v/>
      </c>
      <c r="AD98" s="260" t="str">
        <f t="shared" si="36"/>
        <v/>
      </c>
      <c r="AE98" s="2" t="str">
        <f t="shared" si="37"/>
        <v/>
      </c>
      <c r="AF98" s="2" t="str">
        <f t="shared" si="38"/>
        <v/>
      </c>
      <c r="AG98" s="2" t="str">
        <f t="shared" si="39"/>
        <v/>
      </c>
      <c r="AH98" s="2" t="str">
        <f t="shared" si="40"/>
        <v/>
      </c>
      <c r="AI98" s="2" t="str">
        <f t="shared" si="41"/>
        <v/>
      </c>
      <c r="AJ98" s="2" t="str">
        <f t="shared" si="42"/>
        <v/>
      </c>
      <c r="AK98" s="2">
        <v>1</v>
      </c>
      <c r="AL98" s="260">
        <f t="shared" ca="1" si="29"/>
        <v>0</v>
      </c>
      <c r="AM98" s="260">
        <f t="shared" ca="1" si="30"/>
        <v>0</v>
      </c>
      <c r="AN98" s="260" t="str">
        <f ca="1">IF(AND(Tabla7[[#This Row],[UltLec]]&lt;&gt;0,Tabla7[[#This Row],[PenLect]]&lt;&gt;0),(AM98-AL98)*Tabla7[[#This Row],[RT]],"N/A")</f>
        <v>N/A</v>
      </c>
      <c r="AO98" s="380" t="s">
        <v>1020</v>
      </c>
      <c r="AP98" s="380" t="s">
        <v>1076</v>
      </c>
      <c r="AQ98" s="380" t="s">
        <v>1074</v>
      </c>
      <c r="AR98" s="2">
        <f t="shared" si="31"/>
        <v>0</v>
      </c>
      <c r="AT98" s="2" t="e">
        <f t="shared" ca="1" si="32"/>
        <v>#VALUE!</v>
      </c>
    </row>
    <row r="99" spans="1:46" ht="18" hidden="1" customHeight="1" x14ac:dyDescent="0.25">
      <c r="A99" s="405" t="s">
        <v>484</v>
      </c>
      <c r="B99" s="54"/>
      <c r="C99" s="368">
        <v>94811345</v>
      </c>
      <c r="D99" s="54" t="s">
        <v>484</v>
      </c>
      <c r="E99" s="232">
        <v>39975</v>
      </c>
      <c r="F99" s="2" t="s">
        <v>495</v>
      </c>
      <c r="G99" s="2" t="s">
        <v>496</v>
      </c>
      <c r="H99" s="2" t="s">
        <v>497</v>
      </c>
      <c r="I99" s="2" t="s">
        <v>868</v>
      </c>
      <c r="J99" s="260">
        <v>4281913</v>
      </c>
      <c r="K99" s="260"/>
      <c r="L99" s="260"/>
      <c r="O99" s="260"/>
      <c r="P99" s="260"/>
      <c r="Q99" s="260"/>
      <c r="R99" s="260"/>
      <c r="S99" s="260"/>
      <c r="U99" s="260"/>
      <c r="V99" s="260"/>
      <c r="W99" s="387"/>
      <c r="X99" s="2"/>
      <c r="Y99" s="2" t="str">
        <f t="shared" si="34"/>
        <v/>
      </c>
      <c r="Z99" s="2" t="str">
        <f t="shared" si="33"/>
        <v/>
      </c>
      <c r="AA99" s="2" t="str">
        <f t="shared" si="44"/>
        <v/>
      </c>
      <c r="AB99" s="2" t="str">
        <f t="shared" si="45"/>
        <v/>
      </c>
      <c r="AC99" s="2" t="str">
        <f t="shared" si="35"/>
        <v/>
      </c>
      <c r="AD99" s="260" t="str">
        <f t="shared" si="36"/>
        <v/>
      </c>
      <c r="AE99" s="2" t="str">
        <f t="shared" si="37"/>
        <v/>
      </c>
      <c r="AF99" s="2" t="str">
        <f t="shared" si="38"/>
        <v/>
      </c>
      <c r="AG99" s="2" t="str">
        <f t="shared" si="39"/>
        <v/>
      </c>
      <c r="AH99" s="2" t="str">
        <f t="shared" si="40"/>
        <v/>
      </c>
      <c r="AI99" s="2" t="str">
        <f t="shared" si="41"/>
        <v/>
      </c>
      <c r="AJ99" s="2" t="str">
        <f t="shared" si="42"/>
        <v/>
      </c>
      <c r="AK99" s="2">
        <v>1</v>
      </c>
      <c r="AL99" s="260">
        <f t="shared" ca="1" si="29"/>
        <v>0</v>
      </c>
      <c r="AM99" s="260">
        <f t="shared" ca="1" si="30"/>
        <v>0</v>
      </c>
      <c r="AN99" s="260" t="str">
        <f ca="1">IF(AND(Tabla7[[#This Row],[UltLec]]&lt;&gt;0,Tabla7[[#This Row],[PenLect]]&lt;&gt;0),(AM99-AL99)*Tabla7[[#This Row],[RT]],"N/A")</f>
        <v>N/A</v>
      </c>
      <c r="AO99" s="380" t="s">
        <v>1020</v>
      </c>
      <c r="AP99" s="380" t="s">
        <v>1076</v>
      </c>
      <c r="AQ99" s="380" t="s">
        <v>1074</v>
      </c>
      <c r="AR99" s="2">
        <f t="shared" si="31"/>
        <v>0</v>
      </c>
      <c r="AT99" s="2" t="e">
        <f t="shared" ca="1" si="32"/>
        <v>#VALUE!</v>
      </c>
    </row>
    <row r="100" spans="1:46" ht="18" hidden="1" customHeight="1" x14ac:dyDescent="0.25">
      <c r="A100" s="406" t="s">
        <v>1438</v>
      </c>
      <c r="B100" s="273"/>
      <c r="C100" s="367">
        <v>94811349</v>
      </c>
      <c r="D100" s="273" t="s">
        <v>484</v>
      </c>
      <c r="E100" s="274">
        <v>39424</v>
      </c>
      <c r="F100" s="275" t="s">
        <v>1236</v>
      </c>
      <c r="G100" s="275" t="s">
        <v>1237</v>
      </c>
      <c r="H100" s="393" t="s">
        <v>1238</v>
      </c>
      <c r="I100" s="383" t="s">
        <v>1439</v>
      </c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 t="str">
        <f t="shared" si="34"/>
        <v/>
      </c>
      <c r="Z100" s="393" t="str">
        <f t="shared" si="33"/>
        <v/>
      </c>
      <c r="AA100" s="393" t="str">
        <f t="shared" si="44"/>
        <v/>
      </c>
      <c r="AB100" s="393" t="str">
        <f t="shared" si="45"/>
        <v/>
      </c>
      <c r="AC100" s="393" t="str">
        <f t="shared" si="35"/>
        <v/>
      </c>
      <c r="AD100" s="393" t="str">
        <f t="shared" si="36"/>
        <v/>
      </c>
      <c r="AE100" s="393" t="str">
        <f t="shared" si="37"/>
        <v/>
      </c>
      <c r="AF100" s="393" t="str">
        <f t="shared" si="38"/>
        <v/>
      </c>
      <c r="AG100" s="393" t="str">
        <f t="shared" si="39"/>
        <v/>
      </c>
      <c r="AH100" s="393" t="str">
        <f t="shared" si="40"/>
        <v/>
      </c>
      <c r="AI100" s="393" t="str">
        <f t="shared" si="41"/>
        <v/>
      </c>
      <c r="AJ100" s="393" t="str">
        <f t="shared" si="42"/>
        <v/>
      </c>
      <c r="AK100" s="393">
        <v>1</v>
      </c>
      <c r="AL100" s="393">
        <f t="shared" ca="1" si="29"/>
        <v>0</v>
      </c>
      <c r="AM100" s="393">
        <f t="shared" ca="1" si="30"/>
        <v>0</v>
      </c>
      <c r="AN100" s="393" t="str">
        <f ca="1">IF(AND(Tabla7[[#This Row],[UltLec]]&lt;&gt;0,Tabla7[[#This Row],[PenLect]]&lt;&gt;0),(AM100-AL100)*Tabla7[[#This Row],[RT]],"N/A")</f>
        <v>N/A</v>
      </c>
      <c r="AO100" s="393" t="s">
        <v>1160</v>
      </c>
      <c r="AP100" s="393" t="s">
        <v>1076</v>
      </c>
      <c r="AQ100" s="393" t="s">
        <v>1074</v>
      </c>
      <c r="AR100" s="393">
        <f t="shared" si="31"/>
        <v>0</v>
      </c>
      <c r="AT100" s="2" t="e">
        <f t="shared" ca="1" si="32"/>
        <v>#VALUE!</v>
      </c>
    </row>
    <row r="101" spans="1:46" ht="18" hidden="1" customHeight="1" x14ac:dyDescent="0.25">
      <c r="A101" s="406" t="s">
        <v>1081</v>
      </c>
      <c r="B101" s="273"/>
      <c r="C101" s="367">
        <v>94811349</v>
      </c>
      <c r="D101" s="273" t="s">
        <v>484</v>
      </c>
      <c r="E101" s="274">
        <v>39971</v>
      </c>
      <c r="F101" s="275" t="s">
        <v>492</v>
      </c>
      <c r="G101" s="275" t="s">
        <v>493</v>
      </c>
      <c r="H101" s="275" t="s">
        <v>494</v>
      </c>
      <c r="I101" s="275" t="s">
        <v>345</v>
      </c>
      <c r="J101" s="275"/>
      <c r="K101" s="275"/>
      <c r="L101" s="275"/>
      <c r="M101" s="275"/>
      <c r="N101" s="275"/>
      <c r="O101" s="275"/>
      <c r="P101" s="275"/>
      <c r="Q101" s="275"/>
      <c r="R101" s="275"/>
      <c r="S101" s="275"/>
      <c r="T101" s="275"/>
      <c r="U101" s="275"/>
      <c r="V101" s="275"/>
      <c r="W101" s="277"/>
      <c r="X101" s="275"/>
      <c r="Y101" s="275" t="str">
        <f t="shared" si="34"/>
        <v/>
      </c>
      <c r="Z101" s="275" t="str">
        <f t="shared" si="33"/>
        <v/>
      </c>
      <c r="AA101" s="275" t="str">
        <f t="shared" si="44"/>
        <v/>
      </c>
      <c r="AB101" s="275" t="str">
        <f t="shared" si="45"/>
        <v/>
      </c>
      <c r="AC101" s="275" t="str">
        <f t="shared" si="35"/>
        <v/>
      </c>
      <c r="AD101" s="275" t="str">
        <f t="shared" si="36"/>
        <v/>
      </c>
      <c r="AE101" s="275" t="str">
        <f t="shared" si="37"/>
        <v/>
      </c>
      <c r="AF101" s="275" t="str">
        <f t="shared" si="38"/>
        <v/>
      </c>
      <c r="AG101" s="275" t="str">
        <f t="shared" si="39"/>
        <v/>
      </c>
      <c r="AH101" s="275" t="str">
        <f t="shared" si="40"/>
        <v/>
      </c>
      <c r="AI101" s="275" t="str">
        <f t="shared" si="41"/>
        <v/>
      </c>
      <c r="AJ101" s="275" t="str">
        <f t="shared" si="42"/>
        <v/>
      </c>
      <c r="AK101" s="275">
        <v>1</v>
      </c>
      <c r="AL101" s="277">
        <f t="shared" ca="1" si="29"/>
        <v>0</v>
      </c>
      <c r="AM101" s="277">
        <f t="shared" ca="1" si="30"/>
        <v>0</v>
      </c>
      <c r="AN101" s="277" t="str">
        <f ca="1">IF(AND(Tabla7[[#This Row],[UltLec]]&lt;&gt;0,Tabla7[[#This Row],[PenLect]]&lt;&gt;0),(AM101-AL101)*Tabla7[[#This Row],[RT]],"N/A")</f>
        <v>N/A</v>
      </c>
      <c r="AO101" s="393" t="s">
        <v>1160</v>
      </c>
      <c r="AP101" s="393" t="s">
        <v>1076</v>
      </c>
      <c r="AQ101" s="393" t="s">
        <v>1074</v>
      </c>
      <c r="AR101" s="393">
        <f t="shared" si="31"/>
        <v>0</v>
      </c>
      <c r="AT101" s="2" t="e">
        <f t="shared" ca="1" si="32"/>
        <v>#VALUE!</v>
      </c>
    </row>
    <row r="102" spans="1:46" ht="18" hidden="1" customHeight="1" x14ac:dyDescent="0.25">
      <c r="A102" s="291" t="s">
        <v>484</v>
      </c>
      <c r="B102" s="54"/>
      <c r="C102" s="368">
        <v>94823397</v>
      </c>
      <c r="D102" s="54" t="s">
        <v>484</v>
      </c>
      <c r="E102" s="232">
        <v>39929</v>
      </c>
      <c r="F102" s="2" t="s">
        <v>1688</v>
      </c>
      <c r="G102" s="2" t="s">
        <v>486</v>
      </c>
      <c r="H102" s="2" t="s">
        <v>1686</v>
      </c>
      <c r="I102" s="2" t="s">
        <v>1687</v>
      </c>
      <c r="J102" s="260">
        <v>2330576</v>
      </c>
      <c r="K102" s="260"/>
      <c r="L102" s="260"/>
      <c r="O102" s="260"/>
      <c r="P102" s="308"/>
      <c r="Q102" s="260"/>
      <c r="R102" s="260"/>
      <c r="S102" s="260"/>
      <c r="T102" s="465"/>
      <c r="U102" s="260"/>
      <c r="V102" s="260"/>
      <c r="W102" s="260"/>
      <c r="X102" s="2"/>
      <c r="Y102" s="260" t="str">
        <f t="shared" si="34"/>
        <v/>
      </c>
      <c r="Z102" s="260" t="str">
        <f t="shared" si="33"/>
        <v/>
      </c>
      <c r="AA102" s="260" t="str">
        <f t="shared" si="44"/>
        <v/>
      </c>
      <c r="AB102" s="260" t="str">
        <f t="shared" si="45"/>
        <v/>
      </c>
      <c r="AC102" s="260" t="str">
        <f t="shared" ref="AC102:AC132" si="46">IF(OR(ISBLANK(O102),ISBLANK(N102)),"",IF(AND(O102&gt;=N102,O102-N102&lt;=O102),(O102-N102)*$AK102,"!!!!"))</f>
        <v/>
      </c>
      <c r="AD102" s="260" t="str">
        <f t="shared" ref="AD102:AD132" si="47">IF(OR(ISBLANK(P102),ISBLANK(O102)),"",IF(AND(P102&gt;=O102,P102-O102&lt;=P102),(P102-O102)*$AK102,"!!!!"))</f>
        <v/>
      </c>
      <c r="AE102" s="260" t="str">
        <f t="shared" ref="AE102:AE132" si="48">IF(OR(ISBLANK(Q102),ISBLANK(P102)),"",IF(AND(Q102&gt;=P102,Q102-P102&lt;=Q102),(Q102-P102)*$AK102,"!!!!"))</f>
        <v/>
      </c>
      <c r="AF102" s="260" t="str">
        <f t="shared" ref="AF102:AF132" si="49">IF(OR(ISBLANK(R102),ISBLANK(Q102)),"",IF(AND(R102&gt;=Q102,R102-Q102&lt;=R102),(R102-Q102)*$AK102,"!!!!"))</f>
        <v/>
      </c>
      <c r="AG102" s="260" t="str">
        <f t="shared" ref="AG102:AG132" si="50">IF(OR(ISBLANK(S102),ISBLANK(R102)),"",IF(AND(S102&gt;=R102,S102-R102&lt;=S102),(S102-R102)*$AK102,"!!!!"))</f>
        <v/>
      </c>
      <c r="AH102" s="260" t="str">
        <f t="shared" ref="AH102:AH132" si="51">IF(OR(ISBLANK(T102),ISBLANK(S102)),"",IF(AND(T102&gt;=S102,T102-S102&lt;=T102),(T102-S102)*$AK102,"!!!!"))</f>
        <v/>
      </c>
      <c r="AI102" s="260" t="str">
        <f>IF(OR(ISBLANK(U102),ISBLANK(S102)),"",IF(AND(U102&gt;=S102,U102-S102&lt;=U102),(U102-S102)*$AK102,"!!!!"))</f>
        <v/>
      </c>
      <c r="AJ102" s="260" t="str">
        <f t="shared" ref="AJ102:AJ132" si="52">IF(OR(ISBLANK(V102),ISBLANK(U102)),"",IF(AND(V102&gt;=U102,V102-U102&lt;=V102),(V102-U102)*$AK102,"!!!!"))</f>
        <v/>
      </c>
      <c r="AK102" s="2">
        <v>1</v>
      </c>
      <c r="AL102" s="260">
        <f t="shared" ca="1" si="29"/>
        <v>0</v>
      </c>
      <c r="AM102" s="260">
        <f t="shared" ca="1" si="30"/>
        <v>0</v>
      </c>
      <c r="AN102" s="260" t="str">
        <f ca="1">IF(AND(Tabla7[[#This Row],[UltLec]]&lt;&gt;0,Tabla7[[#This Row],[PenLect]]&lt;&gt;0),(AM102-AL102)*Tabla7[[#This Row],[RT]],"N/A")</f>
        <v>N/A</v>
      </c>
      <c r="AO102" s="380" t="s">
        <v>1020</v>
      </c>
      <c r="AP102" s="380" t="s">
        <v>1076</v>
      </c>
      <c r="AQ102" s="380" t="s">
        <v>1074</v>
      </c>
      <c r="AR102" s="2">
        <f t="shared" si="31"/>
        <v>0</v>
      </c>
      <c r="AT102" s="2" t="e">
        <f t="shared" ca="1" si="32"/>
        <v>#VALUE!</v>
      </c>
    </row>
    <row r="103" spans="1:46" ht="18" hidden="1" customHeight="1" x14ac:dyDescent="0.25">
      <c r="A103" s="406" t="s">
        <v>1438</v>
      </c>
      <c r="B103" s="273"/>
      <c r="C103" s="367">
        <v>94823397</v>
      </c>
      <c r="D103" s="273" t="s">
        <v>484</v>
      </c>
      <c r="E103" s="286">
        <v>39929</v>
      </c>
      <c r="F103" s="434" t="s">
        <v>485</v>
      </c>
      <c r="G103" s="453" t="s">
        <v>486</v>
      </c>
      <c r="H103" s="434" t="s">
        <v>1505</v>
      </c>
      <c r="I103" s="453" t="s">
        <v>869</v>
      </c>
      <c r="J103" s="434"/>
      <c r="K103" s="453"/>
      <c r="L103" s="434"/>
      <c r="M103" s="453"/>
      <c r="N103" s="434"/>
      <c r="O103" s="453"/>
      <c r="P103" s="434"/>
      <c r="Q103" s="453"/>
      <c r="R103" s="434"/>
      <c r="S103" s="453"/>
      <c r="T103" s="434"/>
      <c r="U103" s="453"/>
      <c r="V103" s="434"/>
      <c r="W103" s="453"/>
      <c r="X103" s="434"/>
      <c r="Y103" s="453" t="str">
        <f t="shared" si="34"/>
        <v/>
      </c>
      <c r="Z103" s="434" t="str">
        <f t="shared" si="33"/>
        <v/>
      </c>
      <c r="AA103" s="453" t="str">
        <f t="shared" si="44"/>
        <v/>
      </c>
      <c r="AB103" s="434" t="str">
        <f t="shared" si="45"/>
        <v/>
      </c>
      <c r="AC103" s="453" t="str">
        <f t="shared" si="46"/>
        <v/>
      </c>
      <c r="AD103" s="434" t="str">
        <f t="shared" si="47"/>
        <v/>
      </c>
      <c r="AE103" s="453" t="str">
        <f t="shared" si="48"/>
        <v/>
      </c>
      <c r="AF103" s="434" t="str">
        <f t="shared" si="49"/>
        <v/>
      </c>
      <c r="AG103" s="453" t="str">
        <f t="shared" si="50"/>
        <v/>
      </c>
      <c r="AH103" s="434" t="str">
        <f t="shared" si="51"/>
        <v/>
      </c>
      <c r="AI103" s="453" t="str">
        <f t="shared" ref="AI103:AI132" si="53">IF(OR(ISBLANK(U103),ISBLANK(T103)),"",IF(AND(U103&gt;=T103,U103-T103&lt;=U103),(U103-T103)*$AK103,"!!!!"))</f>
        <v/>
      </c>
      <c r="AJ103" s="434" t="str">
        <f t="shared" si="52"/>
        <v/>
      </c>
      <c r="AK103" s="434">
        <v>1</v>
      </c>
      <c r="AL103" s="434">
        <f t="shared" ca="1" si="29"/>
        <v>0</v>
      </c>
      <c r="AM103" s="434">
        <f t="shared" ca="1" si="30"/>
        <v>0</v>
      </c>
      <c r="AN103" s="434" t="str">
        <f ca="1">IF(AND(Tabla7[[#This Row],[UltLec]]&lt;&gt;0,Tabla7[[#This Row],[PenLect]]&lt;&gt;0),(AM103-AL103)*Tabla7[[#This Row],[RT]],"N/A")</f>
        <v>N/A</v>
      </c>
      <c r="AO103" s="453" t="s">
        <v>1160</v>
      </c>
      <c r="AP103" s="434" t="s">
        <v>1076</v>
      </c>
      <c r="AQ103" s="453" t="s">
        <v>1074</v>
      </c>
      <c r="AR103" s="434">
        <f t="shared" si="31"/>
        <v>0</v>
      </c>
      <c r="AT103" s="2" t="e">
        <f t="shared" ca="1" si="32"/>
        <v>#VALUE!</v>
      </c>
    </row>
    <row r="104" spans="1:46" ht="18" hidden="1" customHeight="1" x14ac:dyDescent="0.25">
      <c r="A104" s="291" t="s">
        <v>484</v>
      </c>
      <c r="B104" s="54"/>
      <c r="C104" s="239" t="s">
        <v>1040</v>
      </c>
      <c r="D104" s="54" t="s">
        <v>484</v>
      </c>
      <c r="E104" s="232">
        <v>39501</v>
      </c>
      <c r="F104" s="2" t="s">
        <v>499</v>
      </c>
      <c r="G104" s="2" t="s">
        <v>500</v>
      </c>
      <c r="H104" s="2" t="s">
        <v>345</v>
      </c>
      <c r="I104" s="2" t="s">
        <v>1042</v>
      </c>
      <c r="J104" s="260">
        <v>3354009</v>
      </c>
      <c r="K104" s="260"/>
      <c r="L104" s="260"/>
      <c r="O104" s="260"/>
      <c r="P104" s="260"/>
      <c r="Q104" s="260"/>
      <c r="R104" s="260"/>
      <c r="S104" s="260"/>
      <c r="U104" s="260"/>
      <c r="V104" s="260"/>
      <c r="W104" s="260"/>
      <c r="X104" s="2"/>
      <c r="Y104" s="2" t="str">
        <f t="shared" si="34"/>
        <v/>
      </c>
      <c r="Z104" s="2" t="str">
        <f t="shared" si="33"/>
        <v/>
      </c>
      <c r="AA104" s="2" t="str">
        <f t="shared" si="44"/>
        <v/>
      </c>
      <c r="AB104" s="2" t="str">
        <f t="shared" si="45"/>
        <v/>
      </c>
      <c r="AC104" s="2" t="str">
        <f t="shared" si="46"/>
        <v/>
      </c>
      <c r="AD104" s="260" t="str">
        <f t="shared" si="47"/>
        <v/>
      </c>
      <c r="AE104" s="2" t="str">
        <f t="shared" si="48"/>
        <v/>
      </c>
      <c r="AF104" s="2" t="str">
        <f t="shared" si="49"/>
        <v/>
      </c>
      <c r="AG104" s="2" t="str">
        <f t="shared" si="50"/>
        <v/>
      </c>
      <c r="AH104" s="2" t="str">
        <f t="shared" si="51"/>
        <v/>
      </c>
      <c r="AI104" s="2" t="str">
        <f t="shared" si="53"/>
        <v/>
      </c>
      <c r="AJ104" s="2" t="str">
        <f t="shared" si="52"/>
        <v/>
      </c>
      <c r="AK104" s="2">
        <v>1</v>
      </c>
      <c r="AL104" s="260">
        <f t="shared" ca="1" si="29"/>
        <v>0</v>
      </c>
      <c r="AM104" s="260">
        <f t="shared" ca="1" si="30"/>
        <v>0</v>
      </c>
      <c r="AN104" s="260" t="str">
        <f ca="1">IF(AND(Tabla7[[#This Row],[UltLec]]&lt;&gt;0,Tabla7[[#This Row],[PenLect]]&lt;&gt;0),(AM104-AL104)*Tabla7[[#This Row],[RT]],"N/A")</f>
        <v>N/A</v>
      </c>
      <c r="AO104" s="380" t="s">
        <v>1020</v>
      </c>
      <c r="AP104" s="380" t="s">
        <v>1076</v>
      </c>
      <c r="AQ104" s="380" t="s">
        <v>1074</v>
      </c>
      <c r="AR104" s="2">
        <f t="shared" si="31"/>
        <v>0</v>
      </c>
      <c r="AT104" s="2" t="e">
        <f t="shared" ca="1" si="32"/>
        <v>#VALUE!</v>
      </c>
    </row>
    <row r="105" spans="1:46" ht="18" hidden="1" customHeight="1" x14ac:dyDescent="0.25">
      <c r="A105" s="291" t="s">
        <v>342</v>
      </c>
      <c r="B105" s="54"/>
      <c r="C105" s="239">
        <v>95589698</v>
      </c>
      <c r="D105" s="54" t="s">
        <v>342</v>
      </c>
      <c r="E105" s="232">
        <v>39471</v>
      </c>
      <c r="F105" s="2" t="s">
        <v>364</v>
      </c>
      <c r="G105" s="2" t="s">
        <v>365</v>
      </c>
      <c r="H105" s="2"/>
      <c r="I105" s="2" t="s">
        <v>873</v>
      </c>
      <c r="J105" s="260">
        <v>7340076</v>
      </c>
      <c r="K105" s="260"/>
      <c r="L105" s="260"/>
      <c r="O105" s="260"/>
      <c r="P105" s="260"/>
      <c r="Q105" s="260"/>
      <c r="R105" s="260"/>
      <c r="S105" s="260"/>
      <c r="U105" s="260"/>
      <c r="V105" s="260"/>
      <c r="W105" s="260"/>
      <c r="X105" s="2"/>
      <c r="Y105" s="2" t="str">
        <f t="shared" si="34"/>
        <v/>
      </c>
      <c r="Z105" s="2" t="str">
        <f t="shared" si="33"/>
        <v/>
      </c>
      <c r="AA105" s="2" t="str">
        <f t="shared" si="44"/>
        <v/>
      </c>
      <c r="AB105" s="2" t="str">
        <f t="shared" si="45"/>
        <v/>
      </c>
      <c r="AC105" s="2" t="str">
        <f t="shared" si="46"/>
        <v/>
      </c>
      <c r="AD105" s="2" t="str">
        <f t="shared" si="47"/>
        <v/>
      </c>
      <c r="AE105" s="2" t="str">
        <f t="shared" si="48"/>
        <v/>
      </c>
      <c r="AF105" s="2" t="str">
        <f t="shared" si="49"/>
        <v/>
      </c>
      <c r="AG105" s="2" t="str">
        <f t="shared" si="50"/>
        <v/>
      </c>
      <c r="AH105" s="2" t="str">
        <f t="shared" si="51"/>
        <v/>
      </c>
      <c r="AI105" s="2" t="str">
        <f t="shared" si="53"/>
        <v/>
      </c>
      <c r="AJ105" s="2" t="str">
        <f t="shared" si="52"/>
        <v/>
      </c>
      <c r="AK105" s="2">
        <v>1</v>
      </c>
      <c r="AL105" s="260">
        <f t="shared" ca="1" si="29"/>
        <v>0</v>
      </c>
      <c r="AM105" s="260">
        <f t="shared" ca="1" si="30"/>
        <v>0</v>
      </c>
      <c r="AN105" s="260" t="str">
        <f ca="1">IF(AND(Tabla7[[#This Row],[UltLec]]&lt;&gt;0,Tabla7[[#This Row],[PenLect]]&lt;&gt;0),(AM105-AL105)*Tabla7[[#This Row],[RT]],"N/A")</f>
        <v>N/A</v>
      </c>
      <c r="AO105" s="398" t="s">
        <v>1300</v>
      </c>
      <c r="AP105" s="380" t="s">
        <v>1076</v>
      </c>
      <c r="AQ105" s="380" t="s">
        <v>1074</v>
      </c>
      <c r="AR105" s="2">
        <f t="shared" si="31"/>
        <v>0</v>
      </c>
      <c r="AT105" s="2" t="e">
        <f t="shared" ca="1" si="32"/>
        <v>#VALUE!</v>
      </c>
    </row>
    <row r="106" spans="1:46" ht="18" hidden="1" customHeight="1" x14ac:dyDescent="0.25">
      <c r="A106" s="291" t="s">
        <v>342</v>
      </c>
      <c r="B106" s="54"/>
      <c r="C106" s="239">
        <v>95589705</v>
      </c>
      <c r="D106" s="54" t="s">
        <v>342</v>
      </c>
      <c r="E106" s="232">
        <v>39017</v>
      </c>
      <c r="F106" s="2" t="s">
        <v>1374</v>
      </c>
      <c r="G106" s="2" t="s">
        <v>452</v>
      </c>
      <c r="H106" s="2" t="s">
        <v>662</v>
      </c>
      <c r="I106" s="2" t="s">
        <v>874</v>
      </c>
      <c r="J106" s="260">
        <v>1000631</v>
      </c>
      <c r="K106" s="260"/>
      <c r="L106" s="260"/>
      <c r="O106" s="260"/>
      <c r="P106" s="260"/>
      <c r="Q106" s="260"/>
      <c r="R106" s="260"/>
      <c r="S106" s="260"/>
      <c r="U106" s="260"/>
      <c r="V106" s="260"/>
      <c r="W106" s="260"/>
      <c r="X106" s="2"/>
      <c r="Y106" s="2" t="str">
        <f t="shared" si="34"/>
        <v/>
      </c>
      <c r="Z106" s="2" t="str">
        <f t="shared" si="33"/>
        <v/>
      </c>
      <c r="AA106" s="2" t="str">
        <f t="shared" si="44"/>
        <v/>
      </c>
      <c r="AB106" s="2" t="str">
        <f t="shared" si="45"/>
        <v/>
      </c>
      <c r="AC106" s="2" t="str">
        <f t="shared" si="46"/>
        <v/>
      </c>
      <c r="AD106" s="2" t="str">
        <f t="shared" si="47"/>
        <v/>
      </c>
      <c r="AE106" s="2" t="str">
        <f t="shared" si="48"/>
        <v/>
      </c>
      <c r="AF106" s="2" t="str">
        <f t="shared" si="49"/>
        <v/>
      </c>
      <c r="AG106" s="2" t="str">
        <f t="shared" si="50"/>
        <v/>
      </c>
      <c r="AH106" s="2" t="str">
        <f t="shared" si="51"/>
        <v/>
      </c>
      <c r="AI106" s="2" t="str">
        <f t="shared" si="53"/>
        <v/>
      </c>
      <c r="AJ106" s="2" t="str">
        <f t="shared" si="52"/>
        <v/>
      </c>
      <c r="AK106" s="2">
        <v>1</v>
      </c>
      <c r="AL106" s="260">
        <f t="shared" ca="1" si="29"/>
        <v>0</v>
      </c>
      <c r="AM106" s="260">
        <f t="shared" ca="1" si="30"/>
        <v>0</v>
      </c>
      <c r="AN106" s="260" t="str">
        <f ca="1">IF(AND(Tabla7[[#This Row],[UltLec]]&lt;&gt;0,Tabla7[[#This Row],[PenLect]]&lt;&gt;0),(AM106-AL106)*Tabla7[[#This Row],[RT]],"N/A")</f>
        <v>N/A</v>
      </c>
      <c r="AO106" s="398" t="s">
        <v>1300</v>
      </c>
      <c r="AP106" s="380" t="s">
        <v>1075</v>
      </c>
      <c r="AQ106" s="380" t="s">
        <v>1074</v>
      </c>
      <c r="AR106" s="2">
        <f t="shared" si="31"/>
        <v>0</v>
      </c>
      <c r="AT106" s="2" t="e">
        <f t="shared" ca="1" si="32"/>
        <v>#VALUE!</v>
      </c>
    </row>
    <row r="107" spans="1:46" ht="18" hidden="1" customHeight="1" x14ac:dyDescent="0.25">
      <c r="A107" s="291" t="s">
        <v>342</v>
      </c>
      <c r="B107" s="54"/>
      <c r="C107" s="239">
        <v>95589721</v>
      </c>
      <c r="D107" s="54" t="s">
        <v>342</v>
      </c>
      <c r="E107" s="232">
        <v>39145</v>
      </c>
      <c r="F107" s="2" t="s">
        <v>1374</v>
      </c>
      <c r="G107" s="2" t="s">
        <v>367</v>
      </c>
      <c r="H107" s="2" t="s">
        <v>1079</v>
      </c>
      <c r="I107" s="2" t="s">
        <v>877</v>
      </c>
      <c r="J107" s="260">
        <v>3249811</v>
      </c>
      <c r="K107" s="260"/>
      <c r="L107" s="260"/>
      <c r="O107" s="260"/>
      <c r="P107" s="260"/>
      <c r="Q107" s="260"/>
      <c r="R107" s="260"/>
      <c r="S107" s="260"/>
      <c r="U107" s="260"/>
      <c r="V107" s="260"/>
      <c r="W107" s="260"/>
      <c r="X107" s="2"/>
      <c r="Y107" s="2" t="str">
        <f t="shared" si="34"/>
        <v/>
      </c>
      <c r="Z107" s="2" t="str">
        <f t="shared" si="33"/>
        <v/>
      </c>
      <c r="AA107" s="2" t="str">
        <f t="shared" si="44"/>
        <v/>
      </c>
      <c r="AB107" s="2" t="str">
        <f t="shared" si="45"/>
        <v/>
      </c>
      <c r="AC107" s="2" t="str">
        <f t="shared" si="46"/>
        <v/>
      </c>
      <c r="AD107" s="2" t="str">
        <f t="shared" si="47"/>
        <v/>
      </c>
      <c r="AE107" s="2" t="str">
        <f t="shared" si="48"/>
        <v/>
      </c>
      <c r="AF107" s="2" t="str">
        <f t="shared" si="49"/>
        <v/>
      </c>
      <c r="AG107" s="2" t="str">
        <f t="shared" si="50"/>
        <v/>
      </c>
      <c r="AH107" s="2" t="str">
        <f t="shared" si="51"/>
        <v/>
      </c>
      <c r="AI107" s="2" t="str">
        <f t="shared" si="53"/>
        <v/>
      </c>
      <c r="AJ107" s="2" t="str">
        <f t="shared" si="52"/>
        <v/>
      </c>
      <c r="AK107" s="2">
        <v>1</v>
      </c>
      <c r="AL107" s="260">
        <f t="shared" ca="1" si="29"/>
        <v>0</v>
      </c>
      <c r="AM107" s="260">
        <f t="shared" ca="1" si="30"/>
        <v>0</v>
      </c>
      <c r="AN107" s="260" t="str">
        <f ca="1">IF(AND(Tabla7[[#This Row],[UltLec]]&lt;&gt;0,Tabla7[[#This Row],[PenLect]]&lt;&gt;0),(AM107-AL107)*Tabla7[[#This Row],[RT]],"N/A")</f>
        <v>N/A</v>
      </c>
      <c r="AO107" s="398" t="s">
        <v>1300</v>
      </c>
      <c r="AP107" s="380" t="s">
        <v>1076</v>
      </c>
      <c r="AQ107" s="380" t="s">
        <v>1074</v>
      </c>
      <c r="AR107" s="2">
        <f t="shared" si="31"/>
        <v>0</v>
      </c>
      <c r="AT107" s="2" t="e">
        <f t="shared" ca="1" si="32"/>
        <v>#VALUE!</v>
      </c>
    </row>
    <row r="108" spans="1:46" ht="18" hidden="1" customHeight="1" x14ac:dyDescent="0.25">
      <c r="A108" s="418" t="s">
        <v>1081</v>
      </c>
      <c r="B108" s="273"/>
      <c r="C108" s="367">
        <v>95589723</v>
      </c>
      <c r="D108" s="273" t="s">
        <v>342</v>
      </c>
      <c r="E108" s="274">
        <v>39667</v>
      </c>
      <c r="F108" s="275" t="s">
        <v>1374</v>
      </c>
      <c r="G108" s="275" t="s">
        <v>348</v>
      </c>
      <c r="H108" s="275" t="s">
        <v>1373</v>
      </c>
      <c r="I108" s="275" t="s">
        <v>876</v>
      </c>
      <c r="J108" s="277"/>
      <c r="K108" s="277"/>
      <c r="L108" s="277"/>
      <c r="M108" s="277"/>
      <c r="N108" s="277"/>
      <c r="O108" s="277"/>
      <c r="P108" s="277"/>
      <c r="Q108" s="277"/>
      <c r="R108" s="277"/>
      <c r="S108" s="277"/>
      <c r="T108" s="277"/>
      <c r="U108" s="277"/>
      <c r="V108" s="277"/>
      <c r="W108" s="277"/>
      <c r="X108" s="275"/>
      <c r="Y108" s="277" t="str">
        <f t="shared" si="34"/>
        <v/>
      </c>
      <c r="Z108" s="277" t="str">
        <f t="shared" si="33"/>
        <v/>
      </c>
      <c r="AA108" s="277" t="str">
        <f t="shared" si="44"/>
        <v/>
      </c>
      <c r="AB108" s="277" t="str">
        <f t="shared" si="45"/>
        <v/>
      </c>
      <c r="AC108" s="277" t="str">
        <f t="shared" si="46"/>
        <v/>
      </c>
      <c r="AD108" s="277" t="str">
        <f t="shared" si="47"/>
        <v/>
      </c>
      <c r="AE108" s="277" t="str">
        <f t="shared" si="48"/>
        <v/>
      </c>
      <c r="AF108" s="277" t="str">
        <f t="shared" si="49"/>
        <v/>
      </c>
      <c r="AG108" s="277" t="str">
        <f t="shared" si="50"/>
        <v/>
      </c>
      <c r="AH108" s="275" t="str">
        <f t="shared" si="51"/>
        <v/>
      </c>
      <c r="AI108" s="275" t="str">
        <f t="shared" si="53"/>
        <v/>
      </c>
      <c r="AJ108" s="275" t="str">
        <f t="shared" si="52"/>
        <v/>
      </c>
      <c r="AK108" s="275">
        <v>1</v>
      </c>
      <c r="AL108" s="277">
        <f t="shared" ca="1" si="29"/>
        <v>0</v>
      </c>
      <c r="AM108" s="277">
        <f t="shared" ca="1" si="30"/>
        <v>0</v>
      </c>
      <c r="AN108" s="277" t="str">
        <f ca="1">IF(AND(Tabla7[[#This Row],[UltLec]]&lt;&gt;0,Tabla7[[#This Row],[PenLect]]&lt;&gt;0),(AM108-AL108)*Tabla7[[#This Row],[RT]],"N/A")</f>
        <v>N/A</v>
      </c>
      <c r="AO108" s="393" t="s">
        <v>1160</v>
      </c>
      <c r="AP108" s="393" t="s">
        <v>1076</v>
      </c>
      <c r="AQ108" s="393" t="s">
        <v>1074</v>
      </c>
      <c r="AR108" s="275">
        <f t="shared" si="31"/>
        <v>0</v>
      </c>
      <c r="AT108" s="2" t="e">
        <f t="shared" ca="1" si="32"/>
        <v>#VALUE!</v>
      </c>
    </row>
    <row r="109" spans="1:46" ht="18" hidden="1" customHeight="1" x14ac:dyDescent="0.25">
      <c r="A109" s="291" t="s">
        <v>342</v>
      </c>
      <c r="B109" s="54"/>
      <c r="C109" s="239">
        <v>95589730</v>
      </c>
      <c r="D109" s="54" t="s">
        <v>342</v>
      </c>
      <c r="E109" s="232">
        <v>39729</v>
      </c>
      <c r="F109" s="2" t="s">
        <v>145</v>
      </c>
      <c r="G109" s="2" t="s">
        <v>361</v>
      </c>
      <c r="H109" s="2" t="s">
        <v>1696</v>
      </c>
      <c r="I109" s="2" t="s">
        <v>884</v>
      </c>
      <c r="J109" s="260">
        <v>9497244</v>
      </c>
      <c r="K109" s="260"/>
      <c r="L109" s="260"/>
      <c r="O109" s="260"/>
      <c r="P109" s="260"/>
      <c r="Q109" s="260"/>
      <c r="R109" s="260"/>
      <c r="S109" s="260"/>
      <c r="U109" s="260"/>
      <c r="V109" s="260"/>
      <c r="W109" s="260"/>
      <c r="X109" s="2"/>
      <c r="Y109" s="260" t="str">
        <f>IF(OR(ISBLANK(K110),ISBLANK(J109)),"",IF(AND(K110&gt;=J109,K110-J109&lt;=K110),(K110-J109)*$AK109,"!!!!"))</f>
        <v/>
      </c>
      <c r="Z109" s="260" t="str">
        <f>IF(OR(ISBLANK(L110),ISBLANK(K109)),"",IF(AND(L110&gt;=K109,L110-K109&lt;=L110),(L110-K109)*$AK109,"!!!!"))</f>
        <v/>
      </c>
      <c r="AA109" s="2" t="str">
        <f t="shared" si="44"/>
        <v/>
      </c>
      <c r="AB109" s="2" t="str">
        <f t="shared" si="45"/>
        <v/>
      </c>
      <c r="AC109" s="2" t="str">
        <f t="shared" si="46"/>
        <v/>
      </c>
      <c r="AD109" s="2" t="str">
        <f t="shared" si="47"/>
        <v/>
      </c>
      <c r="AE109" s="2" t="str">
        <f t="shared" si="48"/>
        <v/>
      </c>
      <c r="AF109" s="2" t="str">
        <f t="shared" si="49"/>
        <v/>
      </c>
      <c r="AG109" s="2" t="str">
        <f t="shared" si="50"/>
        <v/>
      </c>
      <c r="AH109" s="2" t="str">
        <f t="shared" si="51"/>
        <v/>
      </c>
      <c r="AI109" s="2" t="str">
        <f t="shared" si="53"/>
        <v/>
      </c>
      <c r="AJ109" s="2" t="str">
        <f t="shared" si="52"/>
        <v/>
      </c>
      <c r="AK109" s="2">
        <v>1</v>
      </c>
      <c r="AL109" s="260">
        <f t="shared" ca="1" si="29"/>
        <v>0</v>
      </c>
      <c r="AM109" s="260">
        <f t="shared" ca="1" si="30"/>
        <v>0</v>
      </c>
      <c r="AN109" s="260" t="str">
        <f ca="1">IF(AND(Tabla7[[#This Row],[UltLec]]&lt;&gt;0,Tabla7[[#This Row],[PenLect]]&lt;&gt;0),(AM109-AL109)*Tabla7[[#This Row],[RT]],"N/A")</f>
        <v>N/A</v>
      </c>
      <c r="AO109" s="398" t="s">
        <v>1300</v>
      </c>
      <c r="AP109" s="380" t="s">
        <v>1076</v>
      </c>
      <c r="AQ109" s="380" t="s">
        <v>1074</v>
      </c>
      <c r="AR109" s="2">
        <f t="shared" si="31"/>
        <v>0</v>
      </c>
      <c r="AT109" s="2" t="e">
        <f t="shared" ca="1" si="32"/>
        <v>#VALUE!</v>
      </c>
    </row>
    <row r="110" spans="1:46" ht="18" hidden="1" customHeight="1" x14ac:dyDescent="0.25">
      <c r="A110" s="291" t="s">
        <v>342</v>
      </c>
      <c r="B110" s="54"/>
      <c r="C110" s="239">
        <v>95589744</v>
      </c>
      <c r="D110" s="54" t="s">
        <v>342</v>
      </c>
      <c r="E110" s="232">
        <v>39000</v>
      </c>
      <c r="F110" s="2" t="s">
        <v>357</v>
      </c>
      <c r="G110" s="2" t="s">
        <v>357</v>
      </c>
      <c r="H110" s="2" t="s">
        <v>661</v>
      </c>
      <c r="I110" s="2" t="s">
        <v>882</v>
      </c>
      <c r="J110" s="260">
        <v>2955799</v>
      </c>
      <c r="K110" s="260"/>
      <c r="L110" s="260"/>
      <c r="O110" s="260"/>
      <c r="P110" s="260"/>
      <c r="Q110" s="260"/>
      <c r="R110" s="260"/>
      <c r="S110" s="260"/>
      <c r="U110" s="260"/>
      <c r="V110" s="260"/>
      <c r="W110" s="260"/>
      <c r="X110" s="2"/>
      <c r="Y110" s="2" t="str">
        <f t="shared" ref="Y110:Y129" si="54">IF(OR(ISBLANK(K110),ISBLANK(J110)),"",IF(AND(K110&gt;=J110,K110-J110&lt;=K110),(K110-J110)*$AK110,"!!!!"))</f>
        <v/>
      </c>
      <c r="Z110" s="2" t="str">
        <f t="shared" ref="Z110:Z129" si="55">IF(OR(ISBLANK(L110),ISBLANK(K110)),"",IF(AND(L110&gt;=K110,L110-K110&lt;=L110),(L110-K110)*$AK110,"!!!!"))</f>
        <v/>
      </c>
      <c r="AA110" s="2" t="str">
        <f t="shared" si="44"/>
        <v/>
      </c>
      <c r="AB110" s="2" t="str">
        <f t="shared" si="45"/>
        <v/>
      </c>
      <c r="AC110" s="2" t="str">
        <f t="shared" si="46"/>
        <v/>
      </c>
      <c r="AD110" s="2" t="str">
        <f t="shared" si="47"/>
        <v/>
      </c>
      <c r="AE110" s="2" t="str">
        <f t="shared" si="48"/>
        <v/>
      </c>
      <c r="AF110" s="2" t="str">
        <f t="shared" si="49"/>
        <v/>
      </c>
      <c r="AG110" s="2" t="str">
        <f t="shared" si="50"/>
        <v/>
      </c>
      <c r="AH110" s="2" t="str">
        <f t="shared" si="51"/>
        <v/>
      </c>
      <c r="AI110" s="2" t="str">
        <f t="shared" si="53"/>
        <v/>
      </c>
      <c r="AJ110" s="2" t="str">
        <f t="shared" si="52"/>
        <v/>
      </c>
      <c r="AK110" s="2">
        <v>1</v>
      </c>
      <c r="AL110" s="260">
        <f t="shared" ca="1" si="29"/>
        <v>0</v>
      </c>
      <c r="AM110" s="260">
        <f t="shared" ca="1" si="30"/>
        <v>0</v>
      </c>
      <c r="AN110" s="260" t="str">
        <f ca="1">IF(AND(Tabla7[[#This Row],[UltLec]]&lt;&gt;0,Tabla7[[#This Row],[PenLect]]&lt;&gt;0),(AM110-AL110)*Tabla7[[#This Row],[RT]],"N/A")</f>
        <v>N/A</v>
      </c>
      <c r="AO110" s="398" t="s">
        <v>1300</v>
      </c>
      <c r="AP110" s="380" t="s">
        <v>1076</v>
      </c>
      <c r="AQ110" s="380" t="s">
        <v>1074</v>
      </c>
      <c r="AR110" s="2">
        <f t="shared" si="31"/>
        <v>0</v>
      </c>
      <c r="AT110" s="2" t="e">
        <f t="shared" ca="1" si="32"/>
        <v>#VALUE!</v>
      </c>
    </row>
    <row r="111" spans="1:46" ht="18" hidden="1" customHeight="1" x14ac:dyDescent="0.25">
      <c r="A111" s="291" t="s">
        <v>342</v>
      </c>
      <c r="B111" s="54"/>
      <c r="C111" s="239">
        <v>97560644</v>
      </c>
      <c r="D111" s="54" t="s">
        <v>342</v>
      </c>
      <c r="E111" s="232">
        <v>39281</v>
      </c>
      <c r="F111" s="2" t="s">
        <v>370</v>
      </c>
      <c r="G111" s="2" t="s">
        <v>371</v>
      </c>
      <c r="H111" s="2"/>
      <c r="I111" s="2" t="s">
        <v>864</v>
      </c>
      <c r="J111" s="260">
        <v>6278957</v>
      </c>
      <c r="K111" s="260"/>
      <c r="L111" s="260"/>
      <c r="O111" s="260"/>
      <c r="P111" s="260"/>
      <c r="Q111" s="260"/>
      <c r="R111" s="260"/>
      <c r="S111" s="260"/>
      <c r="U111" s="260"/>
      <c r="V111" s="260"/>
      <c r="W111" s="260"/>
      <c r="X111" s="2"/>
      <c r="Y111" s="2" t="str">
        <f t="shared" si="54"/>
        <v/>
      </c>
      <c r="Z111" s="2" t="str">
        <f t="shared" si="55"/>
        <v/>
      </c>
      <c r="AA111" s="2" t="str">
        <f t="shared" si="44"/>
        <v/>
      </c>
      <c r="AB111" s="2" t="str">
        <f t="shared" si="45"/>
        <v/>
      </c>
      <c r="AC111" s="2" t="str">
        <f t="shared" si="46"/>
        <v/>
      </c>
      <c r="AD111" s="2" t="str">
        <f t="shared" si="47"/>
        <v/>
      </c>
      <c r="AE111" s="2" t="str">
        <f t="shared" si="48"/>
        <v/>
      </c>
      <c r="AF111" s="2" t="str">
        <f t="shared" si="49"/>
        <v/>
      </c>
      <c r="AG111" s="2" t="str">
        <f t="shared" si="50"/>
        <v/>
      </c>
      <c r="AH111" s="2" t="str">
        <f t="shared" si="51"/>
        <v/>
      </c>
      <c r="AI111" s="2" t="str">
        <f t="shared" si="53"/>
        <v/>
      </c>
      <c r="AJ111" s="2" t="str">
        <f t="shared" si="52"/>
        <v/>
      </c>
      <c r="AK111" s="2">
        <v>1</v>
      </c>
      <c r="AL111" s="260">
        <f t="shared" ca="1" si="29"/>
        <v>0</v>
      </c>
      <c r="AM111" s="260">
        <f t="shared" ca="1" si="30"/>
        <v>0</v>
      </c>
      <c r="AN111" s="260" t="str">
        <f ca="1">IF(AND(Tabla7[[#This Row],[UltLec]]&lt;&gt;0,Tabla7[[#This Row],[PenLect]]&lt;&gt;0),(AM111-AL111)*Tabla7[[#This Row],[RT]],"N/A")</f>
        <v>N/A</v>
      </c>
      <c r="AO111" s="398" t="s">
        <v>1300</v>
      </c>
      <c r="AP111" s="380" t="s">
        <v>1076</v>
      </c>
      <c r="AQ111" s="380" t="s">
        <v>1074</v>
      </c>
      <c r="AR111" s="2">
        <f t="shared" si="31"/>
        <v>0</v>
      </c>
      <c r="AT111" s="2" t="e">
        <f t="shared" ca="1" si="32"/>
        <v>#VALUE!</v>
      </c>
    </row>
    <row r="112" spans="1:46" ht="18" hidden="1" customHeight="1" x14ac:dyDescent="0.25">
      <c r="A112" s="409" t="s">
        <v>1081</v>
      </c>
      <c r="B112" s="273">
        <v>1353</v>
      </c>
      <c r="C112" s="379">
        <v>15051348800</v>
      </c>
      <c r="D112" s="376" t="s">
        <v>342</v>
      </c>
      <c r="E112" s="274">
        <v>39030</v>
      </c>
      <c r="F112" s="275" t="s">
        <v>1374</v>
      </c>
      <c r="G112" s="275" t="s">
        <v>1431</v>
      </c>
      <c r="H112" s="275" t="s">
        <v>1432</v>
      </c>
      <c r="I112" s="275" t="s">
        <v>883</v>
      </c>
      <c r="J112" s="277"/>
      <c r="K112" s="275"/>
      <c r="L112" s="277"/>
      <c r="M112" s="277"/>
      <c r="N112" s="277"/>
      <c r="O112" s="277"/>
      <c r="P112" s="277"/>
      <c r="Q112" s="277"/>
      <c r="R112" s="277"/>
      <c r="S112" s="277"/>
      <c r="T112" s="277"/>
      <c r="U112" s="277"/>
      <c r="V112" s="277"/>
      <c r="W112" s="277"/>
      <c r="X112" s="275"/>
      <c r="Y112" s="277" t="str">
        <f t="shared" si="54"/>
        <v/>
      </c>
      <c r="Z112" s="275" t="str">
        <f t="shared" si="55"/>
        <v/>
      </c>
      <c r="AA112" s="277" t="str">
        <f t="shared" si="44"/>
        <v/>
      </c>
      <c r="AB112" s="275" t="str">
        <f t="shared" si="45"/>
        <v/>
      </c>
      <c r="AC112" s="277" t="str">
        <f t="shared" si="46"/>
        <v/>
      </c>
      <c r="AD112" s="275" t="str">
        <f t="shared" si="47"/>
        <v/>
      </c>
      <c r="AE112" s="277" t="str">
        <f t="shared" si="48"/>
        <v/>
      </c>
      <c r="AF112" s="275" t="str">
        <f t="shared" si="49"/>
        <v/>
      </c>
      <c r="AG112" s="277" t="str">
        <f t="shared" si="50"/>
        <v/>
      </c>
      <c r="AH112" s="275" t="str">
        <f t="shared" si="51"/>
        <v/>
      </c>
      <c r="AI112" s="277" t="str">
        <f t="shared" si="53"/>
        <v/>
      </c>
      <c r="AJ112" s="275" t="str">
        <f t="shared" si="52"/>
        <v/>
      </c>
      <c r="AK112" s="277">
        <v>1</v>
      </c>
      <c r="AL112" s="275">
        <f t="shared" ca="1" si="29"/>
        <v>0</v>
      </c>
      <c r="AM112" s="277">
        <f t="shared" ca="1" si="30"/>
        <v>0</v>
      </c>
      <c r="AN112" s="275" t="str">
        <f ca="1">IF(AND(Tabla7[[#This Row],[UltLec]]&lt;&gt;0,Tabla7[[#This Row],[PenLect]]&lt;&gt;0),(AM112-AL112)*Tabla7[[#This Row],[RT]],"N/A")</f>
        <v>N/A</v>
      </c>
      <c r="AO112" s="393" t="s">
        <v>1160</v>
      </c>
      <c r="AP112" s="393" t="s">
        <v>1075</v>
      </c>
      <c r="AQ112" s="393" t="s">
        <v>1074</v>
      </c>
      <c r="AR112" s="275">
        <f t="shared" si="31"/>
        <v>0</v>
      </c>
      <c r="AT112" s="2" t="e">
        <f t="shared" ca="1" si="32"/>
        <v>#VALUE!</v>
      </c>
    </row>
    <row r="113" spans="1:46" ht="18" hidden="1" customHeight="1" x14ac:dyDescent="0.25">
      <c r="A113" s="291" t="s">
        <v>342</v>
      </c>
      <c r="B113" s="54"/>
      <c r="C113" s="420" t="s">
        <v>1150</v>
      </c>
      <c r="D113" s="54" t="s">
        <v>342</v>
      </c>
      <c r="E113" s="232">
        <v>39413</v>
      </c>
      <c r="F113" s="2" t="s">
        <v>362</v>
      </c>
      <c r="G113" s="2" t="s">
        <v>363</v>
      </c>
      <c r="H113" s="2" t="s">
        <v>363</v>
      </c>
      <c r="I113" s="2" t="s">
        <v>878</v>
      </c>
      <c r="J113" s="260">
        <v>1011472</v>
      </c>
      <c r="K113" s="260"/>
      <c r="L113" s="260"/>
      <c r="O113" s="260"/>
      <c r="P113" s="260"/>
      <c r="Q113" s="260"/>
      <c r="R113" s="260"/>
      <c r="S113" s="260"/>
      <c r="U113" s="260"/>
      <c r="V113" s="260"/>
      <c r="W113" s="260"/>
      <c r="X113" s="2"/>
      <c r="Y113" s="2" t="str">
        <f t="shared" si="54"/>
        <v/>
      </c>
      <c r="Z113" s="2" t="str">
        <f t="shared" si="55"/>
        <v/>
      </c>
      <c r="AA113" s="2" t="str">
        <f t="shared" si="44"/>
        <v/>
      </c>
      <c r="AB113" s="2" t="str">
        <f t="shared" si="45"/>
        <v/>
      </c>
      <c r="AC113" s="2" t="str">
        <f t="shared" si="46"/>
        <v/>
      </c>
      <c r="AD113" s="2" t="str">
        <f t="shared" si="47"/>
        <v/>
      </c>
      <c r="AE113" s="2" t="str">
        <f t="shared" si="48"/>
        <v/>
      </c>
      <c r="AF113" s="2" t="str">
        <f t="shared" si="49"/>
        <v/>
      </c>
      <c r="AG113" s="2" t="str">
        <f t="shared" si="50"/>
        <v/>
      </c>
      <c r="AH113" s="2" t="str">
        <f t="shared" si="51"/>
        <v/>
      </c>
      <c r="AI113" s="2" t="str">
        <f t="shared" si="53"/>
        <v/>
      </c>
      <c r="AJ113" s="2" t="str">
        <f t="shared" si="52"/>
        <v/>
      </c>
      <c r="AK113" s="2">
        <v>1</v>
      </c>
      <c r="AL113" s="260">
        <f t="shared" ca="1" si="29"/>
        <v>0</v>
      </c>
      <c r="AM113" s="260">
        <f t="shared" ca="1" si="30"/>
        <v>0</v>
      </c>
      <c r="AN113" s="260" t="str">
        <f ca="1">IF(AND(Tabla7[[#This Row],[UltLec]]&lt;&gt;0,Tabla7[[#This Row],[PenLect]]&lt;&gt;0),(AM113-AL113)*Tabla7[[#This Row],[RT]],"N/A")</f>
        <v>N/A</v>
      </c>
      <c r="AO113" s="398" t="s">
        <v>1300</v>
      </c>
      <c r="AP113" s="380" t="s">
        <v>1076</v>
      </c>
      <c r="AQ113" s="380" t="s">
        <v>1074</v>
      </c>
      <c r="AR113" s="2">
        <f t="shared" si="31"/>
        <v>0</v>
      </c>
      <c r="AT113" s="2" t="e">
        <f t="shared" ca="1" si="32"/>
        <v>#VALUE!</v>
      </c>
    </row>
    <row r="114" spans="1:46" ht="18" hidden="1" customHeight="1" x14ac:dyDescent="0.25">
      <c r="A114" s="291" t="s">
        <v>342</v>
      </c>
      <c r="B114" s="54"/>
      <c r="C114" s="239" t="s">
        <v>1149</v>
      </c>
      <c r="D114" s="54" t="s">
        <v>342</v>
      </c>
      <c r="E114" s="232">
        <v>39053</v>
      </c>
      <c r="F114" s="2" t="s">
        <v>1411</v>
      </c>
      <c r="G114" s="2" t="s">
        <v>351</v>
      </c>
      <c r="H114" s="2" t="s">
        <v>1410</v>
      </c>
      <c r="I114" s="2" t="s">
        <v>880</v>
      </c>
      <c r="J114" s="260">
        <v>24279910</v>
      </c>
      <c r="K114" s="260"/>
      <c r="L114" s="260"/>
      <c r="O114" s="260"/>
      <c r="P114" s="260"/>
      <c r="Q114" s="260"/>
      <c r="R114" s="260"/>
      <c r="S114" s="260"/>
      <c r="U114" s="260"/>
      <c r="V114" s="260"/>
      <c r="W114" s="260"/>
      <c r="X114" s="2"/>
      <c r="Y114" s="2" t="str">
        <f t="shared" si="54"/>
        <v/>
      </c>
      <c r="Z114" s="2" t="str">
        <f t="shared" si="55"/>
        <v/>
      </c>
      <c r="AA114" s="2" t="str">
        <f t="shared" si="44"/>
        <v/>
      </c>
      <c r="AB114" s="2" t="str">
        <f t="shared" si="45"/>
        <v/>
      </c>
      <c r="AC114" s="2" t="str">
        <f t="shared" si="46"/>
        <v/>
      </c>
      <c r="AD114" s="2" t="str">
        <f t="shared" si="47"/>
        <v/>
      </c>
      <c r="AE114" s="2" t="str">
        <f t="shared" si="48"/>
        <v/>
      </c>
      <c r="AF114" s="2" t="str">
        <f t="shared" si="49"/>
        <v/>
      </c>
      <c r="AG114" s="2" t="str">
        <f t="shared" si="50"/>
        <v/>
      </c>
      <c r="AH114" s="2" t="str">
        <f t="shared" si="51"/>
        <v/>
      </c>
      <c r="AI114" s="2" t="str">
        <f t="shared" si="53"/>
        <v/>
      </c>
      <c r="AJ114" s="2" t="str">
        <f t="shared" si="52"/>
        <v/>
      </c>
      <c r="AK114" s="2">
        <v>1</v>
      </c>
      <c r="AL114" s="260">
        <f t="shared" ca="1" si="29"/>
        <v>0</v>
      </c>
      <c r="AM114" s="260">
        <f t="shared" ca="1" si="30"/>
        <v>0</v>
      </c>
      <c r="AN114" s="260" t="str">
        <f ca="1">IF(AND(Tabla7[[#This Row],[UltLec]]&lt;&gt;0,Tabla7[[#This Row],[PenLect]]&lt;&gt;0),(AM114-AL114)*Tabla7[[#This Row],[RT]],"N/A")</f>
        <v>N/A</v>
      </c>
      <c r="AO114" s="398" t="s">
        <v>1300</v>
      </c>
      <c r="AP114" s="380" t="s">
        <v>1076</v>
      </c>
      <c r="AQ114" s="380" t="s">
        <v>1074</v>
      </c>
      <c r="AR114" s="2">
        <f t="shared" si="31"/>
        <v>0</v>
      </c>
      <c r="AT114" s="2" t="e">
        <f t="shared" ca="1" si="32"/>
        <v>#VALUE!</v>
      </c>
    </row>
    <row r="115" spans="1:46" ht="18" hidden="1" customHeight="1" x14ac:dyDescent="0.25">
      <c r="A115" s="291" t="s">
        <v>699</v>
      </c>
      <c r="B115" s="54"/>
      <c r="C115" s="239" t="s">
        <v>1328</v>
      </c>
      <c r="D115" s="54" t="s">
        <v>342</v>
      </c>
      <c r="E115" s="232">
        <v>0</v>
      </c>
      <c r="F115" s="2" t="s">
        <v>378</v>
      </c>
      <c r="G115" s="2" t="s">
        <v>379</v>
      </c>
      <c r="H115" s="2"/>
      <c r="I115" s="2" t="s">
        <v>883</v>
      </c>
      <c r="J115" s="260">
        <v>923254</v>
      </c>
      <c r="K115" s="260"/>
      <c r="L115" s="260"/>
      <c r="O115" s="260"/>
      <c r="P115" s="260"/>
      <c r="Q115" s="260"/>
      <c r="R115" s="260"/>
      <c r="S115" s="260"/>
      <c r="U115" s="260"/>
      <c r="V115" s="260"/>
      <c r="W115" s="260"/>
      <c r="X115" s="2"/>
      <c r="Y115" s="2" t="str">
        <f t="shared" si="54"/>
        <v/>
      </c>
      <c r="Z115" s="2" t="str">
        <f t="shared" si="55"/>
        <v/>
      </c>
      <c r="AA115" s="2" t="str">
        <f t="shared" si="44"/>
        <v/>
      </c>
      <c r="AB115" s="2" t="str">
        <f t="shared" si="45"/>
        <v/>
      </c>
      <c r="AC115" s="2" t="str">
        <f t="shared" si="46"/>
        <v/>
      </c>
      <c r="AD115" s="2" t="str">
        <f t="shared" si="47"/>
        <v/>
      </c>
      <c r="AE115" s="2" t="str">
        <f t="shared" si="48"/>
        <v/>
      </c>
      <c r="AF115" s="2" t="str">
        <f t="shared" si="49"/>
        <v/>
      </c>
      <c r="AG115" s="2" t="str">
        <f t="shared" si="50"/>
        <v/>
      </c>
      <c r="AH115" s="2" t="str">
        <f t="shared" si="51"/>
        <v/>
      </c>
      <c r="AI115" s="2" t="str">
        <f t="shared" si="53"/>
        <v/>
      </c>
      <c r="AJ115" s="2" t="str">
        <f t="shared" si="52"/>
        <v/>
      </c>
      <c r="AK115" s="2">
        <v>1</v>
      </c>
      <c r="AL115" s="260">
        <f t="shared" ca="1" si="29"/>
        <v>0</v>
      </c>
      <c r="AM115" s="260">
        <f t="shared" ca="1" si="30"/>
        <v>0</v>
      </c>
      <c r="AN115" s="260" t="str">
        <f ca="1">IF(AND(Tabla7[[#This Row],[UltLec]]&lt;&gt;0,Tabla7[[#This Row],[PenLect]]&lt;&gt;0),(AM115-AL115)*Tabla7[[#This Row],[RT]],"N/A")</f>
        <v>N/A</v>
      </c>
      <c r="AO115" s="380" t="s">
        <v>813</v>
      </c>
      <c r="AP115" s="380" t="s">
        <v>1075</v>
      </c>
      <c r="AQ115" s="380" t="s">
        <v>1074</v>
      </c>
      <c r="AR115" s="2">
        <f t="shared" si="31"/>
        <v>0</v>
      </c>
      <c r="AT115" s="2" t="e">
        <f t="shared" ca="1" si="32"/>
        <v>#VALUE!</v>
      </c>
    </row>
    <row r="116" spans="1:46" ht="18" hidden="1" customHeight="1" x14ac:dyDescent="0.25">
      <c r="A116" s="291" t="s">
        <v>342</v>
      </c>
      <c r="B116" s="54"/>
      <c r="C116" s="239" t="s">
        <v>1151</v>
      </c>
      <c r="D116" s="54" t="s">
        <v>342</v>
      </c>
      <c r="E116" s="232">
        <v>39202</v>
      </c>
      <c r="F116" s="2" t="s">
        <v>368</v>
      </c>
      <c r="G116" s="2" t="s">
        <v>369</v>
      </c>
      <c r="H116" s="2"/>
      <c r="I116" s="2" t="s">
        <v>870</v>
      </c>
      <c r="J116" s="260">
        <v>754342</v>
      </c>
      <c r="K116" s="260"/>
      <c r="L116" s="260"/>
      <c r="O116" s="260"/>
      <c r="P116" s="260"/>
      <c r="Q116" s="260"/>
      <c r="R116" s="260"/>
      <c r="S116" s="260"/>
      <c r="U116" s="260"/>
      <c r="V116" s="260"/>
      <c r="W116" s="260"/>
      <c r="X116" s="2"/>
      <c r="Y116" s="2" t="str">
        <f t="shared" si="54"/>
        <v/>
      </c>
      <c r="Z116" s="2" t="str">
        <f t="shared" si="55"/>
        <v/>
      </c>
      <c r="AA116" s="2" t="str">
        <f t="shared" si="44"/>
        <v/>
      </c>
      <c r="AB116" s="2" t="str">
        <f t="shared" si="45"/>
        <v/>
      </c>
      <c r="AC116" s="2" t="str">
        <f t="shared" si="46"/>
        <v/>
      </c>
      <c r="AD116" s="2" t="str">
        <f t="shared" si="47"/>
        <v/>
      </c>
      <c r="AE116" s="2" t="str">
        <f t="shared" si="48"/>
        <v/>
      </c>
      <c r="AF116" s="2" t="str">
        <f t="shared" si="49"/>
        <v/>
      </c>
      <c r="AG116" s="2" t="str">
        <f t="shared" si="50"/>
        <v/>
      </c>
      <c r="AH116" s="2" t="str">
        <f t="shared" si="51"/>
        <v/>
      </c>
      <c r="AI116" s="2" t="str">
        <f t="shared" si="53"/>
        <v/>
      </c>
      <c r="AJ116" s="2" t="str">
        <f t="shared" si="52"/>
        <v/>
      </c>
      <c r="AK116" s="2">
        <v>1</v>
      </c>
      <c r="AL116" s="260">
        <f t="shared" ca="1" si="29"/>
        <v>0</v>
      </c>
      <c r="AM116" s="260">
        <f t="shared" ca="1" si="30"/>
        <v>0</v>
      </c>
      <c r="AN116" s="260" t="str">
        <f ca="1">IF(AND(Tabla7[[#This Row],[UltLec]]&lt;&gt;0,Tabla7[[#This Row],[PenLect]]&lt;&gt;0),(AM116-AL116)*Tabla7[[#This Row],[RT]],"N/A")</f>
        <v>N/A</v>
      </c>
      <c r="AO116" s="398" t="s">
        <v>1300</v>
      </c>
      <c r="AP116" s="380" t="s">
        <v>1076</v>
      </c>
      <c r="AQ116" s="380" t="s">
        <v>1074</v>
      </c>
      <c r="AR116" s="2">
        <f t="shared" si="31"/>
        <v>0</v>
      </c>
      <c r="AT116" s="2" t="e">
        <f t="shared" ca="1" si="32"/>
        <v>#VALUE!</v>
      </c>
    </row>
    <row r="117" spans="1:46" ht="18" hidden="1" customHeight="1" x14ac:dyDescent="0.25">
      <c r="A117" s="418" t="s">
        <v>1081</v>
      </c>
      <c r="B117" s="273"/>
      <c r="C117" s="367" t="s">
        <v>1152</v>
      </c>
      <c r="D117" s="273" t="s">
        <v>342</v>
      </c>
      <c r="E117" s="274">
        <v>39473</v>
      </c>
      <c r="F117" s="275" t="s">
        <v>352</v>
      </c>
      <c r="G117" s="275" t="s">
        <v>352</v>
      </c>
      <c r="H117" s="275" t="s">
        <v>353</v>
      </c>
      <c r="I117" s="275" t="s">
        <v>871</v>
      </c>
      <c r="J117" s="277"/>
      <c r="K117" s="277"/>
      <c r="L117" s="277"/>
      <c r="M117" s="277"/>
      <c r="N117" s="277"/>
      <c r="O117" s="277"/>
      <c r="P117" s="277"/>
      <c r="Q117" s="277"/>
      <c r="R117" s="277"/>
      <c r="S117" s="277"/>
      <c r="T117" s="277"/>
      <c r="U117" s="277"/>
      <c r="V117" s="277"/>
      <c r="W117" s="277"/>
      <c r="X117" s="275"/>
      <c r="Y117" s="275" t="str">
        <f t="shared" si="54"/>
        <v/>
      </c>
      <c r="Z117" s="275" t="str">
        <f t="shared" si="55"/>
        <v/>
      </c>
      <c r="AA117" s="275" t="str">
        <f t="shared" si="44"/>
        <v/>
      </c>
      <c r="AB117" s="275" t="str">
        <f t="shared" si="45"/>
        <v/>
      </c>
      <c r="AC117" s="275" t="str">
        <f t="shared" si="46"/>
        <v/>
      </c>
      <c r="AD117" s="275" t="str">
        <f t="shared" si="47"/>
        <v/>
      </c>
      <c r="AE117" s="275" t="str">
        <f t="shared" si="48"/>
        <v/>
      </c>
      <c r="AF117" s="275" t="str">
        <f t="shared" si="49"/>
        <v/>
      </c>
      <c r="AG117" s="275" t="str">
        <f t="shared" si="50"/>
        <v/>
      </c>
      <c r="AH117" s="275" t="str">
        <f t="shared" si="51"/>
        <v/>
      </c>
      <c r="AI117" s="275" t="str">
        <f t="shared" si="53"/>
        <v/>
      </c>
      <c r="AJ117" s="275" t="str">
        <f t="shared" si="52"/>
        <v/>
      </c>
      <c r="AK117" s="275">
        <v>0.7</v>
      </c>
      <c r="AL117" s="277">
        <f t="shared" ca="1" si="29"/>
        <v>0</v>
      </c>
      <c r="AM117" s="277">
        <f t="shared" ca="1" si="30"/>
        <v>0</v>
      </c>
      <c r="AN117" s="277" t="str">
        <f ca="1">IF(AND(Tabla7[[#This Row],[UltLec]]&lt;&gt;0,Tabla7[[#This Row],[PenLect]]&lt;&gt;0),(AM117-AL117)*Tabla7[[#This Row],[RT]],"N/A")</f>
        <v>N/A</v>
      </c>
      <c r="AO117" s="393" t="s">
        <v>1160</v>
      </c>
      <c r="AP117" s="393" t="s">
        <v>1076</v>
      </c>
      <c r="AQ117" s="393" t="s">
        <v>1074</v>
      </c>
      <c r="AR117" s="275">
        <f t="shared" si="31"/>
        <v>0</v>
      </c>
      <c r="AT117" s="2" t="e">
        <f t="shared" ca="1" si="32"/>
        <v>#VALUE!</v>
      </c>
    </row>
    <row r="118" spans="1:46" ht="18" hidden="1" customHeight="1" x14ac:dyDescent="0.25">
      <c r="A118" s="418" t="s">
        <v>1081</v>
      </c>
      <c r="B118" s="273"/>
      <c r="C118" s="367" t="s">
        <v>1152</v>
      </c>
      <c r="D118" s="273" t="s">
        <v>342</v>
      </c>
      <c r="E118" s="274">
        <v>39486</v>
      </c>
      <c r="F118" s="275" t="s">
        <v>354</v>
      </c>
      <c r="G118" s="275" t="s">
        <v>355</v>
      </c>
      <c r="H118" s="275" t="s">
        <v>356</v>
      </c>
      <c r="I118" s="275" t="s">
        <v>872</v>
      </c>
      <c r="J118" s="277"/>
      <c r="K118" s="277"/>
      <c r="L118" s="277"/>
      <c r="M118" s="277"/>
      <c r="N118" s="277"/>
      <c r="O118" s="277"/>
      <c r="P118" s="277"/>
      <c r="Q118" s="277"/>
      <c r="R118" s="277"/>
      <c r="S118" s="277"/>
      <c r="T118" s="277"/>
      <c r="U118" s="277"/>
      <c r="V118" s="277"/>
      <c r="W118" s="277"/>
      <c r="X118" s="275"/>
      <c r="Y118" s="275" t="str">
        <f t="shared" si="54"/>
        <v/>
      </c>
      <c r="Z118" s="275" t="str">
        <f t="shared" si="55"/>
        <v/>
      </c>
      <c r="AA118" s="275" t="str">
        <f t="shared" si="44"/>
        <v/>
      </c>
      <c r="AB118" s="275" t="str">
        <f t="shared" si="45"/>
        <v/>
      </c>
      <c r="AC118" s="275" t="str">
        <f t="shared" si="46"/>
        <v/>
      </c>
      <c r="AD118" s="275" t="str">
        <f t="shared" si="47"/>
        <v/>
      </c>
      <c r="AE118" s="275" t="str">
        <f t="shared" si="48"/>
        <v/>
      </c>
      <c r="AF118" s="275" t="str">
        <f t="shared" si="49"/>
        <v/>
      </c>
      <c r="AG118" s="275" t="str">
        <f t="shared" si="50"/>
        <v/>
      </c>
      <c r="AH118" s="275" t="str">
        <f t="shared" si="51"/>
        <v/>
      </c>
      <c r="AI118" s="275" t="str">
        <f t="shared" si="53"/>
        <v/>
      </c>
      <c r="AJ118" s="275" t="str">
        <f t="shared" si="52"/>
        <v/>
      </c>
      <c r="AK118" s="275">
        <v>0.3</v>
      </c>
      <c r="AL118" s="277">
        <f t="shared" ca="1" si="29"/>
        <v>0</v>
      </c>
      <c r="AM118" s="277">
        <f t="shared" ca="1" si="30"/>
        <v>0</v>
      </c>
      <c r="AN118" s="277" t="str">
        <f ca="1">IF(AND(Tabla7[[#This Row],[UltLec]]&lt;&gt;0,Tabla7[[#This Row],[PenLect]]&lt;&gt;0),(AM118-AL118)*Tabla7[[#This Row],[RT]],"N/A")</f>
        <v>N/A</v>
      </c>
      <c r="AO118" s="393" t="s">
        <v>1160</v>
      </c>
      <c r="AP118" s="393" t="s">
        <v>1076</v>
      </c>
      <c r="AQ118" s="393" t="s">
        <v>1074</v>
      </c>
      <c r="AR118" s="275">
        <f t="shared" si="31"/>
        <v>0</v>
      </c>
      <c r="AT118" s="2" t="e">
        <f t="shared" ca="1" si="32"/>
        <v>#VALUE!</v>
      </c>
    </row>
    <row r="119" spans="1:46" ht="18" hidden="1" customHeight="1" x14ac:dyDescent="0.25">
      <c r="A119" s="291" t="s">
        <v>342</v>
      </c>
      <c r="B119" s="54"/>
      <c r="C119" s="239" t="s">
        <v>1152</v>
      </c>
      <c r="D119" s="54" t="s">
        <v>342</v>
      </c>
      <c r="E119" s="232">
        <v>39486</v>
      </c>
      <c r="F119" s="2" t="s">
        <v>354</v>
      </c>
      <c r="G119" s="2" t="s">
        <v>355</v>
      </c>
      <c r="H119" s="2" t="s">
        <v>1221</v>
      </c>
      <c r="I119" s="2" t="s">
        <v>1220</v>
      </c>
      <c r="J119" s="260">
        <v>2829797</v>
      </c>
      <c r="K119" s="260"/>
      <c r="L119" s="260"/>
      <c r="M119" s="402"/>
      <c r="O119" s="260"/>
      <c r="P119" s="260"/>
      <c r="Q119" s="260"/>
      <c r="R119" s="260"/>
      <c r="S119" s="260"/>
      <c r="U119" s="260"/>
      <c r="V119" s="260"/>
      <c r="W119" s="260"/>
      <c r="X119" s="2"/>
      <c r="Y119" s="2" t="str">
        <f t="shared" si="54"/>
        <v/>
      </c>
      <c r="Z119" s="2" t="str">
        <f t="shared" si="55"/>
        <v/>
      </c>
      <c r="AA119" s="2" t="str">
        <f t="shared" si="44"/>
        <v/>
      </c>
      <c r="AB119" s="2" t="str">
        <f t="shared" si="45"/>
        <v/>
      </c>
      <c r="AC119" s="2" t="str">
        <f t="shared" si="46"/>
        <v/>
      </c>
      <c r="AD119" s="2" t="str">
        <f t="shared" si="47"/>
        <v/>
      </c>
      <c r="AE119" s="2" t="str">
        <f t="shared" si="48"/>
        <v/>
      </c>
      <c r="AF119" s="2" t="str">
        <f t="shared" si="49"/>
        <v/>
      </c>
      <c r="AG119" s="2" t="str">
        <f t="shared" si="50"/>
        <v/>
      </c>
      <c r="AH119" s="2" t="str">
        <f t="shared" si="51"/>
        <v/>
      </c>
      <c r="AI119" s="2" t="str">
        <f t="shared" si="53"/>
        <v/>
      </c>
      <c r="AJ119" s="2" t="str">
        <f t="shared" si="52"/>
        <v/>
      </c>
      <c r="AK119" s="2">
        <v>1</v>
      </c>
      <c r="AL119" s="260">
        <f t="shared" ca="1" si="29"/>
        <v>0</v>
      </c>
      <c r="AM119" s="260">
        <f t="shared" ca="1" si="30"/>
        <v>0</v>
      </c>
      <c r="AN119" s="260" t="str">
        <f ca="1">IF(AND(Tabla7[[#This Row],[UltLec]]&lt;&gt;0,Tabla7[[#This Row],[PenLect]]&lt;&gt;0),(AM119-AL119)*Tabla7[[#This Row],[RT]],"N/A")</f>
        <v>N/A</v>
      </c>
      <c r="AO119" s="398" t="s">
        <v>1300</v>
      </c>
      <c r="AP119" s="380" t="s">
        <v>1076</v>
      </c>
      <c r="AQ119" s="380" t="s">
        <v>1074</v>
      </c>
      <c r="AR119" s="2">
        <f t="shared" si="31"/>
        <v>0</v>
      </c>
      <c r="AT119" s="2" t="e">
        <f t="shared" ca="1" si="32"/>
        <v>#VALUE!</v>
      </c>
    </row>
    <row r="120" spans="1:46" ht="18" hidden="1" customHeight="1" x14ac:dyDescent="0.25">
      <c r="A120" s="418" t="s">
        <v>1679</v>
      </c>
      <c r="B120" s="273"/>
      <c r="C120" s="367" t="s">
        <v>1153</v>
      </c>
      <c r="D120" s="273" t="s">
        <v>342</v>
      </c>
      <c r="E120" s="274">
        <v>39514</v>
      </c>
      <c r="F120" s="275" t="s">
        <v>366</v>
      </c>
      <c r="G120" s="275" t="s">
        <v>827</v>
      </c>
      <c r="H120" s="275" t="s">
        <v>1681</v>
      </c>
      <c r="I120" s="275" t="s">
        <v>885</v>
      </c>
      <c r="J120" s="275"/>
      <c r="K120" s="275"/>
      <c r="L120" s="275"/>
      <c r="M120" s="275"/>
      <c r="N120" s="275"/>
      <c r="O120" s="275"/>
      <c r="P120" s="275"/>
      <c r="Q120" s="275"/>
      <c r="R120" s="275"/>
      <c r="S120" s="275"/>
      <c r="T120" s="275"/>
      <c r="U120" s="275"/>
      <c r="V120" s="275"/>
      <c r="W120" s="275"/>
      <c r="X120" s="275"/>
      <c r="Y120" s="275" t="str">
        <f t="shared" si="54"/>
        <v/>
      </c>
      <c r="Z120" s="275" t="str">
        <f t="shared" si="55"/>
        <v/>
      </c>
      <c r="AA120" s="275" t="str">
        <f t="shared" si="44"/>
        <v/>
      </c>
      <c r="AB120" s="275" t="str">
        <f t="shared" si="45"/>
        <v/>
      </c>
      <c r="AC120" s="275" t="str">
        <f t="shared" si="46"/>
        <v/>
      </c>
      <c r="AD120" s="275" t="str">
        <f t="shared" si="47"/>
        <v/>
      </c>
      <c r="AE120" s="275" t="str">
        <f t="shared" si="48"/>
        <v/>
      </c>
      <c r="AF120" s="275" t="str">
        <f t="shared" si="49"/>
        <v/>
      </c>
      <c r="AG120" s="275" t="str">
        <f t="shared" si="50"/>
        <v/>
      </c>
      <c r="AH120" s="275" t="str">
        <f t="shared" si="51"/>
        <v/>
      </c>
      <c r="AI120" s="275" t="str">
        <f t="shared" si="53"/>
        <v/>
      </c>
      <c r="AJ120" s="275" t="str">
        <f t="shared" si="52"/>
        <v/>
      </c>
      <c r="AK120" s="275">
        <v>1</v>
      </c>
      <c r="AL120" s="275">
        <f t="shared" ca="1" si="29"/>
        <v>0</v>
      </c>
      <c r="AM120" s="275">
        <f t="shared" ca="1" si="30"/>
        <v>0</v>
      </c>
      <c r="AN120" s="275" t="str">
        <f ca="1">IF(AND(Tabla7[[#This Row],[UltLec]]&lt;&gt;0,Tabla7[[#This Row],[PenLect]]&lt;&gt;0),(AM120-AL120)*Tabla7[[#This Row],[RT]],"N/A")</f>
        <v>N/A</v>
      </c>
      <c r="AO120" s="275" t="s">
        <v>1160</v>
      </c>
      <c r="AP120" s="275" t="s">
        <v>1076</v>
      </c>
      <c r="AQ120" s="275" t="s">
        <v>1074</v>
      </c>
      <c r="AR120" s="275">
        <f t="shared" si="31"/>
        <v>0</v>
      </c>
      <c r="AT120" s="2" t="e">
        <f t="shared" ca="1" si="32"/>
        <v>#VALUE!</v>
      </c>
    </row>
    <row r="121" spans="1:46" ht="18" hidden="1" customHeight="1" x14ac:dyDescent="0.25">
      <c r="A121" s="291" t="s">
        <v>342</v>
      </c>
      <c r="B121" s="54"/>
      <c r="C121" s="239" t="s">
        <v>1153</v>
      </c>
      <c r="D121" s="54" t="s">
        <v>342</v>
      </c>
      <c r="E121" s="232">
        <v>39514</v>
      </c>
      <c r="F121" s="2" t="s">
        <v>1678</v>
      </c>
      <c r="G121" s="2"/>
      <c r="H121" s="2" t="s">
        <v>1682</v>
      </c>
      <c r="I121" s="2" t="s">
        <v>885</v>
      </c>
      <c r="J121" s="260">
        <v>8075129</v>
      </c>
      <c r="K121" s="260"/>
      <c r="L121" s="260"/>
      <c r="O121" s="260"/>
      <c r="P121" s="260"/>
      <c r="Q121" s="260"/>
      <c r="R121" s="260"/>
      <c r="S121" s="260"/>
      <c r="U121" s="260"/>
      <c r="V121" s="260"/>
      <c r="W121" s="260"/>
      <c r="X121" s="2"/>
      <c r="Y121" s="2" t="str">
        <f t="shared" si="54"/>
        <v/>
      </c>
      <c r="Z121" s="2" t="str">
        <f t="shared" si="55"/>
        <v/>
      </c>
      <c r="AA121" s="2" t="str">
        <f t="shared" si="44"/>
        <v/>
      </c>
      <c r="AB121" s="2" t="str">
        <f t="shared" si="45"/>
        <v/>
      </c>
      <c r="AC121" s="2" t="str">
        <f t="shared" si="46"/>
        <v/>
      </c>
      <c r="AD121" s="2" t="str">
        <f t="shared" si="47"/>
        <v/>
      </c>
      <c r="AE121" s="2" t="str">
        <f t="shared" si="48"/>
        <v/>
      </c>
      <c r="AF121" s="2" t="str">
        <f t="shared" si="49"/>
        <v/>
      </c>
      <c r="AG121" s="2" t="str">
        <f t="shared" si="50"/>
        <v/>
      </c>
      <c r="AH121" s="2" t="str">
        <f t="shared" si="51"/>
        <v/>
      </c>
      <c r="AI121" s="2" t="str">
        <f t="shared" si="53"/>
        <v/>
      </c>
      <c r="AJ121" s="2" t="str">
        <f t="shared" si="52"/>
        <v/>
      </c>
      <c r="AK121" s="2">
        <v>1</v>
      </c>
      <c r="AL121" s="260">
        <f t="shared" ca="1" si="29"/>
        <v>0</v>
      </c>
      <c r="AM121" s="260">
        <f t="shared" ca="1" si="30"/>
        <v>0</v>
      </c>
      <c r="AN121" s="260" t="str">
        <f ca="1">IF(AND(Tabla7[[#This Row],[UltLec]]&lt;&gt;0,Tabla7[[#This Row],[PenLect]]&lt;&gt;0),(AM121-AL121)*Tabla7[[#This Row],[RT]],"N/A")</f>
        <v>N/A</v>
      </c>
      <c r="AO121" s="398" t="s">
        <v>1300</v>
      </c>
      <c r="AP121" s="380" t="s">
        <v>1076</v>
      </c>
      <c r="AQ121" s="380" t="s">
        <v>1074</v>
      </c>
      <c r="AR121" s="2">
        <f t="shared" si="31"/>
        <v>0</v>
      </c>
      <c r="AT121" s="2" t="e">
        <f t="shared" ca="1" si="32"/>
        <v>#VALUE!</v>
      </c>
    </row>
    <row r="122" spans="1:46" ht="18.75" hidden="1" customHeight="1" x14ac:dyDescent="0.25">
      <c r="A122" s="378" t="s">
        <v>342</v>
      </c>
      <c r="B122" s="262"/>
      <c r="C122" s="266" t="s">
        <v>1154</v>
      </c>
      <c r="D122" s="262" t="s">
        <v>342</v>
      </c>
      <c r="E122" s="235">
        <v>39100</v>
      </c>
      <c r="F122" s="371" t="s">
        <v>343</v>
      </c>
      <c r="G122" s="371" t="s">
        <v>344</v>
      </c>
      <c r="H122" s="371" t="s">
        <v>817</v>
      </c>
      <c r="I122" s="371" t="s">
        <v>886</v>
      </c>
      <c r="J122" s="341">
        <v>165038109</v>
      </c>
      <c r="K122" s="341"/>
      <c r="L122" s="341"/>
      <c r="M122" s="341"/>
      <c r="N122" s="341"/>
      <c r="O122" s="341"/>
      <c r="P122" s="341"/>
      <c r="Q122" s="341"/>
      <c r="R122" s="341"/>
      <c r="S122" s="341"/>
      <c r="T122" s="341"/>
      <c r="U122" s="341"/>
      <c r="V122" s="341"/>
      <c r="W122" s="341"/>
      <c r="X122" s="371"/>
      <c r="Y122" s="341" t="str">
        <f t="shared" si="54"/>
        <v/>
      </c>
      <c r="Z122" s="341" t="str">
        <f t="shared" si="55"/>
        <v/>
      </c>
      <c r="AA122" s="341" t="str">
        <f t="shared" si="44"/>
        <v/>
      </c>
      <c r="AB122" s="341" t="str">
        <f t="shared" si="45"/>
        <v/>
      </c>
      <c r="AC122" s="341" t="str">
        <f t="shared" si="46"/>
        <v/>
      </c>
      <c r="AD122" s="341" t="str">
        <f t="shared" si="47"/>
        <v/>
      </c>
      <c r="AE122" s="341" t="str">
        <f t="shared" si="48"/>
        <v/>
      </c>
      <c r="AF122" s="341" t="str">
        <f t="shared" si="49"/>
        <v/>
      </c>
      <c r="AG122" s="341" t="str">
        <f t="shared" si="50"/>
        <v/>
      </c>
      <c r="AH122" s="341" t="str">
        <f t="shared" si="51"/>
        <v/>
      </c>
      <c r="AI122" s="341" t="str">
        <f t="shared" si="53"/>
        <v/>
      </c>
      <c r="AJ122" s="371" t="str">
        <f t="shared" si="52"/>
        <v/>
      </c>
      <c r="AK122" s="371">
        <v>1</v>
      </c>
      <c r="AL122" s="341">
        <f t="shared" ca="1" si="29"/>
        <v>0</v>
      </c>
      <c r="AM122" s="341">
        <f t="shared" ca="1" si="30"/>
        <v>0</v>
      </c>
      <c r="AN122" s="341" t="str">
        <f ca="1">IF(AND(Tabla7[[#This Row],[UltLec]]&lt;&gt;0,Tabla7[[#This Row],[PenLect]]&lt;&gt;0),(AM122-AL122)*Tabla7[[#This Row],[RT]],"N/A")</f>
        <v>N/A</v>
      </c>
      <c r="AO122" s="399" t="s">
        <v>1300</v>
      </c>
      <c r="AP122" s="389" t="s">
        <v>1076</v>
      </c>
      <c r="AQ122" s="389" t="s">
        <v>1074</v>
      </c>
      <c r="AR122" s="371">
        <f t="shared" si="31"/>
        <v>0</v>
      </c>
      <c r="AT122" s="2" t="e">
        <f t="shared" ca="1" si="32"/>
        <v>#VALUE!</v>
      </c>
    </row>
    <row r="123" spans="1:46" ht="18" hidden="1" customHeight="1" x14ac:dyDescent="0.25">
      <c r="A123" s="407" t="s">
        <v>342</v>
      </c>
      <c r="B123" s="54"/>
      <c r="C123" s="420" t="s">
        <v>1155</v>
      </c>
      <c r="D123" s="374" t="s">
        <v>342</v>
      </c>
      <c r="E123" s="232">
        <v>39235</v>
      </c>
      <c r="F123" s="2" t="s">
        <v>346</v>
      </c>
      <c r="G123" s="2" t="s">
        <v>347</v>
      </c>
      <c r="H123" s="2"/>
      <c r="I123" s="2" t="s">
        <v>875</v>
      </c>
      <c r="J123" s="260">
        <v>10508964</v>
      </c>
      <c r="K123" s="260"/>
      <c r="L123" s="260"/>
      <c r="O123" s="260"/>
      <c r="P123" s="260"/>
      <c r="Q123" s="260"/>
      <c r="R123" s="260"/>
      <c r="S123" s="260"/>
      <c r="U123" s="260"/>
      <c r="V123" s="260"/>
      <c r="W123" s="260"/>
      <c r="X123" s="2"/>
      <c r="Y123" s="2" t="str">
        <f t="shared" si="54"/>
        <v/>
      </c>
      <c r="Z123" s="2" t="str">
        <f t="shared" si="55"/>
        <v/>
      </c>
      <c r="AA123" s="2" t="str">
        <f t="shared" ref="AA123:AA132" si="56">IF(OR(ISBLANK(M123),ISBLANK(L123)),"",IF(AND(M123&gt;=L123,M123-L123&lt;=M123),(M123-L123)*$AK123,"!!!!"))</f>
        <v/>
      </c>
      <c r="AB123" s="2" t="str">
        <f t="shared" ref="AB123:AB132" si="57">IF(OR(ISBLANK(N123),ISBLANK(M123)),"",IF(AND(N123&gt;=M123,N123-M123&lt;=N123),(N123-M123)*$AK123,"!!!!"))</f>
        <v/>
      </c>
      <c r="AC123" s="2" t="str">
        <f t="shared" si="46"/>
        <v/>
      </c>
      <c r="AD123" s="2" t="str">
        <f t="shared" si="47"/>
        <v/>
      </c>
      <c r="AE123" s="2" t="str">
        <f t="shared" si="48"/>
        <v/>
      </c>
      <c r="AF123" s="2" t="str">
        <f t="shared" si="49"/>
        <v/>
      </c>
      <c r="AG123" s="2" t="str">
        <f t="shared" si="50"/>
        <v/>
      </c>
      <c r="AH123" s="2" t="str">
        <f t="shared" si="51"/>
        <v/>
      </c>
      <c r="AI123" s="2" t="str">
        <f t="shared" si="53"/>
        <v/>
      </c>
      <c r="AJ123" s="2" t="str">
        <f t="shared" si="52"/>
        <v/>
      </c>
      <c r="AK123" s="2">
        <v>1</v>
      </c>
      <c r="AL123" s="260">
        <f t="shared" ca="1" si="29"/>
        <v>0</v>
      </c>
      <c r="AM123" s="260">
        <f t="shared" ca="1" si="30"/>
        <v>0</v>
      </c>
      <c r="AN123" s="260" t="str">
        <f ca="1">IF(AND(Tabla7[[#This Row],[UltLec]]&lt;&gt;0,Tabla7[[#This Row],[PenLect]]&lt;&gt;0),(AM123-AL123)*Tabla7[[#This Row],[RT]],"N/A")</f>
        <v>N/A</v>
      </c>
      <c r="AO123" s="398" t="s">
        <v>1300</v>
      </c>
      <c r="AP123" s="380" t="s">
        <v>1076</v>
      </c>
      <c r="AQ123" s="380" t="s">
        <v>1074</v>
      </c>
      <c r="AR123" s="2">
        <f t="shared" si="31"/>
        <v>0</v>
      </c>
      <c r="AT123" s="2" t="e">
        <f t="shared" ca="1" si="32"/>
        <v>#VALUE!</v>
      </c>
    </row>
    <row r="124" spans="1:46" ht="18" hidden="1" customHeight="1" x14ac:dyDescent="0.25">
      <c r="A124" s="291" t="s">
        <v>342</v>
      </c>
      <c r="B124" s="54"/>
      <c r="C124" s="239" t="s">
        <v>1156</v>
      </c>
      <c r="D124" s="54" t="s">
        <v>342</v>
      </c>
      <c r="E124" s="232">
        <v>39316</v>
      </c>
      <c r="F124" s="2" t="s">
        <v>358</v>
      </c>
      <c r="G124" s="2" t="s">
        <v>359</v>
      </c>
      <c r="H124" s="2"/>
      <c r="I124" s="2" t="s">
        <v>879</v>
      </c>
      <c r="J124" s="260">
        <v>9094209</v>
      </c>
      <c r="K124" s="260"/>
      <c r="L124" s="260"/>
      <c r="O124" s="260"/>
      <c r="P124" s="260"/>
      <c r="Q124" s="260"/>
      <c r="R124" s="260"/>
      <c r="S124" s="260"/>
      <c r="U124" s="260"/>
      <c r="V124" s="260"/>
      <c r="W124" s="260"/>
      <c r="X124" s="2"/>
      <c r="Y124" s="2" t="str">
        <f t="shared" si="54"/>
        <v/>
      </c>
      <c r="Z124" s="2" t="str">
        <f t="shared" si="55"/>
        <v/>
      </c>
      <c r="AA124" s="2" t="str">
        <f t="shared" si="56"/>
        <v/>
      </c>
      <c r="AB124" s="2" t="str">
        <f t="shared" si="57"/>
        <v/>
      </c>
      <c r="AC124" s="2" t="str">
        <f t="shared" si="46"/>
        <v/>
      </c>
      <c r="AD124" s="2" t="str">
        <f t="shared" si="47"/>
        <v/>
      </c>
      <c r="AE124" s="2" t="str">
        <f t="shared" si="48"/>
        <v/>
      </c>
      <c r="AF124" s="2" t="str">
        <f t="shared" si="49"/>
        <v/>
      </c>
      <c r="AG124" s="2" t="str">
        <f t="shared" si="50"/>
        <v/>
      </c>
      <c r="AH124" s="2" t="str">
        <f t="shared" si="51"/>
        <v/>
      </c>
      <c r="AI124" s="2" t="str">
        <f t="shared" si="53"/>
        <v/>
      </c>
      <c r="AJ124" s="2" t="str">
        <f t="shared" si="52"/>
        <v/>
      </c>
      <c r="AK124" s="2">
        <v>1</v>
      </c>
      <c r="AL124" s="260">
        <f t="shared" ca="1" si="29"/>
        <v>0</v>
      </c>
      <c r="AM124" s="260">
        <f t="shared" ca="1" si="30"/>
        <v>0</v>
      </c>
      <c r="AN124" s="260" t="str">
        <f ca="1">IF(AND(Tabla7[[#This Row],[UltLec]]&lt;&gt;0,Tabla7[[#This Row],[PenLect]]&lt;&gt;0),(AM124-AL124)*Tabla7[[#This Row],[RT]],"N/A")</f>
        <v>N/A</v>
      </c>
      <c r="AO124" s="398" t="s">
        <v>1300</v>
      </c>
      <c r="AP124" s="380" t="s">
        <v>1076</v>
      </c>
      <c r="AQ124" s="380" t="s">
        <v>1074</v>
      </c>
      <c r="AR124" s="2">
        <f t="shared" si="31"/>
        <v>0</v>
      </c>
      <c r="AT124" s="2" t="e">
        <f t="shared" ca="1" si="32"/>
        <v>#VALUE!</v>
      </c>
    </row>
    <row r="125" spans="1:46" ht="18" hidden="1" customHeight="1" x14ac:dyDescent="0.25">
      <c r="A125" s="291" t="s">
        <v>342</v>
      </c>
      <c r="B125" s="54"/>
      <c r="C125" s="239" t="s">
        <v>1157</v>
      </c>
      <c r="D125" s="54" t="s">
        <v>342</v>
      </c>
      <c r="E125" s="232">
        <v>39189</v>
      </c>
      <c r="F125" s="2" t="s">
        <v>349</v>
      </c>
      <c r="G125" s="2" t="s">
        <v>350</v>
      </c>
      <c r="H125" s="2"/>
      <c r="I125" s="2" t="s">
        <v>881</v>
      </c>
      <c r="J125" s="260">
        <v>4599107</v>
      </c>
      <c r="K125" s="260"/>
      <c r="L125" s="260"/>
      <c r="O125" s="260"/>
      <c r="P125" s="260"/>
      <c r="Q125" s="260"/>
      <c r="R125" s="260"/>
      <c r="S125" s="260"/>
      <c r="U125" s="260"/>
      <c r="V125" s="260"/>
      <c r="W125" s="260"/>
      <c r="X125" s="2"/>
      <c r="Y125" s="2" t="str">
        <f t="shared" si="54"/>
        <v/>
      </c>
      <c r="Z125" s="2" t="str">
        <f t="shared" si="55"/>
        <v/>
      </c>
      <c r="AA125" s="2" t="str">
        <f t="shared" si="56"/>
        <v/>
      </c>
      <c r="AB125" s="2" t="str">
        <f t="shared" si="57"/>
        <v/>
      </c>
      <c r="AC125" s="2" t="str">
        <f t="shared" si="46"/>
        <v/>
      </c>
      <c r="AD125" s="2" t="str">
        <f t="shared" si="47"/>
        <v/>
      </c>
      <c r="AE125" s="2" t="str">
        <f t="shared" si="48"/>
        <v/>
      </c>
      <c r="AF125" s="2" t="str">
        <f t="shared" si="49"/>
        <v/>
      </c>
      <c r="AG125" s="2" t="str">
        <f t="shared" si="50"/>
        <v/>
      </c>
      <c r="AH125" s="2" t="str">
        <f t="shared" si="51"/>
        <v/>
      </c>
      <c r="AI125" s="2" t="str">
        <f t="shared" si="53"/>
        <v/>
      </c>
      <c r="AJ125" s="2" t="str">
        <f t="shared" si="52"/>
        <v/>
      </c>
      <c r="AK125" s="2">
        <v>1</v>
      </c>
      <c r="AL125" s="260">
        <f t="shared" ca="1" si="29"/>
        <v>0</v>
      </c>
      <c r="AM125" s="260">
        <f t="shared" ca="1" si="30"/>
        <v>0</v>
      </c>
      <c r="AN125" s="260" t="str">
        <f ca="1">IF(AND(Tabla7[[#This Row],[UltLec]]&lt;&gt;0,Tabla7[[#This Row],[PenLect]]&lt;&gt;0),(AM125-AL125)*Tabla7[[#This Row],[RT]],"N/A")</f>
        <v>N/A</v>
      </c>
      <c r="AO125" s="398" t="s">
        <v>1300</v>
      </c>
      <c r="AP125" s="380" t="s">
        <v>1076</v>
      </c>
      <c r="AQ125" s="380" t="s">
        <v>1074</v>
      </c>
      <c r="AR125" s="2">
        <f t="shared" si="31"/>
        <v>0</v>
      </c>
      <c r="AT125" s="2" t="e">
        <f t="shared" ca="1" si="32"/>
        <v>#VALUE!</v>
      </c>
    </row>
    <row r="126" spans="1:46" ht="18" hidden="1" customHeight="1" x14ac:dyDescent="0.25">
      <c r="A126" s="378" t="s">
        <v>342</v>
      </c>
      <c r="B126" s="262"/>
      <c r="C126" s="266" t="s">
        <v>1158</v>
      </c>
      <c r="D126" s="262" t="s">
        <v>342</v>
      </c>
      <c r="E126" s="235">
        <v>39760</v>
      </c>
      <c r="F126" s="371" t="s">
        <v>1362</v>
      </c>
      <c r="G126" s="371" t="s">
        <v>372</v>
      </c>
      <c r="H126" s="371" t="s">
        <v>817</v>
      </c>
      <c r="I126" s="371" t="s">
        <v>862</v>
      </c>
      <c r="J126" s="341">
        <v>244491502</v>
      </c>
      <c r="K126" s="341"/>
      <c r="L126" s="341"/>
      <c r="M126" s="341"/>
      <c r="N126" s="341"/>
      <c r="O126" s="341"/>
      <c r="P126" s="341"/>
      <c r="Q126" s="341"/>
      <c r="R126" s="341"/>
      <c r="S126" s="341"/>
      <c r="T126" s="341"/>
      <c r="U126" s="341"/>
      <c r="V126" s="341"/>
      <c r="W126" s="341"/>
      <c r="X126" s="371"/>
      <c r="Y126" s="341" t="str">
        <f t="shared" si="54"/>
        <v/>
      </c>
      <c r="Z126" s="341" t="str">
        <f t="shared" si="55"/>
        <v/>
      </c>
      <c r="AA126" s="341" t="str">
        <f t="shared" si="56"/>
        <v/>
      </c>
      <c r="AB126" s="341" t="str">
        <f t="shared" si="57"/>
        <v/>
      </c>
      <c r="AC126" s="341" t="str">
        <f t="shared" si="46"/>
        <v/>
      </c>
      <c r="AD126" s="341" t="str">
        <f t="shared" si="47"/>
        <v/>
      </c>
      <c r="AE126" s="341" t="str">
        <f t="shared" si="48"/>
        <v/>
      </c>
      <c r="AF126" s="341" t="str">
        <f t="shared" si="49"/>
        <v/>
      </c>
      <c r="AG126" s="341" t="str">
        <f t="shared" si="50"/>
        <v/>
      </c>
      <c r="AH126" s="341" t="str">
        <f t="shared" si="51"/>
        <v/>
      </c>
      <c r="AI126" s="341" t="str">
        <f t="shared" si="53"/>
        <v/>
      </c>
      <c r="AJ126" s="341" t="str">
        <f t="shared" si="52"/>
        <v/>
      </c>
      <c r="AK126" s="371">
        <v>1</v>
      </c>
      <c r="AL126" s="341">
        <f t="shared" ca="1" si="29"/>
        <v>0</v>
      </c>
      <c r="AM126" s="341">
        <f t="shared" ca="1" si="30"/>
        <v>0</v>
      </c>
      <c r="AN126" s="341" t="str">
        <f ca="1">IF(AND(Tabla7[[#This Row],[UltLec]]&lt;&gt;0,Tabla7[[#This Row],[PenLect]]&lt;&gt;0),(AM126-AL126)*Tabla7[[#This Row],[RT]],"N/A")</f>
        <v>N/A</v>
      </c>
      <c r="AO126" s="399" t="s">
        <v>1300</v>
      </c>
      <c r="AP126" s="389" t="s">
        <v>1076</v>
      </c>
      <c r="AQ126" s="389" t="s">
        <v>1074</v>
      </c>
      <c r="AR126" s="371">
        <f t="shared" si="31"/>
        <v>0</v>
      </c>
      <c r="AT126" s="2" t="e">
        <f t="shared" ca="1" si="32"/>
        <v>#VALUE!</v>
      </c>
    </row>
    <row r="127" spans="1:46" ht="18" hidden="1" customHeight="1" x14ac:dyDescent="0.25">
      <c r="A127" s="291" t="s">
        <v>342</v>
      </c>
      <c r="B127" s="54"/>
      <c r="C127" s="239" t="s">
        <v>1159</v>
      </c>
      <c r="D127" s="54" t="s">
        <v>342</v>
      </c>
      <c r="E127" s="232">
        <v>39407</v>
      </c>
      <c r="F127" s="2" t="s">
        <v>373</v>
      </c>
      <c r="G127" s="2" t="s">
        <v>374</v>
      </c>
      <c r="H127" s="2" t="s">
        <v>375</v>
      </c>
      <c r="I127" s="2" t="s">
        <v>863</v>
      </c>
      <c r="J127" s="260">
        <v>2735540</v>
      </c>
      <c r="K127" s="260"/>
      <c r="L127" s="260"/>
      <c r="O127" s="260"/>
      <c r="P127" s="260"/>
      <c r="Q127" s="260"/>
      <c r="R127" s="260"/>
      <c r="S127" s="260"/>
      <c r="U127" s="260"/>
      <c r="V127" s="260"/>
      <c r="W127" s="260"/>
      <c r="X127" s="2"/>
      <c r="Y127" s="2" t="str">
        <f t="shared" si="54"/>
        <v/>
      </c>
      <c r="Z127" s="2" t="str">
        <f t="shared" si="55"/>
        <v/>
      </c>
      <c r="AA127" s="2" t="str">
        <f t="shared" si="56"/>
        <v/>
      </c>
      <c r="AB127" s="2" t="str">
        <f t="shared" si="57"/>
        <v/>
      </c>
      <c r="AC127" s="2" t="str">
        <f t="shared" si="46"/>
        <v/>
      </c>
      <c r="AD127" s="2" t="str">
        <f t="shared" si="47"/>
        <v/>
      </c>
      <c r="AE127" s="2" t="str">
        <f t="shared" si="48"/>
        <v/>
      </c>
      <c r="AF127" s="2" t="str">
        <f t="shared" si="49"/>
        <v/>
      </c>
      <c r="AG127" s="2" t="str">
        <f t="shared" si="50"/>
        <v/>
      </c>
      <c r="AH127" s="2" t="str">
        <f t="shared" si="51"/>
        <v/>
      </c>
      <c r="AI127" s="2" t="str">
        <f t="shared" si="53"/>
        <v/>
      </c>
      <c r="AJ127" s="2" t="str">
        <f t="shared" si="52"/>
        <v/>
      </c>
      <c r="AK127" s="2">
        <v>1</v>
      </c>
      <c r="AL127" s="260">
        <f t="shared" ca="1" si="29"/>
        <v>0</v>
      </c>
      <c r="AM127" s="260">
        <f t="shared" ca="1" si="30"/>
        <v>0</v>
      </c>
      <c r="AN127" s="260" t="str">
        <f ca="1">IF(AND(Tabla7[[#This Row],[UltLec]]&lt;&gt;0,Tabla7[[#This Row],[PenLect]]&lt;&gt;0),(AM127-AL127)*Tabla7[[#This Row],[RT]],"N/A")</f>
        <v>N/A</v>
      </c>
      <c r="AO127" s="398" t="s">
        <v>1300</v>
      </c>
      <c r="AP127" s="380" t="s">
        <v>1076</v>
      </c>
      <c r="AQ127" s="380" t="s">
        <v>1074</v>
      </c>
      <c r="AR127" s="2">
        <f t="shared" si="31"/>
        <v>0</v>
      </c>
      <c r="AT127" s="2" t="e">
        <f t="shared" ca="1" si="32"/>
        <v>#VALUE!</v>
      </c>
    </row>
    <row r="128" spans="1:46" ht="18" hidden="1" customHeight="1" x14ac:dyDescent="0.25">
      <c r="A128" s="291" t="s">
        <v>342</v>
      </c>
      <c r="B128" s="54"/>
      <c r="C128" s="239" t="s">
        <v>1382</v>
      </c>
      <c r="D128" s="54" t="s">
        <v>342</v>
      </c>
      <c r="E128" s="232">
        <v>39667</v>
      </c>
      <c r="F128" s="2" t="s">
        <v>1374</v>
      </c>
      <c r="G128" s="2" t="s">
        <v>348</v>
      </c>
      <c r="H128" s="2" t="s">
        <v>1383</v>
      </c>
      <c r="I128" s="2" t="s">
        <v>876</v>
      </c>
      <c r="J128" s="260">
        <v>29769542</v>
      </c>
      <c r="K128" s="260"/>
      <c r="L128" s="260"/>
      <c r="O128" s="260"/>
      <c r="P128" s="260"/>
      <c r="Q128" s="260"/>
      <c r="R128" s="260"/>
      <c r="S128" s="260"/>
      <c r="U128" s="260"/>
      <c r="V128" s="260"/>
      <c r="W128" s="260"/>
      <c r="X128" s="2"/>
      <c r="Y128" s="260" t="str">
        <f t="shared" si="54"/>
        <v/>
      </c>
      <c r="Z128" s="260" t="str">
        <f t="shared" si="55"/>
        <v/>
      </c>
      <c r="AA128" s="260" t="str">
        <f t="shared" si="56"/>
        <v/>
      </c>
      <c r="AB128" s="260" t="str">
        <f t="shared" si="57"/>
        <v/>
      </c>
      <c r="AC128" s="260" t="str">
        <f t="shared" si="46"/>
        <v/>
      </c>
      <c r="AD128" s="260" t="str">
        <f t="shared" si="47"/>
        <v/>
      </c>
      <c r="AE128" s="260" t="str">
        <f t="shared" si="48"/>
        <v/>
      </c>
      <c r="AF128" s="260" t="str">
        <f t="shared" si="49"/>
        <v/>
      </c>
      <c r="AG128" s="260" t="str">
        <f t="shared" si="50"/>
        <v/>
      </c>
      <c r="AH128" s="2" t="str">
        <f t="shared" si="51"/>
        <v/>
      </c>
      <c r="AI128" s="2" t="str">
        <f t="shared" si="53"/>
        <v/>
      </c>
      <c r="AJ128" s="2" t="str">
        <f t="shared" si="52"/>
        <v/>
      </c>
      <c r="AK128" s="2">
        <v>1</v>
      </c>
      <c r="AL128" s="260">
        <f t="shared" ca="1" si="29"/>
        <v>0</v>
      </c>
      <c r="AM128" s="260">
        <f t="shared" ca="1" si="30"/>
        <v>0</v>
      </c>
      <c r="AN128" s="260" t="str">
        <f ca="1">IF(AND(Tabla7[[#This Row],[UltLec]]&lt;&gt;0,Tabla7[[#This Row],[PenLect]]&lt;&gt;0),(AM128-AL128)*Tabla7[[#This Row],[RT]],"N/A")</f>
        <v>N/A</v>
      </c>
      <c r="AO128" s="398" t="s">
        <v>1300</v>
      </c>
      <c r="AP128" s="380" t="s">
        <v>1076</v>
      </c>
      <c r="AQ128" s="380" t="s">
        <v>1074</v>
      </c>
      <c r="AR128" s="2">
        <f t="shared" si="31"/>
        <v>0</v>
      </c>
      <c r="AT128" s="2" t="e">
        <f t="shared" ca="1" si="32"/>
        <v>#VALUE!</v>
      </c>
    </row>
    <row r="129" spans="1:46" ht="18" hidden="1" customHeight="1" x14ac:dyDescent="0.25">
      <c r="A129" s="291" t="s">
        <v>342</v>
      </c>
      <c r="B129" s="54"/>
      <c r="C129" s="239" t="s">
        <v>1147</v>
      </c>
      <c r="D129" s="54" t="s">
        <v>342</v>
      </c>
      <c r="E129" s="232">
        <v>39509</v>
      </c>
      <c r="F129" s="2" t="s">
        <v>966</v>
      </c>
      <c r="G129" s="2" t="s">
        <v>819</v>
      </c>
      <c r="H129" s="2"/>
      <c r="I129" s="2" t="s">
        <v>1013</v>
      </c>
      <c r="J129" s="260">
        <v>768906</v>
      </c>
      <c r="K129" s="260"/>
      <c r="L129" s="260"/>
      <c r="O129" s="260"/>
      <c r="P129" s="260"/>
      <c r="Q129" s="260"/>
      <c r="R129" s="260"/>
      <c r="S129" s="260"/>
      <c r="U129" s="260"/>
      <c r="V129" s="260"/>
      <c r="W129" s="260"/>
      <c r="X129" s="2"/>
      <c r="Y129" s="260" t="str">
        <f t="shared" si="54"/>
        <v/>
      </c>
      <c r="Z129" s="260" t="str">
        <f t="shared" si="55"/>
        <v/>
      </c>
      <c r="AA129" s="260" t="str">
        <f t="shared" si="56"/>
        <v/>
      </c>
      <c r="AB129" s="260" t="str">
        <f t="shared" si="57"/>
        <v/>
      </c>
      <c r="AC129" s="260" t="str">
        <f t="shared" si="46"/>
        <v/>
      </c>
      <c r="AD129" s="260" t="str">
        <f t="shared" si="47"/>
        <v/>
      </c>
      <c r="AE129" s="260" t="str">
        <f t="shared" si="48"/>
        <v/>
      </c>
      <c r="AF129" s="260" t="str">
        <f t="shared" si="49"/>
        <v/>
      </c>
      <c r="AG129" s="260" t="str">
        <f t="shared" si="50"/>
        <v/>
      </c>
      <c r="AH129" s="2" t="str">
        <f t="shared" si="51"/>
        <v/>
      </c>
      <c r="AI129" s="2" t="str">
        <f t="shared" si="53"/>
        <v/>
      </c>
      <c r="AJ129" s="2" t="str">
        <f t="shared" si="52"/>
        <v/>
      </c>
      <c r="AK129" s="2">
        <v>1</v>
      </c>
      <c r="AL129" s="260">
        <f t="shared" ca="1" si="29"/>
        <v>0</v>
      </c>
      <c r="AM129" s="260">
        <f t="shared" ca="1" si="30"/>
        <v>0</v>
      </c>
      <c r="AN129" s="260" t="str">
        <f ca="1">IF(AND(Tabla7[[#This Row],[UltLec]]&lt;&gt;0,Tabla7[[#This Row],[PenLect]]&lt;&gt;0),(AM129-AL129)*Tabla7[[#This Row],[RT]],"N/A")</f>
        <v>N/A</v>
      </c>
      <c r="AO129" s="398" t="s">
        <v>1300</v>
      </c>
      <c r="AP129" s="380" t="s">
        <v>1076</v>
      </c>
      <c r="AQ129" s="380" t="s">
        <v>1074</v>
      </c>
      <c r="AR129" s="2">
        <f t="shared" si="31"/>
        <v>0</v>
      </c>
      <c r="AT129" s="2" t="e">
        <f t="shared" ca="1" si="32"/>
        <v>#VALUE!</v>
      </c>
    </row>
    <row r="130" spans="1:46" ht="18" hidden="1" customHeight="1" x14ac:dyDescent="0.25">
      <c r="A130" s="291" t="s">
        <v>342</v>
      </c>
      <c r="B130" s="54">
        <v>1802</v>
      </c>
      <c r="C130" s="239" t="s">
        <v>1375</v>
      </c>
      <c r="D130" s="54" t="s">
        <v>342</v>
      </c>
      <c r="E130" s="232">
        <v>39672</v>
      </c>
      <c r="F130" s="2" t="s">
        <v>1376</v>
      </c>
      <c r="G130" s="2" t="s">
        <v>1377</v>
      </c>
      <c r="H130" s="2" t="s">
        <v>1378</v>
      </c>
      <c r="I130" s="2" t="s">
        <v>1608</v>
      </c>
      <c r="J130" s="353">
        <v>619743</v>
      </c>
      <c r="K130" s="260"/>
      <c r="L130" s="260"/>
      <c r="O130" s="260"/>
      <c r="P130" s="290"/>
      <c r="Q130" s="260"/>
      <c r="R130" s="260"/>
      <c r="S130" s="260"/>
      <c r="U130" s="260"/>
      <c r="V130" s="353"/>
      <c r="W130" s="2"/>
      <c r="X130" s="2"/>
      <c r="Y130" s="260" t="str">
        <f>IF(OR(ISBLANK(K131),ISBLANK(J130)),"",IF(AND(K131&gt;=J130,K131-J130&lt;=K131),(K131-J130)*$AK130,"!!!!"))</f>
        <v/>
      </c>
      <c r="Z130" s="260" t="str">
        <f>IF(OR(ISBLANK(L131),ISBLANK(K130)),"",IF(AND(L131&gt;=K130,L131-K130&lt;=L131),(L131-K130)*$AK130,"!!!!"))</f>
        <v/>
      </c>
      <c r="AA130" s="2" t="str">
        <f t="shared" si="56"/>
        <v/>
      </c>
      <c r="AB130" s="2" t="str">
        <f t="shared" si="57"/>
        <v/>
      </c>
      <c r="AC130" s="2" t="str">
        <f t="shared" si="46"/>
        <v/>
      </c>
      <c r="AD130" s="2" t="str">
        <f t="shared" si="47"/>
        <v/>
      </c>
      <c r="AE130" s="2" t="str">
        <f t="shared" si="48"/>
        <v/>
      </c>
      <c r="AF130" s="2" t="str">
        <f t="shared" si="49"/>
        <v/>
      </c>
      <c r="AG130" s="2" t="str">
        <f t="shared" si="50"/>
        <v/>
      </c>
      <c r="AH130" s="2" t="str">
        <f t="shared" si="51"/>
        <v/>
      </c>
      <c r="AI130" s="2" t="str">
        <f t="shared" si="53"/>
        <v/>
      </c>
      <c r="AJ130" s="2" t="str">
        <f t="shared" si="52"/>
        <v/>
      </c>
      <c r="AK130" s="2">
        <v>1</v>
      </c>
      <c r="AL130" s="260">
        <f t="shared" ca="1" si="29"/>
        <v>0</v>
      </c>
      <c r="AM130" s="260">
        <f t="shared" ca="1" si="30"/>
        <v>0</v>
      </c>
      <c r="AN130" s="260" t="str">
        <f ca="1">IF(AND(Tabla7[[#This Row],[UltLec]]&lt;&gt;0,Tabla7[[#This Row],[PenLect]]&lt;&gt;0),(AM130-AL130)*Tabla7[[#This Row],[RT]],"N/A")</f>
        <v>N/A</v>
      </c>
      <c r="AO130" s="398" t="s">
        <v>1300</v>
      </c>
      <c r="AP130" s="380" t="s">
        <v>1076</v>
      </c>
      <c r="AQ130" s="380" t="s">
        <v>1074</v>
      </c>
      <c r="AR130" s="2">
        <f t="shared" si="31"/>
        <v>0</v>
      </c>
      <c r="AT130" s="2" t="e">
        <f t="shared" ca="1" si="32"/>
        <v>#VALUE!</v>
      </c>
    </row>
    <row r="131" spans="1:46" ht="18" hidden="1" customHeight="1" x14ac:dyDescent="0.25">
      <c r="A131" s="414" t="s">
        <v>342</v>
      </c>
      <c r="B131" s="54"/>
      <c r="C131" s="239" t="s">
        <v>1406</v>
      </c>
      <c r="D131" s="54" t="s">
        <v>342</v>
      </c>
      <c r="E131" s="232">
        <v>39593</v>
      </c>
      <c r="F131" s="2" t="s">
        <v>1407</v>
      </c>
      <c r="G131" s="2" t="s">
        <v>1408</v>
      </c>
      <c r="H131" s="2" t="s">
        <v>1409</v>
      </c>
      <c r="I131" s="2" t="s">
        <v>345</v>
      </c>
      <c r="J131" s="260">
        <v>781971</v>
      </c>
      <c r="K131" s="260"/>
      <c r="L131" s="260"/>
      <c r="O131" s="260"/>
      <c r="P131" s="290"/>
      <c r="Q131" s="260"/>
      <c r="R131" s="260"/>
      <c r="S131" s="260"/>
      <c r="U131" s="260"/>
      <c r="V131" s="260"/>
      <c r="W131" s="260"/>
      <c r="X131" s="2"/>
      <c r="Y131" s="2" t="str">
        <f t="shared" ref="Y131:Y132" si="58">IF(OR(ISBLANK(K131),ISBLANK(J131)),"",IF(AND(K131&gt;=J131,K131-J131&lt;=K131),(K131-J131)*$AK131,"!!!!"))</f>
        <v/>
      </c>
      <c r="Z131" s="2" t="str">
        <f t="shared" ref="Z131:Z132" si="59">IF(OR(ISBLANK(L131),ISBLANK(K131)),"",IF(AND(L131&gt;=K131,L131-K131&lt;=L131),(L131-K131)*$AK131,"!!!!"))</f>
        <v/>
      </c>
      <c r="AA131" s="2" t="str">
        <f t="shared" si="56"/>
        <v/>
      </c>
      <c r="AB131" s="2" t="str">
        <f t="shared" si="57"/>
        <v/>
      </c>
      <c r="AC131" s="2" t="str">
        <f t="shared" si="46"/>
        <v/>
      </c>
      <c r="AD131" s="2" t="str">
        <f t="shared" si="47"/>
        <v/>
      </c>
      <c r="AE131" s="2" t="str">
        <f t="shared" si="48"/>
        <v/>
      </c>
      <c r="AF131" s="2" t="str">
        <f t="shared" si="49"/>
        <v/>
      </c>
      <c r="AG131" s="2" t="str">
        <f t="shared" si="50"/>
        <v/>
      </c>
      <c r="AH131" s="2" t="str">
        <f t="shared" si="51"/>
        <v/>
      </c>
      <c r="AI131" s="2" t="str">
        <f t="shared" si="53"/>
        <v/>
      </c>
      <c r="AJ131" s="2" t="str">
        <f t="shared" si="52"/>
        <v/>
      </c>
      <c r="AK131" s="2">
        <v>1</v>
      </c>
      <c r="AL131" s="260">
        <f t="shared" ref="AL131:AL132" ca="1" si="60">IF(DAY(TODAY())&lt;16,INDEX(J131:X131,1,MONTH(TODAY())-1),INDEX(J131:X131,1,MONTH(TODAY())))</f>
        <v>0</v>
      </c>
      <c r="AM131" s="260">
        <f t="shared" ref="AM131:AM132" ca="1" si="61">IF(DAY(TODAY())&lt;16,INDEX(J131:X131,1,MONTH(TODAY())),INDEX(J131:X131,1,MONTH(TODAY())+1))</f>
        <v>0</v>
      </c>
      <c r="AN131" s="260" t="str">
        <f ca="1">IF(AND(Tabla7[[#This Row],[UltLec]]&lt;&gt;0,Tabla7[[#This Row],[PenLect]]&lt;&gt;0),(AM131-AL131)*Tabla7[[#This Row],[RT]],"N/A")</f>
        <v>N/A</v>
      </c>
      <c r="AO131" s="398" t="s">
        <v>1300</v>
      </c>
      <c r="AP131" s="380" t="s">
        <v>1076</v>
      </c>
      <c r="AQ131" s="380" t="s">
        <v>1074</v>
      </c>
      <c r="AR131" s="2">
        <f t="shared" ref="AR131:AR132" si="62">COUNTIF(Y131:AJ131,"!!!!")</f>
        <v>0</v>
      </c>
      <c r="AT131" s="2" t="e">
        <f t="shared" ca="1" si="32"/>
        <v>#VALUE!</v>
      </c>
    </row>
    <row r="132" spans="1:46" ht="18" hidden="1" customHeight="1" x14ac:dyDescent="0.25">
      <c r="A132" s="418" t="s">
        <v>1482</v>
      </c>
      <c r="B132" s="273"/>
      <c r="C132" s="276" t="s">
        <v>1327</v>
      </c>
      <c r="D132" s="273" t="s">
        <v>342</v>
      </c>
      <c r="E132" s="274">
        <v>0</v>
      </c>
      <c r="F132" s="275" t="s">
        <v>376</v>
      </c>
      <c r="G132" s="434" t="s">
        <v>377</v>
      </c>
      <c r="H132" s="434" t="s">
        <v>1481</v>
      </c>
      <c r="I132" s="434" t="s">
        <v>883</v>
      </c>
      <c r="J132" s="434"/>
      <c r="K132" s="275"/>
      <c r="L132" s="434"/>
      <c r="M132" s="434"/>
      <c r="N132" s="434"/>
      <c r="O132" s="434"/>
      <c r="P132" s="275"/>
      <c r="Q132" s="434"/>
      <c r="R132" s="434"/>
      <c r="S132" s="434"/>
      <c r="T132" s="434"/>
      <c r="U132" s="275"/>
      <c r="V132" s="434"/>
      <c r="W132" s="434"/>
      <c r="X132" s="434"/>
      <c r="Y132" s="434" t="str">
        <f t="shared" si="58"/>
        <v/>
      </c>
      <c r="Z132" s="275" t="str">
        <f t="shared" si="59"/>
        <v/>
      </c>
      <c r="AA132" s="434" t="str">
        <f t="shared" si="56"/>
        <v/>
      </c>
      <c r="AB132" s="434" t="str">
        <f t="shared" si="57"/>
        <v/>
      </c>
      <c r="AC132" s="434" t="str">
        <f t="shared" si="46"/>
        <v/>
      </c>
      <c r="AD132" s="434" t="str">
        <f t="shared" si="47"/>
        <v/>
      </c>
      <c r="AE132" s="275" t="str">
        <f t="shared" si="48"/>
        <v/>
      </c>
      <c r="AF132" s="434" t="str">
        <f t="shared" si="49"/>
        <v/>
      </c>
      <c r="AG132" s="434" t="str">
        <f t="shared" si="50"/>
        <v/>
      </c>
      <c r="AH132" s="434" t="str">
        <f t="shared" si="51"/>
        <v/>
      </c>
      <c r="AI132" s="434" t="str">
        <f t="shared" si="53"/>
        <v/>
      </c>
      <c r="AJ132" s="275" t="str">
        <f t="shared" si="52"/>
        <v/>
      </c>
      <c r="AK132" s="434">
        <v>1</v>
      </c>
      <c r="AL132" s="434">
        <f t="shared" ca="1" si="60"/>
        <v>0</v>
      </c>
      <c r="AM132" s="434">
        <f t="shared" ca="1" si="61"/>
        <v>0</v>
      </c>
      <c r="AN132" s="434" t="str">
        <f ca="1">IF(AND(Tabla7[[#This Row],[UltLec]]&lt;&gt;0,Tabla7[[#This Row],[PenLect]]&lt;&gt;0),(AM132-AL132)*Tabla7[[#This Row],[RT]],"N/A")</f>
        <v>N/A</v>
      </c>
      <c r="AO132" s="275" t="s">
        <v>1160</v>
      </c>
      <c r="AP132" s="434" t="s">
        <v>1075</v>
      </c>
      <c r="AQ132" s="434" t="s">
        <v>1074</v>
      </c>
      <c r="AR132" s="434">
        <f t="shared" si="62"/>
        <v>0</v>
      </c>
      <c r="AT132" s="2" t="e">
        <f t="shared" ca="1" si="32"/>
        <v>#VALUE!</v>
      </c>
    </row>
    <row r="133" spans="1:46" ht="18" hidden="1" customHeight="1" x14ac:dyDescent="0.25">
      <c r="A133" s="407" t="s">
        <v>501</v>
      </c>
      <c r="B133" s="54"/>
      <c r="C133" s="410">
        <v>5355250</v>
      </c>
      <c r="D133" s="468" t="s">
        <v>502</v>
      </c>
      <c r="E133" s="468">
        <v>2</v>
      </c>
      <c r="F133" s="2" t="s">
        <v>503</v>
      </c>
      <c r="G133" s="2"/>
      <c r="H133" s="2"/>
      <c r="I133" s="2"/>
      <c r="J133" s="260">
        <v>15900</v>
      </c>
      <c r="K133" s="517">
        <v>15960</v>
      </c>
      <c r="L133" s="260"/>
      <c r="O133" s="260"/>
      <c r="P133" s="260"/>
      <c r="Q133" s="290"/>
      <c r="R133" s="260"/>
      <c r="S133" s="260"/>
      <c r="U133" s="260"/>
      <c r="V133" s="260"/>
      <c r="W133" s="387"/>
      <c r="X133" s="2"/>
      <c r="Y133" s="2">
        <f t="shared" ref="Y133:Y164" si="63">IF(OR(ISBLANK(K133),ISBLANK(J133)),"",IF(AND(K133&gt;=J133,K133-J133&lt;=K133),(K133-J133)*$AK133,"!!!!"))</f>
        <v>1200</v>
      </c>
      <c r="Z133" s="2" t="str">
        <f t="shared" ref="Z133:Z164" si="64">IF(OR(ISBLANK(L133),ISBLANK(K133)),"",IF(AND(L133&gt;=K133,L133-K133&lt;=L133),(L133-K133)*$AK133,"!!!!"))</f>
        <v/>
      </c>
      <c r="AA133" s="2" t="str">
        <f t="shared" ref="AA133:AA164" si="65">IF(OR(ISBLANK(M133),ISBLANK(L133)),"",IF(AND(M133&gt;=L133,M133-L133&lt;=M133),(M133-L133)*$AK133,"!!!!"))</f>
        <v/>
      </c>
      <c r="AB133" s="2" t="str">
        <f t="shared" ref="AB133:AB164" si="66">IF(OR(ISBLANK(N133),ISBLANK(M133)),"",IF(AND(N133&gt;=M133,N133-M133&lt;=N133),(N133-M133)*$AK133,"!!!!"))</f>
        <v/>
      </c>
      <c r="AC133" s="2" t="str">
        <f t="shared" ref="AC133:AC164" si="67">IF(OR(ISBLANK(O133),ISBLANK(N133)),"",IF(AND(O133&gt;=N133,O133-N133&lt;=O133),(O133-N133)*$AK133,"!!!!"))</f>
        <v/>
      </c>
      <c r="AD133" s="260" t="str">
        <f t="shared" ref="AD133:AD164" si="68">IF(OR(ISBLANK(P133),ISBLANK(O133)),"",IF(AND(P133&gt;=O133,P133-O133&lt;=P133),(P133-O133)*$AK133,"!!!!"))</f>
        <v/>
      </c>
      <c r="AE133" s="2" t="str">
        <f t="shared" ref="AE133:AE164" si="69">IF(OR(ISBLANK(Q133),ISBLANK(P133)),"",IF(AND(Q133&gt;=P133,Q133-P133&lt;=Q133),(Q133-P133)*$AK133,"!!!!"))</f>
        <v/>
      </c>
      <c r="AF133" s="2" t="str">
        <f t="shared" ref="AF133:AF164" si="70">IF(OR(ISBLANK(R133),ISBLANK(Q133)),"",IF(AND(R133&gt;=Q133,R133-Q133&lt;=R133),(R133-Q133)*$AK133,"!!!!"))</f>
        <v/>
      </c>
      <c r="AG133" s="2" t="str">
        <f t="shared" ref="AG133:AG164" si="71">IF(OR(ISBLANK(S133),ISBLANK(R133)),"",IF(AND(S133&gt;=R133,S133-R133&lt;=S133),(S133-R133)*$AK133,"!!!!"))</f>
        <v/>
      </c>
      <c r="AH133" s="2" t="str">
        <f t="shared" ref="AH133:AH164" si="72">IF(OR(ISBLANK(T133),ISBLANK(S133)),"",IF(AND(T133&gt;=S133,T133-S133&lt;=T133),(T133-S133)*$AK133,"!!!!"))</f>
        <v/>
      </c>
      <c r="AI133" s="2" t="str">
        <f t="shared" ref="AI133:AI164" si="73">IF(OR(ISBLANK(U133),ISBLANK(T133)),"",IF(AND(U133&gt;=T133,U133-T133&lt;=U133),(U133-T133)*$AK133,"!!!!"))</f>
        <v/>
      </c>
      <c r="AJ133" s="2" t="str">
        <f t="shared" ref="AJ133:AJ164" si="74">IF(OR(ISBLANK(V133),ISBLANK(U133)),"",IF(AND(V133&gt;=U133,V133-U133&lt;=V133),(V133-U133)*$AK133,"!!!!"))</f>
        <v/>
      </c>
      <c r="AK133" s="2">
        <v>20</v>
      </c>
      <c r="AL133" s="260">
        <f t="shared" ref="AL133:AL164" ca="1" si="75">IF(DAY(TODAY())&lt;16,INDEX(J133:X133,1,MONTH(TODAY())-1),INDEX(J133:X133,1,MONTH(TODAY())))</f>
        <v>0</v>
      </c>
      <c r="AM133" s="260">
        <f t="shared" ref="AM133:AM164" ca="1" si="76">IF(DAY(TODAY())&lt;16,INDEX(J133:X133,1,MONTH(TODAY())),INDEX(J133:X133,1,MONTH(TODAY())+1))</f>
        <v>0</v>
      </c>
      <c r="AN133" s="260" t="str">
        <f ca="1">IF(AND(Tabla7[[#This Row],[UltLec]]&lt;&gt;0,Tabla7[[#This Row],[PenLect]]&lt;&gt;0),(AM133-AL133)*Tabla7[[#This Row],[RT]],"N/A")</f>
        <v>N/A</v>
      </c>
      <c r="AO133" s="380" t="s">
        <v>1020</v>
      </c>
      <c r="AP133" s="380" t="s">
        <v>1075</v>
      </c>
      <c r="AQ133" s="380" t="s">
        <v>1074</v>
      </c>
      <c r="AR133" s="2">
        <f t="shared" ref="AR133:AR164" si="77">COUNTIF(Y133:AJ133,"!!!!")</f>
        <v>0</v>
      </c>
      <c r="AT133" s="2" t="e">
        <f t="shared" ref="AT133:AT196" ca="1" si="78">IF(IF(DAY(TODAY())&gt;15,INDEX($Y133:$AJ133,1,MONTH(TODAY())-1),INDEX($Y133:$AJ133,1,MONTH(TODAY())-2))=0,"0",IF(DAY(TODAY())&gt;15,INDEX($Y133:$AJ133,1,MONTH(TODAY())),INDEX($Y133:$AJ133,1,MONTH(TODAY())-1))/IF(DAY(TODAY())&gt;15,INDEX($Y133:$AJ133,1,MONTH(TODAY())-1),INDEX($Y133:$AJ133,1,MONTH(TODAY())-2)))</f>
        <v>#VALUE!</v>
      </c>
    </row>
    <row r="134" spans="1:46" ht="18" hidden="1" customHeight="1" x14ac:dyDescent="0.25">
      <c r="A134" s="418" t="s">
        <v>1060</v>
      </c>
      <c r="B134" s="273"/>
      <c r="C134" s="276">
        <v>5355251</v>
      </c>
      <c r="D134" s="273" t="s">
        <v>504</v>
      </c>
      <c r="E134" s="274">
        <v>2</v>
      </c>
      <c r="F134" s="275" t="s">
        <v>505</v>
      </c>
      <c r="G134" s="434"/>
      <c r="H134" s="434"/>
      <c r="I134" s="434"/>
      <c r="J134" s="275"/>
      <c r="K134" s="275"/>
      <c r="L134" s="275"/>
      <c r="M134" s="275"/>
      <c r="N134" s="275"/>
      <c r="O134" s="275"/>
      <c r="P134" s="275"/>
      <c r="Q134" s="275"/>
      <c r="R134" s="275"/>
      <c r="S134" s="275"/>
      <c r="T134" s="275"/>
      <c r="U134" s="275"/>
      <c r="V134" s="275"/>
      <c r="W134" s="275"/>
      <c r="X134" s="275"/>
      <c r="Y134" s="275" t="str">
        <f t="shared" si="63"/>
        <v/>
      </c>
      <c r="Z134" s="275" t="str">
        <f t="shared" si="64"/>
        <v/>
      </c>
      <c r="AA134" s="275" t="str">
        <f t="shared" si="65"/>
        <v/>
      </c>
      <c r="AB134" s="275" t="str">
        <f t="shared" si="66"/>
        <v/>
      </c>
      <c r="AC134" s="275" t="str">
        <f t="shared" si="67"/>
        <v/>
      </c>
      <c r="AD134" s="275" t="str">
        <f t="shared" si="68"/>
        <v/>
      </c>
      <c r="AE134" s="275" t="str">
        <f t="shared" si="69"/>
        <v/>
      </c>
      <c r="AF134" s="275" t="str">
        <f t="shared" si="70"/>
        <v/>
      </c>
      <c r="AG134" s="275" t="str">
        <f t="shared" si="71"/>
        <v/>
      </c>
      <c r="AH134" s="275" t="str">
        <f t="shared" si="72"/>
        <v/>
      </c>
      <c r="AI134" s="275" t="str">
        <f t="shared" si="73"/>
        <v/>
      </c>
      <c r="AJ134" s="275" t="str">
        <f t="shared" si="74"/>
        <v/>
      </c>
      <c r="AK134" s="275">
        <v>20</v>
      </c>
      <c r="AL134" s="275">
        <f t="shared" ca="1" si="75"/>
        <v>0</v>
      </c>
      <c r="AM134" s="275">
        <f t="shared" ca="1" si="76"/>
        <v>0</v>
      </c>
      <c r="AN134" s="275" t="str">
        <f ca="1">IF(AND(Tabla7[[#This Row],[UltLec]]&lt;&gt;0,Tabla7[[#This Row],[PenLect]]&lt;&gt;0),(AM134-AL134)*Tabla7[[#This Row],[RT]],"N/A")</f>
        <v>N/A</v>
      </c>
      <c r="AO134" s="275" t="s">
        <v>1160</v>
      </c>
      <c r="AP134" s="275" t="s">
        <v>1075</v>
      </c>
      <c r="AQ134" s="275" t="s">
        <v>1074</v>
      </c>
      <c r="AR134" s="275">
        <f t="shared" si="77"/>
        <v>0</v>
      </c>
      <c r="AT134" s="2" t="e">
        <f t="shared" ca="1" si="78"/>
        <v>#VALUE!</v>
      </c>
    </row>
    <row r="135" spans="1:46" ht="18" hidden="1" customHeight="1" x14ac:dyDescent="0.25">
      <c r="A135" s="418" t="s">
        <v>1060</v>
      </c>
      <c r="B135" s="276"/>
      <c r="C135" s="276">
        <v>5356223</v>
      </c>
      <c r="D135" s="276" t="s">
        <v>506</v>
      </c>
      <c r="E135" s="274">
        <v>2</v>
      </c>
      <c r="F135" s="275" t="s">
        <v>507</v>
      </c>
      <c r="G135" s="462"/>
      <c r="H135" s="462"/>
      <c r="I135" s="462"/>
      <c r="J135" s="275"/>
      <c r="K135" s="275"/>
      <c r="L135" s="275"/>
      <c r="M135" s="275"/>
      <c r="N135" s="275"/>
      <c r="O135" s="275"/>
      <c r="P135" s="275"/>
      <c r="Q135" s="275"/>
      <c r="R135" s="275"/>
      <c r="S135" s="275"/>
      <c r="T135" s="275"/>
      <c r="U135" s="275"/>
      <c r="V135" s="275"/>
      <c r="W135" s="388"/>
      <c r="X135" s="275"/>
      <c r="Y135" s="275" t="str">
        <f t="shared" si="63"/>
        <v/>
      </c>
      <c r="Z135" s="275" t="str">
        <f t="shared" si="64"/>
        <v/>
      </c>
      <c r="AA135" s="275" t="str">
        <f t="shared" si="65"/>
        <v/>
      </c>
      <c r="AB135" s="275" t="str">
        <f t="shared" si="66"/>
        <v/>
      </c>
      <c r="AC135" s="275" t="str">
        <f t="shared" si="67"/>
        <v/>
      </c>
      <c r="AD135" s="275" t="str">
        <f t="shared" si="68"/>
        <v/>
      </c>
      <c r="AE135" s="275" t="str">
        <f t="shared" si="69"/>
        <v/>
      </c>
      <c r="AF135" s="275" t="str">
        <f t="shared" si="70"/>
        <v/>
      </c>
      <c r="AG135" s="275" t="str">
        <f t="shared" si="71"/>
        <v/>
      </c>
      <c r="AH135" s="275" t="str">
        <f t="shared" si="72"/>
        <v/>
      </c>
      <c r="AI135" s="275" t="str">
        <f t="shared" si="73"/>
        <v/>
      </c>
      <c r="AJ135" s="275" t="str">
        <f t="shared" si="74"/>
        <v/>
      </c>
      <c r="AK135" s="275">
        <v>20</v>
      </c>
      <c r="AL135" s="277">
        <f t="shared" ca="1" si="75"/>
        <v>0</v>
      </c>
      <c r="AM135" s="277">
        <f t="shared" ca="1" si="76"/>
        <v>0</v>
      </c>
      <c r="AN135" s="277" t="str">
        <f ca="1">IF(AND(Tabla7[[#This Row],[UltLec]]&lt;&gt;0,Tabla7[[#This Row],[PenLect]]&lt;&gt;0),(AM135-AL135)*Tabla7[[#This Row],[RT]],"N/A")</f>
        <v>N/A</v>
      </c>
      <c r="AO135" s="393" t="s">
        <v>1160</v>
      </c>
      <c r="AP135" s="393" t="s">
        <v>1075</v>
      </c>
      <c r="AQ135" s="393" t="s">
        <v>1074</v>
      </c>
      <c r="AR135" s="275">
        <f t="shared" si="77"/>
        <v>0</v>
      </c>
      <c r="AT135" s="2" t="e">
        <f t="shared" ca="1" si="78"/>
        <v>#VALUE!</v>
      </c>
    </row>
    <row r="136" spans="1:46" ht="18" hidden="1" customHeight="1" x14ac:dyDescent="0.25">
      <c r="A136" s="418" t="s">
        <v>1060</v>
      </c>
      <c r="B136" s="273"/>
      <c r="C136" s="276">
        <v>17070</v>
      </c>
      <c r="D136" s="273" t="s">
        <v>508</v>
      </c>
      <c r="E136" s="274">
        <v>2</v>
      </c>
      <c r="F136" s="275" t="s">
        <v>523</v>
      </c>
      <c r="G136" s="275" t="s">
        <v>1446</v>
      </c>
      <c r="H136" s="275" t="s">
        <v>65</v>
      </c>
      <c r="I136" s="275" t="s">
        <v>820</v>
      </c>
      <c r="J136" s="275"/>
      <c r="K136" s="275"/>
      <c r="L136" s="275"/>
      <c r="M136" s="275"/>
      <c r="N136" s="275"/>
      <c r="O136" s="275"/>
      <c r="P136" s="275"/>
      <c r="Q136" s="275"/>
      <c r="R136" s="275"/>
      <c r="S136" s="275"/>
      <c r="T136" s="275"/>
      <c r="U136" s="275"/>
      <c r="V136" s="275"/>
      <c r="W136" s="388"/>
      <c r="X136" s="275"/>
      <c r="Y136" s="275" t="str">
        <f t="shared" si="63"/>
        <v/>
      </c>
      <c r="Z136" s="275" t="str">
        <f t="shared" si="64"/>
        <v/>
      </c>
      <c r="AA136" s="275" t="str">
        <f t="shared" si="65"/>
        <v/>
      </c>
      <c r="AB136" s="275" t="str">
        <f t="shared" si="66"/>
        <v/>
      </c>
      <c r="AC136" s="275" t="str">
        <f t="shared" si="67"/>
        <v/>
      </c>
      <c r="AD136" s="275" t="str">
        <f t="shared" si="68"/>
        <v/>
      </c>
      <c r="AE136" s="275" t="str">
        <f t="shared" si="69"/>
        <v/>
      </c>
      <c r="AF136" s="275" t="str">
        <f t="shared" si="70"/>
        <v/>
      </c>
      <c r="AG136" s="275" t="str">
        <f t="shared" si="71"/>
        <v/>
      </c>
      <c r="AH136" s="275" t="str">
        <f t="shared" si="72"/>
        <v/>
      </c>
      <c r="AI136" s="275" t="str">
        <f t="shared" si="73"/>
        <v/>
      </c>
      <c r="AJ136" s="275" t="str">
        <f t="shared" si="74"/>
        <v/>
      </c>
      <c r="AK136" s="275">
        <v>1</v>
      </c>
      <c r="AL136" s="277">
        <f t="shared" ca="1" si="75"/>
        <v>0</v>
      </c>
      <c r="AM136" s="277">
        <f t="shared" ca="1" si="76"/>
        <v>0</v>
      </c>
      <c r="AN136" s="277" t="str">
        <f ca="1">IF(AND(Tabla7[[#This Row],[UltLec]]&lt;&gt;0,Tabla7[[#This Row],[PenLect]]&lt;&gt;0),(AM136-AL136)*Tabla7[[#This Row],[RT]],"N/A")</f>
        <v>N/A</v>
      </c>
      <c r="AO136" s="393" t="s">
        <v>1160</v>
      </c>
      <c r="AP136" s="393" t="s">
        <v>1075</v>
      </c>
      <c r="AQ136" s="393" t="s">
        <v>1074</v>
      </c>
      <c r="AR136" s="275">
        <f t="shared" si="77"/>
        <v>0</v>
      </c>
      <c r="AT136" s="2" t="e">
        <f t="shared" ca="1" si="78"/>
        <v>#VALUE!</v>
      </c>
    </row>
    <row r="137" spans="1:46" ht="18" hidden="1" customHeight="1" x14ac:dyDescent="0.25">
      <c r="A137" s="291" t="s">
        <v>501</v>
      </c>
      <c r="B137" s="54"/>
      <c r="C137" s="368">
        <v>61560</v>
      </c>
      <c r="D137" s="54" t="s">
        <v>508</v>
      </c>
      <c r="E137" s="232">
        <v>39945</v>
      </c>
      <c r="F137" s="2" t="s">
        <v>517</v>
      </c>
      <c r="G137" s="2" t="s">
        <v>518</v>
      </c>
      <c r="H137" s="2"/>
      <c r="I137" s="2"/>
      <c r="J137" s="260">
        <v>1135</v>
      </c>
      <c r="K137" s="517">
        <v>1135</v>
      </c>
      <c r="L137" s="260"/>
      <c r="O137" s="260"/>
      <c r="P137" s="260"/>
      <c r="Q137" s="290"/>
      <c r="R137" s="260"/>
      <c r="S137" s="260"/>
      <c r="U137" s="260"/>
      <c r="V137" s="260"/>
      <c r="W137" s="387"/>
      <c r="X137" s="2"/>
      <c r="Y137" s="2">
        <f t="shared" si="63"/>
        <v>0</v>
      </c>
      <c r="Z137" s="2" t="str">
        <f t="shared" si="64"/>
        <v/>
      </c>
      <c r="AA137" s="2" t="str">
        <f t="shared" si="65"/>
        <v/>
      </c>
      <c r="AB137" s="2" t="str">
        <f t="shared" si="66"/>
        <v/>
      </c>
      <c r="AC137" s="2" t="str">
        <f t="shared" si="67"/>
        <v/>
      </c>
      <c r="AD137" s="260" t="str">
        <f t="shared" si="68"/>
        <v/>
      </c>
      <c r="AE137" s="2" t="str">
        <f t="shared" si="69"/>
        <v/>
      </c>
      <c r="AF137" s="2" t="str">
        <f t="shared" si="70"/>
        <v/>
      </c>
      <c r="AG137" s="2" t="str">
        <f t="shared" si="71"/>
        <v/>
      </c>
      <c r="AH137" s="2" t="str">
        <f t="shared" si="72"/>
        <v/>
      </c>
      <c r="AI137" s="2" t="str">
        <f t="shared" si="73"/>
        <v/>
      </c>
      <c r="AJ137" s="2" t="str">
        <f t="shared" si="74"/>
        <v/>
      </c>
      <c r="AK137" s="2">
        <v>1</v>
      </c>
      <c r="AL137" s="260">
        <f t="shared" ca="1" si="75"/>
        <v>0</v>
      </c>
      <c r="AM137" s="260">
        <f t="shared" ca="1" si="76"/>
        <v>0</v>
      </c>
      <c r="AN137" s="260" t="str">
        <f ca="1">IF(AND(Tabla7[[#This Row],[UltLec]]&lt;&gt;0,Tabla7[[#This Row],[PenLect]]&lt;&gt;0),(AM137-AL137)*Tabla7[[#This Row],[RT]],"N/A")</f>
        <v>N/A</v>
      </c>
      <c r="AO137" s="380" t="s">
        <v>1020</v>
      </c>
      <c r="AP137" s="380" t="s">
        <v>1075</v>
      </c>
      <c r="AQ137" s="380" t="s">
        <v>1074</v>
      </c>
      <c r="AR137" s="2">
        <f t="shared" si="77"/>
        <v>0</v>
      </c>
      <c r="AT137" s="2" t="e">
        <f t="shared" ca="1" si="78"/>
        <v>#VALUE!</v>
      </c>
    </row>
    <row r="138" spans="1:46" ht="18" hidden="1" customHeight="1" x14ac:dyDescent="0.25">
      <c r="A138" s="291" t="s">
        <v>501</v>
      </c>
      <c r="B138" s="54"/>
      <c r="C138" s="368">
        <v>57868732</v>
      </c>
      <c r="D138" s="54" t="s">
        <v>508</v>
      </c>
      <c r="E138" s="232">
        <v>39939</v>
      </c>
      <c r="F138" s="2" t="s">
        <v>515</v>
      </c>
      <c r="G138" s="2" t="s">
        <v>516</v>
      </c>
      <c r="H138" s="2"/>
      <c r="I138" s="2"/>
      <c r="J138" s="260">
        <v>14735</v>
      </c>
      <c r="K138" s="517">
        <v>14816</v>
      </c>
      <c r="L138" s="260"/>
      <c r="O138" s="260"/>
      <c r="P138" s="260"/>
      <c r="Q138" s="290"/>
      <c r="R138" s="260"/>
      <c r="S138" s="260"/>
      <c r="U138" s="260"/>
      <c r="V138" s="260"/>
      <c r="W138" s="387"/>
      <c r="X138" s="2"/>
      <c r="Y138" s="2">
        <f t="shared" si="63"/>
        <v>81</v>
      </c>
      <c r="Z138" s="2" t="str">
        <f t="shared" si="64"/>
        <v/>
      </c>
      <c r="AA138" s="2" t="str">
        <f t="shared" si="65"/>
        <v/>
      </c>
      <c r="AB138" s="2" t="str">
        <f t="shared" si="66"/>
        <v/>
      </c>
      <c r="AC138" s="2" t="str">
        <f t="shared" si="67"/>
        <v/>
      </c>
      <c r="AD138" s="260" t="str">
        <f t="shared" si="68"/>
        <v/>
      </c>
      <c r="AE138" s="2" t="str">
        <f t="shared" si="69"/>
        <v/>
      </c>
      <c r="AF138" s="2" t="str">
        <f t="shared" si="70"/>
        <v/>
      </c>
      <c r="AG138" s="2" t="str">
        <f t="shared" si="71"/>
        <v/>
      </c>
      <c r="AH138" s="2" t="str">
        <f t="shared" si="72"/>
        <v/>
      </c>
      <c r="AI138" s="2" t="str">
        <f t="shared" si="73"/>
        <v/>
      </c>
      <c r="AJ138" s="2" t="str">
        <f t="shared" si="74"/>
        <v/>
      </c>
      <c r="AK138" s="2">
        <v>1</v>
      </c>
      <c r="AL138" s="260">
        <f t="shared" ca="1" si="75"/>
        <v>0</v>
      </c>
      <c r="AM138" s="260">
        <f t="shared" ca="1" si="76"/>
        <v>0</v>
      </c>
      <c r="AN138" s="260" t="str">
        <f ca="1">IF(AND(Tabla7[[#This Row],[UltLec]]&lt;&gt;0,Tabla7[[#This Row],[PenLect]]&lt;&gt;0),(AM138-AL138)*Tabla7[[#This Row],[RT]],"N/A")</f>
        <v>N/A</v>
      </c>
      <c r="AO138" s="380" t="s">
        <v>1020</v>
      </c>
      <c r="AP138" s="380" t="s">
        <v>1075</v>
      </c>
      <c r="AQ138" s="380" t="s">
        <v>1074</v>
      </c>
      <c r="AR138" s="2">
        <f t="shared" si="77"/>
        <v>0</v>
      </c>
      <c r="AT138" s="2" t="e">
        <f t="shared" ca="1" si="78"/>
        <v>#VALUE!</v>
      </c>
    </row>
    <row r="139" spans="1:46" ht="18" hidden="1" customHeight="1" x14ac:dyDescent="0.25">
      <c r="A139" s="418" t="s">
        <v>1060</v>
      </c>
      <c r="B139" s="273"/>
      <c r="C139" s="367">
        <v>62079903</v>
      </c>
      <c r="D139" s="273" t="s">
        <v>508</v>
      </c>
      <c r="E139" s="274">
        <v>2</v>
      </c>
      <c r="F139" s="275" t="s">
        <v>1059</v>
      </c>
      <c r="G139" s="275" t="s">
        <v>1058</v>
      </c>
      <c r="H139" s="275" t="s">
        <v>1363</v>
      </c>
      <c r="I139" s="275"/>
      <c r="J139" s="277"/>
      <c r="K139" s="277"/>
      <c r="L139" s="277"/>
      <c r="M139" s="277"/>
      <c r="N139" s="277"/>
      <c r="O139" s="277"/>
      <c r="P139" s="277"/>
      <c r="Q139" s="277"/>
      <c r="R139" s="277"/>
      <c r="S139" s="277"/>
      <c r="T139" s="277"/>
      <c r="U139" s="277"/>
      <c r="V139" s="277"/>
      <c r="W139" s="277"/>
      <c r="X139" s="275"/>
      <c r="Y139" s="275" t="str">
        <f t="shared" si="63"/>
        <v/>
      </c>
      <c r="Z139" s="275" t="str">
        <f t="shared" si="64"/>
        <v/>
      </c>
      <c r="AA139" s="275" t="str">
        <f t="shared" si="65"/>
        <v/>
      </c>
      <c r="AB139" s="275" t="str">
        <f t="shared" si="66"/>
        <v/>
      </c>
      <c r="AC139" s="275" t="str">
        <f t="shared" si="67"/>
        <v/>
      </c>
      <c r="AD139" s="275" t="str">
        <f t="shared" si="68"/>
        <v/>
      </c>
      <c r="AE139" s="275" t="str">
        <f t="shared" si="69"/>
        <v/>
      </c>
      <c r="AF139" s="275" t="str">
        <f t="shared" si="70"/>
        <v/>
      </c>
      <c r="AG139" s="275" t="str">
        <f t="shared" si="71"/>
        <v/>
      </c>
      <c r="AH139" s="275" t="str">
        <f t="shared" si="72"/>
        <v/>
      </c>
      <c r="AI139" s="275" t="str">
        <f t="shared" si="73"/>
        <v/>
      </c>
      <c r="AJ139" s="275" t="str">
        <f t="shared" si="74"/>
        <v/>
      </c>
      <c r="AK139" s="275">
        <v>1</v>
      </c>
      <c r="AL139" s="277">
        <f t="shared" ca="1" si="75"/>
        <v>0</v>
      </c>
      <c r="AM139" s="277">
        <f t="shared" ca="1" si="76"/>
        <v>0</v>
      </c>
      <c r="AN139" s="277" t="str">
        <f ca="1">IF(AND(Tabla7[[#This Row],[UltLec]]&lt;&gt;0,Tabla7[[#This Row],[PenLect]]&lt;&gt;0),(AM139-AL139)*Tabla7[[#This Row],[RT]],"N/A")</f>
        <v>N/A</v>
      </c>
      <c r="AO139" s="393" t="s">
        <v>1160</v>
      </c>
      <c r="AP139" s="393" t="s">
        <v>1075</v>
      </c>
      <c r="AQ139" s="393" t="s">
        <v>1074</v>
      </c>
      <c r="AR139" s="275">
        <f t="shared" si="77"/>
        <v>0</v>
      </c>
      <c r="AT139" s="2" t="e">
        <f t="shared" ca="1" si="78"/>
        <v>#VALUE!</v>
      </c>
    </row>
    <row r="140" spans="1:46" ht="18" hidden="1" customHeight="1" x14ac:dyDescent="0.25">
      <c r="A140" s="407" t="s">
        <v>501</v>
      </c>
      <c r="B140" s="54"/>
      <c r="C140" s="410">
        <v>78126109</v>
      </c>
      <c r="D140" s="374" t="s">
        <v>508</v>
      </c>
      <c r="E140" s="232">
        <v>39582</v>
      </c>
      <c r="F140" s="384" t="s">
        <v>1082</v>
      </c>
      <c r="G140" s="2" t="s">
        <v>527</v>
      </c>
      <c r="H140" s="2"/>
      <c r="I140" s="2" t="s">
        <v>1083</v>
      </c>
      <c r="J140" s="260">
        <v>454909</v>
      </c>
      <c r="K140" s="260">
        <v>456241</v>
      </c>
      <c r="L140" s="260"/>
      <c r="O140" s="260"/>
      <c r="P140" s="260"/>
      <c r="Q140" s="290"/>
      <c r="R140" s="260"/>
      <c r="S140" s="260"/>
      <c r="U140" s="260"/>
      <c r="V140" s="260"/>
      <c r="W140" s="260"/>
      <c r="X140" s="2"/>
      <c r="Y140" s="2">
        <f t="shared" si="63"/>
        <v>1332</v>
      </c>
      <c r="Z140" s="2" t="str">
        <f t="shared" si="64"/>
        <v/>
      </c>
      <c r="AA140" s="2" t="str">
        <f t="shared" si="65"/>
        <v/>
      </c>
      <c r="AB140" s="2" t="str">
        <f t="shared" si="66"/>
        <v/>
      </c>
      <c r="AC140" s="2" t="str">
        <f t="shared" si="67"/>
        <v/>
      </c>
      <c r="AD140" s="260" t="str">
        <f t="shared" si="68"/>
        <v/>
      </c>
      <c r="AE140" s="2" t="str">
        <f t="shared" si="69"/>
        <v/>
      </c>
      <c r="AF140" s="2" t="str">
        <f t="shared" si="70"/>
        <v/>
      </c>
      <c r="AG140" s="2" t="str">
        <f t="shared" si="71"/>
        <v/>
      </c>
      <c r="AH140" s="2" t="str">
        <f t="shared" si="72"/>
        <v/>
      </c>
      <c r="AI140" s="2" t="str">
        <f t="shared" si="73"/>
        <v/>
      </c>
      <c r="AJ140" s="2" t="str">
        <f t="shared" si="74"/>
        <v/>
      </c>
      <c r="AK140" s="2">
        <v>1</v>
      </c>
      <c r="AL140" s="260">
        <f t="shared" ca="1" si="75"/>
        <v>0</v>
      </c>
      <c r="AM140" s="260">
        <f t="shared" ca="1" si="76"/>
        <v>0</v>
      </c>
      <c r="AN140" s="260" t="str">
        <f ca="1">IF(AND(Tabla7[[#This Row],[UltLec]]&lt;&gt;0,Tabla7[[#This Row],[PenLect]]&lt;&gt;0),(AM140-AL140)*Tabla7[[#This Row],[RT]],"N/A")</f>
        <v>N/A</v>
      </c>
      <c r="AO140" s="380" t="s">
        <v>1020</v>
      </c>
      <c r="AP140" s="380" t="s">
        <v>1075</v>
      </c>
      <c r="AQ140" s="380" t="s">
        <v>1074</v>
      </c>
      <c r="AR140" s="2">
        <f t="shared" si="77"/>
        <v>0</v>
      </c>
      <c r="AT140" s="2" t="e">
        <f t="shared" ca="1" si="78"/>
        <v>#VALUE!</v>
      </c>
    </row>
    <row r="141" spans="1:46" ht="18" hidden="1" customHeight="1" x14ac:dyDescent="0.25">
      <c r="A141" s="418" t="s">
        <v>1060</v>
      </c>
      <c r="B141" s="273"/>
      <c r="C141" s="367">
        <v>78126109</v>
      </c>
      <c r="D141" s="273" t="s">
        <v>508</v>
      </c>
      <c r="E141" s="274">
        <v>39919</v>
      </c>
      <c r="F141" s="275" t="s">
        <v>513</v>
      </c>
      <c r="G141" s="275" t="s">
        <v>514</v>
      </c>
      <c r="H141" s="275"/>
      <c r="I141" s="275" t="s">
        <v>1025</v>
      </c>
      <c r="J141" s="388"/>
      <c r="K141" s="277"/>
      <c r="L141" s="277"/>
      <c r="M141" s="277"/>
      <c r="N141" s="277"/>
      <c r="O141" s="277"/>
      <c r="P141" s="277"/>
      <c r="Q141" s="277"/>
      <c r="R141" s="275"/>
      <c r="S141" s="275"/>
      <c r="T141" s="275"/>
      <c r="U141" s="277"/>
      <c r="V141" s="388"/>
      <c r="W141" s="388"/>
      <c r="X141" s="275"/>
      <c r="Y141" s="275" t="str">
        <f t="shared" si="63"/>
        <v/>
      </c>
      <c r="Z141" s="275" t="str">
        <f t="shared" si="64"/>
        <v/>
      </c>
      <c r="AA141" s="275" t="str">
        <f t="shared" si="65"/>
        <v/>
      </c>
      <c r="AB141" s="275" t="str">
        <f t="shared" si="66"/>
        <v/>
      </c>
      <c r="AC141" s="275" t="str">
        <f t="shared" si="67"/>
        <v/>
      </c>
      <c r="AD141" s="275" t="str">
        <f t="shared" si="68"/>
        <v/>
      </c>
      <c r="AE141" s="275" t="str">
        <f t="shared" si="69"/>
        <v/>
      </c>
      <c r="AF141" s="275" t="str">
        <f t="shared" si="70"/>
        <v/>
      </c>
      <c r="AG141" s="275" t="str">
        <f t="shared" si="71"/>
        <v/>
      </c>
      <c r="AH141" s="275" t="str">
        <f t="shared" si="72"/>
        <v/>
      </c>
      <c r="AI141" s="275" t="str">
        <f t="shared" si="73"/>
        <v/>
      </c>
      <c r="AJ141" s="275" t="str">
        <f t="shared" si="74"/>
        <v/>
      </c>
      <c r="AK141" s="275">
        <v>1</v>
      </c>
      <c r="AL141" s="277">
        <f t="shared" ca="1" si="75"/>
        <v>0</v>
      </c>
      <c r="AM141" s="277">
        <f t="shared" ca="1" si="76"/>
        <v>0</v>
      </c>
      <c r="AN141" s="277" t="str">
        <f ca="1">IF(AND(Tabla7[[#This Row],[UltLec]]&lt;&gt;0,Tabla7[[#This Row],[PenLect]]&lt;&gt;0),(AM141-AL141)*Tabla7[[#This Row],[RT]],"N/A")</f>
        <v>N/A</v>
      </c>
      <c r="AO141" s="393" t="s">
        <v>1160</v>
      </c>
      <c r="AP141" s="275" t="s">
        <v>1075</v>
      </c>
      <c r="AQ141" s="275" t="s">
        <v>1074</v>
      </c>
      <c r="AR141" s="275">
        <f t="shared" si="77"/>
        <v>0</v>
      </c>
      <c r="AT141" s="2" t="e">
        <f t="shared" ca="1" si="78"/>
        <v>#VALUE!</v>
      </c>
    </row>
    <row r="142" spans="1:46" ht="18" hidden="1" customHeight="1" x14ac:dyDescent="0.25">
      <c r="A142" s="291" t="s">
        <v>501</v>
      </c>
      <c r="B142" s="54"/>
      <c r="C142" s="368">
        <v>99561366</v>
      </c>
      <c r="D142" s="54" t="s">
        <v>508</v>
      </c>
      <c r="E142" s="232">
        <v>39960</v>
      </c>
      <c r="F142" s="2" t="s">
        <v>1688</v>
      </c>
      <c r="G142" s="2" t="s">
        <v>1603</v>
      </c>
      <c r="H142" s="2" t="s">
        <v>1689</v>
      </c>
      <c r="I142" s="2" t="s">
        <v>1687</v>
      </c>
      <c r="J142" s="260">
        <v>61682</v>
      </c>
      <c r="K142" s="260">
        <v>63623</v>
      </c>
      <c r="L142" s="260"/>
      <c r="O142" s="260"/>
      <c r="P142" s="260"/>
      <c r="Q142" s="290"/>
      <c r="R142" s="260"/>
      <c r="S142" s="260"/>
      <c r="U142" s="260"/>
      <c r="V142" s="260"/>
      <c r="W142" s="260"/>
      <c r="X142" s="2"/>
      <c r="Y142" s="2">
        <f t="shared" si="63"/>
        <v>1941</v>
      </c>
      <c r="Z142" s="2" t="str">
        <f t="shared" si="64"/>
        <v/>
      </c>
      <c r="AA142" s="2" t="str">
        <f t="shared" si="65"/>
        <v/>
      </c>
      <c r="AB142" s="2" t="str">
        <f t="shared" si="66"/>
        <v/>
      </c>
      <c r="AC142" s="2" t="str">
        <f t="shared" si="67"/>
        <v/>
      </c>
      <c r="AD142" s="260" t="str">
        <f t="shared" si="68"/>
        <v/>
      </c>
      <c r="AE142" s="2" t="str">
        <f t="shared" si="69"/>
        <v/>
      </c>
      <c r="AF142" s="2" t="str">
        <f t="shared" si="70"/>
        <v/>
      </c>
      <c r="AG142" s="2" t="str">
        <f t="shared" si="71"/>
        <v/>
      </c>
      <c r="AH142" s="2" t="str">
        <f t="shared" si="72"/>
        <v/>
      </c>
      <c r="AI142" s="2" t="str">
        <f t="shared" si="73"/>
        <v/>
      </c>
      <c r="AJ142" s="2" t="str">
        <f t="shared" si="74"/>
        <v/>
      </c>
      <c r="AK142" s="2">
        <v>1</v>
      </c>
      <c r="AL142" s="260">
        <f t="shared" ca="1" si="75"/>
        <v>0</v>
      </c>
      <c r="AM142" s="260">
        <f t="shared" ca="1" si="76"/>
        <v>0</v>
      </c>
      <c r="AN142" s="260" t="str">
        <f ca="1">IF(AND(Tabla7[[#This Row],[UltLec]]&lt;&gt;0,Tabla7[[#This Row],[PenLect]]&lt;&gt;0),(AM142-AL142)*Tabla7[[#This Row],[RT]],"N/A")</f>
        <v>N/A</v>
      </c>
      <c r="AO142" s="380" t="s">
        <v>1020</v>
      </c>
      <c r="AP142" s="380" t="s">
        <v>1075</v>
      </c>
      <c r="AQ142" s="380" t="s">
        <v>1074</v>
      </c>
      <c r="AR142" s="2">
        <f t="shared" si="77"/>
        <v>0</v>
      </c>
      <c r="AT142" s="2" t="e">
        <f t="shared" ca="1" si="78"/>
        <v>#VALUE!</v>
      </c>
    </row>
    <row r="143" spans="1:46" ht="18" hidden="1" customHeight="1" x14ac:dyDescent="0.25">
      <c r="A143" s="418" t="s">
        <v>1060</v>
      </c>
      <c r="B143" s="273"/>
      <c r="C143" s="367">
        <v>99561366</v>
      </c>
      <c r="D143" s="273" t="s">
        <v>508</v>
      </c>
      <c r="E143" s="274">
        <v>39966</v>
      </c>
      <c r="F143" s="275" t="s">
        <v>485</v>
      </c>
      <c r="G143" s="275" t="s">
        <v>514</v>
      </c>
      <c r="H143" s="275" t="s">
        <v>1611</v>
      </c>
      <c r="I143" s="275" t="s">
        <v>818</v>
      </c>
      <c r="J143" s="388"/>
      <c r="K143" s="277"/>
      <c r="L143" s="277"/>
      <c r="M143" s="277"/>
      <c r="N143" s="277"/>
      <c r="O143" s="277"/>
      <c r="P143" s="277"/>
      <c r="Q143" s="277"/>
      <c r="R143" s="388"/>
      <c r="S143" s="277"/>
      <c r="T143" s="277"/>
      <c r="U143" s="277"/>
      <c r="V143" s="388"/>
      <c r="W143" s="277"/>
      <c r="X143" s="277"/>
      <c r="Y143" s="277" t="str">
        <f t="shared" si="63"/>
        <v/>
      </c>
      <c r="Z143" s="388" t="str">
        <f t="shared" si="64"/>
        <v/>
      </c>
      <c r="AA143" s="277" t="str">
        <f t="shared" si="65"/>
        <v/>
      </c>
      <c r="AB143" s="277" t="str">
        <f t="shared" si="66"/>
        <v/>
      </c>
      <c r="AC143" s="277" t="str">
        <f t="shared" si="67"/>
        <v/>
      </c>
      <c r="AD143" s="388" t="str">
        <f t="shared" si="68"/>
        <v/>
      </c>
      <c r="AE143" s="277" t="str">
        <f t="shared" si="69"/>
        <v/>
      </c>
      <c r="AF143" s="277" t="str">
        <f t="shared" si="70"/>
        <v/>
      </c>
      <c r="AG143" s="277" t="str">
        <f t="shared" si="71"/>
        <v/>
      </c>
      <c r="AH143" s="388" t="str">
        <f t="shared" si="72"/>
        <v/>
      </c>
      <c r="AI143" s="277" t="str">
        <f t="shared" si="73"/>
        <v/>
      </c>
      <c r="AJ143" s="277" t="str">
        <f t="shared" si="74"/>
        <v/>
      </c>
      <c r="AK143" s="277">
        <v>1</v>
      </c>
      <c r="AL143" s="388">
        <f t="shared" ca="1" si="75"/>
        <v>0</v>
      </c>
      <c r="AM143" s="277">
        <f t="shared" ca="1" si="76"/>
        <v>0</v>
      </c>
      <c r="AN143" s="277" t="str">
        <f ca="1">IF(AND(Tabla7[[#This Row],[UltLec]]&lt;&gt;0,Tabla7[[#This Row],[PenLect]]&lt;&gt;0),(AM143-AL143)*Tabla7[[#This Row],[RT]],"N/A")</f>
        <v>N/A</v>
      </c>
      <c r="AO143" s="277" t="s">
        <v>1160</v>
      </c>
      <c r="AP143" s="347" t="s">
        <v>1075</v>
      </c>
      <c r="AQ143" s="277" t="s">
        <v>1074</v>
      </c>
      <c r="AR143" s="277">
        <f t="shared" si="77"/>
        <v>0</v>
      </c>
      <c r="AT143" s="2" t="e">
        <f t="shared" ca="1" si="78"/>
        <v>#VALUE!</v>
      </c>
    </row>
    <row r="144" spans="1:46" ht="18" hidden="1" customHeight="1" x14ac:dyDescent="0.25">
      <c r="A144" s="291" t="s">
        <v>501</v>
      </c>
      <c r="B144" s="54"/>
      <c r="C144" s="368">
        <v>99561370</v>
      </c>
      <c r="D144" s="54" t="s">
        <v>508</v>
      </c>
      <c r="E144" s="232">
        <v>39376</v>
      </c>
      <c r="F144" s="384" t="s">
        <v>1082</v>
      </c>
      <c r="G144" s="2"/>
      <c r="H144" s="2" t="s">
        <v>1161</v>
      </c>
      <c r="I144" s="2" t="s">
        <v>1083</v>
      </c>
      <c r="J144" s="260">
        <v>218217</v>
      </c>
      <c r="K144" s="260">
        <v>218217</v>
      </c>
      <c r="L144" s="260"/>
      <c r="O144" s="260"/>
      <c r="P144" s="260"/>
      <c r="Q144" s="290"/>
      <c r="R144" s="260"/>
      <c r="S144" s="260"/>
      <c r="U144" s="260"/>
      <c r="V144" s="260"/>
      <c r="W144" s="260"/>
      <c r="X144" s="2"/>
      <c r="Y144" s="2">
        <f t="shared" si="63"/>
        <v>0</v>
      </c>
      <c r="Z144" s="2" t="str">
        <f t="shared" si="64"/>
        <v/>
      </c>
      <c r="AA144" s="2" t="str">
        <f t="shared" si="65"/>
        <v/>
      </c>
      <c r="AB144" s="2" t="str">
        <f t="shared" si="66"/>
        <v/>
      </c>
      <c r="AC144" s="2" t="str">
        <f t="shared" si="67"/>
        <v/>
      </c>
      <c r="AD144" s="260" t="str">
        <f t="shared" si="68"/>
        <v/>
      </c>
      <c r="AE144" s="2" t="str">
        <f t="shared" si="69"/>
        <v/>
      </c>
      <c r="AF144" s="2" t="str">
        <f t="shared" si="70"/>
        <v/>
      </c>
      <c r="AG144" s="2" t="str">
        <f t="shared" si="71"/>
        <v/>
      </c>
      <c r="AH144" s="2" t="str">
        <f t="shared" si="72"/>
        <v/>
      </c>
      <c r="AI144" s="2" t="str">
        <f t="shared" si="73"/>
        <v/>
      </c>
      <c r="AJ144" s="2" t="str">
        <f t="shared" si="74"/>
        <v/>
      </c>
      <c r="AK144" s="2">
        <v>1</v>
      </c>
      <c r="AL144" s="260">
        <f t="shared" ca="1" si="75"/>
        <v>0</v>
      </c>
      <c r="AM144" s="260">
        <f t="shared" ca="1" si="76"/>
        <v>0</v>
      </c>
      <c r="AN144" s="260" t="str">
        <f ca="1">IF(AND(Tabla7[[#This Row],[UltLec]]&lt;&gt;0,Tabla7[[#This Row],[PenLect]]&lt;&gt;0),(AM144-AL144)*Tabla7[[#This Row],[RT]],"N/A")</f>
        <v>N/A</v>
      </c>
      <c r="AO144" s="380" t="s">
        <v>1020</v>
      </c>
      <c r="AP144" s="380" t="s">
        <v>1075</v>
      </c>
      <c r="AQ144" s="380" t="s">
        <v>1074</v>
      </c>
      <c r="AR144" s="2">
        <f t="shared" si="77"/>
        <v>0</v>
      </c>
      <c r="AT144" s="2" t="e">
        <f t="shared" ca="1" si="78"/>
        <v>#VALUE!</v>
      </c>
    </row>
    <row r="145" spans="1:46" ht="18" hidden="1" customHeight="1" x14ac:dyDescent="0.25">
      <c r="A145" s="418" t="s">
        <v>1060</v>
      </c>
      <c r="B145" s="273"/>
      <c r="C145" s="367">
        <v>99561370</v>
      </c>
      <c r="D145" s="273" t="s">
        <v>508</v>
      </c>
      <c r="E145" s="274">
        <v>39967</v>
      </c>
      <c r="F145" s="275" t="s">
        <v>513</v>
      </c>
      <c r="G145" s="275" t="s">
        <v>519</v>
      </c>
      <c r="H145" s="275"/>
      <c r="I145" s="275" t="s">
        <v>1025</v>
      </c>
      <c r="J145" s="388"/>
      <c r="K145" s="277"/>
      <c r="L145" s="277"/>
      <c r="M145" s="277"/>
      <c r="N145" s="277"/>
      <c r="O145" s="277"/>
      <c r="P145" s="277"/>
      <c r="Q145" s="275"/>
      <c r="R145" s="275"/>
      <c r="S145" s="275"/>
      <c r="T145" s="275"/>
      <c r="U145" s="277"/>
      <c r="V145" s="388"/>
      <c r="W145" s="388"/>
      <c r="X145" s="275"/>
      <c r="Y145" s="275" t="str">
        <f t="shared" si="63"/>
        <v/>
      </c>
      <c r="Z145" s="275" t="str">
        <f t="shared" si="64"/>
        <v/>
      </c>
      <c r="AA145" s="275" t="str">
        <f t="shared" si="65"/>
        <v/>
      </c>
      <c r="AB145" s="275" t="str">
        <f t="shared" si="66"/>
        <v/>
      </c>
      <c r="AC145" s="275" t="str">
        <f t="shared" si="67"/>
        <v/>
      </c>
      <c r="AD145" s="275" t="str">
        <f t="shared" si="68"/>
        <v/>
      </c>
      <c r="AE145" s="275" t="str">
        <f t="shared" si="69"/>
        <v/>
      </c>
      <c r="AF145" s="275" t="str">
        <f t="shared" si="70"/>
        <v/>
      </c>
      <c r="AG145" s="275" t="str">
        <f t="shared" si="71"/>
        <v/>
      </c>
      <c r="AH145" s="275" t="str">
        <f t="shared" si="72"/>
        <v/>
      </c>
      <c r="AI145" s="275" t="str">
        <f t="shared" si="73"/>
        <v/>
      </c>
      <c r="AJ145" s="275" t="str">
        <f t="shared" si="74"/>
        <v/>
      </c>
      <c r="AK145" s="275">
        <v>1</v>
      </c>
      <c r="AL145" s="277">
        <f t="shared" ca="1" si="75"/>
        <v>0</v>
      </c>
      <c r="AM145" s="277">
        <f t="shared" ca="1" si="76"/>
        <v>0</v>
      </c>
      <c r="AN145" s="277" t="str">
        <f ca="1">IF(AND(Tabla7[[#This Row],[UltLec]]&lt;&gt;0,Tabla7[[#This Row],[PenLect]]&lt;&gt;0),(AM145-AL145)*Tabla7[[#This Row],[RT]],"N/A")</f>
        <v>N/A</v>
      </c>
      <c r="AO145" s="393" t="s">
        <v>1160</v>
      </c>
      <c r="AP145" s="275" t="s">
        <v>1075</v>
      </c>
      <c r="AQ145" s="275" t="s">
        <v>1074</v>
      </c>
      <c r="AR145" s="275">
        <f t="shared" si="77"/>
        <v>0</v>
      </c>
      <c r="AT145" s="2" t="e">
        <f t="shared" ca="1" si="78"/>
        <v>#VALUE!</v>
      </c>
    </row>
    <row r="146" spans="1:46" ht="18" hidden="1" customHeight="1" x14ac:dyDescent="0.25">
      <c r="A146" s="407" t="s">
        <v>501</v>
      </c>
      <c r="B146" s="54"/>
      <c r="C146" s="410">
        <v>106230738</v>
      </c>
      <c r="D146" s="374" t="s">
        <v>508</v>
      </c>
      <c r="E146" s="375">
        <v>39354</v>
      </c>
      <c r="F146" s="2" t="s">
        <v>509</v>
      </c>
      <c r="G146" s="2" t="s">
        <v>510</v>
      </c>
      <c r="H146" s="2"/>
      <c r="I146" s="2"/>
      <c r="J146" s="260">
        <v>84244</v>
      </c>
      <c r="K146" s="260">
        <v>84244</v>
      </c>
      <c r="L146" s="260"/>
      <c r="O146" s="260"/>
      <c r="P146" s="260"/>
      <c r="Q146" s="290"/>
      <c r="R146" s="260"/>
      <c r="S146" s="260"/>
      <c r="U146" s="260"/>
      <c r="V146" s="260"/>
      <c r="W146" s="387"/>
      <c r="X146" s="2"/>
      <c r="Y146" s="2">
        <f t="shared" si="63"/>
        <v>0</v>
      </c>
      <c r="Z146" s="2" t="str">
        <f t="shared" si="64"/>
        <v/>
      </c>
      <c r="AA146" s="2" t="str">
        <f t="shared" si="65"/>
        <v/>
      </c>
      <c r="AB146" s="2" t="str">
        <f t="shared" si="66"/>
        <v/>
      </c>
      <c r="AC146" s="2" t="str">
        <f t="shared" si="67"/>
        <v/>
      </c>
      <c r="AD146" s="260" t="str">
        <f t="shared" si="68"/>
        <v/>
      </c>
      <c r="AE146" s="2" t="str">
        <f t="shared" si="69"/>
        <v/>
      </c>
      <c r="AF146" s="2" t="str">
        <f t="shared" si="70"/>
        <v/>
      </c>
      <c r="AG146" s="2" t="str">
        <f t="shared" si="71"/>
        <v/>
      </c>
      <c r="AH146" s="2" t="str">
        <f t="shared" si="72"/>
        <v/>
      </c>
      <c r="AI146" s="2" t="str">
        <f t="shared" si="73"/>
        <v/>
      </c>
      <c r="AJ146" s="2" t="str">
        <f t="shared" si="74"/>
        <v/>
      </c>
      <c r="AK146" s="2">
        <v>1</v>
      </c>
      <c r="AL146" s="260">
        <f t="shared" ca="1" si="75"/>
        <v>0</v>
      </c>
      <c r="AM146" s="260">
        <f t="shared" ca="1" si="76"/>
        <v>0</v>
      </c>
      <c r="AN146" s="260" t="str">
        <f ca="1">IF(AND(Tabla7[[#This Row],[UltLec]]&lt;&gt;0,Tabla7[[#This Row],[PenLect]]&lt;&gt;0),(AM146-AL146)*Tabla7[[#This Row],[RT]],"N/A")</f>
        <v>N/A</v>
      </c>
      <c r="AO146" s="380" t="s">
        <v>1020</v>
      </c>
      <c r="AP146" s="2" t="s">
        <v>1075</v>
      </c>
      <c r="AQ146" s="2" t="s">
        <v>1074</v>
      </c>
      <c r="AR146" s="2">
        <f t="shared" si="77"/>
        <v>0</v>
      </c>
      <c r="AT146" s="2" t="e">
        <f t="shared" ca="1" si="78"/>
        <v>#VALUE!</v>
      </c>
    </row>
    <row r="147" spans="1:46" ht="18" hidden="1" customHeight="1" x14ac:dyDescent="0.25">
      <c r="A147" s="418" t="s">
        <v>1060</v>
      </c>
      <c r="B147" s="273"/>
      <c r="C147" s="367" t="s">
        <v>1240</v>
      </c>
      <c r="D147" s="273" t="s">
        <v>508</v>
      </c>
      <c r="E147" s="274">
        <v>39510</v>
      </c>
      <c r="F147" s="275" t="s">
        <v>1082</v>
      </c>
      <c r="G147" s="275" t="s">
        <v>1242</v>
      </c>
      <c r="H147" s="275" t="s">
        <v>1567</v>
      </c>
      <c r="I147" s="275"/>
      <c r="J147" s="388"/>
      <c r="K147" s="277"/>
      <c r="L147" s="277"/>
      <c r="M147" s="277"/>
      <c r="N147" s="277"/>
      <c r="O147" s="277"/>
      <c r="P147" s="277"/>
      <c r="Q147" s="275"/>
      <c r="R147" s="275"/>
      <c r="S147" s="275"/>
      <c r="T147" s="275"/>
      <c r="U147" s="277"/>
      <c r="V147" s="388"/>
      <c r="W147" s="388"/>
      <c r="X147" s="275"/>
      <c r="Y147" s="275" t="str">
        <f t="shared" si="63"/>
        <v/>
      </c>
      <c r="Z147" s="275" t="str">
        <f t="shared" si="64"/>
        <v/>
      </c>
      <c r="AA147" s="275" t="str">
        <f t="shared" si="65"/>
        <v/>
      </c>
      <c r="AB147" s="275" t="str">
        <f t="shared" si="66"/>
        <v/>
      </c>
      <c r="AC147" s="275" t="str">
        <f t="shared" si="67"/>
        <v/>
      </c>
      <c r="AD147" s="275" t="str">
        <f t="shared" si="68"/>
        <v/>
      </c>
      <c r="AE147" s="275" t="str">
        <f t="shared" si="69"/>
        <v/>
      </c>
      <c r="AF147" s="275" t="str">
        <f t="shared" si="70"/>
        <v/>
      </c>
      <c r="AG147" s="275" t="str">
        <f t="shared" si="71"/>
        <v/>
      </c>
      <c r="AH147" s="275" t="str">
        <f t="shared" si="72"/>
        <v/>
      </c>
      <c r="AI147" s="275" t="str">
        <f t="shared" si="73"/>
        <v/>
      </c>
      <c r="AJ147" s="275" t="str">
        <f t="shared" si="74"/>
        <v/>
      </c>
      <c r="AK147" s="275">
        <v>1</v>
      </c>
      <c r="AL147" s="277">
        <f t="shared" ca="1" si="75"/>
        <v>0</v>
      </c>
      <c r="AM147" s="277">
        <f t="shared" ca="1" si="76"/>
        <v>0</v>
      </c>
      <c r="AN147" s="277" t="str">
        <f ca="1">IF(AND(Tabla7[[#This Row],[UltLec]]&lt;&gt;0,Tabla7[[#This Row],[PenLect]]&lt;&gt;0),(AM147-AL147)*Tabla7[[#This Row],[RT]],"N/A")</f>
        <v>N/A</v>
      </c>
      <c r="AO147" s="393" t="s">
        <v>1160</v>
      </c>
      <c r="AP147" s="275" t="s">
        <v>1075</v>
      </c>
      <c r="AQ147" s="275"/>
      <c r="AR147" s="275">
        <f t="shared" si="77"/>
        <v>0</v>
      </c>
      <c r="AT147" s="2" t="e">
        <f t="shared" ca="1" si="78"/>
        <v>#VALUE!</v>
      </c>
    </row>
    <row r="148" spans="1:46" ht="18" hidden="1" customHeight="1" x14ac:dyDescent="0.25">
      <c r="A148" s="291" t="s">
        <v>501</v>
      </c>
      <c r="B148" s="54"/>
      <c r="C148" s="435" t="s">
        <v>1447</v>
      </c>
      <c r="D148" s="54" t="s">
        <v>508</v>
      </c>
      <c r="E148" s="232">
        <v>2</v>
      </c>
      <c r="F148" s="2" t="s">
        <v>523</v>
      </c>
      <c r="G148" s="2"/>
      <c r="H148" s="2" t="s">
        <v>1448</v>
      </c>
      <c r="I148" s="2"/>
      <c r="J148" s="260">
        <v>4421</v>
      </c>
      <c r="K148" s="260">
        <v>4818</v>
      </c>
      <c r="L148" s="260"/>
      <c r="O148" s="260"/>
      <c r="P148" s="260"/>
      <c r="Q148" s="290"/>
      <c r="R148" s="260"/>
      <c r="S148" s="260"/>
      <c r="U148" s="260"/>
      <c r="V148" s="260"/>
      <c r="W148" s="2"/>
      <c r="X148" s="2"/>
      <c r="Y148" s="2">
        <f t="shared" si="63"/>
        <v>397</v>
      </c>
      <c r="Z148" s="2" t="str">
        <f t="shared" si="64"/>
        <v/>
      </c>
      <c r="AA148" s="2" t="str">
        <f t="shared" si="65"/>
        <v/>
      </c>
      <c r="AB148" s="2" t="str">
        <f t="shared" si="66"/>
        <v/>
      </c>
      <c r="AC148" s="2" t="str">
        <f t="shared" si="67"/>
        <v/>
      </c>
      <c r="AD148" s="260" t="str">
        <f t="shared" si="68"/>
        <v/>
      </c>
      <c r="AE148" s="2" t="str">
        <f t="shared" si="69"/>
        <v/>
      </c>
      <c r="AF148" s="2" t="str">
        <f t="shared" si="70"/>
        <v/>
      </c>
      <c r="AG148" s="2" t="str">
        <f t="shared" si="71"/>
        <v/>
      </c>
      <c r="AH148" s="2" t="str">
        <f t="shared" si="72"/>
        <v/>
      </c>
      <c r="AI148" s="2" t="str">
        <f t="shared" si="73"/>
        <v/>
      </c>
      <c r="AJ148" s="2" t="str">
        <f t="shared" si="74"/>
        <v/>
      </c>
      <c r="AK148" s="2">
        <v>1</v>
      </c>
      <c r="AL148" s="260">
        <f t="shared" ca="1" si="75"/>
        <v>0</v>
      </c>
      <c r="AM148" s="260">
        <f t="shared" ca="1" si="76"/>
        <v>0</v>
      </c>
      <c r="AN148" s="260" t="str">
        <f ca="1">IF(AND(Tabla7[[#This Row],[UltLec]]&lt;&gt;0,Tabla7[[#This Row],[PenLect]]&lt;&gt;0),(AM148-AL148)*Tabla7[[#This Row],[RT]],"N/A")</f>
        <v>N/A</v>
      </c>
      <c r="AO148" s="380" t="s">
        <v>1020</v>
      </c>
      <c r="AP148" s="380" t="s">
        <v>1075</v>
      </c>
      <c r="AQ148" s="380" t="s">
        <v>1074</v>
      </c>
      <c r="AR148" s="2">
        <f t="shared" si="77"/>
        <v>0</v>
      </c>
      <c r="AT148" s="2" t="e">
        <f t="shared" ca="1" si="78"/>
        <v>#VALUE!</v>
      </c>
    </row>
    <row r="149" spans="1:46" ht="18" hidden="1" customHeight="1" x14ac:dyDescent="0.25">
      <c r="A149" s="418" t="s">
        <v>1060</v>
      </c>
      <c r="B149" s="273"/>
      <c r="C149" s="276" t="s">
        <v>1026</v>
      </c>
      <c r="D149" s="273" t="s">
        <v>508</v>
      </c>
      <c r="E149" s="274">
        <v>2</v>
      </c>
      <c r="F149" s="393" t="s">
        <v>520</v>
      </c>
      <c r="G149" s="393" t="s">
        <v>521</v>
      </c>
      <c r="H149" s="393" t="s">
        <v>1027</v>
      </c>
      <c r="I149" s="393"/>
      <c r="J149" s="393"/>
      <c r="K149" s="393"/>
      <c r="L149" s="393"/>
      <c r="M149" s="393"/>
      <c r="N149" s="393"/>
      <c r="O149" s="393"/>
      <c r="P149" s="393"/>
      <c r="Q149" s="393"/>
      <c r="R149" s="393"/>
      <c r="S149" s="393"/>
      <c r="T149" s="393"/>
      <c r="U149" s="393"/>
      <c r="V149" s="393"/>
      <c r="W149" s="393"/>
      <c r="X149" s="393"/>
      <c r="Y149" s="393" t="str">
        <f t="shared" si="63"/>
        <v/>
      </c>
      <c r="Z149" s="393" t="str">
        <f t="shared" si="64"/>
        <v/>
      </c>
      <c r="AA149" s="393" t="str">
        <f t="shared" si="65"/>
        <v/>
      </c>
      <c r="AB149" s="393" t="str">
        <f t="shared" si="66"/>
        <v/>
      </c>
      <c r="AC149" s="393" t="str">
        <f t="shared" si="67"/>
        <v/>
      </c>
      <c r="AD149" s="393" t="str">
        <f t="shared" si="68"/>
        <v/>
      </c>
      <c r="AE149" s="393" t="str">
        <f t="shared" si="69"/>
        <v/>
      </c>
      <c r="AF149" s="393" t="str">
        <f t="shared" si="70"/>
        <v/>
      </c>
      <c r="AG149" s="393" t="str">
        <f t="shared" si="71"/>
        <v/>
      </c>
      <c r="AH149" s="393" t="str">
        <f t="shared" si="72"/>
        <v/>
      </c>
      <c r="AI149" s="393" t="str">
        <f t="shared" si="73"/>
        <v/>
      </c>
      <c r="AJ149" s="393" t="str">
        <f t="shared" si="74"/>
        <v/>
      </c>
      <c r="AK149" s="393">
        <v>1</v>
      </c>
      <c r="AL149" s="394">
        <f t="shared" ca="1" si="75"/>
        <v>0</v>
      </c>
      <c r="AM149" s="394">
        <f t="shared" ca="1" si="76"/>
        <v>0</v>
      </c>
      <c r="AN149" s="394" t="str">
        <f ca="1">IF(AND(Tabla7[[#This Row],[UltLec]]&lt;&gt;0,Tabla7[[#This Row],[PenLect]]&lt;&gt;0),(AM149-AL149)*Tabla7[[#This Row],[RT]],"N/A")</f>
        <v>N/A</v>
      </c>
      <c r="AO149" s="393" t="s">
        <v>1160</v>
      </c>
      <c r="AP149" s="393" t="s">
        <v>1075</v>
      </c>
      <c r="AQ149" s="393" t="s">
        <v>1074</v>
      </c>
      <c r="AR149" s="393">
        <f t="shared" si="77"/>
        <v>0</v>
      </c>
      <c r="AT149" s="2" t="e">
        <f t="shared" ca="1" si="78"/>
        <v>#VALUE!</v>
      </c>
    </row>
    <row r="150" spans="1:46" ht="18" hidden="1" customHeight="1" x14ac:dyDescent="0.25">
      <c r="A150" s="407" t="s">
        <v>501</v>
      </c>
      <c r="B150" s="54"/>
      <c r="C150" s="435" t="s">
        <v>1559</v>
      </c>
      <c r="D150" s="468" t="s">
        <v>508</v>
      </c>
      <c r="E150" s="232">
        <v>2</v>
      </c>
      <c r="F150" s="469" t="s">
        <v>1558</v>
      </c>
      <c r="G150" s="2" t="s">
        <v>1558</v>
      </c>
      <c r="H150" s="299" t="s">
        <v>1560</v>
      </c>
      <c r="I150" s="2" t="s">
        <v>1566</v>
      </c>
      <c r="J150" s="260">
        <v>322057</v>
      </c>
      <c r="K150" s="260">
        <v>328819</v>
      </c>
      <c r="L150" s="260"/>
      <c r="O150" s="260"/>
      <c r="P150" s="260"/>
      <c r="Q150" s="290"/>
      <c r="R150" s="260"/>
      <c r="S150" s="260"/>
      <c r="U150" s="260"/>
      <c r="V150" s="260"/>
      <c r="W150" s="260"/>
      <c r="X150" s="2"/>
      <c r="Y150" s="2">
        <f t="shared" si="63"/>
        <v>6762</v>
      </c>
      <c r="Z150" s="2" t="str">
        <f t="shared" si="64"/>
        <v/>
      </c>
      <c r="AA150" s="2" t="str">
        <f t="shared" si="65"/>
        <v/>
      </c>
      <c r="AB150" s="2" t="str">
        <f t="shared" si="66"/>
        <v/>
      </c>
      <c r="AC150" s="2" t="str">
        <f t="shared" si="67"/>
        <v/>
      </c>
      <c r="AD150" s="260" t="str">
        <f t="shared" si="68"/>
        <v/>
      </c>
      <c r="AE150" s="2" t="str">
        <f t="shared" si="69"/>
        <v/>
      </c>
      <c r="AF150" s="2" t="str">
        <f t="shared" si="70"/>
        <v/>
      </c>
      <c r="AG150" s="2" t="str">
        <f t="shared" si="71"/>
        <v/>
      </c>
      <c r="AH150" s="2" t="str">
        <f t="shared" si="72"/>
        <v/>
      </c>
      <c r="AI150" s="2" t="str">
        <f t="shared" si="73"/>
        <v/>
      </c>
      <c r="AJ150" s="2" t="str">
        <f t="shared" si="74"/>
        <v/>
      </c>
      <c r="AK150" s="2">
        <v>1</v>
      </c>
      <c r="AL150" s="260">
        <f t="shared" ca="1" si="75"/>
        <v>0</v>
      </c>
      <c r="AM150" s="260">
        <f t="shared" ca="1" si="76"/>
        <v>0</v>
      </c>
      <c r="AN150" s="260" t="str">
        <f ca="1">IF(AND(Tabla7[[#This Row],[UltLec]]&lt;&gt;0,Tabla7[[#This Row],[PenLect]]&lt;&gt;0),(AM150-AL150)*Tabla7[[#This Row],[RT]],"N/A")</f>
        <v>N/A</v>
      </c>
      <c r="AO150" s="380" t="s">
        <v>1020</v>
      </c>
      <c r="AP150" s="380" t="s">
        <v>1075</v>
      </c>
      <c r="AQ150" s="380" t="s">
        <v>1074</v>
      </c>
      <c r="AR150" s="2">
        <f t="shared" si="77"/>
        <v>0</v>
      </c>
      <c r="AT150" s="2" t="e">
        <f t="shared" ca="1" si="78"/>
        <v>#VALUE!</v>
      </c>
    </row>
    <row r="151" spans="1:46" ht="18" hidden="1" customHeight="1" x14ac:dyDescent="0.25">
      <c r="A151" s="408" t="s">
        <v>501</v>
      </c>
      <c r="B151" s="262"/>
      <c r="C151" s="266" t="s">
        <v>380</v>
      </c>
      <c r="D151" s="262" t="s">
        <v>508</v>
      </c>
      <c r="E151" s="235">
        <v>39901</v>
      </c>
      <c r="F151" s="371" t="s">
        <v>511</v>
      </c>
      <c r="G151" s="371" t="s">
        <v>512</v>
      </c>
      <c r="H151" s="371"/>
      <c r="I151" s="371"/>
      <c r="J151" s="341">
        <v>1165537</v>
      </c>
      <c r="K151" s="341">
        <v>168901</v>
      </c>
      <c r="L151" s="341"/>
      <c r="M151" s="341"/>
      <c r="N151" s="341"/>
      <c r="O151" s="341"/>
      <c r="P151" s="341"/>
      <c r="Q151" s="432"/>
      <c r="R151" s="341"/>
      <c r="S151" s="341"/>
      <c r="T151" s="341"/>
      <c r="U151" s="341"/>
      <c r="V151" s="341"/>
      <c r="W151" s="422"/>
      <c r="X151" s="371"/>
      <c r="Y151" s="371" t="str">
        <f t="shared" si="63"/>
        <v>!!!!</v>
      </c>
      <c r="Z151" s="371" t="str">
        <f t="shared" si="64"/>
        <v/>
      </c>
      <c r="AA151" s="371" t="str">
        <f t="shared" si="65"/>
        <v/>
      </c>
      <c r="AB151" s="371" t="str">
        <f t="shared" si="66"/>
        <v/>
      </c>
      <c r="AC151" s="371" t="str">
        <f t="shared" si="67"/>
        <v/>
      </c>
      <c r="AD151" s="341" t="str">
        <f t="shared" si="68"/>
        <v/>
      </c>
      <c r="AE151" s="371" t="str">
        <f t="shared" si="69"/>
        <v/>
      </c>
      <c r="AF151" s="371" t="str">
        <f t="shared" si="70"/>
        <v/>
      </c>
      <c r="AG151" s="371" t="str">
        <f t="shared" si="71"/>
        <v/>
      </c>
      <c r="AH151" s="371" t="str">
        <f t="shared" si="72"/>
        <v/>
      </c>
      <c r="AI151" s="371" t="str">
        <f t="shared" si="73"/>
        <v/>
      </c>
      <c r="AJ151" s="341" t="str">
        <f t="shared" si="74"/>
        <v/>
      </c>
      <c r="AK151" s="371">
        <v>1</v>
      </c>
      <c r="AL151" s="341">
        <f t="shared" ca="1" si="75"/>
        <v>0</v>
      </c>
      <c r="AM151" s="341">
        <f t="shared" ca="1" si="76"/>
        <v>0</v>
      </c>
      <c r="AN151" s="341" t="str">
        <f ca="1">IF(AND(Tabla7[[#This Row],[UltLec]]&lt;&gt;0,Tabla7[[#This Row],[PenLect]]&lt;&gt;0),(AM151-AL151)*Tabla7[[#This Row],[RT]],"N/A")</f>
        <v>N/A</v>
      </c>
      <c r="AO151" s="389" t="s">
        <v>1020</v>
      </c>
      <c r="AP151" s="371" t="s">
        <v>1075</v>
      </c>
      <c r="AQ151" s="371" t="s">
        <v>1074</v>
      </c>
      <c r="AR151" s="371">
        <f t="shared" si="77"/>
        <v>1</v>
      </c>
      <c r="AT151" s="2" t="e">
        <f t="shared" ca="1" si="78"/>
        <v>#VALUE!</v>
      </c>
    </row>
    <row r="152" spans="1:46" ht="18" hidden="1" customHeight="1" x14ac:dyDescent="0.25">
      <c r="A152" s="291" t="s">
        <v>501</v>
      </c>
      <c r="B152" s="54"/>
      <c r="C152" s="368" t="s">
        <v>1028</v>
      </c>
      <c r="D152" s="54" t="s">
        <v>508</v>
      </c>
      <c r="E152" s="232">
        <v>2</v>
      </c>
      <c r="F152" s="2" t="s">
        <v>524</v>
      </c>
      <c r="G152" s="2" t="s">
        <v>525</v>
      </c>
      <c r="H152" s="2"/>
      <c r="I152" s="2"/>
      <c r="J152" s="260">
        <v>5210</v>
      </c>
      <c r="K152" s="260">
        <v>5244</v>
      </c>
      <c r="L152" s="260"/>
      <c r="O152" s="260"/>
      <c r="P152" s="260"/>
      <c r="Q152" s="290"/>
      <c r="R152" s="260"/>
      <c r="S152" s="260"/>
      <c r="U152" s="260"/>
      <c r="V152" s="260"/>
      <c r="W152" s="2"/>
      <c r="X152" s="2"/>
      <c r="Y152" s="2">
        <f t="shared" si="63"/>
        <v>680</v>
      </c>
      <c r="Z152" s="2" t="str">
        <f t="shared" si="64"/>
        <v/>
      </c>
      <c r="AA152" s="2" t="str">
        <f t="shared" si="65"/>
        <v/>
      </c>
      <c r="AB152" s="2" t="str">
        <f t="shared" si="66"/>
        <v/>
      </c>
      <c r="AC152" s="2" t="str">
        <f t="shared" si="67"/>
        <v/>
      </c>
      <c r="AD152" s="260" t="str">
        <f t="shared" si="68"/>
        <v/>
      </c>
      <c r="AE152" s="2" t="str">
        <f t="shared" si="69"/>
        <v/>
      </c>
      <c r="AF152" s="2" t="str">
        <f t="shared" si="70"/>
        <v/>
      </c>
      <c r="AG152" s="2" t="str">
        <f t="shared" si="71"/>
        <v/>
      </c>
      <c r="AH152" s="2" t="str">
        <f t="shared" si="72"/>
        <v/>
      </c>
      <c r="AI152" s="2" t="str">
        <f t="shared" si="73"/>
        <v/>
      </c>
      <c r="AJ152" s="2" t="str">
        <f t="shared" si="74"/>
        <v/>
      </c>
      <c r="AK152" s="2">
        <v>20</v>
      </c>
      <c r="AL152" s="260">
        <f t="shared" ca="1" si="75"/>
        <v>0</v>
      </c>
      <c r="AM152" s="260">
        <f t="shared" ca="1" si="76"/>
        <v>0</v>
      </c>
      <c r="AN152" s="260" t="str">
        <f ca="1">IF(AND(Tabla7[[#This Row],[UltLec]]&lt;&gt;0,Tabla7[[#This Row],[PenLect]]&lt;&gt;0),(AM152-AL152)*Tabla7[[#This Row],[RT]],"N/A")</f>
        <v>N/A</v>
      </c>
      <c r="AO152" s="380" t="s">
        <v>1020</v>
      </c>
      <c r="AP152" s="380" t="s">
        <v>1075</v>
      </c>
      <c r="AQ152" s="380" t="s">
        <v>1074</v>
      </c>
      <c r="AR152" s="2">
        <f t="shared" si="77"/>
        <v>0</v>
      </c>
      <c r="AT152" s="2" t="e">
        <f t="shared" ca="1" si="78"/>
        <v>#VALUE!</v>
      </c>
    </row>
    <row r="153" spans="1:46" ht="18" hidden="1" customHeight="1" x14ac:dyDescent="0.25">
      <c r="A153" s="291" t="s">
        <v>501</v>
      </c>
      <c r="B153" s="54"/>
      <c r="C153" s="368" t="s">
        <v>1056</v>
      </c>
      <c r="D153" s="54" t="s">
        <v>508</v>
      </c>
      <c r="E153" s="232">
        <v>2</v>
      </c>
      <c r="F153" s="2" t="s">
        <v>1057</v>
      </c>
      <c r="G153" s="2"/>
      <c r="H153" s="2"/>
      <c r="I153" s="2"/>
      <c r="J153" s="260">
        <v>52191</v>
      </c>
      <c r="K153" s="260">
        <v>54119</v>
      </c>
      <c r="L153" s="260"/>
      <c r="O153" s="260"/>
      <c r="P153" s="260"/>
      <c r="Q153" s="290"/>
      <c r="R153" s="260"/>
      <c r="S153" s="260"/>
      <c r="U153" s="260"/>
      <c r="V153" s="260"/>
      <c r="W153" s="260"/>
      <c r="X153" s="2"/>
      <c r="Y153" s="2">
        <f t="shared" si="63"/>
        <v>1928</v>
      </c>
      <c r="Z153" s="2" t="str">
        <f t="shared" si="64"/>
        <v/>
      </c>
      <c r="AA153" s="2" t="str">
        <f t="shared" si="65"/>
        <v/>
      </c>
      <c r="AB153" s="2" t="str">
        <f t="shared" si="66"/>
        <v/>
      </c>
      <c r="AC153" s="2" t="str">
        <f t="shared" si="67"/>
        <v/>
      </c>
      <c r="AD153" s="260" t="str">
        <f t="shared" si="68"/>
        <v/>
      </c>
      <c r="AE153" s="2" t="str">
        <f t="shared" si="69"/>
        <v/>
      </c>
      <c r="AF153" s="2" t="str">
        <f t="shared" si="70"/>
        <v/>
      </c>
      <c r="AG153" s="2" t="str">
        <f t="shared" si="71"/>
        <v/>
      </c>
      <c r="AH153" s="2" t="str">
        <f t="shared" si="72"/>
        <v/>
      </c>
      <c r="AI153" s="2" t="str">
        <f t="shared" si="73"/>
        <v/>
      </c>
      <c r="AJ153" s="2" t="str">
        <f t="shared" si="74"/>
        <v/>
      </c>
      <c r="AK153" s="2">
        <v>1</v>
      </c>
      <c r="AL153" s="260">
        <f t="shared" ca="1" si="75"/>
        <v>0</v>
      </c>
      <c r="AM153" s="260">
        <f t="shared" ca="1" si="76"/>
        <v>0</v>
      </c>
      <c r="AN153" s="260" t="str">
        <f ca="1">IF(AND(Tabla7[[#This Row],[UltLec]]&lt;&gt;0,Tabla7[[#This Row],[PenLect]]&lt;&gt;0),(AM153-AL153)*Tabla7[[#This Row],[RT]],"N/A")</f>
        <v>N/A</v>
      </c>
      <c r="AO153" s="380" t="s">
        <v>1020</v>
      </c>
      <c r="AP153" s="380" t="s">
        <v>1075</v>
      </c>
      <c r="AQ153" s="380" t="s">
        <v>1074</v>
      </c>
      <c r="AR153" s="2">
        <f t="shared" si="77"/>
        <v>0</v>
      </c>
      <c r="AT153" s="2" t="e">
        <f t="shared" ca="1" si="78"/>
        <v>#VALUE!</v>
      </c>
    </row>
    <row r="154" spans="1:46" ht="18" hidden="1" customHeight="1" x14ac:dyDescent="0.25">
      <c r="A154" s="418" t="s">
        <v>1060</v>
      </c>
      <c r="B154" s="273"/>
      <c r="C154" s="276"/>
      <c r="D154" s="273" t="s">
        <v>508</v>
      </c>
      <c r="E154" s="274">
        <v>2</v>
      </c>
      <c r="F154" s="393" t="s">
        <v>522</v>
      </c>
      <c r="G154" s="393"/>
      <c r="H154" s="393"/>
      <c r="I154" s="393"/>
      <c r="J154" s="393"/>
      <c r="K154" s="393"/>
      <c r="L154" s="393"/>
      <c r="M154" s="393"/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 t="str">
        <f t="shared" si="63"/>
        <v/>
      </c>
      <c r="Z154" s="393" t="str">
        <f t="shared" si="64"/>
        <v/>
      </c>
      <c r="AA154" s="393" t="str">
        <f t="shared" si="65"/>
        <v/>
      </c>
      <c r="AB154" s="393" t="str">
        <f t="shared" si="66"/>
        <v/>
      </c>
      <c r="AC154" s="393" t="str">
        <f t="shared" si="67"/>
        <v/>
      </c>
      <c r="AD154" s="393" t="str">
        <f t="shared" si="68"/>
        <v/>
      </c>
      <c r="AE154" s="393" t="str">
        <f t="shared" si="69"/>
        <v/>
      </c>
      <c r="AF154" s="393" t="str">
        <f t="shared" si="70"/>
        <v/>
      </c>
      <c r="AG154" s="393" t="str">
        <f t="shared" si="71"/>
        <v/>
      </c>
      <c r="AH154" s="393" t="str">
        <f t="shared" si="72"/>
        <v/>
      </c>
      <c r="AI154" s="393" t="str">
        <f t="shared" si="73"/>
        <v/>
      </c>
      <c r="AJ154" s="393" t="str">
        <f t="shared" si="74"/>
        <v/>
      </c>
      <c r="AK154" s="393">
        <v>1</v>
      </c>
      <c r="AL154" s="394">
        <f t="shared" ca="1" si="75"/>
        <v>0</v>
      </c>
      <c r="AM154" s="394">
        <f t="shared" ca="1" si="76"/>
        <v>0</v>
      </c>
      <c r="AN154" s="394" t="str">
        <f ca="1">IF(AND(Tabla7[[#This Row],[UltLec]]&lt;&gt;0,Tabla7[[#This Row],[PenLect]]&lt;&gt;0),(AM154-AL154)*Tabla7[[#This Row],[RT]],"N/A")</f>
        <v>N/A</v>
      </c>
      <c r="AO154" s="393" t="s">
        <v>1160</v>
      </c>
      <c r="AP154" s="393" t="s">
        <v>1075</v>
      </c>
      <c r="AQ154" s="393" t="s">
        <v>1074</v>
      </c>
      <c r="AR154" s="393">
        <f t="shared" si="77"/>
        <v>0</v>
      </c>
      <c r="AT154" s="2" t="e">
        <f t="shared" ca="1" si="78"/>
        <v>#VALUE!</v>
      </c>
    </row>
    <row r="155" spans="1:46" ht="18" hidden="1" customHeight="1" x14ac:dyDescent="0.25">
      <c r="A155" s="418" t="s">
        <v>1060</v>
      </c>
      <c r="B155" s="273"/>
      <c r="C155" s="367"/>
      <c r="D155" s="273" t="s">
        <v>508</v>
      </c>
      <c r="E155" s="274">
        <v>2</v>
      </c>
      <c r="F155" s="275" t="s">
        <v>171</v>
      </c>
      <c r="G155" s="275"/>
      <c r="H155" s="275"/>
      <c r="I155" s="275"/>
      <c r="J155" s="388"/>
      <c r="K155" s="277"/>
      <c r="L155" s="277"/>
      <c r="M155" s="277"/>
      <c r="N155" s="277"/>
      <c r="O155" s="277"/>
      <c r="P155" s="277"/>
      <c r="Q155" s="277"/>
      <c r="R155" s="275"/>
      <c r="S155" s="275"/>
      <c r="T155" s="275"/>
      <c r="U155" s="277"/>
      <c r="V155" s="388"/>
      <c r="W155" s="388"/>
      <c r="X155" s="275"/>
      <c r="Y155" s="275" t="str">
        <f t="shared" si="63"/>
        <v/>
      </c>
      <c r="Z155" s="275" t="str">
        <f t="shared" si="64"/>
        <v/>
      </c>
      <c r="AA155" s="275" t="str">
        <f t="shared" si="65"/>
        <v/>
      </c>
      <c r="AB155" s="275" t="str">
        <f t="shared" si="66"/>
        <v/>
      </c>
      <c r="AC155" s="275" t="str">
        <f t="shared" si="67"/>
        <v/>
      </c>
      <c r="AD155" s="275" t="str">
        <f t="shared" si="68"/>
        <v/>
      </c>
      <c r="AE155" s="275" t="str">
        <f t="shared" si="69"/>
        <v/>
      </c>
      <c r="AF155" s="275" t="str">
        <f t="shared" si="70"/>
        <v/>
      </c>
      <c r="AG155" s="275" t="str">
        <f t="shared" si="71"/>
        <v/>
      </c>
      <c r="AH155" s="275" t="str">
        <f t="shared" si="72"/>
        <v/>
      </c>
      <c r="AI155" s="275" t="str">
        <f t="shared" si="73"/>
        <v/>
      </c>
      <c r="AJ155" s="275" t="str">
        <f t="shared" si="74"/>
        <v/>
      </c>
      <c r="AK155" s="275">
        <v>1</v>
      </c>
      <c r="AL155" s="277">
        <f t="shared" ca="1" si="75"/>
        <v>0</v>
      </c>
      <c r="AM155" s="277">
        <f t="shared" ca="1" si="76"/>
        <v>0</v>
      </c>
      <c r="AN155" s="277" t="str">
        <f ca="1">IF(AND(Tabla7[[#This Row],[UltLec]]&lt;&gt;0,Tabla7[[#This Row],[PenLect]]&lt;&gt;0),(AM155-AL155)*Tabla7[[#This Row],[RT]],"N/A")</f>
        <v>N/A</v>
      </c>
      <c r="AO155" s="393" t="s">
        <v>1160</v>
      </c>
      <c r="AP155" s="393" t="s">
        <v>1075</v>
      </c>
      <c r="AQ155" s="393" t="s">
        <v>1074</v>
      </c>
      <c r="AR155" s="275">
        <f t="shared" si="77"/>
        <v>0</v>
      </c>
      <c r="AT155" s="2" t="e">
        <f t="shared" ca="1" si="78"/>
        <v>#VALUE!</v>
      </c>
    </row>
    <row r="156" spans="1:46" ht="18" hidden="1" customHeight="1" x14ac:dyDescent="0.25">
      <c r="A156" s="291" t="s">
        <v>501</v>
      </c>
      <c r="B156" s="54"/>
      <c r="C156" s="368">
        <v>5669713</v>
      </c>
      <c r="D156" s="54" t="s">
        <v>526</v>
      </c>
      <c r="E156" s="232">
        <v>2</v>
      </c>
      <c r="F156" s="2" t="s">
        <v>534</v>
      </c>
      <c r="G156" s="2" t="s">
        <v>123</v>
      </c>
      <c r="H156" s="2"/>
      <c r="I156" s="2"/>
      <c r="J156" s="260">
        <v>22630</v>
      </c>
      <c r="K156" s="260">
        <v>22920</v>
      </c>
      <c r="L156" s="260"/>
      <c r="O156" s="260"/>
      <c r="P156" s="260"/>
      <c r="Q156" s="290"/>
      <c r="R156" s="260"/>
      <c r="S156" s="260"/>
      <c r="U156" s="260"/>
      <c r="V156" s="260"/>
      <c r="W156" s="387"/>
      <c r="X156" s="2"/>
      <c r="Y156" s="2">
        <f t="shared" si="63"/>
        <v>14500</v>
      </c>
      <c r="Z156" s="2" t="str">
        <f t="shared" si="64"/>
        <v/>
      </c>
      <c r="AA156" s="2" t="str">
        <f t="shared" si="65"/>
        <v/>
      </c>
      <c r="AB156" s="2" t="str">
        <f t="shared" si="66"/>
        <v/>
      </c>
      <c r="AC156" s="2" t="str">
        <f t="shared" si="67"/>
        <v/>
      </c>
      <c r="AD156" s="260" t="str">
        <f t="shared" si="68"/>
        <v/>
      </c>
      <c r="AE156" s="2" t="str">
        <f t="shared" si="69"/>
        <v/>
      </c>
      <c r="AF156" s="2" t="str">
        <f t="shared" si="70"/>
        <v/>
      </c>
      <c r="AG156" s="2" t="str">
        <f t="shared" si="71"/>
        <v/>
      </c>
      <c r="AH156" s="2" t="str">
        <f t="shared" si="72"/>
        <v/>
      </c>
      <c r="AI156" s="2" t="str">
        <f t="shared" si="73"/>
        <v/>
      </c>
      <c r="AJ156" s="2" t="str">
        <f t="shared" si="74"/>
        <v/>
      </c>
      <c r="AK156" s="2">
        <v>50</v>
      </c>
      <c r="AL156" s="260">
        <f t="shared" ca="1" si="75"/>
        <v>0</v>
      </c>
      <c r="AM156" s="260">
        <f t="shared" ca="1" si="76"/>
        <v>0</v>
      </c>
      <c r="AN156" s="260" t="str">
        <f ca="1">IF(AND(Tabla7[[#This Row],[UltLec]]&lt;&gt;0,Tabla7[[#This Row],[PenLect]]&lt;&gt;0),(AM156-AL156)*Tabla7[[#This Row],[RT]],"N/A")</f>
        <v>N/A</v>
      </c>
      <c r="AO156" s="380" t="s">
        <v>1020</v>
      </c>
      <c r="AP156" s="380" t="s">
        <v>1075</v>
      </c>
      <c r="AQ156" s="380" t="s">
        <v>1074</v>
      </c>
      <c r="AR156" s="2">
        <f t="shared" si="77"/>
        <v>0</v>
      </c>
      <c r="AT156" s="2" t="e">
        <f t="shared" ca="1" si="78"/>
        <v>#VALUE!</v>
      </c>
    </row>
    <row r="157" spans="1:46" ht="18" hidden="1" customHeight="1" x14ac:dyDescent="0.25">
      <c r="A157" s="291" t="s">
        <v>501</v>
      </c>
      <c r="B157" s="54"/>
      <c r="C157" s="368">
        <v>20583312</v>
      </c>
      <c r="D157" s="54" t="s">
        <v>526</v>
      </c>
      <c r="E157" s="232">
        <v>39978</v>
      </c>
      <c r="F157" s="2" t="s">
        <v>530</v>
      </c>
      <c r="G157" s="2" t="s">
        <v>123</v>
      </c>
      <c r="H157" s="2" t="s">
        <v>532</v>
      </c>
      <c r="I157" s="2"/>
      <c r="J157" s="260">
        <v>6524</v>
      </c>
      <c r="K157" s="260">
        <v>6596</v>
      </c>
      <c r="L157" s="260"/>
      <c r="O157" s="260"/>
      <c r="P157" s="260"/>
      <c r="Q157" s="290"/>
      <c r="R157" s="290"/>
      <c r="S157" s="260"/>
      <c r="U157" s="260"/>
      <c r="V157" s="260"/>
      <c r="W157" s="387"/>
      <c r="X157" s="2"/>
      <c r="Y157" s="2">
        <f t="shared" si="63"/>
        <v>1440</v>
      </c>
      <c r="Z157" s="2" t="str">
        <f t="shared" si="64"/>
        <v/>
      </c>
      <c r="AA157" s="2" t="str">
        <f t="shared" si="65"/>
        <v/>
      </c>
      <c r="AB157" s="2" t="str">
        <f t="shared" si="66"/>
        <v/>
      </c>
      <c r="AC157" s="2" t="str">
        <f t="shared" si="67"/>
        <v/>
      </c>
      <c r="AD157" s="260" t="str">
        <f t="shared" si="68"/>
        <v/>
      </c>
      <c r="AE157" s="2" t="str">
        <f t="shared" si="69"/>
        <v/>
      </c>
      <c r="AF157" s="2" t="str">
        <f t="shared" si="70"/>
        <v/>
      </c>
      <c r="AG157" s="2" t="str">
        <f t="shared" si="71"/>
        <v/>
      </c>
      <c r="AH157" s="2" t="str">
        <f t="shared" si="72"/>
        <v/>
      </c>
      <c r="AI157" s="2" t="str">
        <f t="shared" si="73"/>
        <v/>
      </c>
      <c r="AJ157" s="2" t="str">
        <f t="shared" si="74"/>
        <v/>
      </c>
      <c r="AK157" s="2">
        <v>20</v>
      </c>
      <c r="AL157" s="260">
        <f t="shared" ca="1" si="75"/>
        <v>0</v>
      </c>
      <c r="AM157" s="260">
        <f t="shared" ca="1" si="76"/>
        <v>0</v>
      </c>
      <c r="AN157" s="260" t="str">
        <f ca="1">IF(AND(Tabla7[[#This Row],[UltLec]]&lt;&gt;0,Tabla7[[#This Row],[PenLect]]&lt;&gt;0),(AM157-AL157)*Tabla7[[#This Row],[RT]],"N/A")</f>
        <v>N/A</v>
      </c>
      <c r="AO157" s="380" t="s">
        <v>1020</v>
      </c>
      <c r="AP157" s="380" t="s">
        <v>1075</v>
      </c>
      <c r="AQ157" s="380" t="s">
        <v>1074</v>
      </c>
      <c r="AR157" s="2">
        <f t="shared" si="77"/>
        <v>0</v>
      </c>
      <c r="AT157" s="2" t="e">
        <f t="shared" ca="1" si="78"/>
        <v>#VALUE!</v>
      </c>
    </row>
    <row r="158" spans="1:46" ht="18" hidden="1" customHeight="1" x14ac:dyDescent="0.25">
      <c r="A158" s="291" t="s">
        <v>501</v>
      </c>
      <c r="B158" s="54"/>
      <c r="C158" s="368">
        <v>20583455</v>
      </c>
      <c r="D158" s="54" t="s">
        <v>526</v>
      </c>
      <c r="E158" s="232">
        <v>2</v>
      </c>
      <c r="F158" s="2" t="s">
        <v>533</v>
      </c>
      <c r="G158" s="2" t="s">
        <v>47</v>
      </c>
      <c r="H158" s="2" t="s">
        <v>1029</v>
      </c>
      <c r="I158" s="2"/>
      <c r="J158" s="260">
        <v>204519</v>
      </c>
      <c r="K158" s="260">
        <v>206816</v>
      </c>
      <c r="L158" s="260"/>
      <c r="O158" s="260"/>
      <c r="P158" s="260"/>
      <c r="Q158" s="290"/>
      <c r="R158" s="260"/>
      <c r="S158" s="260"/>
      <c r="U158" s="260"/>
      <c r="V158" s="260"/>
      <c r="W158" s="387"/>
      <c r="X158" s="2"/>
      <c r="Y158" s="2">
        <f t="shared" si="63"/>
        <v>2297</v>
      </c>
      <c r="Z158" s="2" t="str">
        <f t="shared" si="64"/>
        <v/>
      </c>
      <c r="AA158" s="2" t="str">
        <f t="shared" si="65"/>
        <v/>
      </c>
      <c r="AB158" s="2" t="str">
        <f t="shared" si="66"/>
        <v/>
      </c>
      <c r="AC158" s="2" t="str">
        <f t="shared" si="67"/>
        <v/>
      </c>
      <c r="AD158" s="260" t="str">
        <f t="shared" si="68"/>
        <v/>
      </c>
      <c r="AE158" s="2" t="str">
        <f t="shared" si="69"/>
        <v/>
      </c>
      <c r="AF158" s="2" t="str">
        <f t="shared" si="70"/>
        <v/>
      </c>
      <c r="AG158" s="2" t="str">
        <f t="shared" si="71"/>
        <v/>
      </c>
      <c r="AH158" s="2" t="str">
        <f t="shared" si="72"/>
        <v/>
      </c>
      <c r="AI158" s="2" t="str">
        <f t="shared" si="73"/>
        <v/>
      </c>
      <c r="AJ158" s="2" t="str">
        <f t="shared" si="74"/>
        <v/>
      </c>
      <c r="AK158" s="2">
        <v>1</v>
      </c>
      <c r="AL158" s="260">
        <f t="shared" ca="1" si="75"/>
        <v>0</v>
      </c>
      <c r="AM158" s="260">
        <f t="shared" ca="1" si="76"/>
        <v>0</v>
      </c>
      <c r="AN158" s="260" t="str">
        <f ca="1">IF(AND(Tabla7[[#This Row],[UltLec]]&lt;&gt;0,Tabla7[[#This Row],[PenLect]]&lt;&gt;0),(AM158-AL158)*Tabla7[[#This Row],[RT]],"N/A")</f>
        <v>N/A</v>
      </c>
      <c r="AO158" s="380" t="s">
        <v>1020</v>
      </c>
      <c r="AP158" s="380" t="s">
        <v>1075</v>
      </c>
      <c r="AQ158" s="380" t="s">
        <v>1074</v>
      </c>
      <c r="AR158" s="2">
        <f t="shared" si="77"/>
        <v>0</v>
      </c>
      <c r="AT158" s="2" t="e">
        <f t="shared" ca="1" si="78"/>
        <v>#VALUE!</v>
      </c>
    </row>
    <row r="159" spans="1:46" ht="18" hidden="1" customHeight="1" x14ac:dyDescent="0.25">
      <c r="A159" s="407" t="s">
        <v>501</v>
      </c>
      <c r="B159" s="54"/>
      <c r="C159" s="410">
        <v>63000131</v>
      </c>
      <c r="D159" s="374" t="s">
        <v>526</v>
      </c>
      <c r="E159" s="232">
        <v>39405</v>
      </c>
      <c r="F159" s="2" t="s">
        <v>352</v>
      </c>
      <c r="G159" s="2" t="s">
        <v>123</v>
      </c>
      <c r="H159" s="2" t="s">
        <v>527</v>
      </c>
      <c r="I159" s="2"/>
      <c r="J159" s="260">
        <v>398315</v>
      </c>
      <c r="K159" s="260">
        <v>400707</v>
      </c>
      <c r="L159" s="260"/>
      <c r="O159" s="260"/>
      <c r="P159" s="260"/>
      <c r="Q159" s="290"/>
      <c r="R159" s="260"/>
      <c r="S159" s="260"/>
      <c r="U159" s="260"/>
      <c r="V159" s="260"/>
      <c r="W159" s="387"/>
      <c r="X159" s="2"/>
      <c r="Y159" s="2">
        <f t="shared" si="63"/>
        <v>2392</v>
      </c>
      <c r="Z159" s="2" t="str">
        <f t="shared" si="64"/>
        <v/>
      </c>
      <c r="AA159" s="2" t="str">
        <f t="shared" si="65"/>
        <v/>
      </c>
      <c r="AB159" s="2" t="str">
        <f t="shared" si="66"/>
        <v/>
      </c>
      <c r="AC159" s="2" t="str">
        <f t="shared" si="67"/>
        <v/>
      </c>
      <c r="AD159" s="260" t="str">
        <f t="shared" si="68"/>
        <v/>
      </c>
      <c r="AE159" s="2" t="str">
        <f t="shared" si="69"/>
        <v/>
      </c>
      <c r="AF159" s="2" t="str">
        <f t="shared" si="70"/>
        <v/>
      </c>
      <c r="AG159" s="2" t="str">
        <f t="shared" si="71"/>
        <v/>
      </c>
      <c r="AH159" s="2" t="str">
        <f t="shared" si="72"/>
        <v/>
      </c>
      <c r="AI159" s="2" t="str">
        <f t="shared" si="73"/>
        <v/>
      </c>
      <c r="AJ159" s="2" t="str">
        <f t="shared" si="74"/>
        <v/>
      </c>
      <c r="AK159" s="2">
        <v>1</v>
      </c>
      <c r="AL159" s="260">
        <f t="shared" ca="1" si="75"/>
        <v>0</v>
      </c>
      <c r="AM159" s="260">
        <f t="shared" ca="1" si="76"/>
        <v>0</v>
      </c>
      <c r="AN159" s="260" t="str">
        <f ca="1">IF(AND(Tabla7[[#This Row],[UltLec]]&lt;&gt;0,Tabla7[[#This Row],[PenLect]]&lt;&gt;0),(AM159-AL159)*Tabla7[[#This Row],[RT]],"N/A")</f>
        <v>N/A</v>
      </c>
      <c r="AO159" s="380" t="s">
        <v>1020</v>
      </c>
      <c r="AP159" s="380" t="s">
        <v>1075</v>
      </c>
      <c r="AQ159" s="380" t="s">
        <v>1074</v>
      </c>
      <c r="AR159" s="2">
        <f t="shared" si="77"/>
        <v>0</v>
      </c>
      <c r="AT159" s="2" t="e">
        <f t="shared" ca="1" si="78"/>
        <v>#VALUE!</v>
      </c>
    </row>
    <row r="160" spans="1:46" ht="18" hidden="1" customHeight="1" x14ac:dyDescent="0.25">
      <c r="A160" s="406" t="s">
        <v>1060</v>
      </c>
      <c r="B160" s="273"/>
      <c r="C160" s="367">
        <v>83363214</v>
      </c>
      <c r="D160" s="273" t="s">
        <v>526</v>
      </c>
      <c r="E160" s="274">
        <v>39415</v>
      </c>
      <c r="F160" s="275" t="s">
        <v>528</v>
      </c>
      <c r="G160" s="275" t="s">
        <v>123</v>
      </c>
      <c r="H160" s="393" t="s">
        <v>1030</v>
      </c>
      <c r="I160" s="383" t="s">
        <v>1424</v>
      </c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 t="str">
        <f t="shared" si="63"/>
        <v/>
      </c>
      <c r="Z160" s="393" t="str">
        <f t="shared" si="64"/>
        <v/>
      </c>
      <c r="AA160" s="393" t="str">
        <f t="shared" si="65"/>
        <v/>
      </c>
      <c r="AB160" s="393" t="str">
        <f t="shared" si="66"/>
        <v/>
      </c>
      <c r="AC160" s="393" t="str">
        <f t="shared" si="67"/>
        <v/>
      </c>
      <c r="AD160" s="393" t="str">
        <f t="shared" si="68"/>
        <v/>
      </c>
      <c r="AE160" s="393" t="str">
        <f t="shared" si="69"/>
        <v/>
      </c>
      <c r="AF160" s="393" t="str">
        <f t="shared" si="70"/>
        <v/>
      </c>
      <c r="AG160" s="393" t="str">
        <f t="shared" si="71"/>
        <v/>
      </c>
      <c r="AH160" s="393" t="str">
        <f t="shared" si="72"/>
        <v/>
      </c>
      <c r="AI160" s="393" t="str">
        <f t="shared" si="73"/>
        <v/>
      </c>
      <c r="AJ160" s="393" t="str">
        <f t="shared" si="74"/>
        <v/>
      </c>
      <c r="AK160" s="393">
        <v>1</v>
      </c>
      <c r="AL160" s="393">
        <f t="shared" ca="1" si="75"/>
        <v>0</v>
      </c>
      <c r="AM160" s="393">
        <f t="shared" ca="1" si="76"/>
        <v>0</v>
      </c>
      <c r="AN160" s="393" t="str">
        <f ca="1">IF(AND(Tabla7[[#This Row],[UltLec]]&lt;&gt;0,Tabla7[[#This Row],[PenLect]]&lt;&gt;0),(AM160-AL160)*Tabla7[[#This Row],[RT]],"N/A")</f>
        <v>N/A</v>
      </c>
      <c r="AO160" s="393" t="s">
        <v>1160</v>
      </c>
      <c r="AP160" s="393" t="s">
        <v>1075</v>
      </c>
      <c r="AQ160" s="393" t="s">
        <v>1074</v>
      </c>
      <c r="AR160" s="393">
        <f t="shared" si="77"/>
        <v>0</v>
      </c>
      <c r="AT160" s="2" t="e">
        <f t="shared" ca="1" si="78"/>
        <v>#VALUE!</v>
      </c>
    </row>
    <row r="161" spans="1:46" ht="18" hidden="1" customHeight="1" x14ac:dyDescent="0.25">
      <c r="A161" s="291" t="s">
        <v>501</v>
      </c>
      <c r="B161" s="54"/>
      <c r="C161" s="368">
        <v>83363214</v>
      </c>
      <c r="D161" s="54" t="s">
        <v>526</v>
      </c>
      <c r="E161" s="232">
        <v>39415</v>
      </c>
      <c r="F161" s="2" t="s">
        <v>1425</v>
      </c>
      <c r="G161" s="2" t="s">
        <v>123</v>
      </c>
      <c r="H161" s="299" t="s">
        <v>1030</v>
      </c>
      <c r="I161" s="299" t="s">
        <v>1427</v>
      </c>
      <c r="J161" s="260">
        <v>108938</v>
      </c>
      <c r="K161" s="260">
        <v>109137</v>
      </c>
      <c r="L161" s="260"/>
      <c r="O161" s="260"/>
      <c r="P161" s="260"/>
      <c r="Q161" s="290"/>
      <c r="R161" s="260"/>
      <c r="S161" s="260"/>
      <c r="U161" s="260"/>
      <c r="V161" s="260"/>
      <c r="W161" s="387"/>
      <c r="X161" s="2"/>
      <c r="Y161" s="2">
        <f t="shared" si="63"/>
        <v>199</v>
      </c>
      <c r="Z161" s="2" t="str">
        <f t="shared" si="64"/>
        <v/>
      </c>
      <c r="AA161" s="2" t="str">
        <f t="shared" si="65"/>
        <v/>
      </c>
      <c r="AB161" s="2" t="str">
        <f t="shared" si="66"/>
        <v/>
      </c>
      <c r="AC161" s="2" t="str">
        <f t="shared" si="67"/>
        <v/>
      </c>
      <c r="AD161" s="260" t="str">
        <f t="shared" si="68"/>
        <v/>
      </c>
      <c r="AE161" s="2" t="str">
        <f t="shared" si="69"/>
        <v/>
      </c>
      <c r="AF161" s="2" t="str">
        <f t="shared" si="70"/>
        <v/>
      </c>
      <c r="AG161" s="2" t="str">
        <f t="shared" si="71"/>
        <v/>
      </c>
      <c r="AH161" s="2" t="str">
        <f t="shared" si="72"/>
        <v/>
      </c>
      <c r="AI161" s="2" t="str">
        <f t="shared" si="73"/>
        <v/>
      </c>
      <c r="AJ161" s="2" t="str">
        <f t="shared" si="74"/>
        <v/>
      </c>
      <c r="AK161" s="2">
        <v>1</v>
      </c>
      <c r="AL161" s="260">
        <f t="shared" ca="1" si="75"/>
        <v>0</v>
      </c>
      <c r="AM161" s="260">
        <f t="shared" ca="1" si="76"/>
        <v>0</v>
      </c>
      <c r="AN161" s="260" t="str">
        <f ca="1">IF(AND(Tabla7[[#This Row],[UltLec]]&lt;&gt;0,Tabla7[[#This Row],[PenLect]]&lt;&gt;0),(AM161-AL161)*Tabla7[[#This Row],[RT]],"N/A")</f>
        <v>N/A</v>
      </c>
      <c r="AO161" s="380" t="s">
        <v>1020</v>
      </c>
      <c r="AP161" s="380" t="s">
        <v>1075</v>
      </c>
      <c r="AQ161" s="380" t="s">
        <v>1074</v>
      </c>
      <c r="AR161" s="2">
        <f t="shared" si="77"/>
        <v>0</v>
      </c>
      <c r="AT161" s="2" t="e">
        <f t="shared" ca="1" si="78"/>
        <v>#VALUE!</v>
      </c>
    </row>
    <row r="162" spans="1:46" ht="18" hidden="1" customHeight="1" x14ac:dyDescent="0.25">
      <c r="A162" s="291" t="s">
        <v>501</v>
      </c>
      <c r="B162" s="54"/>
      <c r="C162" s="368" t="s">
        <v>382</v>
      </c>
      <c r="D162" s="54" t="s">
        <v>526</v>
      </c>
      <c r="E162" s="232">
        <v>39936</v>
      </c>
      <c r="F162" s="2" t="s">
        <v>530</v>
      </c>
      <c r="G162" s="2" t="s">
        <v>123</v>
      </c>
      <c r="H162" s="2" t="s">
        <v>531</v>
      </c>
      <c r="I162" s="2"/>
      <c r="J162" s="260">
        <v>19913</v>
      </c>
      <c r="K162" s="260">
        <v>20002</v>
      </c>
      <c r="L162" s="260"/>
      <c r="O162" s="260"/>
      <c r="P162" s="260"/>
      <c r="Q162" s="290"/>
      <c r="R162" s="260"/>
      <c r="S162" s="260"/>
      <c r="U162" s="260"/>
      <c r="V162" s="260"/>
      <c r="W162" s="387"/>
      <c r="X162" s="2"/>
      <c r="Y162" s="2">
        <f t="shared" si="63"/>
        <v>3560</v>
      </c>
      <c r="Z162" s="2" t="str">
        <f t="shared" si="64"/>
        <v/>
      </c>
      <c r="AA162" s="2" t="str">
        <f t="shared" si="65"/>
        <v/>
      </c>
      <c r="AB162" s="2" t="str">
        <f t="shared" si="66"/>
        <v/>
      </c>
      <c r="AC162" s="2" t="str">
        <f t="shared" si="67"/>
        <v/>
      </c>
      <c r="AD162" s="260" t="str">
        <f t="shared" si="68"/>
        <v/>
      </c>
      <c r="AE162" s="2" t="str">
        <f t="shared" si="69"/>
        <v/>
      </c>
      <c r="AF162" s="2" t="str">
        <f t="shared" si="70"/>
        <v/>
      </c>
      <c r="AG162" s="2" t="str">
        <f t="shared" si="71"/>
        <v/>
      </c>
      <c r="AH162" s="2" t="str">
        <f t="shared" si="72"/>
        <v/>
      </c>
      <c r="AI162" s="2" t="str">
        <f t="shared" si="73"/>
        <v/>
      </c>
      <c r="AJ162" s="2" t="str">
        <f t="shared" si="74"/>
        <v/>
      </c>
      <c r="AK162" s="2">
        <v>40</v>
      </c>
      <c r="AL162" s="260">
        <f t="shared" ca="1" si="75"/>
        <v>0</v>
      </c>
      <c r="AM162" s="260">
        <f t="shared" ca="1" si="76"/>
        <v>0</v>
      </c>
      <c r="AN162" s="260" t="str">
        <f ca="1">IF(AND(Tabla7[[#This Row],[UltLec]]&lt;&gt;0,Tabla7[[#This Row],[PenLect]]&lt;&gt;0),(AM162-AL162)*Tabla7[[#This Row],[RT]],"N/A")</f>
        <v>N/A</v>
      </c>
      <c r="AO162" s="380" t="s">
        <v>1020</v>
      </c>
      <c r="AP162" s="380" t="s">
        <v>1075</v>
      </c>
      <c r="AQ162" s="380" t="s">
        <v>1074</v>
      </c>
      <c r="AR162" s="2">
        <f t="shared" si="77"/>
        <v>0</v>
      </c>
      <c r="AT162" s="2" t="e">
        <f t="shared" ca="1" si="78"/>
        <v>#VALUE!</v>
      </c>
    </row>
    <row r="163" spans="1:46" ht="18" hidden="1" customHeight="1" x14ac:dyDescent="0.25">
      <c r="A163" s="291" t="s">
        <v>501</v>
      </c>
      <c r="B163" s="54"/>
      <c r="C163" s="368" t="s">
        <v>381</v>
      </c>
      <c r="D163" s="54" t="s">
        <v>526</v>
      </c>
      <c r="E163" s="232">
        <v>39342</v>
      </c>
      <c r="F163" s="2" t="s">
        <v>1364</v>
      </c>
      <c r="G163" s="2" t="s">
        <v>123</v>
      </c>
      <c r="H163" s="2" t="s">
        <v>529</v>
      </c>
      <c r="I163" s="2"/>
      <c r="J163" s="260">
        <v>79282</v>
      </c>
      <c r="K163" s="260">
        <v>79337</v>
      </c>
      <c r="L163" s="260"/>
      <c r="O163" s="260"/>
      <c r="P163" s="260"/>
      <c r="Q163" s="290"/>
      <c r="R163" s="260"/>
      <c r="S163" s="260"/>
      <c r="U163" s="260"/>
      <c r="V163" s="260"/>
      <c r="W163" s="387"/>
      <c r="X163" s="2"/>
      <c r="Y163" s="2">
        <f t="shared" si="63"/>
        <v>55</v>
      </c>
      <c r="Z163" s="2" t="str">
        <f t="shared" si="64"/>
        <v/>
      </c>
      <c r="AA163" s="2" t="str">
        <f t="shared" si="65"/>
        <v/>
      </c>
      <c r="AB163" s="2" t="str">
        <f t="shared" si="66"/>
        <v/>
      </c>
      <c r="AC163" s="2" t="str">
        <f t="shared" si="67"/>
        <v/>
      </c>
      <c r="AD163" s="260" t="str">
        <f t="shared" si="68"/>
        <v/>
      </c>
      <c r="AE163" s="2" t="str">
        <f t="shared" si="69"/>
        <v/>
      </c>
      <c r="AF163" s="2" t="str">
        <f t="shared" si="70"/>
        <v/>
      </c>
      <c r="AG163" s="2" t="str">
        <f t="shared" si="71"/>
        <v/>
      </c>
      <c r="AH163" s="2" t="str">
        <f t="shared" si="72"/>
        <v/>
      </c>
      <c r="AI163" s="2" t="str">
        <f t="shared" si="73"/>
        <v/>
      </c>
      <c r="AJ163" s="2" t="str">
        <f t="shared" si="74"/>
        <v/>
      </c>
      <c r="AK163" s="2">
        <v>1</v>
      </c>
      <c r="AL163" s="260">
        <f t="shared" ca="1" si="75"/>
        <v>0</v>
      </c>
      <c r="AM163" s="260">
        <f t="shared" ca="1" si="76"/>
        <v>0</v>
      </c>
      <c r="AN163" s="260" t="str">
        <f ca="1">IF(AND(Tabla7[[#This Row],[UltLec]]&lt;&gt;0,Tabla7[[#This Row],[PenLect]]&lt;&gt;0),(AM163-AL163)*Tabla7[[#This Row],[RT]],"N/A")</f>
        <v>N/A</v>
      </c>
      <c r="AO163" s="380" t="s">
        <v>1020</v>
      </c>
      <c r="AP163" s="380" t="s">
        <v>1075</v>
      </c>
      <c r="AQ163" s="380" t="s">
        <v>1074</v>
      </c>
      <c r="AR163" s="2">
        <f t="shared" si="77"/>
        <v>0</v>
      </c>
      <c r="AT163" s="2" t="e">
        <f t="shared" ca="1" si="78"/>
        <v>#VALUE!</v>
      </c>
    </row>
    <row r="164" spans="1:46" ht="18" hidden="1" customHeight="1" x14ac:dyDescent="0.25">
      <c r="A164" s="407" t="s">
        <v>501</v>
      </c>
      <c r="B164" s="54"/>
      <c r="C164" s="410"/>
      <c r="D164" s="374" t="s">
        <v>526</v>
      </c>
      <c r="E164" s="375">
        <v>2</v>
      </c>
      <c r="F164" s="2" t="s">
        <v>794</v>
      </c>
      <c r="G164" s="384" t="s">
        <v>527</v>
      </c>
      <c r="H164" s="2"/>
      <c r="I164" s="2"/>
      <c r="J164" s="260">
        <v>0</v>
      </c>
      <c r="K164" s="260">
        <v>0</v>
      </c>
      <c r="L164" s="260"/>
      <c r="N164" s="2"/>
      <c r="O164" s="260"/>
      <c r="P164" s="260"/>
      <c r="Q164" s="290"/>
      <c r="R164" s="260"/>
      <c r="S164" s="260"/>
      <c r="U164" s="260"/>
      <c r="V164" s="260"/>
      <c r="W164" s="2"/>
      <c r="X164" s="2"/>
      <c r="Y164" s="2">
        <f t="shared" si="63"/>
        <v>0</v>
      </c>
      <c r="Z164" s="2" t="str">
        <f t="shared" si="64"/>
        <v/>
      </c>
      <c r="AA164" s="2" t="str">
        <f t="shared" si="65"/>
        <v/>
      </c>
      <c r="AB164" s="2" t="str">
        <f t="shared" si="66"/>
        <v/>
      </c>
      <c r="AC164" s="2" t="str">
        <f t="shared" si="67"/>
        <v/>
      </c>
      <c r="AD164" s="260" t="str">
        <f t="shared" si="68"/>
        <v/>
      </c>
      <c r="AE164" s="2" t="str">
        <f t="shared" si="69"/>
        <v/>
      </c>
      <c r="AF164" s="2" t="str">
        <f t="shared" si="70"/>
        <v/>
      </c>
      <c r="AG164" s="2" t="str">
        <f t="shared" si="71"/>
        <v/>
      </c>
      <c r="AH164" s="2" t="str">
        <f t="shared" si="72"/>
        <v/>
      </c>
      <c r="AI164" s="2" t="str">
        <f t="shared" si="73"/>
        <v/>
      </c>
      <c r="AJ164" s="2" t="str">
        <f t="shared" si="74"/>
        <v/>
      </c>
      <c r="AK164" s="2">
        <v>1</v>
      </c>
      <c r="AL164" s="260">
        <f t="shared" ca="1" si="75"/>
        <v>0</v>
      </c>
      <c r="AM164" s="260">
        <f t="shared" ca="1" si="76"/>
        <v>0</v>
      </c>
      <c r="AN164" s="260" t="str">
        <f ca="1">IF(AND(Tabla7[[#This Row],[UltLec]]&lt;&gt;0,Tabla7[[#This Row],[PenLect]]&lt;&gt;0),(AM164-AL164)*Tabla7[[#This Row],[RT]],"N/A")</f>
        <v>N/A</v>
      </c>
      <c r="AO164" s="380" t="s">
        <v>1020</v>
      </c>
      <c r="AP164" s="380" t="s">
        <v>1075</v>
      </c>
      <c r="AQ164" s="380" t="s">
        <v>1074</v>
      </c>
      <c r="AR164" s="2">
        <f t="shared" si="77"/>
        <v>0</v>
      </c>
      <c r="AT164" s="2" t="e">
        <f t="shared" ca="1" si="78"/>
        <v>#VALUE!</v>
      </c>
    </row>
    <row r="165" spans="1:46" ht="18" hidden="1" customHeight="1" x14ac:dyDescent="0.25">
      <c r="A165" s="378" t="s">
        <v>501</v>
      </c>
      <c r="B165" s="262"/>
      <c r="C165" s="411">
        <v>11313825</v>
      </c>
      <c r="D165" s="262" t="s">
        <v>535</v>
      </c>
      <c r="E165" s="235">
        <v>2</v>
      </c>
      <c r="F165" s="371" t="s">
        <v>541</v>
      </c>
      <c r="G165" s="371"/>
      <c r="H165" s="371"/>
      <c r="I165" s="371"/>
      <c r="J165" s="341">
        <v>100301</v>
      </c>
      <c r="K165" s="341">
        <v>446</v>
      </c>
      <c r="L165" s="341"/>
      <c r="M165" s="341"/>
      <c r="N165" s="341"/>
      <c r="O165" s="341"/>
      <c r="P165" s="341"/>
      <c r="Q165" s="432"/>
      <c r="R165" s="341"/>
      <c r="S165" s="341"/>
      <c r="T165" s="341"/>
      <c r="U165" s="341"/>
      <c r="V165" s="341"/>
      <c r="W165" s="341"/>
      <c r="X165" s="371"/>
      <c r="Y165" s="371" t="str">
        <f t="shared" ref="Y165:Y196" si="79">IF(OR(ISBLANK(K165),ISBLANK(J165)),"",IF(AND(K165&gt;=J165,K165-J165&lt;=K165),(K165-J165)*$AK165,"!!!!"))</f>
        <v>!!!!</v>
      </c>
      <c r="Z165" s="371" t="str">
        <f t="shared" ref="Z165:Z196" si="80">IF(OR(ISBLANK(L165),ISBLANK(K165)),"",IF(AND(L165&gt;=K165,L165-K165&lt;=L165),(L165-K165)*$AK165,"!!!!"))</f>
        <v/>
      </c>
      <c r="AA165" s="371" t="str">
        <f t="shared" ref="AA165:AA196" si="81">IF(OR(ISBLANK(M165),ISBLANK(L165)),"",IF(AND(M165&gt;=L165,M165-L165&lt;=M165),(M165-L165)*$AK165,"!!!!"))</f>
        <v/>
      </c>
      <c r="AB165" s="371" t="str">
        <f t="shared" ref="AB165:AB196" si="82">IF(OR(ISBLANK(N165),ISBLANK(M165)),"",IF(AND(N165&gt;=M165,N165-M165&lt;=N165),(N165-M165)*$AK165,"!!!!"))</f>
        <v/>
      </c>
      <c r="AC165" s="371" t="str">
        <f t="shared" ref="AC165:AC196" si="83">IF(OR(ISBLANK(O165),ISBLANK(N165)),"",IF(AND(O165&gt;=N165,O165-N165&lt;=O165),(O165-N165)*$AK165,"!!!!"))</f>
        <v/>
      </c>
      <c r="AD165" s="341" t="str">
        <f t="shared" ref="AD165:AD196" si="84">IF(OR(ISBLANK(P165),ISBLANK(O165)),"",IF(AND(P165&gt;=O165,P165-O165&lt;=P165),(P165-O165)*$AK165,"!!!!"))</f>
        <v/>
      </c>
      <c r="AE165" s="371" t="str">
        <f t="shared" ref="AE165:AE196" si="85">IF(OR(ISBLANK(Q165),ISBLANK(P165)),"",IF(AND(Q165&gt;=P165,Q165-P165&lt;=Q165),(Q165-P165)*$AK165,"!!!!"))</f>
        <v/>
      </c>
      <c r="AF165" s="371" t="str">
        <f t="shared" ref="AF165:AF196" si="86">IF(OR(ISBLANK(R165),ISBLANK(Q165)),"",IF(AND(R165&gt;=Q165,R165-Q165&lt;=R165),(R165-Q165)*$AK165,"!!!!"))</f>
        <v/>
      </c>
      <c r="AG165" s="371" t="str">
        <f t="shared" ref="AG165:AG196" si="87">IF(OR(ISBLANK(S165),ISBLANK(R165)),"",IF(AND(S165&gt;=R165,S165-R165&lt;=S165),(S165-R165)*$AK165,"!!!!"))</f>
        <v/>
      </c>
      <c r="AH165" s="371" t="str">
        <f t="shared" ref="AH165:AH196" si="88">IF(OR(ISBLANK(T165),ISBLANK(S165)),"",IF(AND(T165&gt;=S165,T165-S165&lt;=T165),(T165-S165)*$AK165,"!!!!"))</f>
        <v/>
      </c>
      <c r="AI165" s="371" t="str">
        <f t="shared" ref="AI165:AI196" si="89">IF(OR(ISBLANK(U165),ISBLANK(T165)),"",IF(AND(U165&gt;=T165,U165-T165&lt;=U165),(U165-T165)*$AK165,"!!!!"))</f>
        <v/>
      </c>
      <c r="AJ165" s="371" t="str">
        <f t="shared" ref="AJ165:AJ196" si="90">IF(OR(ISBLANK(V165),ISBLANK(U165)),"",IF(AND(V165&gt;=U165,V165-U165&lt;=V165),(V165-U165)*$AK165,"!!!!"))</f>
        <v/>
      </c>
      <c r="AK165" s="371">
        <v>20</v>
      </c>
      <c r="AL165" s="341">
        <f t="shared" ref="AL165:AL196" ca="1" si="91">IF(DAY(TODAY())&lt;16,INDEX(J165:X165,1,MONTH(TODAY())-1),INDEX(J165:X165,1,MONTH(TODAY())))</f>
        <v>0</v>
      </c>
      <c r="AM165" s="341">
        <f t="shared" ref="AM165:AM196" ca="1" si="92">IF(DAY(TODAY())&lt;16,INDEX(J165:X165,1,MONTH(TODAY())),INDEX(J165:X165,1,MONTH(TODAY())+1))</f>
        <v>0</v>
      </c>
      <c r="AN165" s="341" t="str">
        <f ca="1">IF(AND(Tabla7[[#This Row],[UltLec]]&lt;&gt;0,Tabla7[[#This Row],[PenLect]]&lt;&gt;0),(AM165-AL165)*Tabla7[[#This Row],[RT]],"N/A")</f>
        <v>N/A</v>
      </c>
      <c r="AO165" s="389" t="s">
        <v>1020</v>
      </c>
      <c r="AP165" s="389" t="s">
        <v>1075</v>
      </c>
      <c r="AQ165" s="389" t="s">
        <v>1074</v>
      </c>
      <c r="AR165" s="371">
        <f t="shared" ref="AR165:AR196" si="93">COUNTIF(Y165:AJ165,"!!!!")</f>
        <v>1</v>
      </c>
      <c r="AT165" s="2" t="e">
        <f t="shared" ca="1" si="78"/>
        <v>#VALUE!</v>
      </c>
    </row>
    <row r="166" spans="1:46" ht="18" hidden="1" customHeight="1" x14ac:dyDescent="0.25">
      <c r="A166" s="378" t="s">
        <v>501</v>
      </c>
      <c r="B166" s="262"/>
      <c r="C166" s="411">
        <v>11700447</v>
      </c>
      <c r="D166" s="262" t="s">
        <v>535</v>
      </c>
      <c r="E166" s="235">
        <v>39953</v>
      </c>
      <c r="F166" s="371" t="s">
        <v>536</v>
      </c>
      <c r="G166" s="371" t="s">
        <v>537</v>
      </c>
      <c r="H166" s="371"/>
      <c r="I166" s="371"/>
      <c r="J166" s="341">
        <v>407352</v>
      </c>
      <c r="K166" s="341">
        <v>410893</v>
      </c>
      <c r="L166" s="341"/>
      <c r="M166" s="341"/>
      <c r="N166" s="341"/>
      <c r="O166" s="341"/>
      <c r="P166" s="341"/>
      <c r="Q166" s="432"/>
      <c r="R166" s="341"/>
      <c r="S166" s="341"/>
      <c r="T166" s="341"/>
      <c r="U166" s="341"/>
      <c r="V166" s="341"/>
      <c r="W166" s="341"/>
      <c r="X166" s="371"/>
      <c r="Y166" s="371">
        <f t="shared" si="79"/>
        <v>3541</v>
      </c>
      <c r="Z166" s="371" t="str">
        <f t="shared" si="80"/>
        <v/>
      </c>
      <c r="AA166" s="371" t="str">
        <f t="shared" si="81"/>
        <v/>
      </c>
      <c r="AB166" s="371" t="str">
        <f t="shared" si="82"/>
        <v/>
      </c>
      <c r="AC166" s="371" t="str">
        <f t="shared" si="83"/>
        <v/>
      </c>
      <c r="AD166" s="341" t="str">
        <f t="shared" si="84"/>
        <v/>
      </c>
      <c r="AE166" s="371" t="str">
        <f t="shared" si="85"/>
        <v/>
      </c>
      <c r="AF166" s="371" t="str">
        <f t="shared" si="86"/>
        <v/>
      </c>
      <c r="AG166" s="371" t="str">
        <f t="shared" si="87"/>
        <v/>
      </c>
      <c r="AH166" s="371" t="str">
        <f t="shared" si="88"/>
        <v/>
      </c>
      <c r="AI166" s="371" t="str">
        <f t="shared" si="89"/>
        <v/>
      </c>
      <c r="AJ166" s="371" t="str">
        <f t="shared" si="90"/>
        <v/>
      </c>
      <c r="AK166" s="371">
        <v>1</v>
      </c>
      <c r="AL166" s="341">
        <f t="shared" ca="1" si="91"/>
        <v>0</v>
      </c>
      <c r="AM166" s="341">
        <f t="shared" ca="1" si="92"/>
        <v>0</v>
      </c>
      <c r="AN166" s="341" t="str">
        <f ca="1">IF(AND(Tabla7[[#This Row],[UltLec]]&lt;&gt;0,Tabla7[[#This Row],[PenLect]]&lt;&gt;0),(AM166-AL166)*Tabla7[[#This Row],[RT]],"N/A")</f>
        <v>N/A</v>
      </c>
      <c r="AO166" s="389" t="s">
        <v>1020</v>
      </c>
      <c r="AP166" s="371" t="s">
        <v>1075</v>
      </c>
      <c r="AQ166" s="371" t="s">
        <v>1074</v>
      </c>
      <c r="AR166" s="371">
        <f t="shared" si="93"/>
        <v>0</v>
      </c>
      <c r="AT166" s="2" t="e">
        <f t="shared" ca="1" si="78"/>
        <v>#VALUE!</v>
      </c>
    </row>
    <row r="167" spans="1:46" ht="18" hidden="1" customHeight="1" x14ac:dyDescent="0.25">
      <c r="A167" s="418" t="s">
        <v>1060</v>
      </c>
      <c r="B167" s="273"/>
      <c r="C167" s="367">
        <v>30103608</v>
      </c>
      <c r="D167" s="273" t="s">
        <v>535</v>
      </c>
      <c r="E167" s="274">
        <v>39366</v>
      </c>
      <c r="F167" s="275" t="s">
        <v>145</v>
      </c>
      <c r="G167" s="275" t="s">
        <v>981</v>
      </c>
      <c r="H167" s="275"/>
      <c r="I167" s="275" t="s">
        <v>1015</v>
      </c>
      <c r="J167" s="277"/>
      <c r="K167" s="277"/>
      <c r="L167" s="277"/>
      <c r="M167" s="277"/>
      <c r="N167" s="277"/>
      <c r="O167" s="277"/>
      <c r="P167" s="277"/>
      <c r="Q167" s="277"/>
      <c r="R167" s="275"/>
      <c r="S167" s="275"/>
      <c r="T167" s="275"/>
      <c r="U167" s="277"/>
      <c r="V167" s="277"/>
      <c r="W167" s="275"/>
      <c r="X167" s="275"/>
      <c r="Y167" s="275" t="str">
        <f t="shared" si="79"/>
        <v/>
      </c>
      <c r="Z167" s="275" t="str">
        <f t="shared" si="80"/>
        <v/>
      </c>
      <c r="AA167" s="275" t="str">
        <f t="shared" si="81"/>
        <v/>
      </c>
      <c r="AB167" s="275" t="str">
        <f t="shared" si="82"/>
        <v/>
      </c>
      <c r="AC167" s="275" t="str">
        <f t="shared" si="83"/>
        <v/>
      </c>
      <c r="AD167" s="275" t="str">
        <f t="shared" si="84"/>
        <v/>
      </c>
      <c r="AE167" s="275" t="str">
        <f t="shared" si="85"/>
        <v/>
      </c>
      <c r="AF167" s="275" t="str">
        <f t="shared" si="86"/>
        <v/>
      </c>
      <c r="AG167" s="275" t="str">
        <f t="shared" si="87"/>
        <v/>
      </c>
      <c r="AH167" s="275" t="str">
        <f t="shared" si="88"/>
        <v/>
      </c>
      <c r="AI167" s="275" t="str">
        <f t="shared" si="89"/>
        <v/>
      </c>
      <c r="AJ167" s="275" t="str">
        <f t="shared" si="90"/>
        <v/>
      </c>
      <c r="AK167" s="275">
        <v>1</v>
      </c>
      <c r="AL167" s="277">
        <f t="shared" ca="1" si="91"/>
        <v>0</v>
      </c>
      <c r="AM167" s="277">
        <f t="shared" ca="1" si="92"/>
        <v>0</v>
      </c>
      <c r="AN167" s="277" t="str">
        <f ca="1">IF(AND(Tabla7[[#This Row],[UltLec]]&lt;&gt;0,Tabla7[[#This Row],[PenLect]]&lt;&gt;0),(AM167-AL167)*Tabla7[[#This Row],[RT]],"N/A")</f>
        <v>N/A</v>
      </c>
      <c r="AO167" s="393" t="s">
        <v>1160</v>
      </c>
      <c r="AP167" s="275" t="s">
        <v>1075</v>
      </c>
      <c r="AQ167" s="275" t="s">
        <v>1074</v>
      </c>
      <c r="AR167" s="275">
        <f t="shared" si="93"/>
        <v>0</v>
      </c>
      <c r="AT167" s="2" t="e">
        <f t="shared" ca="1" si="78"/>
        <v>#VALUE!</v>
      </c>
    </row>
    <row r="168" spans="1:46" ht="18" hidden="1" customHeight="1" x14ac:dyDescent="0.25">
      <c r="A168" s="291" t="s">
        <v>501</v>
      </c>
      <c r="B168" s="54"/>
      <c r="C168" s="368">
        <v>53035468</v>
      </c>
      <c r="D168" s="54" t="s">
        <v>535</v>
      </c>
      <c r="E168" s="232">
        <v>2</v>
      </c>
      <c r="F168" s="2" t="s">
        <v>542</v>
      </c>
      <c r="G168" s="2"/>
      <c r="H168" s="2"/>
      <c r="I168" s="2"/>
      <c r="J168" s="260">
        <v>734996</v>
      </c>
      <c r="K168" s="260">
        <v>738694</v>
      </c>
      <c r="L168" s="260"/>
      <c r="O168" s="260"/>
      <c r="P168" s="260"/>
      <c r="Q168" s="290"/>
      <c r="R168" s="260"/>
      <c r="S168" s="260"/>
      <c r="U168" s="260"/>
      <c r="V168" s="260"/>
      <c r="W168" s="260"/>
      <c r="X168" s="2"/>
      <c r="Y168" s="2">
        <f t="shared" si="79"/>
        <v>3698</v>
      </c>
      <c r="Z168" s="2" t="str">
        <f t="shared" si="80"/>
        <v/>
      </c>
      <c r="AA168" s="2" t="str">
        <f t="shared" si="81"/>
        <v/>
      </c>
      <c r="AB168" s="2" t="str">
        <f t="shared" si="82"/>
        <v/>
      </c>
      <c r="AC168" s="2" t="str">
        <f t="shared" si="83"/>
        <v/>
      </c>
      <c r="AD168" s="260" t="str">
        <f t="shared" si="84"/>
        <v/>
      </c>
      <c r="AE168" s="2" t="str">
        <f t="shared" si="85"/>
        <v/>
      </c>
      <c r="AF168" s="2" t="str">
        <f t="shared" si="86"/>
        <v/>
      </c>
      <c r="AG168" s="2" t="str">
        <f t="shared" si="87"/>
        <v/>
      </c>
      <c r="AH168" s="2" t="str">
        <f t="shared" si="88"/>
        <v/>
      </c>
      <c r="AI168" s="2" t="str">
        <f t="shared" si="89"/>
        <v/>
      </c>
      <c r="AJ168" s="2" t="str">
        <f t="shared" si="90"/>
        <v/>
      </c>
      <c r="AK168" s="2">
        <v>1</v>
      </c>
      <c r="AL168" s="260">
        <f t="shared" ca="1" si="91"/>
        <v>0</v>
      </c>
      <c r="AM168" s="260">
        <f t="shared" ca="1" si="92"/>
        <v>0</v>
      </c>
      <c r="AN168" s="260" t="str">
        <f ca="1">IF(AND(Tabla7[[#This Row],[UltLec]]&lt;&gt;0,Tabla7[[#This Row],[PenLect]]&lt;&gt;0),(AM168-AL168)*Tabla7[[#This Row],[RT]],"N/A")</f>
        <v>N/A</v>
      </c>
      <c r="AO168" s="380" t="s">
        <v>1020</v>
      </c>
      <c r="AP168" s="380" t="s">
        <v>1075</v>
      </c>
      <c r="AQ168" s="380" t="s">
        <v>1074</v>
      </c>
      <c r="AR168" s="2">
        <f t="shared" si="93"/>
        <v>0</v>
      </c>
      <c r="AT168" s="2" t="e">
        <f t="shared" ca="1" si="78"/>
        <v>#VALUE!</v>
      </c>
    </row>
    <row r="169" spans="1:46" ht="18" hidden="1" customHeight="1" x14ac:dyDescent="0.25">
      <c r="A169" s="409" t="s">
        <v>1060</v>
      </c>
      <c r="B169" s="273">
        <v>1411</v>
      </c>
      <c r="C169" s="379">
        <v>99561368</v>
      </c>
      <c r="D169" s="376" t="s">
        <v>535</v>
      </c>
      <c r="E169" s="377">
        <v>39063</v>
      </c>
      <c r="F169" s="275" t="s">
        <v>145</v>
      </c>
      <c r="G169" s="275" t="s">
        <v>539</v>
      </c>
      <c r="H169" s="275"/>
      <c r="I169" s="275" t="s">
        <v>1015</v>
      </c>
      <c r="J169" s="277"/>
      <c r="K169" s="277"/>
      <c r="L169" s="277"/>
      <c r="M169" s="277"/>
      <c r="N169" s="277"/>
      <c r="O169" s="277"/>
      <c r="P169" s="277"/>
      <c r="Q169" s="277"/>
      <c r="R169" s="275"/>
      <c r="S169" s="275"/>
      <c r="T169" s="275"/>
      <c r="U169" s="277"/>
      <c r="V169" s="277"/>
      <c r="W169" s="277"/>
      <c r="X169" s="275"/>
      <c r="Y169" s="275" t="str">
        <f t="shared" si="79"/>
        <v/>
      </c>
      <c r="Z169" s="275" t="str">
        <f t="shared" si="80"/>
        <v/>
      </c>
      <c r="AA169" s="275" t="str">
        <f t="shared" si="81"/>
        <v/>
      </c>
      <c r="AB169" s="275" t="str">
        <f t="shared" si="82"/>
        <v/>
      </c>
      <c r="AC169" s="275" t="str">
        <f t="shared" si="83"/>
        <v/>
      </c>
      <c r="AD169" s="275" t="str">
        <f t="shared" si="84"/>
        <v/>
      </c>
      <c r="AE169" s="275" t="str">
        <f t="shared" si="85"/>
        <v/>
      </c>
      <c r="AF169" s="275" t="str">
        <f t="shared" si="86"/>
        <v/>
      </c>
      <c r="AG169" s="275" t="str">
        <f t="shared" si="87"/>
        <v/>
      </c>
      <c r="AH169" s="275" t="str">
        <f t="shared" si="88"/>
        <v/>
      </c>
      <c r="AI169" s="275" t="str">
        <f t="shared" si="89"/>
        <v/>
      </c>
      <c r="AJ169" s="275" t="str">
        <f t="shared" si="90"/>
        <v/>
      </c>
      <c r="AK169" s="275">
        <v>1</v>
      </c>
      <c r="AL169" s="277">
        <f t="shared" ca="1" si="91"/>
        <v>0</v>
      </c>
      <c r="AM169" s="277">
        <f t="shared" ca="1" si="92"/>
        <v>0</v>
      </c>
      <c r="AN169" s="277" t="str">
        <f ca="1">IF(AND(Tabla7[[#This Row],[UltLec]]&lt;&gt;0,Tabla7[[#This Row],[PenLect]]&lt;&gt;0),(AM169-AL169)*Tabla7[[#This Row],[RT]],"N/A")</f>
        <v>N/A</v>
      </c>
      <c r="AO169" s="393" t="s">
        <v>1160</v>
      </c>
      <c r="AP169" s="275" t="s">
        <v>1075</v>
      </c>
      <c r="AQ169" s="275" t="s">
        <v>1074</v>
      </c>
      <c r="AR169" s="275">
        <f t="shared" si="93"/>
        <v>0</v>
      </c>
      <c r="AT169" s="2" t="e">
        <f t="shared" ca="1" si="78"/>
        <v>#VALUE!</v>
      </c>
    </row>
    <row r="170" spans="1:46" ht="18" hidden="1" customHeight="1" x14ac:dyDescent="0.25">
      <c r="A170" s="418" t="s">
        <v>1060</v>
      </c>
      <c r="B170" s="273"/>
      <c r="C170" s="367">
        <v>99567709</v>
      </c>
      <c r="D170" s="273" t="s">
        <v>535</v>
      </c>
      <c r="E170" s="274">
        <v>39063</v>
      </c>
      <c r="F170" s="275" t="s">
        <v>145</v>
      </c>
      <c r="G170" s="275" t="s">
        <v>983</v>
      </c>
      <c r="H170" s="275"/>
      <c r="I170" s="339" t="s">
        <v>1015</v>
      </c>
      <c r="J170" s="277"/>
      <c r="K170" s="277"/>
      <c r="L170" s="277"/>
      <c r="M170" s="277"/>
      <c r="N170" s="277"/>
      <c r="O170" s="277"/>
      <c r="P170" s="277"/>
      <c r="Q170" s="277"/>
      <c r="R170" s="275"/>
      <c r="S170" s="275"/>
      <c r="T170" s="275"/>
      <c r="U170" s="277"/>
      <c r="V170" s="277"/>
      <c r="W170" s="277"/>
      <c r="X170" s="275"/>
      <c r="Y170" s="275" t="str">
        <f t="shared" si="79"/>
        <v/>
      </c>
      <c r="Z170" s="275" t="str">
        <f t="shared" si="80"/>
        <v/>
      </c>
      <c r="AA170" s="275" t="str">
        <f t="shared" si="81"/>
        <v/>
      </c>
      <c r="AB170" s="275" t="str">
        <f t="shared" si="82"/>
        <v/>
      </c>
      <c r="AC170" s="275" t="str">
        <f t="shared" si="83"/>
        <v/>
      </c>
      <c r="AD170" s="275" t="str">
        <f t="shared" si="84"/>
        <v/>
      </c>
      <c r="AE170" s="275" t="str">
        <f t="shared" si="85"/>
        <v/>
      </c>
      <c r="AF170" s="275" t="str">
        <f t="shared" si="86"/>
        <v/>
      </c>
      <c r="AG170" s="275" t="str">
        <f t="shared" si="87"/>
        <v/>
      </c>
      <c r="AH170" s="275" t="str">
        <f t="shared" si="88"/>
        <v/>
      </c>
      <c r="AI170" s="275" t="str">
        <f t="shared" si="89"/>
        <v/>
      </c>
      <c r="AJ170" s="275" t="str">
        <f t="shared" si="90"/>
        <v/>
      </c>
      <c r="AK170" s="275">
        <v>1</v>
      </c>
      <c r="AL170" s="277">
        <f t="shared" ca="1" si="91"/>
        <v>0</v>
      </c>
      <c r="AM170" s="277">
        <f t="shared" ca="1" si="92"/>
        <v>0</v>
      </c>
      <c r="AN170" s="277" t="str">
        <f ca="1">IF(AND(Tabla7[[#This Row],[UltLec]]&lt;&gt;0,Tabla7[[#This Row],[PenLect]]&lt;&gt;0),(AM170-AL170)*Tabla7[[#This Row],[RT]],"N/A")</f>
        <v>N/A</v>
      </c>
      <c r="AO170" s="393" t="s">
        <v>1160</v>
      </c>
      <c r="AP170" s="275" t="s">
        <v>1075</v>
      </c>
      <c r="AQ170" s="275" t="s">
        <v>1074</v>
      </c>
      <c r="AR170" s="275">
        <f t="shared" si="93"/>
        <v>0</v>
      </c>
      <c r="AT170" s="2" t="e">
        <f t="shared" ca="1" si="78"/>
        <v>#VALUE!</v>
      </c>
    </row>
    <row r="171" spans="1:46" ht="18" hidden="1" customHeight="1" x14ac:dyDescent="0.25">
      <c r="A171" s="418" t="s">
        <v>1060</v>
      </c>
      <c r="B171" s="273">
        <v>1409</v>
      </c>
      <c r="C171" s="367">
        <v>99577129</v>
      </c>
      <c r="D171" s="273" t="s">
        <v>535</v>
      </c>
      <c r="E171" s="274">
        <v>39032</v>
      </c>
      <c r="F171" s="275" t="s">
        <v>145</v>
      </c>
      <c r="G171" s="275" t="s">
        <v>538</v>
      </c>
      <c r="H171" s="275"/>
      <c r="I171" s="275" t="s">
        <v>1015</v>
      </c>
      <c r="J171" s="277"/>
      <c r="K171" s="277"/>
      <c r="L171" s="277"/>
      <c r="M171" s="277"/>
      <c r="N171" s="277"/>
      <c r="O171" s="277"/>
      <c r="P171" s="277"/>
      <c r="Q171" s="277"/>
      <c r="R171" s="275"/>
      <c r="S171" s="275"/>
      <c r="T171" s="275"/>
      <c r="U171" s="277"/>
      <c r="V171" s="277"/>
      <c r="W171" s="277"/>
      <c r="X171" s="275"/>
      <c r="Y171" s="275" t="str">
        <f t="shared" si="79"/>
        <v/>
      </c>
      <c r="Z171" s="275" t="str">
        <f t="shared" si="80"/>
        <v/>
      </c>
      <c r="AA171" s="275" t="str">
        <f t="shared" si="81"/>
        <v/>
      </c>
      <c r="AB171" s="275" t="str">
        <f t="shared" si="82"/>
        <v/>
      </c>
      <c r="AC171" s="275" t="str">
        <f t="shared" si="83"/>
        <v/>
      </c>
      <c r="AD171" s="275" t="str">
        <f t="shared" si="84"/>
        <v/>
      </c>
      <c r="AE171" s="275" t="str">
        <f t="shared" si="85"/>
        <v/>
      </c>
      <c r="AF171" s="275" t="str">
        <f t="shared" si="86"/>
        <v/>
      </c>
      <c r="AG171" s="275" t="str">
        <f t="shared" si="87"/>
        <v/>
      </c>
      <c r="AH171" s="275" t="str">
        <f t="shared" si="88"/>
        <v/>
      </c>
      <c r="AI171" s="275" t="str">
        <f t="shared" si="89"/>
        <v/>
      </c>
      <c r="AJ171" s="275" t="str">
        <f t="shared" si="90"/>
        <v/>
      </c>
      <c r="AK171" s="275">
        <v>1</v>
      </c>
      <c r="AL171" s="277">
        <f t="shared" ca="1" si="91"/>
        <v>0</v>
      </c>
      <c r="AM171" s="277">
        <f t="shared" ca="1" si="92"/>
        <v>0</v>
      </c>
      <c r="AN171" s="277" t="str">
        <f ca="1">IF(AND(Tabla7[[#This Row],[UltLec]]&lt;&gt;0,Tabla7[[#This Row],[PenLect]]&lt;&gt;0),(AM171-AL171)*Tabla7[[#This Row],[RT]],"N/A")</f>
        <v>N/A</v>
      </c>
      <c r="AO171" s="393" t="s">
        <v>1160</v>
      </c>
      <c r="AP171" s="275" t="s">
        <v>1075</v>
      </c>
      <c r="AQ171" s="275" t="s">
        <v>1074</v>
      </c>
      <c r="AR171" s="275">
        <f t="shared" si="93"/>
        <v>0</v>
      </c>
      <c r="AT171" s="2" t="e">
        <f t="shared" ca="1" si="78"/>
        <v>#VALUE!</v>
      </c>
    </row>
    <row r="172" spans="1:46" ht="18" hidden="1" customHeight="1" x14ac:dyDescent="0.25">
      <c r="A172" s="291" t="s">
        <v>501</v>
      </c>
      <c r="B172" s="54"/>
      <c r="C172" s="368" t="s">
        <v>1241</v>
      </c>
      <c r="D172" s="54" t="s">
        <v>535</v>
      </c>
      <c r="E172" s="232">
        <v>39819</v>
      </c>
      <c r="F172" s="2" t="s">
        <v>1243</v>
      </c>
      <c r="G172" s="2" t="s">
        <v>1244</v>
      </c>
      <c r="H172" s="2"/>
      <c r="I172" s="2"/>
      <c r="J172" s="260">
        <v>1840</v>
      </c>
      <c r="K172" s="260">
        <v>1860</v>
      </c>
      <c r="L172" s="260"/>
      <c r="O172" s="260"/>
      <c r="P172" s="308"/>
      <c r="Q172" s="308"/>
      <c r="R172" s="308"/>
      <c r="S172" s="260"/>
      <c r="U172" s="260"/>
      <c r="V172" s="260"/>
      <c r="W172" s="2"/>
      <c r="X172" s="2"/>
      <c r="Y172" s="2">
        <f t="shared" si="79"/>
        <v>20</v>
      </c>
      <c r="Z172" s="2" t="str">
        <f t="shared" si="80"/>
        <v/>
      </c>
      <c r="AA172" s="2" t="str">
        <f t="shared" si="81"/>
        <v/>
      </c>
      <c r="AB172" s="2" t="str">
        <f t="shared" si="82"/>
        <v/>
      </c>
      <c r="AC172" s="2" t="str">
        <f t="shared" si="83"/>
        <v/>
      </c>
      <c r="AD172" s="260" t="str">
        <f t="shared" si="84"/>
        <v/>
      </c>
      <c r="AE172" s="2" t="str">
        <f t="shared" si="85"/>
        <v/>
      </c>
      <c r="AF172" s="2" t="str">
        <f t="shared" si="86"/>
        <v/>
      </c>
      <c r="AG172" s="2" t="str">
        <f t="shared" si="87"/>
        <v/>
      </c>
      <c r="AH172" s="2" t="str">
        <f t="shared" si="88"/>
        <v/>
      </c>
      <c r="AI172" s="2" t="str">
        <f t="shared" si="89"/>
        <v/>
      </c>
      <c r="AJ172" s="2" t="str">
        <f t="shared" si="90"/>
        <v/>
      </c>
      <c r="AK172" s="2">
        <v>1</v>
      </c>
      <c r="AL172" s="260">
        <f t="shared" ca="1" si="91"/>
        <v>0</v>
      </c>
      <c r="AM172" s="260">
        <f t="shared" ca="1" si="92"/>
        <v>0</v>
      </c>
      <c r="AN172" s="260" t="str">
        <f ca="1">IF(AND(Tabla7[[#This Row],[UltLec]]&lt;&gt;0,Tabla7[[#This Row],[PenLect]]&lt;&gt;0),(AM172-AL172)*Tabla7[[#This Row],[RT]],"N/A")</f>
        <v>N/A</v>
      </c>
      <c r="AO172" s="380" t="s">
        <v>1020</v>
      </c>
      <c r="AP172" s="380" t="s">
        <v>1075</v>
      </c>
      <c r="AQ172" s="380"/>
      <c r="AR172" s="2">
        <f t="shared" si="93"/>
        <v>0</v>
      </c>
      <c r="AT172" s="2" t="e">
        <f t="shared" ca="1" si="78"/>
        <v>#VALUE!</v>
      </c>
    </row>
    <row r="173" spans="1:46" ht="18" hidden="1" customHeight="1" x14ac:dyDescent="0.25">
      <c r="A173" s="418" t="s">
        <v>1060</v>
      </c>
      <c r="B173" s="273"/>
      <c r="C173" s="276" t="s">
        <v>1386</v>
      </c>
      <c r="D173" s="273" t="s">
        <v>535</v>
      </c>
      <c r="E173" s="274">
        <v>39999</v>
      </c>
      <c r="F173" s="434" t="s">
        <v>1387</v>
      </c>
      <c r="G173" s="434" t="s">
        <v>1389</v>
      </c>
      <c r="H173" s="434"/>
      <c r="I173" s="434" t="s">
        <v>1504</v>
      </c>
      <c r="J173" s="434"/>
      <c r="K173" s="434"/>
      <c r="L173" s="434"/>
      <c r="M173" s="434"/>
      <c r="N173" s="434"/>
      <c r="O173" s="434"/>
      <c r="P173" s="434"/>
      <c r="Q173" s="434"/>
      <c r="R173" s="434"/>
      <c r="S173" s="434"/>
      <c r="T173" s="434"/>
      <c r="U173" s="434"/>
      <c r="V173" s="434"/>
      <c r="W173" s="434"/>
      <c r="X173" s="434"/>
      <c r="Y173" s="434" t="str">
        <f t="shared" si="79"/>
        <v/>
      </c>
      <c r="Z173" s="434" t="str">
        <f t="shared" si="80"/>
        <v/>
      </c>
      <c r="AA173" s="434" t="str">
        <f t="shared" si="81"/>
        <v/>
      </c>
      <c r="AB173" s="434" t="str">
        <f t="shared" si="82"/>
        <v/>
      </c>
      <c r="AC173" s="434" t="str">
        <f t="shared" si="83"/>
        <v/>
      </c>
      <c r="AD173" s="434" t="str">
        <f t="shared" si="84"/>
        <v/>
      </c>
      <c r="AE173" s="434" t="str">
        <f t="shared" si="85"/>
        <v/>
      </c>
      <c r="AF173" s="434" t="str">
        <f t="shared" si="86"/>
        <v/>
      </c>
      <c r="AG173" s="434" t="str">
        <f t="shared" si="87"/>
        <v/>
      </c>
      <c r="AH173" s="434" t="str">
        <f t="shared" si="88"/>
        <v/>
      </c>
      <c r="AI173" s="434" t="str">
        <f t="shared" si="89"/>
        <v/>
      </c>
      <c r="AJ173" s="434" t="str">
        <f t="shared" si="90"/>
        <v/>
      </c>
      <c r="AK173" s="434">
        <v>1</v>
      </c>
      <c r="AL173" s="434">
        <f t="shared" ca="1" si="91"/>
        <v>0</v>
      </c>
      <c r="AM173" s="434">
        <f t="shared" ca="1" si="92"/>
        <v>0</v>
      </c>
      <c r="AN173" s="434" t="str">
        <f ca="1">IF(AND(Tabla7[[#This Row],[UltLec]]&lt;&gt;0,Tabla7[[#This Row],[PenLect]]&lt;&gt;0),(AM173-AL173)*Tabla7[[#This Row],[RT]],"N/A")</f>
        <v>N/A</v>
      </c>
      <c r="AO173" s="434" t="s">
        <v>1160</v>
      </c>
      <c r="AP173" s="434" t="s">
        <v>1075</v>
      </c>
      <c r="AQ173" s="434" t="s">
        <v>1074</v>
      </c>
      <c r="AR173" s="434">
        <f t="shared" si="93"/>
        <v>0</v>
      </c>
      <c r="AT173" s="2" t="e">
        <f t="shared" ca="1" si="78"/>
        <v>#VALUE!</v>
      </c>
    </row>
    <row r="174" spans="1:46" ht="18" hidden="1" customHeight="1" x14ac:dyDescent="0.25">
      <c r="A174" s="407" t="s">
        <v>501</v>
      </c>
      <c r="B174" s="54"/>
      <c r="C174" s="410"/>
      <c r="D174" s="374" t="s">
        <v>535</v>
      </c>
      <c r="E174" s="375">
        <v>2</v>
      </c>
      <c r="F174" s="2" t="s">
        <v>540</v>
      </c>
      <c r="G174" s="2"/>
      <c r="H174" s="2"/>
      <c r="I174" s="2"/>
      <c r="J174" s="260">
        <v>0</v>
      </c>
      <c r="K174" s="260">
        <v>0</v>
      </c>
      <c r="L174" s="260"/>
      <c r="O174" s="260"/>
      <c r="P174" s="260"/>
      <c r="Q174" s="290"/>
      <c r="R174" s="260"/>
      <c r="S174" s="260"/>
      <c r="U174" s="260"/>
      <c r="V174" s="260"/>
      <c r="W174" s="2"/>
      <c r="X174" s="2"/>
      <c r="Y174" s="2">
        <f t="shared" si="79"/>
        <v>0</v>
      </c>
      <c r="Z174" s="2" t="str">
        <f t="shared" si="80"/>
        <v/>
      </c>
      <c r="AA174" s="2" t="str">
        <f t="shared" si="81"/>
        <v/>
      </c>
      <c r="AB174" s="2" t="str">
        <f t="shared" si="82"/>
        <v/>
      </c>
      <c r="AC174" s="2" t="str">
        <f t="shared" si="83"/>
        <v/>
      </c>
      <c r="AD174" s="260" t="str">
        <f t="shared" si="84"/>
        <v/>
      </c>
      <c r="AE174" s="2" t="str">
        <f t="shared" si="85"/>
        <v/>
      </c>
      <c r="AF174" s="2" t="str">
        <f t="shared" si="86"/>
        <v/>
      </c>
      <c r="AG174" s="2" t="str">
        <f t="shared" si="87"/>
        <v/>
      </c>
      <c r="AH174" s="2" t="str">
        <f t="shared" si="88"/>
        <v/>
      </c>
      <c r="AI174" s="2" t="str">
        <f t="shared" si="89"/>
        <v/>
      </c>
      <c r="AJ174" s="2" t="str">
        <f t="shared" si="90"/>
        <v/>
      </c>
      <c r="AK174" s="2">
        <v>20</v>
      </c>
      <c r="AL174" s="260">
        <f t="shared" ca="1" si="91"/>
        <v>0</v>
      </c>
      <c r="AM174" s="260">
        <f t="shared" ca="1" si="92"/>
        <v>0</v>
      </c>
      <c r="AN174" s="260" t="str">
        <f ca="1">IF(AND(Tabla7[[#This Row],[UltLec]]&lt;&gt;0,Tabla7[[#This Row],[PenLect]]&lt;&gt;0),(AM174-AL174)*Tabla7[[#This Row],[RT]],"N/A")</f>
        <v>N/A</v>
      </c>
      <c r="AO174" s="380" t="s">
        <v>1020</v>
      </c>
      <c r="AP174" s="380" t="s">
        <v>1075</v>
      </c>
      <c r="AQ174" s="380" t="s">
        <v>1074</v>
      </c>
      <c r="AR174" s="2">
        <f t="shared" si="93"/>
        <v>0</v>
      </c>
      <c r="AT174" s="2" t="e">
        <f t="shared" ca="1" si="78"/>
        <v>#VALUE!</v>
      </c>
    </row>
    <row r="175" spans="1:46" ht="18" hidden="1" customHeight="1" x14ac:dyDescent="0.25">
      <c r="A175" s="291" t="s">
        <v>501</v>
      </c>
      <c r="B175" s="54" t="s">
        <v>543</v>
      </c>
      <c r="C175" s="368">
        <v>18506030</v>
      </c>
      <c r="D175" s="54" t="s">
        <v>544</v>
      </c>
      <c r="E175" s="232">
        <v>39435</v>
      </c>
      <c r="F175" s="2" t="s">
        <v>545</v>
      </c>
      <c r="G175" s="2" t="s">
        <v>1034</v>
      </c>
      <c r="H175" s="2"/>
      <c r="I175" s="2"/>
      <c r="J175" s="260">
        <v>3792</v>
      </c>
      <c r="K175" s="260">
        <v>3834</v>
      </c>
      <c r="L175" s="260"/>
      <c r="O175" s="260"/>
      <c r="P175" s="260"/>
      <c r="Q175" s="290"/>
      <c r="R175" s="308"/>
      <c r="S175" s="260"/>
      <c r="U175" s="260"/>
      <c r="V175" s="260"/>
      <c r="W175" s="260"/>
      <c r="X175" s="2"/>
      <c r="Y175" s="2">
        <f t="shared" si="79"/>
        <v>42</v>
      </c>
      <c r="Z175" s="2" t="str">
        <f t="shared" si="80"/>
        <v/>
      </c>
      <c r="AA175" s="2" t="str">
        <f t="shared" si="81"/>
        <v/>
      </c>
      <c r="AB175" s="2" t="str">
        <f t="shared" si="82"/>
        <v/>
      </c>
      <c r="AC175" s="2" t="str">
        <f t="shared" si="83"/>
        <v/>
      </c>
      <c r="AD175" s="260" t="str">
        <f t="shared" si="84"/>
        <v/>
      </c>
      <c r="AE175" s="2" t="str">
        <f t="shared" si="85"/>
        <v/>
      </c>
      <c r="AF175" s="2" t="str">
        <f t="shared" si="86"/>
        <v/>
      </c>
      <c r="AG175" s="2" t="str">
        <f t="shared" si="87"/>
        <v/>
      </c>
      <c r="AH175" s="2" t="str">
        <f t="shared" si="88"/>
        <v/>
      </c>
      <c r="AI175" s="2" t="str">
        <f t="shared" si="89"/>
        <v/>
      </c>
      <c r="AJ175" s="2" t="str">
        <f t="shared" si="90"/>
        <v/>
      </c>
      <c r="AK175" s="2">
        <v>1</v>
      </c>
      <c r="AL175" s="260">
        <f t="shared" ca="1" si="91"/>
        <v>0</v>
      </c>
      <c r="AM175" s="260">
        <f t="shared" ca="1" si="92"/>
        <v>0</v>
      </c>
      <c r="AN175" s="260" t="str">
        <f ca="1">IF(AND(Tabla7[[#This Row],[UltLec]]&lt;&gt;0,Tabla7[[#This Row],[PenLect]]&lt;&gt;0),(AM175-AL175)*Tabla7[[#This Row],[RT]],"N/A")</f>
        <v>N/A</v>
      </c>
      <c r="AO175" s="380" t="s">
        <v>1020</v>
      </c>
      <c r="AP175" s="380" t="s">
        <v>1075</v>
      </c>
      <c r="AQ175" s="380" t="s">
        <v>1074</v>
      </c>
      <c r="AR175" s="2">
        <f t="shared" si="93"/>
        <v>0</v>
      </c>
      <c r="AT175" s="2" t="e">
        <f t="shared" ca="1" si="78"/>
        <v>#VALUE!</v>
      </c>
    </row>
    <row r="176" spans="1:46" ht="18" hidden="1" customHeight="1" x14ac:dyDescent="0.25">
      <c r="A176" s="291" t="s">
        <v>501</v>
      </c>
      <c r="B176" s="54"/>
      <c r="C176" s="368" t="s">
        <v>1033</v>
      </c>
      <c r="D176" s="54" t="s">
        <v>544</v>
      </c>
      <c r="E176" s="232">
        <v>2</v>
      </c>
      <c r="F176" s="2" t="s">
        <v>546</v>
      </c>
      <c r="G176" s="2" t="s">
        <v>47</v>
      </c>
      <c r="H176" s="2"/>
      <c r="I176" s="2"/>
      <c r="J176" s="260">
        <v>25713</v>
      </c>
      <c r="K176" s="260">
        <v>25936</v>
      </c>
      <c r="L176" s="260"/>
      <c r="O176" s="260"/>
      <c r="P176" s="260"/>
      <c r="Q176" s="290"/>
      <c r="R176" s="308"/>
      <c r="S176" s="260"/>
      <c r="U176" s="260"/>
      <c r="V176" s="260"/>
      <c r="W176" s="260"/>
      <c r="X176" s="2"/>
      <c r="Y176" s="2">
        <f t="shared" si="79"/>
        <v>4460</v>
      </c>
      <c r="Z176" s="2" t="str">
        <f t="shared" si="80"/>
        <v/>
      </c>
      <c r="AA176" s="2" t="str">
        <f t="shared" si="81"/>
        <v/>
      </c>
      <c r="AB176" s="2" t="str">
        <f t="shared" si="82"/>
        <v/>
      </c>
      <c r="AC176" s="2" t="str">
        <f t="shared" si="83"/>
        <v/>
      </c>
      <c r="AD176" s="260" t="str">
        <f t="shared" si="84"/>
        <v/>
      </c>
      <c r="AE176" s="2" t="str">
        <f t="shared" si="85"/>
        <v/>
      </c>
      <c r="AF176" s="2" t="str">
        <f t="shared" si="86"/>
        <v/>
      </c>
      <c r="AG176" s="2" t="str">
        <f t="shared" si="87"/>
        <v/>
      </c>
      <c r="AH176" s="2" t="str">
        <f t="shared" si="88"/>
        <v/>
      </c>
      <c r="AI176" s="2" t="str">
        <f t="shared" si="89"/>
        <v/>
      </c>
      <c r="AJ176" s="2" t="str">
        <f t="shared" si="90"/>
        <v/>
      </c>
      <c r="AK176" s="2">
        <v>20</v>
      </c>
      <c r="AL176" s="260">
        <f t="shared" ca="1" si="91"/>
        <v>0</v>
      </c>
      <c r="AM176" s="260">
        <f t="shared" ca="1" si="92"/>
        <v>0</v>
      </c>
      <c r="AN176" s="260" t="str">
        <f ca="1">IF(AND(Tabla7[[#This Row],[UltLec]]&lt;&gt;0,Tabla7[[#This Row],[PenLect]]&lt;&gt;0),(AM176-AL176)*Tabla7[[#This Row],[RT]],"N/A")</f>
        <v>N/A</v>
      </c>
      <c r="AO176" s="380" t="s">
        <v>1020</v>
      </c>
      <c r="AP176" s="380" t="s">
        <v>1075</v>
      </c>
      <c r="AQ176" s="380" t="s">
        <v>1074</v>
      </c>
      <c r="AR176" s="2">
        <f t="shared" si="93"/>
        <v>0</v>
      </c>
      <c r="AT176" s="2" t="e">
        <f t="shared" ca="1" si="78"/>
        <v>#VALUE!</v>
      </c>
    </row>
    <row r="177" spans="1:46" ht="18" hidden="1" customHeight="1" x14ac:dyDescent="0.25">
      <c r="A177" s="291" t="s">
        <v>501</v>
      </c>
      <c r="B177" s="54"/>
      <c r="C177" s="368" t="s">
        <v>1053</v>
      </c>
      <c r="D177" s="54" t="s">
        <v>544</v>
      </c>
      <c r="E177" s="232">
        <v>2</v>
      </c>
      <c r="F177" s="2" t="s">
        <v>1048</v>
      </c>
      <c r="G177" s="2" t="s">
        <v>47</v>
      </c>
      <c r="H177" s="2"/>
      <c r="I177" s="2"/>
      <c r="J177" s="260">
        <v>0</v>
      </c>
      <c r="K177" s="260">
        <v>0</v>
      </c>
      <c r="L177" s="260"/>
      <c r="O177" s="260"/>
      <c r="P177" s="260"/>
      <c r="Q177" s="290"/>
      <c r="R177" s="260"/>
      <c r="S177" s="260"/>
      <c r="U177" s="260"/>
      <c r="V177" s="260"/>
      <c r="W177" s="260"/>
      <c r="X177" s="2"/>
      <c r="Y177" s="2">
        <f t="shared" si="79"/>
        <v>0</v>
      </c>
      <c r="Z177" s="2" t="str">
        <f t="shared" si="80"/>
        <v/>
      </c>
      <c r="AA177" s="2" t="str">
        <f t="shared" si="81"/>
        <v/>
      </c>
      <c r="AB177" s="2" t="str">
        <f t="shared" si="82"/>
        <v/>
      </c>
      <c r="AC177" s="2" t="str">
        <f t="shared" si="83"/>
        <v/>
      </c>
      <c r="AD177" s="260" t="str">
        <f t="shared" si="84"/>
        <v/>
      </c>
      <c r="AE177" s="2" t="str">
        <f t="shared" si="85"/>
        <v/>
      </c>
      <c r="AF177" s="2" t="str">
        <f t="shared" si="86"/>
        <v/>
      </c>
      <c r="AG177" s="2" t="str">
        <f t="shared" si="87"/>
        <v/>
      </c>
      <c r="AH177" s="2" t="str">
        <f t="shared" si="88"/>
        <v/>
      </c>
      <c r="AI177" s="2" t="str">
        <f t="shared" si="89"/>
        <v/>
      </c>
      <c r="AJ177" s="2" t="str">
        <f t="shared" si="90"/>
        <v/>
      </c>
      <c r="AK177" s="2">
        <v>1</v>
      </c>
      <c r="AL177" s="260">
        <f t="shared" ca="1" si="91"/>
        <v>0</v>
      </c>
      <c r="AM177" s="260">
        <f t="shared" ca="1" si="92"/>
        <v>0</v>
      </c>
      <c r="AN177" s="260" t="str">
        <f ca="1">IF(AND(Tabla7[[#This Row],[UltLec]]&lt;&gt;0,Tabla7[[#This Row],[PenLect]]&lt;&gt;0),(AM177-AL177)*Tabla7[[#This Row],[RT]],"N/A")</f>
        <v>N/A</v>
      </c>
      <c r="AO177" s="380" t="s">
        <v>1020</v>
      </c>
      <c r="AP177" s="380" t="s">
        <v>1075</v>
      </c>
      <c r="AQ177" s="380" t="s">
        <v>1074</v>
      </c>
      <c r="AR177" s="2">
        <f t="shared" si="93"/>
        <v>0</v>
      </c>
      <c r="AT177" s="2" t="e">
        <f t="shared" ca="1" si="78"/>
        <v>#VALUE!</v>
      </c>
    </row>
    <row r="178" spans="1:46" ht="18" hidden="1" customHeight="1" x14ac:dyDescent="0.25">
      <c r="A178" s="291" t="s">
        <v>501</v>
      </c>
      <c r="B178" s="54"/>
      <c r="C178" s="368" t="s">
        <v>1054</v>
      </c>
      <c r="D178" s="54" t="s">
        <v>544</v>
      </c>
      <c r="E178" s="232">
        <v>2</v>
      </c>
      <c r="F178" s="2" t="s">
        <v>1055</v>
      </c>
      <c r="G178" s="2" t="s">
        <v>47</v>
      </c>
      <c r="H178" s="2"/>
      <c r="I178" s="2"/>
      <c r="J178" s="260">
        <v>0</v>
      </c>
      <c r="K178" s="260">
        <v>0</v>
      </c>
      <c r="L178" s="260"/>
      <c r="O178" s="260"/>
      <c r="P178" s="260"/>
      <c r="Q178" s="290"/>
      <c r="R178" s="260"/>
      <c r="S178" s="260"/>
      <c r="U178" s="260"/>
      <c r="V178" s="260"/>
      <c r="W178" s="260"/>
      <c r="X178" s="2"/>
      <c r="Y178" s="2">
        <f t="shared" si="79"/>
        <v>0</v>
      </c>
      <c r="Z178" s="2" t="str">
        <f t="shared" si="80"/>
        <v/>
      </c>
      <c r="AA178" s="2" t="str">
        <f t="shared" si="81"/>
        <v/>
      </c>
      <c r="AB178" s="2" t="str">
        <f t="shared" si="82"/>
        <v/>
      </c>
      <c r="AC178" s="2" t="str">
        <f t="shared" si="83"/>
        <v/>
      </c>
      <c r="AD178" s="260" t="str">
        <f t="shared" si="84"/>
        <v/>
      </c>
      <c r="AE178" s="2" t="str">
        <f t="shared" si="85"/>
        <v/>
      </c>
      <c r="AF178" s="2" t="str">
        <f t="shared" si="86"/>
        <v/>
      </c>
      <c r="AG178" s="2" t="str">
        <f t="shared" si="87"/>
        <v/>
      </c>
      <c r="AH178" s="2" t="str">
        <f t="shared" si="88"/>
        <v/>
      </c>
      <c r="AI178" s="2" t="str">
        <f t="shared" si="89"/>
        <v/>
      </c>
      <c r="AJ178" s="2" t="str">
        <f t="shared" si="90"/>
        <v/>
      </c>
      <c r="AK178" s="2">
        <v>1</v>
      </c>
      <c r="AL178" s="260">
        <f t="shared" ca="1" si="91"/>
        <v>0</v>
      </c>
      <c r="AM178" s="260">
        <f t="shared" ca="1" si="92"/>
        <v>0</v>
      </c>
      <c r="AN178" s="260" t="str">
        <f ca="1">IF(AND(Tabla7[[#This Row],[UltLec]]&lt;&gt;0,Tabla7[[#This Row],[PenLect]]&lt;&gt;0),(AM178-AL178)*Tabla7[[#This Row],[RT]],"N/A")</f>
        <v>N/A</v>
      </c>
      <c r="AO178" s="380" t="s">
        <v>1020</v>
      </c>
      <c r="AP178" s="380" t="s">
        <v>1075</v>
      </c>
      <c r="AQ178" s="380" t="s">
        <v>1074</v>
      </c>
      <c r="AR178" s="2">
        <f t="shared" si="93"/>
        <v>0</v>
      </c>
      <c r="AT178" s="2" t="e">
        <f t="shared" ca="1" si="78"/>
        <v>#VALUE!</v>
      </c>
    </row>
    <row r="179" spans="1:46" ht="18" hidden="1" customHeight="1" x14ac:dyDescent="0.3">
      <c r="A179" s="291" t="s">
        <v>501</v>
      </c>
      <c r="B179" s="54"/>
      <c r="C179" s="467">
        <v>5356221</v>
      </c>
      <c r="D179" s="12" t="s">
        <v>547</v>
      </c>
      <c r="E179" s="232">
        <v>2</v>
      </c>
      <c r="F179" s="2" t="s">
        <v>988</v>
      </c>
      <c r="G179" s="2" t="s">
        <v>548</v>
      </c>
      <c r="H179" s="2"/>
      <c r="I179" s="2"/>
      <c r="J179" s="260">
        <v>20078</v>
      </c>
      <c r="K179" s="260">
        <v>20400</v>
      </c>
      <c r="L179" s="260"/>
      <c r="O179" s="260"/>
      <c r="P179" s="260"/>
      <c r="Q179" s="290"/>
      <c r="R179" s="308"/>
      <c r="S179" s="260"/>
      <c r="U179" s="260"/>
      <c r="V179" s="260"/>
      <c r="W179" s="260"/>
      <c r="X179" s="2"/>
      <c r="Y179" s="2">
        <f t="shared" si="79"/>
        <v>322</v>
      </c>
      <c r="Z179" s="2" t="str">
        <f t="shared" si="80"/>
        <v/>
      </c>
      <c r="AA179" s="2" t="str">
        <f t="shared" si="81"/>
        <v/>
      </c>
      <c r="AB179" s="2" t="str">
        <f t="shared" si="82"/>
        <v/>
      </c>
      <c r="AC179" s="2" t="str">
        <f t="shared" si="83"/>
        <v/>
      </c>
      <c r="AD179" s="260" t="str">
        <f t="shared" si="84"/>
        <v/>
      </c>
      <c r="AE179" s="2" t="str">
        <f t="shared" si="85"/>
        <v/>
      </c>
      <c r="AF179" s="2" t="str">
        <f t="shared" si="86"/>
        <v/>
      </c>
      <c r="AG179" s="2" t="str">
        <f t="shared" si="87"/>
        <v/>
      </c>
      <c r="AH179" s="2" t="str">
        <f t="shared" si="88"/>
        <v/>
      </c>
      <c r="AI179" s="2" t="str">
        <f t="shared" si="89"/>
        <v/>
      </c>
      <c r="AJ179" s="2" t="str">
        <f t="shared" si="90"/>
        <v/>
      </c>
      <c r="AK179" s="2">
        <v>1</v>
      </c>
      <c r="AL179" s="260">
        <f t="shared" ca="1" si="91"/>
        <v>0</v>
      </c>
      <c r="AM179" s="260">
        <f t="shared" ca="1" si="92"/>
        <v>0</v>
      </c>
      <c r="AN179" s="260" t="str">
        <f ca="1">IF(AND(Tabla7[[#This Row],[UltLec]]&lt;&gt;0,Tabla7[[#This Row],[PenLect]]&lt;&gt;0),(AM179-AL179)*Tabla7[[#This Row],[RT]],"N/A")</f>
        <v>N/A</v>
      </c>
      <c r="AO179" s="380" t="s">
        <v>1020</v>
      </c>
      <c r="AP179" s="380" t="s">
        <v>1075</v>
      </c>
      <c r="AQ179" s="380" t="s">
        <v>1074</v>
      </c>
      <c r="AR179" s="2">
        <f t="shared" si="93"/>
        <v>0</v>
      </c>
      <c r="AT179" s="2" t="e">
        <f t="shared" ca="1" si="78"/>
        <v>#VALUE!</v>
      </c>
    </row>
    <row r="180" spans="1:46" ht="18" hidden="1" customHeight="1" x14ac:dyDescent="0.25">
      <c r="A180" s="291" t="s">
        <v>501</v>
      </c>
      <c r="B180" s="54"/>
      <c r="C180" s="368">
        <v>5356224</v>
      </c>
      <c r="D180" s="54" t="s">
        <v>547</v>
      </c>
      <c r="E180" s="232">
        <v>2</v>
      </c>
      <c r="F180" s="2" t="s">
        <v>549</v>
      </c>
      <c r="G180" s="2" t="s">
        <v>47</v>
      </c>
      <c r="H180" s="2"/>
      <c r="I180" s="2"/>
      <c r="J180" s="260">
        <v>7459</v>
      </c>
      <c r="K180" s="260">
        <v>7579</v>
      </c>
      <c r="L180" s="260"/>
      <c r="O180" s="260"/>
      <c r="P180" s="260"/>
      <c r="Q180" s="290"/>
      <c r="R180" s="308"/>
      <c r="S180" s="260"/>
      <c r="U180" s="260"/>
      <c r="V180" s="260"/>
      <c r="W180" s="260"/>
      <c r="X180" s="2"/>
      <c r="Y180" s="2">
        <f t="shared" si="79"/>
        <v>120</v>
      </c>
      <c r="Z180" s="2" t="str">
        <f t="shared" si="80"/>
        <v/>
      </c>
      <c r="AA180" s="2" t="str">
        <f t="shared" si="81"/>
        <v/>
      </c>
      <c r="AB180" s="2" t="str">
        <f t="shared" si="82"/>
        <v/>
      </c>
      <c r="AC180" s="2" t="str">
        <f t="shared" si="83"/>
        <v/>
      </c>
      <c r="AD180" s="260" t="str">
        <f t="shared" si="84"/>
        <v/>
      </c>
      <c r="AE180" s="2" t="str">
        <f t="shared" si="85"/>
        <v/>
      </c>
      <c r="AF180" s="2" t="str">
        <f t="shared" si="86"/>
        <v/>
      </c>
      <c r="AG180" s="2" t="str">
        <f t="shared" si="87"/>
        <v/>
      </c>
      <c r="AH180" s="2" t="str">
        <f t="shared" si="88"/>
        <v/>
      </c>
      <c r="AI180" s="2" t="str">
        <f t="shared" si="89"/>
        <v/>
      </c>
      <c r="AJ180" s="2" t="str">
        <f t="shared" si="90"/>
        <v/>
      </c>
      <c r="AK180" s="2">
        <v>1</v>
      </c>
      <c r="AL180" s="260">
        <f t="shared" ca="1" si="91"/>
        <v>0</v>
      </c>
      <c r="AM180" s="260">
        <f t="shared" ca="1" si="92"/>
        <v>0</v>
      </c>
      <c r="AN180" s="260" t="str">
        <f ca="1">IF(AND(Tabla7[[#This Row],[UltLec]]&lt;&gt;0,Tabla7[[#This Row],[PenLect]]&lt;&gt;0),(AM180-AL180)*Tabla7[[#This Row],[RT]],"N/A")</f>
        <v>N/A</v>
      </c>
      <c r="AO180" s="380" t="s">
        <v>1020</v>
      </c>
      <c r="AP180" s="380" t="s">
        <v>1075</v>
      </c>
      <c r="AQ180" s="380" t="s">
        <v>1074</v>
      </c>
      <c r="AR180" s="2">
        <f t="shared" si="93"/>
        <v>0</v>
      </c>
      <c r="AT180" s="2" t="e">
        <f t="shared" ca="1" si="78"/>
        <v>#VALUE!</v>
      </c>
    </row>
    <row r="181" spans="1:46" ht="18" hidden="1" customHeight="1" x14ac:dyDescent="0.25">
      <c r="A181" s="291" t="s">
        <v>501</v>
      </c>
      <c r="B181" s="54"/>
      <c r="C181" s="452" t="s">
        <v>1555</v>
      </c>
      <c r="D181" s="54" t="s">
        <v>547</v>
      </c>
      <c r="E181" s="232">
        <v>39418</v>
      </c>
      <c r="F181" s="2" t="s">
        <v>145</v>
      </c>
      <c r="G181" s="2" t="s">
        <v>1173</v>
      </c>
      <c r="H181" s="2"/>
      <c r="I181" s="2"/>
      <c r="J181" s="260">
        <v>27776</v>
      </c>
      <c r="K181" s="260">
        <v>27776</v>
      </c>
      <c r="L181" s="260"/>
      <c r="O181" s="260"/>
      <c r="P181" s="260"/>
      <c r="Q181" s="290"/>
      <c r="R181" s="308"/>
      <c r="S181" s="260"/>
      <c r="U181" s="260"/>
      <c r="V181" s="260"/>
      <c r="W181" s="260"/>
      <c r="X181" s="2"/>
      <c r="Y181" s="2">
        <f t="shared" si="79"/>
        <v>0</v>
      </c>
      <c r="Z181" s="2" t="str">
        <f t="shared" si="80"/>
        <v/>
      </c>
      <c r="AA181" s="2" t="str">
        <f t="shared" si="81"/>
        <v/>
      </c>
      <c r="AB181" s="2" t="str">
        <f t="shared" si="82"/>
        <v/>
      </c>
      <c r="AC181" s="2" t="str">
        <f t="shared" si="83"/>
        <v/>
      </c>
      <c r="AD181" s="260" t="str">
        <f t="shared" si="84"/>
        <v/>
      </c>
      <c r="AE181" s="2" t="str">
        <f t="shared" si="85"/>
        <v/>
      </c>
      <c r="AF181" s="2" t="str">
        <f t="shared" si="86"/>
        <v/>
      </c>
      <c r="AG181" s="2" t="str">
        <f t="shared" si="87"/>
        <v/>
      </c>
      <c r="AH181" s="2" t="str">
        <f t="shared" si="88"/>
        <v/>
      </c>
      <c r="AI181" s="2" t="str">
        <f t="shared" si="89"/>
        <v/>
      </c>
      <c r="AJ181" s="2" t="str">
        <f t="shared" si="90"/>
        <v/>
      </c>
      <c r="AK181" s="2">
        <v>1</v>
      </c>
      <c r="AL181" s="260">
        <f t="shared" ca="1" si="91"/>
        <v>0</v>
      </c>
      <c r="AM181" s="260">
        <f t="shared" ca="1" si="92"/>
        <v>0</v>
      </c>
      <c r="AN181" s="260" t="str">
        <f ca="1">IF(AND(Tabla7[[#This Row],[UltLec]]&lt;&gt;0,Tabla7[[#This Row],[PenLect]]&lt;&gt;0),(AM181-AL181)*Tabla7[[#This Row],[RT]],"N/A")</f>
        <v>N/A</v>
      </c>
      <c r="AO181" s="380" t="s">
        <v>1020</v>
      </c>
      <c r="AP181" s="380" t="s">
        <v>1075</v>
      </c>
      <c r="AQ181" s="380" t="s">
        <v>1074</v>
      </c>
      <c r="AR181" s="2">
        <f t="shared" si="93"/>
        <v>0</v>
      </c>
      <c r="AT181" s="2" t="e">
        <f t="shared" ca="1" si="78"/>
        <v>#VALUE!</v>
      </c>
    </row>
    <row r="182" spans="1:46" ht="18" hidden="1" customHeight="1" x14ac:dyDescent="0.25">
      <c r="A182" s="291" t="s">
        <v>501</v>
      </c>
      <c r="B182" s="54"/>
      <c r="C182" s="452" t="s">
        <v>1554</v>
      </c>
      <c r="D182" s="54" t="s">
        <v>547</v>
      </c>
      <c r="E182" s="232">
        <v>39337</v>
      </c>
      <c r="F182" s="381" t="s">
        <v>145</v>
      </c>
      <c r="G182" s="2" t="s">
        <v>1172</v>
      </c>
      <c r="H182" s="2"/>
      <c r="I182" s="2"/>
      <c r="J182" s="260">
        <v>29382</v>
      </c>
      <c r="K182" s="260">
        <v>29820</v>
      </c>
      <c r="L182" s="260"/>
      <c r="O182" s="260"/>
      <c r="P182" s="260"/>
      <c r="Q182" s="290"/>
      <c r="R182" s="308"/>
      <c r="S182" s="260"/>
      <c r="U182" s="260"/>
      <c r="V182" s="260"/>
      <c r="W182" s="260"/>
      <c r="X182" s="2"/>
      <c r="Y182" s="2">
        <f t="shared" si="79"/>
        <v>438</v>
      </c>
      <c r="Z182" s="2" t="str">
        <f t="shared" si="80"/>
        <v/>
      </c>
      <c r="AA182" s="2" t="str">
        <f t="shared" si="81"/>
        <v/>
      </c>
      <c r="AB182" s="2" t="str">
        <f t="shared" si="82"/>
        <v/>
      </c>
      <c r="AC182" s="2" t="str">
        <f t="shared" si="83"/>
        <v/>
      </c>
      <c r="AD182" s="260" t="str">
        <f t="shared" si="84"/>
        <v/>
      </c>
      <c r="AE182" s="2" t="str">
        <f t="shared" si="85"/>
        <v/>
      </c>
      <c r="AF182" s="2" t="str">
        <f t="shared" si="86"/>
        <v/>
      </c>
      <c r="AG182" s="2" t="str">
        <f t="shared" si="87"/>
        <v/>
      </c>
      <c r="AH182" s="2" t="str">
        <f t="shared" si="88"/>
        <v/>
      </c>
      <c r="AI182" s="2" t="str">
        <f t="shared" si="89"/>
        <v/>
      </c>
      <c r="AJ182" s="2" t="str">
        <f t="shared" si="90"/>
        <v/>
      </c>
      <c r="AK182" s="2">
        <v>1</v>
      </c>
      <c r="AL182" s="260">
        <f t="shared" ca="1" si="91"/>
        <v>0</v>
      </c>
      <c r="AM182" s="260">
        <f t="shared" ca="1" si="92"/>
        <v>0</v>
      </c>
      <c r="AN182" s="260" t="str">
        <f ca="1">IF(AND(Tabla7[[#This Row],[UltLec]]&lt;&gt;0,Tabla7[[#This Row],[PenLect]]&lt;&gt;0),(AM182-AL182)*Tabla7[[#This Row],[RT]],"N/A")</f>
        <v>N/A</v>
      </c>
      <c r="AO182" s="380" t="s">
        <v>1020</v>
      </c>
      <c r="AP182" s="380" t="s">
        <v>1075</v>
      </c>
      <c r="AQ182" s="380" t="s">
        <v>1074</v>
      </c>
      <c r="AR182" s="2">
        <f t="shared" si="93"/>
        <v>0</v>
      </c>
      <c r="AT182" s="2" t="e">
        <f t="shared" ca="1" si="78"/>
        <v>#VALUE!</v>
      </c>
    </row>
    <row r="183" spans="1:46" ht="18" hidden="1" customHeight="1" x14ac:dyDescent="0.25">
      <c r="A183" s="418" t="s">
        <v>1060</v>
      </c>
      <c r="B183" s="272"/>
      <c r="C183" s="367" t="s">
        <v>1312</v>
      </c>
      <c r="D183" s="272" t="s">
        <v>547</v>
      </c>
      <c r="E183" s="286">
        <v>39311</v>
      </c>
      <c r="F183" s="400" t="s">
        <v>145</v>
      </c>
      <c r="G183" s="400" t="s">
        <v>1314</v>
      </c>
      <c r="H183" s="400"/>
      <c r="I183" s="400" t="s">
        <v>1442</v>
      </c>
      <c r="J183" s="275"/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 t="str">
        <f t="shared" si="79"/>
        <v/>
      </c>
      <c r="Z183" s="275" t="str">
        <f t="shared" si="80"/>
        <v/>
      </c>
      <c r="AA183" s="275" t="str">
        <f t="shared" si="81"/>
        <v/>
      </c>
      <c r="AB183" s="275" t="str">
        <f t="shared" si="82"/>
        <v/>
      </c>
      <c r="AC183" s="275" t="str">
        <f t="shared" si="83"/>
        <v/>
      </c>
      <c r="AD183" s="275" t="str">
        <f t="shared" si="84"/>
        <v/>
      </c>
      <c r="AE183" s="275" t="str">
        <f t="shared" si="85"/>
        <v/>
      </c>
      <c r="AF183" s="275" t="str">
        <f t="shared" si="86"/>
        <v/>
      </c>
      <c r="AG183" s="275" t="str">
        <f t="shared" si="87"/>
        <v/>
      </c>
      <c r="AH183" s="275" t="str">
        <f t="shared" si="88"/>
        <v/>
      </c>
      <c r="AI183" s="275" t="str">
        <f t="shared" si="89"/>
        <v/>
      </c>
      <c r="AJ183" s="275" t="str">
        <f t="shared" si="90"/>
        <v/>
      </c>
      <c r="AK183" s="275">
        <v>1</v>
      </c>
      <c r="AL183" s="275">
        <f t="shared" ca="1" si="91"/>
        <v>0</v>
      </c>
      <c r="AM183" s="277">
        <f t="shared" ca="1" si="92"/>
        <v>0</v>
      </c>
      <c r="AN183" s="275" t="str">
        <f ca="1">IF(AND(Tabla7[[#This Row],[UltLec]]&lt;&gt;0,Tabla7[[#This Row],[PenLect]]&lt;&gt;0),(AM183-AL183)*Tabla7[[#This Row],[RT]],"N/A")</f>
        <v>N/A</v>
      </c>
      <c r="AO183" s="400" t="s">
        <v>1160</v>
      </c>
      <c r="AP183" s="400" t="s">
        <v>1075</v>
      </c>
      <c r="AQ183" s="400" t="s">
        <v>1077</v>
      </c>
      <c r="AR183" s="275">
        <f t="shared" si="93"/>
        <v>0</v>
      </c>
      <c r="AT183" s="2" t="e">
        <f t="shared" ca="1" si="78"/>
        <v>#VALUE!</v>
      </c>
    </row>
    <row r="184" spans="1:46" ht="18" hidden="1" customHeight="1" x14ac:dyDescent="0.25">
      <c r="A184" s="291" t="s">
        <v>501</v>
      </c>
      <c r="B184" s="54"/>
      <c r="C184" s="368">
        <v>29218</v>
      </c>
      <c r="D184" s="54" t="s">
        <v>550</v>
      </c>
      <c r="E184" s="232">
        <v>39921</v>
      </c>
      <c r="F184" s="2" t="s">
        <v>551</v>
      </c>
      <c r="G184" s="2" t="s">
        <v>552</v>
      </c>
      <c r="H184" s="2"/>
      <c r="I184" s="2"/>
      <c r="J184" s="260">
        <v>269156</v>
      </c>
      <c r="K184" s="260">
        <v>269517</v>
      </c>
      <c r="L184" s="260"/>
      <c r="O184" s="260"/>
      <c r="P184" s="260"/>
      <c r="Q184" s="290"/>
      <c r="R184" s="308"/>
      <c r="S184" s="260"/>
      <c r="U184" s="260"/>
      <c r="V184" s="260"/>
      <c r="W184" s="387"/>
      <c r="X184" s="2"/>
      <c r="Y184" s="2">
        <f t="shared" si="79"/>
        <v>361</v>
      </c>
      <c r="Z184" s="2" t="str">
        <f t="shared" si="80"/>
        <v/>
      </c>
      <c r="AA184" s="2" t="str">
        <f t="shared" si="81"/>
        <v/>
      </c>
      <c r="AB184" s="2" t="str">
        <f t="shared" si="82"/>
        <v/>
      </c>
      <c r="AC184" s="2" t="str">
        <f t="shared" si="83"/>
        <v/>
      </c>
      <c r="AD184" s="260" t="str">
        <f t="shared" si="84"/>
        <v/>
      </c>
      <c r="AE184" s="2" t="str">
        <f t="shared" si="85"/>
        <v/>
      </c>
      <c r="AF184" s="2" t="str">
        <f t="shared" si="86"/>
        <v/>
      </c>
      <c r="AG184" s="2" t="str">
        <f t="shared" si="87"/>
        <v/>
      </c>
      <c r="AH184" s="2" t="str">
        <f t="shared" si="88"/>
        <v/>
      </c>
      <c r="AI184" s="2" t="str">
        <f t="shared" si="89"/>
        <v/>
      </c>
      <c r="AJ184" s="2" t="str">
        <f t="shared" si="90"/>
        <v/>
      </c>
      <c r="AK184" s="2">
        <v>1</v>
      </c>
      <c r="AL184" s="260">
        <f t="shared" ca="1" si="91"/>
        <v>0</v>
      </c>
      <c r="AM184" s="260">
        <f t="shared" ca="1" si="92"/>
        <v>0</v>
      </c>
      <c r="AN184" s="260" t="str">
        <f ca="1">IF(AND(Tabla7[[#This Row],[UltLec]]&lt;&gt;0,Tabla7[[#This Row],[PenLect]]&lt;&gt;0),(AM184-AL184)*Tabla7[[#This Row],[RT]],"N/A")</f>
        <v>N/A</v>
      </c>
      <c r="AO184" s="380" t="s">
        <v>1020</v>
      </c>
      <c r="AP184" s="380" t="s">
        <v>1075</v>
      </c>
      <c r="AQ184" s="380" t="s">
        <v>1074</v>
      </c>
      <c r="AR184" s="2">
        <f t="shared" si="93"/>
        <v>0</v>
      </c>
      <c r="AT184" s="2" t="e">
        <f t="shared" ca="1" si="78"/>
        <v>#VALUE!</v>
      </c>
    </row>
    <row r="185" spans="1:46" ht="18" hidden="1" customHeight="1" x14ac:dyDescent="0.25">
      <c r="A185" s="291" t="s">
        <v>501</v>
      </c>
      <c r="B185" s="54"/>
      <c r="C185" s="368">
        <v>5355254</v>
      </c>
      <c r="D185" s="54" t="s">
        <v>550</v>
      </c>
      <c r="E185" s="232">
        <v>2</v>
      </c>
      <c r="F185" s="2" t="s">
        <v>553</v>
      </c>
      <c r="G185" s="2" t="s">
        <v>47</v>
      </c>
      <c r="H185" s="2"/>
      <c r="I185" s="2"/>
      <c r="J185" s="260">
        <v>24448</v>
      </c>
      <c r="K185" s="260">
        <v>24689</v>
      </c>
      <c r="L185" s="260"/>
      <c r="O185" s="260"/>
      <c r="P185" s="260"/>
      <c r="Q185" s="290"/>
      <c r="R185" s="308"/>
      <c r="S185" s="260"/>
      <c r="U185" s="260"/>
      <c r="V185" s="260"/>
      <c r="W185" s="387"/>
      <c r="X185" s="2"/>
      <c r="Y185" s="2">
        <f t="shared" si="79"/>
        <v>4820</v>
      </c>
      <c r="Z185" s="2" t="str">
        <f t="shared" si="80"/>
        <v/>
      </c>
      <c r="AA185" s="2" t="str">
        <f t="shared" si="81"/>
        <v/>
      </c>
      <c r="AB185" s="2" t="str">
        <f t="shared" si="82"/>
        <v/>
      </c>
      <c r="AC185" s="2" t="str">
        <f t="shared" si="83"/>
        <v/>
      </c>
      <c r="AD185" s="260" t="str">
        <f t="shared" si="84"/>
        <v/>
      </c>
      <c r="AE185" s="2" t="str">
        <f t="shared" si="85"/>
        <v/>
      </c>
      <c r="AF185" s="2" t="str">
        <f t="shared" si="86"/>
        <v/>
      </c>
      <c r="AG185" s="2" t="str">
        <f t="shared" si="87"/>
        <v/>
      </c>
      <c r="AH185" s="2" t="str">
        <f t="shared" si="88"/>
        <v/>
      </c>
      <c r="AI185" s="2" t="str">
        <f t="shared" si="89"/>
        <v/>
      </c>
      <c r="AJ185" s="2" t="str">
        <f t="shared" si="90"/>
        <v/>
      </c>
      <c r="AK185" s="2">
        <v>20</v>
      </c>
      <c r="AL185" s="260">
        <f t="shared" ca="1" si="91"/>
        <v>0</v>
      </c>
      <c r="AM185" s="260">
        <f t="shared" ca="1" si="92"/>
        <v>0</v>
      </c>
      <c r="AN185" s="260" t="str">
        <f ca="1">IF(AND(Tabla7[[#This Row],[UltLec]]&lt;&gt;0,Tabla7[[#This Row],[PenLect]]&lt;&gt;0),(AM185-AL185)*Tabla7[[#This Row],[RT]],"N/A")</f>
        <v>N/A</v>
      </c>
      <c r="AO185" s="380" t="s">
        <v>1020</v>
      </c>
      <c r="AP185" s="380" t="s">
        <v>1075</v>
      </c>
      <c r="AQ185" s="380" t="s">
        <v>1074</v>
      </c>
      <c r="AR185" s="2">
        <f t="shared" si="93"/>
        <v>0</v>
      </c>
      <c r="AT185" s="2" t="e">
        <f t="shared" ca="1" si="78"/>
        <v>#VALUE!</v>
      </c>
    </row>
    <row r="186" spans="1:46" ht="18" hidden="1" customHeight="1" x14ac:dyDescent="0.25">
      <c r="A186" s="291" t="s">
        <v>501</v>
      </c>
      <c r="B186" s="54"/>
      <c r="C186" s="368">
        <v>5355253</v>
      </c>
      <c r="D186" s="54" t="s">
        <v>554</v>
      </c>
      <c r="E186" s="232">
        <v>2</v>
      </c>
      <c r="F186" s="2" t="s">
        <v>555</v>
      </c>
      <c r="G186" s="2" t="s">
        <v>1035</v>
      </c>
      <c r="H186" s="2"/>
      <c r="I186" s="2"/>
      <c r="J186" s="260">
        <v>16357</v>
      </c>
      <c r="K186" s="260">
        <v>16531</v>
      </c>
      <c r="L186" s="260"/>
      <c r="O186" s="260"/>
      <c r="P186" s="260"/>
      <c r="Q186" s="290"/>
      <c r="R186" s="308"/>
      <c r="S186" s="260"/>
      <c r="U186" s="260"/>
      <c r="V186" s="260"/>
      <c r="W186" s="387"/>
      <c r="X186" s="2"/>
      <c r="Y186" s="2">
        <f t="shared" si="79"/>
        <v>3480</v>
      </c>
      <c r="Z186" s="2" t="str">
        <f t="shared" si="80"/>
        <v/>
      </c>
      <c r="AA186" s="2" t="str">
        <f t="shared" si="81"/>
        <v/>
      </c>
      <c r="AB186" s="2" t="str">
        <f t="shared" si="82"/>
        <v/>
      </c>
      <c r="AC186" s="2" t="str">
        <f t="shared" si="83"/>
        <v/>
      </c>
      <c r="AD186" s="260" t="str">
        <f t="shared" si="84"/>
        <v/>
      </c>
      <c r="AE186" s="2" t="str">
        <f t="shared" si="85"/>
        <v/>
      </c>
      <c r="AF186" s="2" t="str">
        <f t="shared" si="86"/>
        <v/>
      </c>
      <c r="AG186" s="2" t="str">
        <f t="shared" si="87"/>
        <v/>
      </c>
      <c r="AH186" s="2" t="str">
        <f t="shared" si="88"/>
        <v/>
      </c>
      <c r="AI186" s="2" t="str">
        <f t="shared" si="89"/>
        <v/>
      </c>
      <c r="AJ186" s="2" t="str">
        <f t="shared" si="90"/>
        <v/>
      </c>
      <c r="AK186" s="2">
        <v>20</v>
      </c>
      <c r="AL186" s="260">
        <f t="shared" ca="1" si="91"/>
        <v>0</v>
      </c>
      <c r="AM186" s="260">
        <f t="shared" ca="1" si="92"/>
        <v>0</v>
      </c>
      <c r="AN186" s="260" t="str">
        <f ca="1">IF(AND(Tabla7[[#This Row],[UltLec]]&lt;&gt;0,Tabla7[[#This Row],[PenLect]]&lt;&gt;0),(AM186-AL186)*Tabla7[[#This Row],[RT]],"N/A")</f>
        <v>N/A</v>
      </c>
      <c r="AO186" s="380" t="s">
        <v>1020</v>
      </c>
      <c r="AP186" s="380" t="s">
        <v>1075</v>
      </c>
      <c r="AQ186" s="380" t="s">
        <v>1074</v>
      </c>
      <c r="AR186" s="2">
        <f t="shared" si="93"/>
        <v>0</v>
      </c>
      <c r="AT186" s="2" t="e">
        <f t="shared" ca="1" si="78"/>
        <v>#VALUE!</v>
      </c>
    </row>
    <row r="187" spans="1:46" ht="18" hidden="1" customHeight="1" x14ac:dyDescent="0.25">
      <c r="A187" s="418" t="s">
        <v>1060</v>
      </c>
      <c r="B187" s="273" t="s">
        <v>663</v>
      </c>
      <c r="C187" s="276">
        <v>95164633</v>
      </c>
      <c r="D187" s="273" t="s">
        <v>554</v>
      </c>
      <c r="E187" s="274">
        <v>39484</v>
      </c>
      <c r="F187" s="434" t="s">
        <v>145</v>
      </c>
      <c r="G187" s="434" t="s">
        <v>1313</v>
      </c>
      <c r="H187" s="434"/>
      <c r="I187" s="434" t="s">
        <v>656</v>
      </c>
      <c r="J187" s="434"/>
      <c r="K187" s="434"/>
      <c r="L187" s="434"/>
      <c r="M187" s="434"/>
      <c r="N187" s="434"/>
      <c r="O187" s="434"/>
      <c r="P187" s="434"/>
      <c r="Q187" s="434"/>
      <c r="R187" s="434"/>
      <c r="S187" s="434"/>
      <c r="T187" s="434"/>
      <c r="U187" s="434"/>
      <c r="V187" s="434"/>
      <c r="W187" s="434"/>
      <c r="X187" s="434"/>
      <c r="Y187" s="434" t="str">
        <f t="shared" si="79"/>
        <v/>
      </c>
      <c r="Z187" s="434" t="str">
        <f t="shared" si="80"/>
        <v/>
      </c>
      <c r="AA187" s="434" t="str">
        <f t="shared" si="81"/>
        <v/>
      </c>
      <c r="AB187" s="434" t="str">
        <f t="shared" si="82"/>
        <v/>
      </c>
      <c r="AC187" s="434" t="str">
        <f t="shared" si="83"/>
        <v/>
      </c>
      <c r="AD187" s="434" t="str">
        <f t="shared" si="84"/>
        <v/>
      </c>
      <c r="AE187" s="434" t="str">
        <f t="shared" si="85"/>
        <v/>
      </c>
      <c r="AF187" s="434" t="str">
        <f t="shared" si="86"/>
        <v/>
      </c>
      <c r="AG187" s="434" t="str">
        <f t="shared" si="87"/>
        <v/>
      </c>
      <c r="AH187" s="434" t="str">
        <f t="shared" si="88"/>
        <v/>
      </c>
      <c r="AI187" s="434" t="str">
        <f t="shared" si="89"/>
        <v/>
      </c>
      <c r="AJ187" s="434" t="str">
        <f t="shared" si="90"/>
        <v/>
      </c>
      <c r="AK187" s="434">
        <v>1</v>
      </c>
      <c r="AL187" s="434">
        <f t="shared" ca="1" si="91"/>
        <v>0</v>
      </c>
      <c r="AM187" s="434">
        <f t="shared" ca="1" si="92"/>
        <v>0</v>
      </c>
      <c r="AN187" s="434" t="str">
        <f ca="1">IF(AND(Tabla7[[#This Row],[UltLec]]&lt;&gt;0,Tabla7[[#This Row],[PenLect]]&lt;&gt;0),(AM187-AL187)*Tabla7[[#This Row],[RT]],"N/A")</f>
        <v>N/A</v>
      </c>
      <c r="AO187" s="434" t="s">
        <v>1160</v>
      </c>
      <c r="AP187" s="434" t="s">
        <v>1075</v>
      </c>
      <c r="AQ187" s="434" t="s">
        <v>1074</v>
      </c>
      <c r="AR187" s="434">
        <f t="shared" si="93"/>
        <v>0</v>
      </c>
      <c r="AT187" s="2" t="e">
        <f t="shared" ca="1" si="78"/>
        <v>#VALUE!</v>
      </c>
    </row>
    <row r="188" spans="1:46" ht="18" hidden="1" customHeight="1" x14ac:dyDescent="0.25">
      <c r="A188" s="406" t="s">
        <v>1060</v>
      </c>
      <c r="B188" s="273"/>
      <c r="C188" s="488" t="s">
        <v>1421</v>
      </c>
      <c r="D188" s="273" t="s">
        <v>554</v>
      </c>
      <c r="E188" s="274">
        <v>39293</v>
      </c>
      <c r="F188" s="488" t="s">
        <v>145</v>
      </c>
      <c r="G188" s="434" t="s">
        <v>1164</v>
      </c>
      <c r="H188" s="434" t="s">
        <v>1422</v>
      </c>
      <c r="I188" s="434" t="s">
        <v>1423</v>
      </c>
      <c r="J188" s="434"/>
      <c r="K188" s="434"/>
      <c r="L188" s="434"/>
      <c r="M188" s="434"/>
      <c r="N188" s="434"/>
      <c r="O188" s="434"/>
      <c r="P188" s="434"/>
      <c r="Q188" s="434"/>
      <c r="R188" s="434"/>
      <c r="S188" s="434"/>
      <c r="T188" s="434"/>
      <c r="U188" s="434"/>
      <c r="V188" s="434"/>
      <c r="W188" s="434"/>
      <c r="X188" s="434"/>
      <c r="Y188" s="434" t="str">
        <f t="shared" si="79"/>
        <v/>
      </c>
      <c r="Z188" s="434" t="str">
        <f t="shared" si="80"/>
        <v/>
      </c>
      <c r="AA188" s="434" t="str">
        <f t="shared" si="81"/>
        <v/>
      </c>
      <c r="AB188" s="434" t="str">
        <f t="shared" si="82"/>
        <v/>
      </c>
      <c r="AC188" s="434" t="str">
        <f t="shared" si="83"/>
        <v/>
      </c>
      <c r="AD188" s="434" t="str">
        <f t="shared" si="84"/>
        <v/>
      </c>
      <c r="AE188" s="434" t="str">
        <f t="shared" si="85"/>
        <v/>
      </c>
      <c r="AF188" s="434" t="str">
        <f t="shared" si="86"/>
        <v/>
      </c>
      <c r="AG188" s="434" t="str">
        <f t="shared" si="87"/>
        <v/>
      </c>
      <c r="AH188" s="434" t="str">
        <f t="shared" si="88"/>
        <v/>
      </c>
      <c r="AI188" s="434" t="str">
        <f t="shared" si="89"/>
        <v/>
      </c>
      <c r="AJ188" s="434" t="str">
        <f t="shared" si="90"/>
        <v/>
      </c>
      <c r="AK188" s="434">
        <v>1</v>
      </c>
      <c r="AL188" s="434">
        <f t="shared" ca="1" si="91"/>
        <v>0</v>
      </c>
      <c r="AM188" s="434">
        <f t="shared" ca="1" si="92"/>
        <v>0</v>
      </c>
      <c r="AN188" s="434" t="str">
        <f ca="1">IF(AND(Tabla7[[#This Row],[UltLec]]&lt;&gt;0,Tabla7[[#This Row],[PenLect]]&lt;&gt;0),(AM188-AL188)*Tabla7[[#This Row],[RT]],"N/A")</f>
        <v>N/A</v>
      </c>
      <c r="AO188" s="434" t="s">
        <v>1160</v>
      </c>
      <c r="AP188" s="434" t="s">
        <v>1075</v>
      </c>
      <c r="AQ188" s="434" t="s">
        <v>1074</v>
      </c>
      <c r="AR188" s="434">
        <f t="shared" si="93"/>
        <v>0</v>
      </c>
      <c r="AT188" s="2" t="e">
        <f t="shared" ca="1" si="78"/>
        <v>#VALUE!</v>
      </c>
    </row>
    <row r="189" spans="1:46" ht="18" hidden="1" customHeight="1" x14ac:dyDescent="0.25">
      <c r="A189" s="406" t="s">
        <v>1060</v>
      </c>
      <c r="B189" s="273"/>
      <c r="C189" s="488" t="s">
        <v>1171</v>
      </c>
      <c r="D189" s="273" t="s">
        <v>554</v>
      </c>
      <c r="E189" s="274"/>
      <c r="F189" s="506" t="s">
        <v>145</v>
      </c>
      <c r="G189" s="393" t="s">
        <v>1171</v>
      </c>
      <c r="H189" s="393"/>
      <c r="I189" s="393"/>
      <c r="J189" s="275"/>
      <c r="K189" s="393"/>
      <c r="L189" s="393"/>
      <c r="M189" s="393"/>
      <c r="N189" s="393"/>
      <c r="O189" s="393"/>
      <c r="P189" s="393"/>
      <c r="Q189" s="393"/>
      <c r="R189" s="393"/>
      <c r="S189" s="393"/>
      <c r="T189" s="393"/>
      <c r="U189" s="275"/>
      <c r="V189" s="275"/>
      <c r="W189" s="393"/>
      <c r="X189" s="393"/>
      <c r="Y189" s="393" t="str">
        <f t="shared" si="79"/>
        <v/>
      </c>
      <c r="Z189" s="393" t="str">
        <f t="shared" si="80"/>
        <v/>
      </c>
      <c r="AA189" s="393" t="str">
        <f t="shared" si="81"/>
        <v/>
      </c>
      <c r="AB189" s="393" t="str">
        <f t="shared" si="82"/>
        <v/>
      </c>
      <c r="AC189" s="393" t="str">
        <f t="shared" si="83"/>
        <v/>
      </c>
      <c r="AD189" s="393" t="str">
        <f t="shared" si="84"/>
        <v/>
      </c>
      <c r="AE189" s="393" t="str">
        <f t="shared" si="85"/>
        <v/>
      </c>
      <c r="AF189" s="393" t="str">
        <f t="shared" si="86"/>
        <v/>
      </c>
      <c r="AG189" s="393" t="str">
        <f t="shared" si="87"/>
        <v/>
      </c>
      <c r="AH189" s="393" t="str">
        <f t="shared" si="88"/>
        <v/>
      </c>
      <c r="AI189" s="393" t="str">
        <f t="shared" si="89"/>
        <v/>
      </c>
      <c r="AJ189" s="393" t="str">
        <f t="shared" si="90"/>
        <v/>
      </c>
      <c r="AK189" s="393">
        <v>1</v>
      </c>
      <c r="AL189" s="394">
        <f t="shared" ca="1" si="91"/>
        <v>0</v>
      </c>
      <c r="AM189" s="394">
        <f t="shared" ca="1" si="92"/>
        <v>0</v>
      </c>
      <c r="AN189" s="394" t="str">
        <f ca="1">IF(AND(Tabla7[[#This Row],[UltLec]]&lt;&gt;0,Tabla7[[#This Row],[PenLect]]&lt;&gt;0),(AM189-AL189)*Tabla7[[#This Row],[RT]],"N/A")</f>
        <v>N/A</v>
      </c>
      <c r="AO189" s="393" t="s">
        <v>1160</v>
      </c>
      <c r="AP189" s="393" t="s">
        <v>1075</v>
      </c>
      <c r="AQ189" s="393" t="s">
        <v>1074</v>
      </c>
      <c r="AR189" s="393">
        <f t="shared" si="93"/>
        <v>0</v>
      </c>
      <c r="AT189" s="2" t="e">
        <f t="shared" ca="1" si="78"/>
        <v>#VALUE!</v>
      </c>
    </row>
    <row r="190" spans="1:46" ht="18" hidden="1" customHeight="1" x14ac:dyDescent="0.25">
      <c r="A190" s="418" t="s">
        <v>1060</v>
      </c>
      <c r="B190" s="273"/>
      <c r="C190" s="367" t="s">
        <v>1174</v>
      </c>
      <c r="D190" s="273" t="s">
        <v>554</v>
      </c>
      <c r="E190" s="274">
        <v>39833</v>
      </c>
      <c r="F190" s="275" t="s">
        <v>145</v>
      </c>
      <c r="G190" s="383" t="s">
        <v>1174</v>
      </c>
      <c r="H190" s="383" t="s">
        <v>1443</v>
      </c>
      <c r="I190" s="275" t="s">
        <v>1444</v>
      </c>
      <c r="J190" s="348"/>
      <c r="K190" s="348"/>
      <c r="L190" s="348"/>
      <c r="M190" s="348"/>
      <c r="N190" s="348"/>
      <c r="O190" s="277"/>
      <c r="P190" s="277"/>
      <c r="Q190" s="277"/>
      <c r="R190" s="277"/>
      <c r="S190" s="277"/>
      <c r="T190" s="277"/>
      <c r="U190" s="277"/>
      <c r="V190" s="348"/>
      <c r="W190" s="348"/>
      <c r="X190" s="348"/>
      <c r="Y190" s="348" t="str">
        <f t="shared" si="79"/>
        <v/>
      </c>
      <c r="Z190" s="348" t="str">
        <f t="shared" si="80"/>
        <v/>
      </c>
      <c r="AA190" s="348" t="str">
        <f t="shared" si="81"/>
        <v/>
      </c>
      <c r="AB190" s="275" t="str">
        <f t="shared" si="82"/>
        <v/>
      </c>
      <c r="AC190" s="275" t="str">
        <f t="shared" si="83"/>
        <v/>
      </c>
      <c r="AD190" s="275" t="str">
        <f t="shared" si="84"/>
        <v/>
      </c>
      <c r="AE190" s="275" t="str">
        <f t="shared" si="85"/>
        <v/>
      </c>
      <c r="AF190" s="275" t="str">
        <f t="shared" si="86"/>
        <v/>
      </c>
      <c r="AG190" s="275" t="str">
        <f t="shared" si="87"/>
        <v/>
      </c>
      <c r="AH190" s="275" t="str">
        <f t="shared" si="88"/>
        <v/>
      </c>
      <c r="AI190" s="275" t="str">
        <f t="shared" si="89"/>
        <v/>
      </c>
      <c r="AJ190" s="275" t="str">
        <f t="shared" si="90"/>
        <v/>
      </c>
      <c r="AK190" s="275">
        <v>1</v>
      </c>
      <c r="AL190" s="275">
        <f t="shared" ca="1" si="91"/>
        <v>0</v>
      </c>
      <c r="AM190" s="275">
        <f t="shared" ca="1" si="92"/>
        <v>0</v>
      </c>
      <c r="AN190" s="277" t="str">
        <f ca="1">IF(AND(Tabla7[[#This Row],[UltLec]]&lt;&gt;0,Tabla7[[#This Row],[PenLect]]&lt;&gt;0),(AM190-AL190)*Tabla7[[#This Row],[RT]],"N/A")</f>
        <v>N/A</v>
      </c>
      <c r="AO190" s="434" t="s">
        <v>1160</v>
      </c>
      <c r="AP190" s="393" t="s">
        <v>1075</v>
      </c>
      <c r="AQ190" s="393" t="s">
        <v>1074</v>
      </c>
      <c r="AR190" s="275">
        <f t="shared" si="93"/>
        <v>0</v>
      </c>
      <c r="AT190" s="2" t="e">
        <f t="shared" ca="1" si="78"/>
        <v>#VALUE!</v>
      </c>
    </row>
    <row r="191" spans="1:46" ht="18" hidden="1" customHeight="1" x14ac:dyDescent="0.25">
      <c r="A191" s="418" t="s">
        <v>1060</v>
      </c>
      <c r="B191" s="273"/>
      <c r="C191" s="276" t="s">
        <v>1174</v>
      </c>
      <c r="D191" s="273" t="s">
        <v>554</v>
      </c>
      <c r="E191" s="274">
        <v>39833</v>
      </c>
      <c r="F191" s="434" t="s">
        <v>1458</v>
      </c>
      <c r="G191" s="434" t="s">
        <v>1174</v>
      </c>
      <c r="H191" s="434" t="s">
        <v>1445</v>
      </c>
      <c r="I191" s="434" t="s">
        <v>1502</v>
      </c>
      <c r="J191" s="434"/>
      <c r="K191" s="434"/>
      <c r="L191" s="434"/>
      <c r="M191" s="434"/>
      <c r="N191" s="434"/>
      <c r="O191" s="434"/>
      <c r="P191" s="434"/>
      <c r="Q191" s="434"/>
      <c r="R191" s="434"/>
      <c r="S191" s="434"/>
      <c r="T191" s="434"/>
      <c r="U191" s="434"/>
      <c r="V191" s="434"/>
      <c r="W191" s="434"/>
      <c r="X191" s="434"/>
      <c r="Y191" s="434" t="str">
        <f t="shared" si="79"/>
        <v/>
      </c>
      <c r="Z191" s="434" t="str">
        <f t="shared" si="80"/>
        <v/>
      </c>
      <c r="AA191" s="434" t="str">
        <f t="shared" si="81"/>
        <v/>
      </c>
      <c r="AB191" s="434" t="str">
        <f t="shared" si="82"/>
        <v/>
      </c>
      <c r="AC191" s="434" t="str">
        <f t="shared" si="83"/>
        <v/>
      </c>
      <c r="AD191" s="434" t="str">
        <f t="shared" si="84"/>
        <v/>
      </c>
      <c r="AE191" s="434" t="str">
        <f t="shared" si="85"/>
        <v/>
      </c>
      <c r="AF191" s="434" t="str">
        <f t="shared" si="86"/>
        <v/>
      </c>
      <c r="AG191" s="434" t="str">
        <f t="shared" si="87"/>
        <v/>
      </c>
      <c r="AH191" s="434" t="str">
        <f t="shared" si="88"/>
        <v/>
      </c>
      <c r="AI191" s="434" t="str">
        <f t="shared" si="89"/>
        <v/>
      </c>
      <c r="AJ191" s="434" t="str">
        <f t="shared" si="90"/>
        <v/>
      </c>
      <c r="AK191" s="434">
        <v>1</v>
      </c>
      <c r="AL191" s="434">
        <f t="shared" ca="1" si="91"/>
        <v>0</v>
      </c>
      <c r="AM191" s="434">
        <f t="shared" ca="1" si="92"/>
        <v>0</v>
      </c>
      <c r="AN191" s="434" t="str">
        <f ca="1">IF(AND(Tabla7[[#This Row],[UltLec]]&lt;&gt;0,Tabla7[[#This Row],[PenLect]]&lt;&gt;0),(AM191-AL191)*Tabla7[[#This Row],[RT]],"N/A")</f>
        <v>N/A</v>
      </c>
      <c r="AO191" s="434" t="s">
        <v>1160</v>
      </c>
      <c r="AP191" s="434" t="s">
        <v>1075</v>
      </c>
      <c r="AQ191" s="434" t="s">
        <v>1074</v>
      </c>
      <c r="AR191" s="434">
        <f t="shared" si="93"/>
        <v>0</v>
      </c>
      <c r="AT191" s="2" t="e">
        <f t="shared" ca="1" si="78"/>
        <v>#VALUE!</v>
      </c>
    </row>
    <row r="192" spans="1:46" ht="18" hidden="1" customHeight="1" x14ac:dyDescent="0.25">
      <c r="A192" s="418" t="s">
        <v>1060</v>
      </c>
      <c r="B192" s="273"/>
      <c r="C192" s="276" t="s">
        <v>1232</v>
      </c>
      <c r="D192" s="273" t="s">
        <v>554</v>
      </c>
      <c r="E192" s="274">
        <v>39156</v>
      </c>
      <c r="F192" s="434" t="s">
        <v>145</v>
      </c>
      <c r="G192" s="434" t="s">
        <v>1163</v>
      </c>
      <c r="H192" s="396" t="s">
        <v>1510</v>
      </c>
      <c r="I192" s="434"/>
      <c r="J192" s="434"/>
      <c r="K192" s="434"/>
      <c r="L192" s="434"/>
      <c r="M192" s="434"/>
      <c r="N192" s="434"/>
      <c r="O192" s="434"/>
      <c r="P192" s="434"/>
      <c r="Q192" s="434"/>
      <c r="R192" s="434"/>
      <c r="S192" s="434"/>
      <c r="T192" s="434"/>
      <c r="U192" s="434"/>
      <c r="V192" s="434"/>
      <c r="W192" s="434"/>
      <c r="X192" s="434"/>
      <c r="Y192" s="434" t="str">
        <f t="shared" si="79"/>
        <v/>
      </c>
      <c r="Z192" s="434" t="str">
        <f t="shared" si="80"/>
        <v/>
      </c>
      <c r="AA192" s="434" t="str">
        <f t="shared" si="81"/>
        <v/>
      </c>
      <c r="AB192" s="434" t="str">
        <f t="shared" si="82"/>
        <v/>
      </c>
      <c r="AC192" s="434" t="str">
        <f t="shared" si="83"/>
        <v/>
      </c>
      <c r="AD192" s="434" t="str">
        <f t="shared" si="84"/>
        <v/>
      </c>
      <c r="AE192" s="434" t="str">
        <f t="shared" si="85"/>
        <v/>
      </c>
      <c r="AF192" s="434" t="str">
        <f t="shared" si="86"/>
        <v/>
      </c>
      <c r="AG192" s="434" t="str">
        <f t="shared" si="87"/>
        <v/>
      </c>
      <c r="AH192" s="434" t="str">
        <f t="shared" si="88"/>
        <v/>
      </c>
      <c r="AI192" s="434" t="str">
        <f t="shared" si="89"/>
        <v/>
      </c>
      <c r="AJ192" s="434" t="str">
        <f t="shared" si="90"/>
        <v/>
      </c>
      <c r="AK192" s="434">
        <v>1</v>
      </c>
      <c r="AL192" s="434">
        <f t="shared" ca="1" si="91"/>
        <v>0</v>
      </c>
      <c r="AM192" s="434">
        <f t="shared" ca="1" si="92"/>
        <v>0</v>
      </c>
      <c r="AN192" s="434" t="str">
        <f ca="1">IF(AND(Tabla7[[#This Row],[UltLec]]&lt;&gt;0,Tabla7[[#This Row],[PenLect]]&lt;&gt;0),(AM192-AL192)*Tabla7[[#This Row],[RT]],"N/A")</f>
        <v>N/A</v>
      </c>
      <c r="AO192" s="434" t="s">
        <v>1160</v>
      </c>
      <c r="AP192" s="434" t="s">
        <v>1075</v>
      </c>
      <c r="AQ192" s="434" t="s">
        <v>1074</v>
      </c>
      <c r="AR192" s="434">
        <f t="shared" si="93"/>
        <v>0</v>
      </c>
      <c r="AT192" s="2" t="e">
        <f t="shared" ca="1" si="78"/>
        <v>#VALUE!</v>
      </c>
    </row>
    <row r="193" spans="1:46" ht="18" hidden="1" customHeight="1" x14ac:dyDescent="0.3">
      <c r="A193" s="418" t="s">
        <v>1060</v>
      </c>
      <c r="B193" s="273"/>
      <c r="C193" s="437" t="s">
        <v>1164</v>
      </c>
      <c r="D193" s="273" t="s">
        <v>554</v>
      </c>
      <c r="E193" s="274">
        <v>39293</v>
      </c>
      <c r="F193" s="390" t="s">
        <v>145</v>
      </c>
      <c r="G193" s="275" t="s">
        <v>1164</v>
      </c>
      <c r="H193" s="396" t="s">
        <v>1510</v>
      </c>
      <c r="I193" s="275"/>
      <c r="J193" s="277"/>
      <c r="K193" s="277"/>
      <c r="L193" s="277"/>
      <c r="M193" s="277"/>
      <c r="N193" s="277"/>
      <c r="O193" s="277"/>
      <c r="P193" s="277"/>
      <c r="Q193" s="277"/>
      <c r="R193" s="347"/>
      <c r="S193" s="277"/>
      <c r="T193" s="277"/>
      <c r="U193" s="277"/>
      <c r="V193" s="277"/>
      <c r="W193" s="277"/>
      <c r="X193" s="275"/>
      <c r="Y193" s="275" t="str">
        <f t="shared" si="79"/>
        <v/>
      </c>
      <c r="Z193" s="275" t="str">
        <f t="shared" si="80"/>
        <v/>
      </c>
      <c r="AA193" s="275" t="str">
        <f t="shared" si="81"/>
        <v/>
      </c>
      <c r="AB193" s="275" t="str">
        <f t="shared" si="82"/>
        <v/>
      </c>
      <c r="AC193" s="275" t="str">
        <f t="shared" si="83"/>
        <v/>
      </c>
      <c r="AD193" s="277" t="str">
        <f t="shared" si="84"/>
        <v/>
      </c>
      <c r="AE193" s="275" t="str">
        <f t="shared" si="85"/>
        <v/>
      </c>
      <c r="AF193" s="275" t="str">
        <f t="shared" si="86"/>
        <v/>
      </c>
      <c r="AG193" s="275" t="str">
        <f t="shared" si="87"/>
        <v/>
      </c>
      <c r="AH193" s="275" t="str">
        <f t="shared" si="88"/>
        <v/>
      </c>
      <c r="AI193" s="275" t="str">
        <f t="shared" si="89"/>
        <v/>
      </c>
      <c r="AJ193" s="275" t="str">
        <f t="shared" si="90"/>
        <v/>
      </c>
      <c r="AK193" s="275">
        <v>1</v>
      </c>
      <c r="AL193" s="277">
        <f t="shared" ca="1" si="91"/>
        <v>0</v>
      </c>
      <c r="AM193" s="277">
        <f t="shared" ca="1" si="92"/>
        <v>0</v>
      </c>
      <c r="AN193" s="277" t="str">
        <f ca="1">IF(AND(Tabla7[[#This Row],[UltLec]]&lt;&gt;0,Tabla7[[#This Row],[PenLect]]&lt;&gt;0),(AM193-AL193)*Tabla7[[#This Row],[RT]],"N/A")</f>
        <v>N/A</v>
      </c>
      <c r="AO193" s="393" t="s">
        <v>1160</v>
      </c>
      <c r="AP193" s="393" t="s">
        <v>1075</v>
      </c>
      <c r="AQ193" s="393" t="s">
        <v>1074</v>
      </c>
      <c r="AR193" s="275">
        <f t="shared" si="93"/>
        <v>0</v>
      </c>
      <c r="AT193" s="2" t="e">
        <f t="shared" ca="1" si="78"/>
        <v>#VALUE!</v>
      </c>
    </row>
    <row r="194" spans="1:46" ht="18" hidden="1" customHeight="1" x14ac:dyDescent="0.25">
      <c r="A194" s="418" t="s">
        <v>1060</v>
      </c>
      <c r="B194" s="273"/>
      <c r="C194" s="276" t="s">
        <v>1165</v>
      </c>
      <c r="D194" s="273" t="s">
        <v>554</v>
      </c>
      <c r="E194" s="274">
        <v>39379</v>
      </c>
      <c r="F194" s="434" t="s">
        <v>145</v>
      </c>
      <c r="G194" s="434" t="s">
        <v>1165</v>
      </c>
      <c r="H194" s="396" t="s">
        <v>1510</v>
      </c>
      <c r="I194" s="434"/>
      <c r="J194" s="434"/>
      <c r="K194" s="434"/>
      <c r="L194" s="434"/>
      <c r="M194" s="434"/>
      <c r="N194" s="434"/>
      <c r="O194" s="434"/>
      <c r="P194" s="434"/>
      <c r="Q194" s="434"/>
      <c r="R194" s="434"/>
      <c r="S194" s="434"/>
      <c r="T194" s="434"/>
      <c r="U194" s="434"/>
      <c r="V194" s="434"/>
      <c r="W194" s="434"/>
      <c r="X194" s="434"/>
      <c r="Y194" s="434" t="str">
        <f t="shared" si="79"/>
        <v/>
      </c>
      <c r="Z194" s="434" t="str">
        <f t="shared" si="80"/>
        <v/>
      </c>
      <c r="AA194" s="434" t="str">
        <f t="shared" si="81"/>
        <v/>
      </c>
      <c r="AB194" s="434" t="str">
        <f t="shared" si="82"/>
        <v/>
      </c>
      <c r="AC194" s="434" t="str">
        <f t="shared" si="83"/>
        <v/>
      </c>
      <c r="AD194" s="434" t="str">
        <f t="shared" si="84"/>
        <v/>
      </c>
      <c r="AE194" s="434" t="str">
        <f t="shared" si="85"/>
        <v/>
      </c>
      <c r="AF194" s="434" t="str">
        <f t="shared" si="86"/>
        <v/>
      </c>
      <c r="AG194" s="434" t="str">
        <f t="shared" si="87"/>
        <v/>
      </c>
      <c r="AH194" s="434" t="str">
        <f t="shared" si="88"/>
        <v/>
      </c>
      <c r="AI194" s="434" t="str">
        <f t="shared" si="89"/>
        <v/>
      </c>
      <c r="AJ194" s="434" t="str">
        <f t="shared" si="90"/>
        <v/>
      </c>
      <c r="AK194" s="434">
        <v>1</v>
      </c>
      <c r="AL194" s="434">
        <f t="shared" ca="1" si="91"/>
        <v>0</v>
      </c>
      <c r="AM194" s="434">
        <f t="shared" ca="1" si="92"/>
        <v>0</v>
      </c>
      <c r="AN194" s="434" t="str">
        <f ca="1">IF(AND(Tabla7[[#This Row],[UltLec]]&lt;&gt;0,Tabla7[[#This Row],[PenLect]]&lt;&gt;0),(AM194-AL194)*Tabla7[[#This Row],[RT]],"N/A")</f>
        <v>N/A</v>
      </c>
      <c r="AO194" s="434" t="s">
        <v>1160</v>
      </c>
      <c r="AP194" s="434" t="s">
        <v>1075</v>
      </c>
      <c r="AQ194" s="434" t="s">
        <v>1074</v>
      </c>
      <c r="AR194" s="434">
        <f t="shared" si="93"/>
        <v>0</v>
      </c>
      <c r="AT194" s="2" t="e">
        <f t="shared" ca="1" si="78"/>
        <v>#VALUE!</v>
      </c>
    </row>
    <row r="195" spans="1:46" ht="18" hidden="1" customHeight="1" x14ac:dyDescent="0.25">
      <c r="A195" s="418" t="s">
        <v>1060</v>
      </c>
      <c r="B195" s="439"/>
      <c r="C195" s="445" t="s">
        <v>1233</v>
      </c>
      <c r="D195" s="439" t="s">
        <v>554</v>
      </c>
      <c r="E195" s="446">
        <v>39585</v>
      </c>
      <c r="F195" s="393" t="s">
        <v>145</v>
      </c>
      <c r="G195" s="393" t="s">
        <v>1166</v>
      </c>
      <c r="H195" s="396" t="s">
        <v>1510</v>
      </c>
      <c r="I195" s="393"/>
      <c r="J195" s="393"/>
      <c r="K195" s="393"/>
      <c r="L195" s="393"/>
      <c r="M195" s="393"/>
      <c r="N195" s="393"/>
      <c r="O195" s="393"/>
      <c r="P195" s="393"/>
      <c r="Q195" s="393"/>
      <c r="R195" s="393"/>
      <c r="S195" s="393"/>
      <c r="T195" s="393"/>
      <c r="U195" s="393"/>
      <c r="V195" s="393"/>
      <c r="W195" s="393"/>
      <c r="X195" s="393"/>
      <c r="Y195" s="393" t="str">
        <f t="shared" si="79"/>
        <v/>
      </c>
      <c r="Z195" s="393" t="str">
        <f t="shared" si="80"/>
        <v/>
      </c>
      <c r="AA195" s="393" t="str">
        <f t="shared" si="81"/>
        <v/>
      </c>
      <c r="AB195" s="393" t="str">
        <f t="shared" si="82"/>
        <v/>
      </c>
      <c r="AC195" s="393" t="str">
        <f t="shared" si="83"/>
        <v/>
      </c>
      <c r="AD195" s="393" t="str">
        <f t="shared" si="84"/>
        <v/>
      </c>
      <c r="AE195" s="393" t="str">
        <f t="shared" si="85"/>
        <v/>
      </c>
      <c r="AF195" s="393" t="str">
        <f t="shared" si="86"/>
        <v/>
      </c>
      <c r="AG195" s="393" t="str">
        <f t="shared" si="87"/>
        <v/>
      </c>
      <c r="AH195" s="393" t="str">
        <f t="shared" si="88"/>
        <v/>
      </c>
      <c r="AI195" s="393" t="str">
        <f t="shared" si="89"/>
        <v/>
      </c>
      <c r="AJ195" s="393" t="str">
        <f t="shared" si="90"/>
        <v/>
      </c>
      <c r="AK195" s="393">
        <v>1</v>
      </c>
      <c r="AL195" s="393">
        <f t="shared" ca="1" si="91"/>
        <v>0</v>
      </c>
      <c r="AM195" s="393">
        <f t="shared" ca="1" si="92"/>
        <v>0</v>
      </c>
      <c r="AN195" s="393" t="str">
        <f ca="1">IF(AND(Tabla7[[#This Row],[UltLec]]&lt;&gt;0,Tabla7[[#This Row],[PenLect]]&lt;&gt;0),(AM195-AL195)*Tabla7[[#This Row],[RT]],"N/A")</f>
        <v>N/A</v>
      </c>
      <c r="AO195" s="393" t="s">
        <v>1160</v>
      </c>
      <c r="AP195" s="393" t="s">
        <v>1075</v>
      </c>
      <c r="AQ195" s="393" t="s">
        <v>1074</v>
      </c>
      <c r="AR195" s="393">
        <f t="shared" si="93"/>
        <v>0</v>
      </c>
      <c r="AT195" s="2" t="e">
        <f t="shared" ca="1" si="78"/>
        <v>#VALUE!</v>
      </c>
    </row>
    <row r="196" spans="1:46" ht="18" hidden="1" customHeight="1" x14ac:dyDescent="0.25">
      <c r="A196" s="418" t="s">
        <v>1060</v>
      </c>
      <c r="B196" s="273"/>
      <c r="C196" s="276" t="s">
        <v>1167</v>
      </c>
      <c r="D196" s="273" t="s">
        <v>554</v>
      </c>
      <c r="E196" s="274">
        <v>39844</v>
      </c>
      <c r="F196" s="434" t="s">
        <v>145</v>
      </c>
      <c r="G196" s="434" t="s">
        <v>1167</v>
      </c>
      <c r="H196" s="434" t="s">
        <v>1510</v>
      </c>
      <c r="I196" s="434"/>
      <c r="J196" s="434"/>
      <c r="K196" s="434"/>
      <c r="L196" s="434"/>
      <c r="M196" s="434"/>
      <c r="N196" s="434"/>
      <c r="O196" s="434"/>
      <c r="P196" s="434"/>
      <c r="Q196" s="434"/>
      <c r="R196" s="434"/>
      <c r="S196" s="434"/>
      <c r="T196" s="434"/>
      <c r="U196" s="434"/>
      <c r="V196" s="434"/>
      <c r="W196" s="434"/>
      <c r="X196" s="434"/>
      <c r="Y196" s="434" t="str">
        <f t="shared" si="79"/>
        <v/>
      </c>
      <c r="Z196" s="434" t="str">
        <f t="shared" si="80"/>
        <v/>
      </c>
      <c r="AA196" s="434" t="str">
        <f t="shared" si="81"/>
        <v/>
      </c>
      <c r="AB196" s="434" t="str">
        <f t="shared" si="82"/>
        <v/>
      </c>
      <c r="AC196" s="434" t="str">
        <f t="shared" si="83"/>
        <v/>
      </c>
      <c r="AD196" s="434" t="str">
        <f t="shared" si="84"/>
        <v/>
      </c>
      <c r="AE196" s="434" t="str">
        <f t="shared" si="85"/>
        <v/>
      </c>
      <c r="AF196" s="434" t="str">
        <f t="shared" si="86"/>
        <v/>
      </c>
      <c r="AG196" s="434" t="str">
        <f t="shared" si="87"/>
        <v/>
      </c>
      <c r="AH196" s="434" t="str">
        <f t="shared" si="88"/>
        <v/>
      </c>
      <c r="AI196" s="434" t="str">
        <f t="shared" si="89"/>
        <v/>
      </c>
      <c r="AJ196" s="434" t="str">
        <f t="shared" si="90"/>
        <v/>
      </c>
      <c r="AK196" s="434">
        <v>1</v>
      </c>
      <c r="AL196" s="434">
        <f t="shared" ca="1" si="91"/>
        <v>0</v>
      </c>
      <c r="AM196" s="434">
        <f t="shared" ca="1" si="92"/>
        <v>0</v>
      </c>
      <c r="AN196" s="434" t="str">
        <f ca="1">IF(AND(Tabla7[[#This Row],[UltLec]]&lt;&gt;0,Tabla7[[#This Row],[PenLect]]&lt;&gt;0),(AM196-AL196)*Tabla7[[#This Row],[RT]],"N/A")</f>
        <v>N/A</v>
      </c>
      <c r="AO196" s="434" t="s">
        <v>1160</v>
      </c>
      <c r="AP196" s="434" t="s">
        <v>1075</v>
      </c>
      <c r="AQ196" s="434" t="s">
        <v>1074</v>
      </c>
      <c r="AR196" s="434">
        <f t="shared" si="93"/>
        <v>0</v>
      </c>
      <c r="AT196" s="2" t="e">
        <f t="shared" ca="1" si="78"/>
        <v>#VALUE!</v>
      </c>
    </row>
    <row r="197" spans="1:46" ht="18" hidden="1" customHeight="1" x14ac:dyDescent="0.25">
      <c r="A197" s="418" t="s">
        <v>1060</v>
      </c>
      <c r="B197" s="439"/>
      <c r="C197" s="445" t="s">
        <v>1168</v>
      </c>
      <c r="D197" s="439" t="s">
        <v>554</v>
      </c>
      <c r="E197" s="446">
        <v>39490</v>
      </c>
      <c r="F197" s="393" t="s">
        <v>145</v>
      </c>
      <c r="G197" s="393" t="s">
        <v>1168</v>
      </c>
      <c r="H197" s="396" t="s">
        <v>1510</v>
      </c>
      <c r="I197" s="393"/>
      <c r="J197" s="393"/>
      <c r="K197" s="393"/>
      <c r="L197" s="393"/>
      <c r="M197" s="393"/>
      <c r="N197" s="393"/>
      <c r="O197" s="393"/>
      <c r="P197" s="393"/>
      <c r="Q197" s="393"/>
      <c r="R197" s="393"/>
      <c r="S197" s="393"/>
      <c r="T197" s="393"/>
      <c r="U197" s="393"/>
      <c r="V197" s="393"/>
      <c r="W197" s="393"/>
      <c r="X197" s="393"/>
      <c r="Y197" s="393" t="str">
        <f t="shared" ref="Y197:Y213" si="94">IF(OR(ISBLANK(K197),ISBLANK(J197)),"",IF(AND(K197&gt;=J197,K197-J197&lt;=K197),(K197-J197)*$AK197,"!!!!"))</f>
        <v/>
      </c>
      <c r="Z197" s="393" t="str">
        <f t="shared" ref="Z197:Z213" si="95">IF(OR(ISBLANK(L197),ISBLANK(K197)),"",IF(AND(L197&gt;=K197,L197-K197&lt;=L197),(L197-K197)*$AK197,"!!!!"))</f>
        <v/>
      </c>
      <c r="AA197" s="393" t="str">
        <f t="shared" ref="AA197:AA213" si="96">IF(OR(ISBLANK(M197),ISBLANK(L197)),"",IF(AND(M197&gt;=L197,M197-L197&lt;=M197),(M197-L197)*$AK197,"!!!!"))</f>
        <v/>
      </c>
      <c r="AB197" s="393" t="str">
        <f t="shared" ref="AB197:AB213" si="97">IF(OR(ISBLANK(N197),ISBLANK(M197)),"",IF(AND(N197&gt;=M197,N197-M197&lt;=N197),(N197-M197)*$AK197,"!!!!"))</f>
        <v/>
      </c>
      <c r="AC197" s="393" t="str">
        <f t="shared" ref="AC197:AC213" si="98">IF(OR(ISBLANK(O197),ISBLANK(N197)),"",IF(AND(O197&gt;=N197,O197-N197&lt;=O197),(O197-N197)*$AK197,"!!!!"))</f>
        <v/>
      </c>
      <c r="AD197" s="393" t="str">
        <f t="shared" ref="AD197:AD213" si="99">IF(OR(ISBLANK(P197),ISBLANK(O197)),"",IF(AND(P197&gt;=O197,P197-O197&lt;=P197),(P197-O197)*$AK197,"!!!!"))</f>
        <v/>
      </c>
      <c r="AE197" s="393" t="str">
        <f t="shared" ref="AE197:AE213" si="100">IF(OR(ISBLANK(Q197),ISBLANK(P197)),"",IF(AND(Q197&gt;=P197,Q197-P197&lt;=Q197),(Q197-P197)*$AK197,"!!!!"))</f>
        <v/>
      </c>
      <c r="AF197" s="393" t="str">
        <f t="shared" ref="AF197:AF213" si="101">IF(OR(ISBLANK(R197),ISBLANK(Q197)),"",IF(AND(R197&gt;=Q197,R197-Q197&lt;=R197),(R197-Q197)*$AK197,"!!!!"))</f>
        <v/>
      </c>
      <c r="AG197" s="393" t="str">
        <f t="shared" ref="AG197:AG213" si="102">IF(OR(ISBLANK(S197),ISBLANK(R197)),"",IF(AND(S197&gt;=R197,S197-R197&lt;=S197),(S197-R197)*$AK197,"!!!!"))</f>
        <v/>
      </c>
      <c r="AH197" s="393" t="str">
        <f t="shared" ref="AH197:AH213" si="103">IF(OR(ISBLANK(T197),ISBLANK(S197)),"",IF(AND(T197&gt;=S197,T197-S197&lt;=T197),(T197-S197)*$AK197,"!!!!"))</f>
        <v/>
      </c>
      <c r="AI197" s="393" t="str">
        <f t="shared" ref="AI197:AI213" si="104">IF(OR(ISBLANK(U197),ISBLANK(T197)),"",IF(AND(U197&gt;=T197,U197-T197&lt;=U197),(U197-T197)*$AK197,"!!!!"))</f>
        <v/>
      </c>
      <c r="AJ197" s="393" t="str">
        <f t="shared" ref="AJ197:AJ213" si="105">IF(OR(ISBLANK(V197),ISBLANK(U197)),"",IF(AND(V197&gt;=U197,V197-U197&lt;=V197),(V197-U197)*$AK197,"!!!!"))</f>
        <v/>
      </c>
      <c r="AK197" s="393">
        <v>1</v>
      </c>
      <c r="AL197" s="393">
        <f t="shared" ref="AL197:AL226" ca="1" si="106">IF(DAY(TODAY())&lt;16,INDEX(J197:X197,1,MONTH(TODAY())-1),INDEX(J197:X197,1,MONTH(TODAY())))</f>
        <v>0</v>
      </c>
      <c r="AM197" s="393">
        <f t="shared" ref="AM197:AM226" ca="1" si="107">IF(DAY(TODAY())&lt;16,INDEX(J197:X197,1,MONTH(TODAY())),INDEX(J197:X197,1,MONTH(TODAY())+1))</f>
        <v>0</v>
      </c>
      <c r="AN197" s="393" t="str">
        <f ca="1">IF(AND(Tabla7[[#This Row],[UltLec]]&lt;&gt;0,Tabla7[[#This Row],[PenLect]]&lt;&gt;0),(AM197-AL197)*Tabla7[[#This Row],[RT]],"N/A")</f>
        <v>N/A</v>
      </c>
      <c r="AO197" s="393" t="s">
        <v>1160</v>
      </c>
      <c r="AP197" s="393" t="s">
        <v>1075</v>
      </c>
      <c r="AQ197" s="393" t="s">
        <v>1074</v>
      </c>
      <c r="AR197" s="393">
        <f t="shared" ref="AR197:AR226" si="108">COUNTIF(Y197:AJ197,"!!!!")</f>
        <v>0</v>
      </c>
      <c r="AT197" s="2" t="e">
        <f t="shared" ref="AT197:AT260" ca="1" si="109">IF(IF(DAY(TODAY())&gt;15,INDEX($Y197:$AJ197,1,MONTH(TODAY())-1),INDEX($Y197:$AJ197,1,MONTH(TODAY())-2))=0,"0",IF(DAY(TODAY())&gt;15,INDEX($Y197:$AJ197,1,MONTH(TODAY())),INDEX($Y197:$AJ197,1,MONTH(TODAY())-1))/IF(DAY(TODAY())&gt;15,INDEX($Y197:$AJ197,1,MONTH(TODAY())-1),INDEX($Y197:$AJ197,1,MONTH(TODAY())-2)))</f>
        <v>#VALUE!</v>
      </c>
    </row>
    <row r="198" spans="1:46" ht="18" hidden="1" customHeight="1" x14ac:dyDescent="0.25">
      <c r="A198" s="407" t="s">
        <v>501</v>
      </c>
      <c r="B198" s="54"/>
      <c r="C198" s="410">
        <v>5355248</v>
      </c>
      <c r="D198" s="468" t="s">
        <v>556</v>
      </c>
      <c r="E198" s="468">
        <v>2</v>
      </c>
      <c r="F198" s="469" t="s">
        <v>557</v>
      </c>
      <c r="G198" s="2"/>
      <c r="H198" s="2"/>
      <c r="I198" s="2"/>
      <c r="J198" s="260">
        <v>17870</v>
      </c>
      <c r="K198" s="260">
        <v>18023</v>
      </c>
      <c r="L198" s="260"/>
      <c r="O198" s="260"/>
      <c r="P198" s="260"/>
      <c r="Q198" s="290"/>
      <c r="R198" s="308"/>
      <c r="S198" s="260"/>
      <c r="U198" s="260"/>
      <c r="V198" s="260"/>
      <c r="W198" s="387"/>
      <c r="X198" s="2"/>
      <c r="Y198" s="2">
        <f t="shared" si="94"/>
        <v>7650</v>
      </c>
      <c r="Z198" s="2" t="str">
        <f t="shared" si="95"/>
        <v/>
      </c>
      <c r="AA198" s="2" t="str">
        <f t="shared" si="96"/>
        <v/>
      </c>
      <c r="AB198" s="2" t="str">
        <f t="shared" si="97"/>
        <v/>
      </c>
      <c r="AC198" s="2" t="str">
        <f t="shared" si="98"/>
        <v/>
      </c>
      <c r="AD198" s="260" t="str">
        <f t="shared" si="99"/>
        <v/>
      </c>
      <c r="AE198" s="2" t="str">
        <f t="shared" si="100"/>
        <v/>
      </c>
      <c r="AF198" s="2" t="str">
        <f t="shared" si="101"/>
        <v/>
      </c>
      <c r="AG198" s="2" t="str">
        <f t="shared" si="102"/>
        <v/>
      </c>
      <c r="AH198" s="2" t="str">
        <f t="shared" si="103"/>
        <v/>
      </c>
      <c r="AI198" s="2" t="str">
        <f t="shared" si="104"/>
        <v/>
      </c>
      <c r="AJ198" s="2" t="str">
        <f t="shared" si="105"/>
        <v/>
      </c>
      <c r="AK198" s="2">
        <v>50</v>
      </c>
      <c r="AL198" s="260">
        <f t="shared" ca="1" si="106"/>
        <v>0</v>
      </c>
      <c r="AM198" s="260">
        <f t="shared" ca="1" si="107"/>
        <v>0</v>
      </c>
      <c r="AN198" s="260" t="str">
        <f ca="1">IF(AND(Tabla7[[#This Row],[UltLec]]&lt;&gt;0,Tabla7[[#This Row],[PenLect]]&lt;&gt;0),(AM198-AL198)*Tabla7[[#This Row],[RT]],"N/A")</f>
        <v>N/A</v>
      </c>
      <c r="AO198" s="380" t="s">
        <v>1020</v>
      </c>
      <c r="AP198" s="380" t="s">
        <v>1075</v>
      </c>
      <c r="AQ198" s="380" t="s">
        <v>1074</v>
      </c>
      <c r="AR198" s="2">
        <f t="shared" si="108"/>
        <v>0</v>
      </c>
      <c r="AT198" s="2" t="e">
        <f t="shared" ca="1" si="109"/>
        <v>#VALUE!</v>
      </c>
    </row>
    <row r="199" spans="1:46" ht="18" hidden="1" customHeight="1" x14ac:dyDescent="0.25">
      <c r="A199" s="406" t="s">
        <v>1060</v>
      </c>
      <c r="B199" s="273"/>
      <c r="C199" s="276">
        <v>10121</v>
      </c>
      <c r="D199" s="273" t="s">
        <v>558</v>
      </c>
      <c r="E199" s="274">
        <v>2</v>
      </c>
      <c r="F199" s="505" t="s">
        <v>988</v>
      </c>
      <c r="G199" s="393" t="s">
        <v>561</v>
      </c>
      <c r="H199" s="393"/>
      <c r="I199" s="393"/>
      <c r="J199" s="393"/>
      <c r="K199" s="393"/>
      <c r="L199" s="393"/>
      <c r="M199" s="393"/>
      <c r="N199" s="393"/>
      <c r="O199" s="393"/>
      <c r="P199" s="393"/>
      <c r="Q199" s="393"/>
      <c r="R199" s="393"/>
      <c r="S199" s="393"/>
      <c r="T199" s="393"/>
      <c r="U199" s="393"/>
      <c r="V199" s="393"/>
      <c r="W199" s="393"/>
      <c r="X199" s="393"/>
      <c r="Y199" s="393" t="str">
        <f t="shared" si="94"/>
        <v/>
      </c>
      <c r="Z199" s="393" t="str">
        <f t="shared" si="95"/>
        <v/>
      </c>
      <c r="AA199" s="393" t="str">
        <f t="shared" si="96"/>
        <v/>
      </c>
      <c r="AB199" s="393" t="str">
        <f t="shared" si="97"/>
        <v/>
      </c>
      <c r="AC199" s="393" t="str">
        <f t="shared" si="98"/>
        <v/>
      </c>
      <c r="AD199" s="393" t="str">
        <f t="shared" si="99"/>
        <v/>
      </c>
      <c r="AE199" s="393" t="str">
        <f t="shared" si="100"/>
        <v/>
      </c>
      <c r="AF199" s="393" t="str">
        <f t="shared" si="101"/>
        <v/>
      </c>
      <c r="AG199" s="393" t="str">
        <f t="shared" si="102"/>
        <v/>
      </c>
      <c r="AH199" s="393" t="str">
        <f t="shared" si="103"/>
        <v/>
      </c>
      <c r="AI199" s="393" t="str">
        <f t="shared" si="104"/>
        <v/>
      </c>
      <c r="AJ199" s="393" t="str">
        <f t="shared" si="105"/>
        <v/>
      </c>
      <c r="AK199" s="393">
        <v>1</v>
      </c>
      <c r="AL199" s="394">
        <f t="shared" ca="1" si="106"/>
        <v>0</v>
      </c>
      <c r="AM199" s="394">
        <f t="shared" ca="1" si="107"/>
        <v>0</v>
      </c>
      <c r="AN199" s="394" t="str">
        <f ca="1">IF(AND(Tabla7[[#This Row],[UltLec]]&lt;&gt;0,Tabla7[[#This Row],[PenLect]]&lt;&gt;0),(AM199-AL199)*Tabla7[[#This Row],[RT]],"N/A")</f>
        <v>N/A</v>
      </c>
      <c r="AO199" s="393" t="s">
        <v>1160</v>
      </c>
      <c r="AP199" s="393" t="s">
        <v>1075</v>
      </c>
      <c r="AQ199" s="393" t="s">
        <v>1074</v>
      </c>
      <c r="AR199" s="393">
        <f t="shared" si="108"/>
        <v>0</v>
      </c>
      <c r="AT199" s="2" t="e">
        <f t="shared" ca="1" si="109"/>
        <v>#VALUE!</v>
      </c>
    </row>
    <row r="200" spans="1:46" ht="18" hidden="1" customHeight="1" x14ac:dyDescent="0.25">
      <c r="A200" s="418" t="s">
        <v>1060</v>
      </c>
      <c r="B200" s="273"/>
      <c r="C200" s="276">
        <v>10122</v>
      </c>
      <c r="D200" s="273" t="s">
        <v>558</v>
      </c>
      <c r="E200" s="274">
        <v>2</v>
      </c>
      <c r="F200" s="393" t="s">
        <v>988</v>
      </c>
      <c r="G200" s="393" t="s">
        <v>559</v>
      </c>
      <c r="H200" s="393"/>
      <c r="I200" s="393"/>
      <c r="J200" s="393"/>
      <c r="K200" s="393"/>
      <c r="L200" s="393"/>
      <c r="M200" s="393"/>
      <c r="N200" s="393"/>
      <c r="O200" s="393"/>
      <c r="P200" s="393"/>
      <c r="Q200" s="393"/>
      <c r="R200" s="393"/>
      <c r="S200" s="393"/>
      <c r="T200" s="393"/>
      <c r="U200" s="393"/>
      <c r="V200" s="393"/>
      <c r="W200" s="393"/>
      <c r="X200" s="393"/>
      <c r="Y200" s="393" t="str">
        <f t="shared" si="94"/>
        <v/>
      </c>
      <c r="Z200" s="393" t="str">
        <f t="shared" si="95"/>
        <v/>
      </c>
      <c r="AA200" s="393" t="str">
        <f t="shared" si="96"/>
        <v/>
      </c>
      <c r="AB200" s="393" t="str">
        <f t="shared" si="97"/>
        <v/>
      </c>
      <c r="AC200" s="393" t="str">
        <f t="shared" si="98"/>
        <v/>
      </c>
      <c r="AD200" s="393" t="str">
        <f t="shared" si="99"/>
        <v/>
      </c>
      <c r="AE200" s="393" t="str">
        <f t="shared" si="100"/>
        <v/>
      </c>
      <c r="AF200" s="393" t="str">
        <f t="shared" si="101"/>
        <v/>
      </c>
      <c r="AG200" s="393" t="str">
        <f t="shared" si="102"/>
        <v/>
      </c>
      <c r="AH200" s="393" t="str">
        <f t="shared" si="103"/>
        <v/>
      </c>
      <c r="AI200" s="393" t="str">
        <f t="shared" si="104"/>
        <v/>
      </c>
      <c r="AJ200" s="393" t="str">
        <f t="shared" si="105"/>
        <v/>
      </c>
      <c r="AK200" s="393">
        <v>1</v>
      </c>
      <c r="AL200" s="394">
        <f t="shared" ca="1" si="106"/>
        <v>0</v>
      </c>
      <c r="AM200" s="394">
        <f t="shared" ca="1" si="107"/>
        <v>0</v>
      </c>
      <c r="AN200" s="394" t="str">
        <f ca="1">IF(AND(Tabla7[[#This Row],[UltLec]]&lt;&gt;0,Tabla7[[#This Row],[PenLect]]&lt;&gt;0),(AM200-AL200)*Tabla7[[#This Row],[RT]],"N/A")</f>
        <v>N/A</v>
      </c>
      <c r="AO200" s="393" t="s">
        <v>1160</v>
      </c>
      <c r="AP200" s="393" t="s">
        <v>1075</v>
      </c>
      <c r="AQ200" s="393" t="s">
        <v>1074</v>
      </c>
      <c r="AR200" s="393">
        <f t="shared" si="108"/>
        <v>0</v>
      </c>
      <c r="AT200" s="2" t="e">
        <f t="shared" ca="1" si="109"/>
        <v>#VALUE!</v>
      </c>
    </row>
    <row r="201" spans="1:46" ht="18" hidden="1" customHeight="1" x14ac:dyDescent="0.25">
      <c r="A201" s="291" t="s">
        <v>501</v>
      </c>
      <c r="B201" s="54"/>
      <c r="C201" s="368">
        <v>531109</v>
      </c>
      <c r="D201" s="54" t="s">
        <v>558</v>
      </c>
      <c r="E201" s="232">
        <v>2</v>
      </c>
      <c r="F201" s="2" t="s">
        <v>563</v>
      </c>
      <c r="G201" s="2" t="s">
        <v>123</v>
      </c>
      <c r="H201" s="2"/>
      <c r="I201" s="2"/>
      <c r="J201" s="260">
        <v>14212</v>
      </c>
      <c r="K201" s="260">
        <v>14472</v>
      </c>
      <c r="L201" s="260"/>
      <c r="O201" s="260"/>
      <c r="P201" s="260"/>
      <c r="Q201" s="290"/>
      <c r="R201" s="308"/>
      <c r="S201" s="260"/>
      <c r="U201" s="260"/>
      <c r="V201" s="260"/>
      <c r="W201" s="387"/>
      <c r="X201" s="2"/>
      <c r="Y201" s="2">
        <f t="shared" si="94"/>
        <v>13000</v>
      </c>
      <c r="Z201" s="2" t="str">
        <f t="shared" si="95"/>
        <v/>
      </c>
      <c r="AA201" s="2" t="str">
        <f t="shared" si="96"/>
        <v/>
      </c>
      <c r="AB201" s="2" t="str">
        <f t="shared" si="97"/>
        <v/>
      </c>
      <c r="AC201" s="2" t="str">
        <f t="shared" si="98"/>
        <v/>
      </c>
      <c r="AD201" s="260" t="str">
        <f t="shared" si="99"/>
        <v/>
      </c>
      <c r="AE201" s="2" t="str">
        <f t="shared" si="100"/>
        <v/>
      </c>
      <c r="AF201" s="2" t="str">
        <f t="shared" si="101"/>
        <v/>
      </c>
      <c r="AG201" s="2" t="str">
        <f t="shared" si="102"/>
        <v/>
      </c>
      <c r="AH201" s="2" t="str">
        <f t="shared" si="103"/>
        <v/>
      </c>
      <c r="AI201" s="2" t="str">
        <f t="shared" si="104"/>
        <v/>
      </c>
      <c r="AJ201" s="2" t="str">
        <f t="shared" si="105"/>
        <v/>
      </c>
      <c r="AK201" s="2">
        <v>50</v>
      </c>
      <c r="AL201" s="260">
        <f t="shared" ca="1" si="106"/>
        <v>0</v>
      </c>
      <c r="AM201" s="260">
        <f t="shared" ca="1" si="107"/>
        <v>0</v>
      </c>
      <c r="AN201" s="260" t="str">
        <f ca="1">IF(AND(Tabla7[[#This Row],[UltLec]]&lt;&gt;0,Tabla7[[#This Row],[PenLect]]&lt;&gt;0),(AM201-AL201)*Tabla7[[#This Row],[RT]],"N/A")</f>
        <v>N/A</v>
      </c>
      <c r="AO201" s="380" t="s">
        <v>1020</v>
      </c>
      <c r="AP201" s="380" t="s">
        <v>1075</v>
      </c>
      <c r="AQ201" s="380" t="s">
        <v>1074</v>
      </c>
      <c r="AR201" s="2">
        <f t="shared" si="108"/>
        <v>0</v>
      </c>
      <c r="AT201" s="2" t="e">
        <f t="shared" ca="1" si="109"/>
        <v>#VALUE!</v>
      </c>
    </row>
    <row r="202" spans="1:46" ht="18" hidden="1" customHeight="1" x14ac:dyDescent="0.25">
      <c r="A202" s="291" t="s">
        <v>501</v>
      </c>
      <c r="B202" s="54"/>
      <c r="C202" s="368">
        <v>5356220</v>
      </c>
      <c r="D202" s="54" t="s">
        <v>558</v>
      </c>
      <c r="E202" s="232">
        <v>2</v>
      </c>
      <c r="F202" s="2" t="s">
        <v>564</v>
      </c>
      <c r="G202" s="2" t="s">
        <v>1036</v>
      </c>
      <c r="H202" s="2"/>
      <c r="I202" s="2"/>
      <c r="J202" s="260">
        <v>3771</v>
      </c>
      <c r="K202" s="260">
        <v>3790</v>
      </c>
      <c r="L202" s="260"/>
      <c r="O202" s="260"/>
      <c r="P202" s="260"/>
      <c r="Q202" s="290"/>
      <c r="R202" s="308"/>
      <c r="S202" s="260"/>
      <c r="U202" s="260"/>
      <c r="V202" s="260"/>
      <c r="W202" s="387"/>
      <c r="X202" s="2"/>
      <c r="Y202" s="2">
        <f t="shared" si="94"/>
        <v>380</v>
      </c>
      <c r="Z202" s="2" t="str">
        <f t="shared" si="95"/>
        <v/>
      </c>
      <c r="AA202" s="2" t="str">
        <f t="shared" si="96"/>
        <v/>
      </c>
      <c r="AB202" s="2" t="str">
        <f t="shared" si="97"/>
        <v/>
      </c>
      <c r="AC202" s="2" t="str">
        <f t="shared" si="98"/>
        <v/>
      </c>
      <c r="AD202" s="260" t="str">
        <f t="shared" si="99"/>
        <v/>
      </c>
      <c r="AE202" s="2" t="str">
        <f t="shared" si="100"/>
        <v/>
      </c>
      <c r="AF202" s="2" t="str">
        <f t="shared" si="101"/>
        <v/>
      </c>
      <c r="AG202" s="2" t="str">
        <f t="shared" si="102"/>
        <v/>
      </c>
      <c r="AH202" s="2" t="str">
        <f t="shared" si="103"/>
        <v/>
      </c>
      <c r="AI202" s="2" t="str">
        <f t="shared" si="104"/>
        <v/>
      </c>
      <c r="AJ202" s="2" t="str">
        <f t="shared" si="105"/>
        <v/>
      </c>
      <c r="AK202" s="2">
        <v>20</v>
      </c>
      <c r="AL202" s="260">
        <f t="shared" ca="1" si="106"/>
        <v>0</v>
      </c>
      <c r="AM202" s="260">
        <f t="shared" ca="1" si="107"/>
        <v>0</v>
      </c>
      <c r="AN202" s="260" t="str">
        <f ca="1">IF(AND(Tabla7[[#This Row],[UltLec]]&lt;&gt;0,Tabla7[[#This Row],[PenLect]]&lt;&gt;0),(AM202-AL202)*Tabla7[[#This Row],[RT]],"N/A")</f>
        <v>N/A</v>
      </c>
      <c r="AO202" s="380" t="s">
        <v>1020</v>
      </c>
      <c r="AP202" s="380" t="s">
        <v>1075</v>
      </c>
      <c r="AQ202" s="380" t="s">
        <v>1074</v>
      </c>
      <c r="AR202" s="2">
        <f t="shared" si="108"/>
        <v>0</v>
      </c>
      <c r="AT202" s="2" t="e">
        <f t="shared" ca="1" si="109"/>
        <v>#VALUE!</v>
      </c>
    </row>
    <row r="203" spans="1:46" ht="18" hidden="1" customHeight="1" x14ac:dyDescent="0.25">
      <c r="A203" s="291" t="s">
        <v>501</v>
      </c>
      <c r="B203" s="54"/>
      <c r="C203" s="368">
        <v>5356228</v>
      </c>
      <c r="D203" s="54" t="s">
        <v>558</v>
      </c>
      <c r="E203" s="232">
        <v>2</v>
      </c>
      <c r="F203" s="2" t="s">
        <v>1037</v>
      </c>
      <c r="G203" s="2" t="s">
        <v>123</v>
      </c>
      <c r="H203" s="2"/>
      <c r="I203" s="2"/>
      <c r="J203" s="260">
        <v>14810</v>
      </c>
      <c r="K203" s="260">
        <v>14983</v>
      </c>
      <c r="L203" s="260"/>
      <c r="O203" s="260"/>
      <c r="P203" s="260"/>
      <c r="Q203" s="290"/>
      <c r="R203" s="308"/>
      <c r="S203" s="260"/>
      <c r="U203" s="260"/>
      <c r="V203" s="260"/>
      <c r="W203" s="387"/>
      <c r="X203" s="2"/>
      <c r="Y203" s="2">
        <f t="shared" si="94"/>
        <v>3460</v>
      </c>
      <c r="Z203" s="2" t="str">
        <f t="shared" si="95"/>
        <v/>
      </c>
      <c r="AA203" s="2" t="str">
        <f t="shared" si="96"/>
        <v/>
      </c>
      <c r="AB203" s="2" t="str">
        <f t="shared" si="97"/>
        <v/>
      </c>
      <c r="AC203" s="2" t="str">
        <f t="shared" si="98"/>
        <v/>
      </c>
      <c r="AD203" s="260" t="str">
        <f t="shared" si="99"/>
        <v/>
      </c>
      <c r="AE203" s="2" t="str">
        <f t="shared" si="100"/>
        <v/>
      </c>
      <c r="AF203" s="2" t="str">
        <f t="shared" si="101"/>
        <v/>
      </c>
      <c r="AG203" s="2" t="str">
        <f t="shared" si="102"/>
        <v/>
      </c>
      <c r="AH203" s="2" t="str">
        <f t="shared" si="103"/>
        <v/>
      </c>
      <c r="AI203" s="2" t="str">
        <f t="shared" si="104"/>
        <v/>
      </c>
      <c r="AJ203" s="2" t="str">
        <f t="shared" si="105"/>
        <v/>
      </c>
      <c r="AK203" s="2">
        <v>20</v>
      </c>
      <c r="AL203" s="260">
        <f t="shared" ca="1" si="106"/>
        <v>0</v>
      </c>
      <c r="AM203" s="260">
        <f t="shared" ca="1" si="107"/>
        <v>0</v>
      </c>
      <c r="AN203" s="260" t="str">
        <f ca="1">IF(AND(Tabla7[[#This Row],[UltLec]]&lt;&gt;0,Tabla7[[#This Row],[PenLect]]&lt;&gt;0),(AM203-AL203)*Tabla7[[#This Row],[RT]],"N/A")</f>
        <v>N/A</v>
      </c>
      <c r="AO203" s="380" t="s">
        <v>1020</v>
      </c>
      <c r="AP203" s="380" t="s">
        <v>1075</v>
      </c>
      <c r="AQ203" s="380" t="s">
        <v>1074</v>
      </c>
      <c r="AR203" s="2">
        <f t="shared" si="108"/>
        <v>0</v>
      </c>
      <c r="AT203" s="2" t="e">
        <f t="shared" ca="1" si="109"/>
        <v>#VALUE!</v>
      </c>
    </row>
    <row r="204" spans="1:46" ht="18" hidden="1" customHeight="1" x14ac:dyDescent="0.25">
      <c r="A204" s="407" t="s">
        <v>501</v>
      </c>
      <c r="B204" s="54"/>
      <c r="C204" s="410">
        <v>535661921</v>
      </c>
      <c r="D204" s="374" t="s">
        <v>558</v>
      </c>
      <c r="E204" s="375">
        <v>2</v>
      </c>
      <c r="F204" s="2" t="s">
        <v>562</v>
      </c>
      <c r="G204" s="2" t="s">
        <v>123</v>
      </c>
      <c r="H204" s="2"/>
      <c r="I204" s="2"/>
      <c r="J204" s="260">
        <v>15787</v>
      </c>
      <c r="K204" s="260">
        <v>16041</v>
      </c>
      <c r="L204" s="260"/>
      <c r="O204" s="260"/>
      <c r="P204" s="260"/>
      <c r="Q204" s="290"/>
      <c r="R204" s="308"/>
      <c r="S204" s="260"/>
      <c r="U204" s="260"/>
      <c r="V204" s="260"/>
      <c r="W204" s="387"/>
      <c r="X204" s="2"/>
      <c r="Y204" s="2">
        <f t="shared" si="94"/>
        <v>12700</v>
      </c>
      <c r="Z204" s="2" t="str">
        <f t="shared" si="95"/>
        <v/>
      </c>
      <c r="AA204" s="2" t="str">
        <f t="shared" si="96"/>
        <v/>
      </c>
      <c r="AB204" s="2" t="str">
        <f t="shared" si="97"/>
        <v/>
      </c>
      <c r="AC204" s="2" t="str">
        <f t="shared" si="98"/>
        <v/>
      </c>
      <c r="AD204" s="260" t="str">
        <f t="shared" si="99"/>
        <v/>
      </c>
      <c r="AE204" s="2" t="str">
        <f t="shared" si="100"/>
        <v/>
      </c>
      <c r="AF204" s="2" t="str">
        <f t="shared" si="101"/>
        <v/>
      </c>
      <c r="AG204" s="2" t="str">
        <f t="shared" si="102"/>
        <v/>
      </c>
      <c r="AH204" s="2" t="str">
        <f t="shared" si="103"/>
        <v/>
      </c>
      <c r="AI204" s="2" t="str">
        <f t="shared" si="104"/>
        <v/>
      </c>
      <c r="AJ204" s="2" t="str">
        <f t="shared" si="105"/>
        <v/>
      </c>
      <c r="AK204" s="2">
        <v>50</v>
      </c>
      <c r="AL204" s="260">
        <f t="shared" ca="1" si="106"/>
        <v>0</v>
      </c>
      <c r="AM204" s="260">
        <f t="shared" ca="1" si="107"/>
        <v>0</v>
      </c>
      <c r="AN204" s="260" t="str">
        <f ca="1">IF(AND(Tabla7[[#This Row],[UltLec]]&lt;&gt;0,Tabla7[[#This Row],[PenLect]]&lt;&gt;0),(AM204-AL204)*Tabla7[[#This Row],[RT]],"N/A")</f>
        <v>N/A</v>
      </c>
      <c r="AO204" s="380" t="s">
        <v>1020</v>
      </c>
      <c r="AP204" s="380" t="s">
        <v>1075</v>
      </c>
      <c r="AQ204" s="380" t="s">
        <v>1074</v>
      </c>
      <c r="AR204" s="2">
        <f t="shared" si="108"/>
        <v>0</v>
      </c>
      <c r="AT204" s="2" t="e">
        <f t="shared" ca="1" si="109"/>
        <v>#VALUE!</v>
      </c>
    </row>
    <row r="205" spans="1:46" ht="18" hidden="1" customHeight="1" x14ac:dyDescent="0.25">
      <c r="A205" s="405" t="s">
        <v>501</v>
      </c>
      <c r="B205" s="54"/>
      <c r="C205" s="452" t="s">
        <v>1557</v>
      </c>
      <c r="D205" s="54" t="s">
        <v>558</v>
      </c>
      <c r="E205" s="232">
        <v>39307</v>
      </c>
      <c r="F205" s="381" t="s">
        <v>145</v>
      </c>
      <c r="G205" s="2" t="s">
        <v>1170</v>
      </c>
      <c r="H205" s="2"/>
      <c r="I205" s="2"/>
      <c r="J205" s="260">
        <v>47409</v>
      </c>
      <c r="K205" s="260">
        <v>48824</v>
      </c>
      <c r="L205" s="260"/>
      <c r="O205" s="260"/>
      <c r="P205" s="260"/>
      <c r="Q205" s="290"/>
      <c r="R205" s="308"/>
      <c r="S205" s="260"/>
      <c r="U205" s="260"/>
      <c r="V205" s="260"/>
      <c r="W205" s="260"/>
      <c r="X205" s="2"/>
      <c r="Y205" s="2">
        <f t="shared" si="94"/>
        <v>1415</v>
      </c>
      <c r="Z205" s="2" t="str">
        <f t="shared" si="95"/>
        <v/>
      </c>
      <c r="AA205" s="2" t="str">
        <f t="shared" si="96"/>
        <v/>
      </c>
      <c r="AB205" s="2" t="str">
        <f t="shared" si="97"/>
        <v/>
      </c>
      <c r="AC205" s="2" t="str">
        <f t="shared" si="98"/>
        <v/>
      </c>
      <c r="AD205" s="260" t="str">
        <f t="shared" si="99"/>
        <v/>
      </c>
      <c r="AE205" s="2" t="str">
        <f t="shared" si="100"/>
        <v/>
      </c>
      <c r="AF205" s="2" t="str">
        <f t="shared" si="101"/>
        <v/>
      </c>
      <c r="AG205" s="2" t="str">
        <f t="shared" si="102"/>
        <v/>
      </c>
      <c r="AH205" s="2" t="str">
        <f t="shared" si="103"/>
        <v/>
      </c>
      <c r="AI205" s="2" t="str">
        <f t="shared" si="104"/>
        <v/>
      </c>
      <c r="AJ205" s="2" t="str">
        <f t="shared" si="105"/>
        <v/>
      </c>
      <c r="AK205" s="2">
        <v>1</v>
      </c>
      <c r="AL205" s="260">
        <f t="shared" ca="1" si="106"/>
        <v>0</v>
      </c>
      <c r="AM205" s="260">
        <f t="shared" ca="1" si="107"/>
        <v>0</v>
      </c>
      <c r="AN205" s="260" t="str">
        <f ca="1">IF(AND(Tabla7[[#This Row],[UltLec]]&lt;&gt;0,Tabla7[[#This Row],[PenLect]]&lt;&gt;0),(AM205-AL205)*Tabla7[[#This Row],[RT]],"N/A")</f>
        <v>N/A</v>
      </c>
      <c r="AO205" s="380" t="s">
        <v>1020</v>
      </c>
      <c r="AP205" s="380" t="s">
        <v>1075</v>
      </c>
      <c r="AQ205" s="380" t="s">
        <v>1074</v>
      </c>
      <c r="AR205" s="2">
        <f t="shared" si="108"/>
        <v>0</v>
      </c>
      <c r="AT205" s="2" t="e">
        <f t="shared" ca="1" si="109"/>
        <v>#VALUE!</v>
      </c>
    </row>
    <row r="206" spans="1:46" ht="18" hidden="1" customHeight="1" x14ac:dyDescent="0.25">
      <c r="A206" s="405" t="s">
        <v>501</v>
      </c>
      <c r="B206" s="54"/>
      <c r="C206" s="452" t="s">
        <v>1556</v>
      </c>
      <c r="D206" s="54" t="s">
        <v>558</v>
      </c>
      <c r="E206" s="232">
        <v>39306</v>
      </c>
      <c r="F206" s="381" t="s">
        <v>145</v>
      </c>
      <c r="G206" s="2" t="s">
        <v>1169</v>
      </c>
      <c r="H206" s="2"/>
      <c r="I206" s="2"/>
      <c r="J206" s="260">
        <v>43856</v>
      </c>
      <c r="K206" s="260">
        <v>45271</v>
      </c>
      <c r="L206" s="260"/>
      <c r="O206" s="260"/>
      <c r="P206" s="260"/>
      <c r="Q206" s="290"/>
      <c r="R206" s="308"/>
      <c r="S206" s="260"/>
      <c r="U206" s="260"/>
      <c r="V206" s="260"/>
      <c r="W206" s="260"/>
      <c r="X206" s="2"/>
      <c r="Y206" s="2">
        <f t="shared" si="94"/>
        <v>1415</v>
      </c>
      <c r="Z206" s="2" t="str">
        <f t="shared" si="95"/>
        <v/>
      </c>
      <c r="AA206" s="2" t="str">
        <f t="shared" si="96"/>
        <v/>
      </c>
      <c r="AB206" s="2" t="str">
        <f t="shared" si="97"/>
        <v/>
      </c>
      <c r="AC206" s="2" t="str">
        <f t="shared" si="98"/>
        <v/>
      </c>
      <c r="AD206" s="260" t="str">
        <f t="shared" si="99"/>
        <v/>
      </c>
      <c r="AE206" s="2" t="str">
        <f t="shared" si="100"/>
        <v/>
      </c>
      <c r="AF206" s="2" t="str">
        <f t="shared" si="101"/>
        <v/>
      </c>
      <c r="AG206" s="2" t="str">
        <f t="shared" si="102"/>
        <v/>
      </c>
      <c r="AH206" s="2" t="str">
        <f t="shared" si="103"/>
        <v/>
      </c>
      <c r="AI206" s="2" t="str">
        <f t="shared" si="104"/>
        <v/>
      </c>
      <c r="AJ206" s="2" t="str">
        <f t="shared" si="105"/>
        <v/>
      </c>
      <c r="AK206" s="2">
        <v>1</v>
      </c>
      <c r="AL206" s="260">
        <f t="shared" ca="1" si="106"/>
        <v>0</v>
      </c>
      <c r="AM206" s="260">
        <f t="shared" ca="1" si="107"/>
        <v>0</v>
      </c>
      <c r="AN206" s="260" t="str">
        <f ca="1">IF(AND(Tabla7[[#This Row],[UltLec]]&lt;&gt;0,Tabla7[[#This Row],[PenLect]]&lt;&gt;0),(AM206-AL206)*Tabla7[[#This Row],[RT]],"N/A")</f>
        <v>N/A</v>
      </c>
      <c r="AO206" s="380" t="s">
        <v>1020</v>
      </c>
      <c r="AP206" s="380" t="s">
        <v>1075</v>
      </c>
      <c r="AQ206" s="380" t="s">
        <v>1074</v>
      </c>
      <c r="AR206" s="2">
        <f t="shared" si="108"/>
        <v>0</v>
      </c>
      <c r="AT206" s="2" t="e">
        <f t="shared" ca="1" si="109"/>
        <v>#VALUE!</v>
      </c>
    </row>
    <row r="207" spans="1:46" ht="18" hidden="1" customHeight="1" x14ac:dyDescent="0.25">
      <c r="A207" s="291" t="s">
        <v>501</v>
      </c>
      <c r="B207" s="54">
        <v>1446</v>
      </c>
      <c r="C207" s="435" t="s">
        <v>1526</v>
      </c>
      <c r="D207" s="54" t="s">
        <v>558</v>
      </c>
      <c r="E207" s="232">
        <v>39906</v>
      </c>
      <c r="F207" s="2" t="s">
        <v>1521</v>
      </c>
      <c r="G207" s="2" t="s">
        <v>1522</v>
      </c>
      <c r="H207" s="2" t="s">
        <v>1523</v>
      </c>
      <c r="I207" s="2"/>
      <c r="J207" s="260">
        <v>7769</v>
      </c>
      <c r="K207" s="260">
        <v>9594</v>
      </c>
      <c r="L207" s="260"/>
      <c r="O207" s="260"/>
      <c r="P207" s="308"/>
      <c r="Q207" s="290"/>
      <c r="R207" s="290"/>
      <c r="S207" s="260"/>
      <c r="U207" s="260"/>
      <c r="V207" s="260"/>
      <c r="W207" s="260"/>
      <c r="X207" s="2"/>
      <c r="Y207" s="2">
        <f t="shared" si="94"/>
        <v>1825</v>
      </c>
      <c r="Z207" s="2" t="str">
        <f t="shared" si="95"/>
        <v/>
      </c>
      <c r="AA207" s="2" t="str">
        <f t="shared" si="96"/>
        <v/>
      </c>
      <c r="AB207" s="2" t="str">
        <f t="shared" si="97"/>
        <v/>
      </c>
      <c r="AC207" s="2" t="str">
        <f t="shared" si="98"/>
        <v/>
      </c>
      <c r="AD207" s="260" t="str">
        <f t="shared" si="99"/>
        <v/>
      </c>
      <c r="AE207" s="2" t="str">
        <f t="shared" si="100"/>
        <v/>
      </c>
      <c r="AF207" s="2" t="str">
        <f t="shared" si="101"/>
        <v/>
      </c>
      <c r="AG207" s="2" t="str">
        <f t="shared" si="102"/>
        <v/>
      </c>
      <c r="AH207" s="2" t="str">
        <f t="shared" si="103"/>
        <v/>
      </c>
      <c r="AI207" s="2" t="str">
        <f t="shared" si="104"/>
        <v/>
      </c>
      <c r="AJ207" s="2" t="str">
        <f t="shared" si="105"/>
        <v/>
      </c>
      <c r="AK207" s="2">
        <v>1</v>
      </c>
      <c r="AL207" s="260">
        <f t="shared" ca="1" si="106"/>
        <v>0</v>
      </c>
      <c r="AM207" s="260">
        <f t="shared" ca="1" si="107"/>
        <v>0</v>
      </c>
      <c r="AN207" s="260" t="str">
        <f ca="1">IF(AND(Tabla7[[#This Row],[UltLec]]&lt;&gt;0,Tabla7[[#This Row],[PenLect]]&lt;&gt;0),(AM207-AL207)*Tabla7[[#This Row],[RT]],"N/A")</f>
        <v>N/A</v>
      </c>
      <c r="AO207" s="380" t="s">
        <v>1020</v>
      </c>
      <c r="AP207" s="380" t="s">
        <v>1075</v>
      </c>
      <c r="AQ207" s="380" t="s">
        <v>1074</v>
      </c>
      <c r="AR207" s="2">
        <f t="shared" si="108"/>
        <v>0</v>
      </c>
      <c r="AT207" s="2" t="e">
        <f t="shared" ca="1" si="109"/>
        <v>#VALUE!</v>
      </c>
    </row>
    <row r="208" spans="1:46" ht="18" hidden="1" customHeight="1" x14ac:dyDescent="0.25">
      <c r="A208" s="291" t="s">
        <v>501</v>
      </c>
      <c r="B208" s="54">
        <v>1446</v>
      </c>
      <c r="C208" s="368" t="s">
        <v>1520</v>
      </c>
      <c r="D208" s="54" t="s">
        <v>558</v>
      </c>
      <c r="E208" s="232">
        <v>39933</v>
      </c>
      <c r="F208" s="2" t="s">
        <v>1521</v>
      </c>
      <c r="G208" s="2" t="s">
        <v>1522</v>
      </c>
      <c r="H208" s="2" t="s">
        <v>1523</v>
      </c>
      <c r="I208" s="2"/>
      <c r="J208" s="260">
        <v>11927</v>
      </c>
      <c r="K208" s="260">
        <v>13426</v>
      </c>
      <c r="L208" s="260"/>
      <c r="O208" s="260"/>
      <c r="P208" s="308"/>
      <c r="Q208" s="290"/>
      <c r="R208" s="290"/>
      <c r="S208" s="260"/>
      <c r="U208" s="260"/>
      <c r="V208" s="260"/>
      <c r="W208" s="260"/>
      <c r="X208" s="2"/>
      <c r="Y208" s="2">
        <f t="shared" si="94"/>
        <v>1499</v>
      </c>
      <c r="Z208" s="2" t="str">
        <f t="shared" si="95"/>
        <v/>
      </c>
      <c r="AA208" s="2" t="str">
        <f t="shared" si="96"/>
        <v/>
      </c>
      <c r="AB208" s="2" t="str">
        <f t="shared" si="97"/>
        <v/>
      </c>
      <c r="AC208" s="2" t="str">
        <f t="shared" si="98"/>
        <v/>
      </c>
      <c r="AD208" s="260" t="str">
        <f t="shared" si="99"/>
        <v/>
      </c>
      <c r="AE208" s="2" t="str">
        <f t="shared" si="100"/>
        <v/>
      </c>
      <c r="AF208" s="2" t="str">
        <f t="shared" si="101"/>
        <v/>
      </c>
      <c r="AG208" s="2" t="str">
        <f t="shared" si="102"/>
        <v/>
      </c>
      <c r="AH208" s="2" t="str">
        <f t="shared" si="103"/>
        <v/>
      </c>
      <c r="AI208" s="2" t="str">
        <f t="shared" si="104"/>
        <v/>
      </c>
      <c r="AJ208" s="2" t="str">
        <f t="shared" si="105"/>
        <v/>
      </c>
      <c r="AK208" s="2">
        <v>1</v>
      </c>
      <c r="AL208" s="260">
        <f t="shared" ca="1" si="106"/>
        <v>0</v>
      </c>
      <c r="AM208" s="260">
        <f t="shared" ca="1" si="107"/>
        <v>0</v>
      </c>
      <c r="AN208" s="260" t="str">
        <f ca="1">IF(AND(Tabla7[[#This Row],[UltLec]]&lt;&gt;0,Tabla7[[#This Row],[PenLect]]&lt;&gt;0),(AM208-AL208)*Tabla7[[#This Row],[RT]],"N/A")</f>
        <v>N/A</v>
      </c>
      <c r="AO208" s="380" t="s">
        <v>1020</v>
      </c>
      <c r="AP208" s="380" t="s">
        <v>1075</v>
      </c>
      <c r="AQ208" s="380" t="s">
        <v>1074</v>
      </c>
      <c r="AR208" s="2">
        <f t="shared" si="108"/>
        <v>0</v>
      </c>
      <c r="AT208" s="2" t="e">
        <f t="shared" ca="1" si="109"/>
        <v>#VALUE!</v>
      </c>
    </row>
    <row r="209" spans="1:16384" customFormat="1" ht="18" hidden="1" customHeight="1" x14ac:dyDescent="0.25">
      <c r="A209" s="291" t="s">
        <v>501</v>
      </c>
      <c r="B209" s="54">
        <v>1446</v>
      </c>
      <c r="C209" s="435" t="s">
        <v>1524</v>
      </c>
      <c r="D209" s="54" t="s">
        <v>558</v>
      </c>
      <c r="E209" s="232">
        <v>39956</v>
      </c>
      <c r="F209" s="2" t="s">
        <v>1521</v>
      </c>
      <c r="G209" s="2" t="s">
        <v>1522</v>
      </c>
      <c r="H209" s="2" t="s">
        <v>1523</v>
      </c>
      <c r="I209" s="2"/>
      <c r="J209" s="260">
        <v>13369</v>
      </c>
      <c r="K209" s="260">
        <v>14627</v>
      </c>
      <c r="L209" s="260"/>
      <c r="M209" s="260"/>
      <c r="N209" s="260"/>
      <c r="O209" s="260"/>
      <c r="P209" s="308"/>
      <c r="Q209" s="290"/>
      <c r="R209" s="290"/>
      <c r="S209" s="260"/>
      <c r="T209" s="260"/>
      <c r="U209" s="260"/>
      <c r="V209" s="260"/>
      <c r="W209" s="260"/>
      <c r="X209" s="2"/>
      <c r="Y209" s="2">
        <f t="shared" si="94"/>
        <v>1258</v>
      </c>
      <c r="Z209" s="2" t="str">
        <f t="shared" si="95"/>
        <v/>
      </c>
      <c r="AA209" s="2" t="str">
        <f t="shared" si="96"/>
        <v/>
      </c>
      <c r="AB209" s="2" t="str">
        <f t="shared" si="97"/>
        <v/>
      </c>
      <c r="AC209" s="2" t="str">
        <f t="shared" si="98"/>
        <v/>
      </c>
      <c r="AD209" s="260" t="str">
        <f t="shared" si="99"/>
        <v/>
      </c>
      <c r="AE209" s="2" t="str">
        <f t="shared" si="100"/>
        <v/>
      </c>
      <c r="AF209" s="2" t="str">
        <f t="shared" si="101"/>
        <v/>
      </c>
      <c r="AG209" s="2" t="str">
        <f t="shared" si="102"/>
        <v/>
      </c>
      <c r="AH209" s="2" t="str">
        <f t="shared" si="103"/>
        <v/>
      </c>
      <c r="AI209" s="2" t="str">
        <f t="shared" si="104"/>
        <v/>
      </c>
      <c r="AJ209" s="2" t="str">
        <f t="shared" si="105"/>
        <v/>
      </c>
      <c r="AK209" s="2">
        <v>1</v>
      </c>
      <c r="AL209" s="260">
        <f t="shared" ca="1" si="106"/>
        <v>0</v>
      </c>
      <c r="AM209" s="260">
        <f t="shared" ca="1" si="107"/>
        <v>0</v>
      </c>
      <c r="AN209" s="260" t="str">
        <f ca="1">IF(AND(Tabla7[[#This Row],[UltLec]]&lt;&gt;0,Tabla7[[#This Row],[PenLect]]&lt;&gt;0),(AM209-AL209)*Tabla7[[#This Row],[RT]],"N/A")</f>
        <v>N/A</v>
      </c>
      <c r="AO209" s="380" t="s">
        <v>1020</v>
      </c>
      <c r="AP209" s="380" t="s">
        <v>1075</v>
      </c>
      <c r="AQ209" s="380" t="s">
        <v>1074</v>
      </c>
      <c r="AR209" s="2">
        <f t="shared" si="108"/>
        <v>0</v>
      </c>
      <c r="AT209" s="2" t="e">
        <f t="shared" ca="1" si="109"/>
        <v>#VALUE!</v>
      </c>
    </row>
    <row r="210" spans="1:16384" customFormat="1" ht="18" hidden="1" customHeight="1" x14ac:dyDescent="0.25">
      <c r="A210" s="448" t="s">
        <v>501</v>
      </c>
      <c r="B210" s="254">
        <v>1446</v>
      </c>
      <c r="C210" s="496" t="s">
        <v>1525</v>
      </c>
      <c r="D210" s="254" t="s">
        <v>558</v>
      </c>
      <c r="E210" s="450">
        <v>39957</v>
      </c>
      <c r="F210" s="2" t="s">
        <v>1521</v>
      </c>
      <c r="G210" s="2" t="s">
        <v>1522</v>
      </c>
      <c r="H210" s="2" t="s">
        <v>1523</v>
      </c>
      <c r="I210" s="2"/>
      <c r="J210" s="260">
        <v>17132</v>
      </c>
      <c r="K210" s="260">
        <v>19752</v>
      </c>
      <c r="L210" s="260"/>
      <c r="M210" s="260"/>
      <c r="N210" s="260"/>
      <c r="O210" s="260"/>
      <c r="P210" s="308"/>
      <c r="Q210" s="290"/>
      <c r="R210" s="290"/>
      <c r="S210" s="260"/>
      <c r="T210" s="260"/>
      <c r="U210" s="260"/>
      <c r="V210" s="260"/>
      <c r="W210" s="260"/>
      <c r="X210" s="2"/>
      <c r="Y210" s="2">
        <f t="shared" si="94"/>
        <v>2620</v>
      </c>
      <c r="Z210" s="2" t="str">
        <f t="shared" si="95"/>
        <v/>
      </c>
      <c r="AA210" s="2" t="str">
        <f t="shared" si="96"/>
        <v/>
      </c>
      <c r="AB210" s="2" t="str">
        <f t="shared" si="97"/>
        <v/>
      </c>
      <c r="AC210" s="2" t="str">
        <f t="shared" si="98"/>
        <v/>
      </c>
      <c r="AD210" s="260" t="str">
        <f t="shared" si="99"/>
        <v/>
      </c>
      <c r="AE210" s="2" t="str">
        <f t="shared" si="100"/>
        <v/>
      </c>
      <c r="AF210" s="2" t="str">
        <f t="shared" si="101"/>
        <v/>
      </c>
      <c r="AG210" s="2" t="str">
        <f t="shared" si="102"/>
        <v/>
      </c>
      <c r="AH210" s="2" t="str">
        <f t="shared" si="103"/>
        <v/>
      </c>
      <c r="AI210" s="2" t="str">
        <f t="shared" si="104"/>
        <v/>
      </c>
      <c r="AJ210" s="2" t="str">
        <f t="shared" si="105"/>
        <v/>
      </c>
      <c r="AK210" s="2">
        <v>1</v>
      </c>
      <c r="AL210" s="260">
        <f t="shared" ca="1" si="106"/>
        <v>0</v>
      </c>
      <c r="AM210" s="260">
        <f t="shared" ca="1" si="107"/>
        <v>0</v>
      </c>
      <c r="AN210" s="260" t="str">
        <f ca="1">IF(AND(Tabla7[[#This Row],[UltLec]]&lt;&gt;0,Tabla7[[#This Row],[PenLect]]&lt;&gt;0),(AM210-AL210)*Tabla7[[#This Row],[RT]],"N/A")</f>
        <v>N/A</v>
      </c>
      <c r="AO210" s="380" t="s">
        <v>1020</v>
      </c>
      <c r="AP210" s="380" t="s">
        <v>1075</v>
      </c>
      <c r="AQ210" s="380" t="s">
        <v>1074</v>
      </c>
      <c r="AR210" s="2">
        <f t="shared" si="108"/>
        <v>0</v>
      </c>
      <c r="AT210" s="2" t="e">
        <f t="shared" ca="1" si="109"/>
        <v>#VALUE!</v>
      </c>
    </row>
    <row r="211" spans="1:16384" customFormat="1" ht="18" hidden="1" customHeight="1" x14ac:dyDescent="0.25">
      <c r="A211" s="455" t="s">
        <v>1060</v>
      </c>
      <c r="B211" s="456"/>
      <c r="C211" s="495" t="s">
        <v>1315</v>
      </c>
      <c r="D211" s="456" t="s">
        <v>558</v>
      </c>
      <c r="E211" s="457">
        <v>39854</v>
      </c>
      <c r="F211" s="434" t="s">
        <v>145</v>
      </c>
      <c r="G211" s="434" t="s">
        <v>1313</v>
      </c>
      <c r="H211" s="434"/>
      <c r="I211" s="434"/>
      <c r="J211" s="393"/>
      <c r="K211" s="393"/>
      <c r="L211" s="393"/>
      <c r="M211" s="393"/>
      <c r="N211" s="393"/>
      <c r="O211" s="393"/>
      <c r="P211" s="393"/>
      <c r="Q211" s="393"/>
      <c r="R211" s="393"/>
      <c r="S211" s="393"/>
      <c r="T211" s="393"/>
      <c r="U211" s="393"/>
      <c r="V211" s="393"/>
      <c r="W211" s="393"/>
      <c r="X211" s="393"/>
      <c r="Y211" s="393" t="str">
        <f t="shared" si="94"/>
        <v/>
      </c>
      <c r="Z211" s="393" t="str">
        <f t="shared" si="95"/>
        <v/>
      </c>
      <c r="AA211" s="393" t="str">
        <f t="shared" si="96"/>
        <v/>
      </c>
      <c r="AB211" s="393" t="str">
        <f t="shared" si="97"/>
        <v/>
      </c>
      <c r="AC211" s="393" t="str">
        <f t="shared" si="98"/>
        <v/>
      </c>
      <c r="AD211" s="393" t="str">
        <f t="shared" si="99"/>
        <v/>
      </c>
      <c r="AE211" s="393" t="str">
        <f t="shared" si="100"/>
        <v/>
      </c>
      <c r="AF211" s="393" t="str">
        <f t="shared" si="101"/>
        <v/>
      </c>
      <c r="AG211" s="393" t="str">
        <f t="shared" si="102"/>
        <v/>
      </c>
      <c r="AH211" s="393" t="str">
        <f t="shared" si="103"/>
        <v/>
      </c>
      <c r="AI211" s="393" t="str">
        <f t="shared" si="104"/>
        <v/>
      </c>
      <c r="AJ211" s="393" t="str">
        <f t="shared" si="105"/>
        <v/>
      </c>
      <c r="AK211" s="393">
        <v>1</v>
      </c>
      <c r="AL211" s="393">
        <f t="shared" ca="1" si="106"/>
        <v>0</v>
      </c>
      <c r="AM211" s="393">
        <f t="shared" ca="1" si="107"/>
        <v>0</v>
      </c>
      <c r="AN211" s="393" t="str">
        <f ca="1">IF(AND(Tabla7[[#This Row],[UltLec]]&lt;&gt;0,Tabla7[[#This Row],[PenLect]]&lt;&gt;0),(AM211-AL211)*Tabla7[[#This Row],[RT]],"N/A")</f>
        <v>N/A</v>
      </c>
      <c r="AO211" s="393" t="s">
        <v>1160</v>
      </c>
      <c r="AP211" s="393" t="s">
        <v>1075</v>
      </c>
      <c r="AQ211" s="393" t="s">
        <v>1077</v>
      </c>
      <c r="AR211" s="393">
        <f t="shared" si="108"/>
        <v>0</v>
      </c>
      <c r="AS211" s="442"/>
      <c r="AT211" s="2" t="e">
        <f t="shared" ca="1" si="109"/>
        <v>#VALUE!</v>
      </c>
      <c r="AU211" s="443"/>
      <c r="AV211" s="442"/>
      <c r="AW211" s="442"/>
      <c r="AX211" s="2"/>
      <c r="AY211" s="2"/>
      <c r="AZ211" s="2"/>
      <c r="BA211" s="2"/>
      <c r="BB211" s="260"/>
      <c r="BC211" s="260"/>
      <c r="BD211" s="260"/>
      <c r="BE211" s="260"/>
      <c r="BF211" s="260"/>
      <c r="BG211" s="260"/>
      <c r="BH211" s="308"/>
      <c r="BI211" s="290"/>
      <c r="BJ211" s="290"/>
      <c r="BK211" s="260"/>
      <c r="BL211" s="260"/>
      <c r="BM211" s="260"/>
      <c r="BN211" s="260"/>
      <c r="BO211" s="260"/>
      <c r="BP211" s="2"/>
      <c r="BQ211" s="2"/>
      <c r="BR211" s="2"/>
      <c r="BS211" s="2"/>
      <c r="BT211" s="2"/>
      <c r="BU211" s="2"/>
      <c r="BV211" s="260"/>
      <c r="BW211" s="2"/>
      <c r="BX211" s="2"/>
      <c r="BY211" s="2"/>
      <c r="BZ211" s="2"/>
      <c r="CA211" s="2"/>
      <c r="CB211" s="2"/>
      <c r="CC211" s="2"/>
      <c r="CD211" s="260"/>
      <c r="CE211" s="260"/>
      <c r="CF211" s="260"/>
      <c r="CG211" s="380"/>
      <c r="CH211" s="380"/>
      <c r="CI211" s="380"/>
      <c r="CJ211" s="2"/>
      <c r="CK211" s="442"/>
      <c r="CL211" s="442"/>
      <c r="CM211" s="443"/>
      <c r="CN211" s="442"/>
      <c r="CO211" s="442"/>
      <c r="CP211" s="2"/>
      <c r="CQ211" s="2"/>
      <c r="CR211" s="2"/>
      <c r="CS211" s="2"/>
      <c r="CT211" s="260"/>
      <c r="CU211" s="260"/>
      <c r="CV211" s="260"/>
      <c r="CW211" s="260"/>
      <c r="CX211" s="260"/>
      <c r="CY211" s="260"/>
      <c r="CZ211" s="308"/>
      <c r="DA211" s="290"/>
      <c r="DB211" s="290"/>
      <c r="DC211" s="260"/>
      <c r="DD211" s="260"/>
      <c r="DE211" s="260"/>
      <c r="DF211" s="260"/>
      <c r="DG211" s="260"/>
      <c r="DH211" s="2"/>
      <c r="DI211" s="2"/>
      <c r="DJ211" s="2"/>
      <c r="DK211" s="2"/>
      <c r="DL211" s="2"/>
      <c r="DM211" s="2"/>
      <c r="DN211" s="260"/>
      <c r="DO211" s="2"/>
      <c r="DP211" s="2"/>
      <c r="DQ211" s="2"/>
      <c r="DR211" s="2"/>
      <c r="DS211" s="2"/>
      <c r="DT211" s="2"/>
      <c r="DU211" s="2"/>
      <c r="DV211" s="260"/>
      <c r="DW211" s="260"/>
      <c r="DX211" s="260"/>
      <c r="DY211" s="380"/>
      <c r="DZ211" s="380"/>
      <c r="EA211" s="380"/>
      <c r="EB211" s="2"/>
      <c r="EC211" s="442"/>
      <c r="ED211" s="442"/>
      <c r="EE211" s="443"/>
      <c r="EF211" s="442"/>
      <c r="EG211" s="442"/>
      <c r="EH211" s="2"/>
      <c r="EI211" s="2"/>
      <c r="EJ211" s="2"/>
      <c r="EK211" s="2"/>
      <c r="EL211" s="260"/>
      <c r="EM211" s="260"/>
      <c r="EN211" s="260"/>
      <c r="EO211" s="260"/>
      <c r="EP211" s="260"/>
      <c r="EQ211" s="260"/>
      <c r="ER211" s="308"/>
      <c r="ES211" s="290"/>
      <c r="ET211" s="290"/>
      <c r="EU211" s="260"/>
      <c r="EV211" s="260"/>
      <c r="EW211" s="260"/>
      <c r="EX211" s="260"/>
      <c r="EY211" s="260"/>
      <c r="EZ211" s="2"/>
      <c r="FA211" s="2"/>
      <c r="FB211" s="2"/>
      <c r="FC211" s="2"/>
      <c r="FD211" s="2"/>
      <c r="FE211" s="2"/>
      <c r="FF211" s="260"/>
      <c r="FG211" s="2"/>
      <c r="FH211" s="2"/>
      <c r="FI211" s="2"/>
      <c r="FJ211" s="2"/>
      <c r="FK211" s="2"/>
      <c r="FL211" s="2"/>
      <c r="FM211" s="2"/>
      <c r="FN211" s="260"/>
      <c r="FO211" s="260"/>
      <c r="FP211" s="260"/>
      <c r="FQ211" s="380"/>
      <c r="FR211" s="380"/>
      <c r="FS211" s="380"/>
      <c r="FT211" s="2"/>
      <c r="FU211" s="442"/>
      <c r="FV211" s="442"/>
      <c r="FW211" s="443"/>
      <c r="FX211" s="442"/>
      <c r="FY211" s="442"/>
      <c r="FZ211" s="2"/>
      <c r="GA211" s="2"/>
      <c r="GB211" s="2"/>
      <c r="GC211" s="2"/>
      <c r="GD211" s="260"/>
      <c r="GE211" s="260"/>
      <c r="GF211" s="260"/>
      <c r="GG211" s="260"/>
      <c r="GH211" s="260"/>
      <c r="GI211" s="260"/>
      <c r="GJ211" s="308"/>
      <c r="GK211" s="290"/>
      <c r="GL211" s="290"/>
      <c r="GM211" s="260"/>
      <c r="GN211" s="260"/>
      <c r="GO211" s="260"/>
      <c r="GP211" s="260"/>
      <c r="GQ211" s="260"/>
      <c r="GR211" s="2"/>
      <c r="GS211" s="2"/>
      <c r="GT211" s="2"/>
      <c r="GU211" s="2"/>
      <c r="GV211" s="2"/>
      <c r="GW211" s="2"/>
      <c r="GX211" s="260"/>
      <c r="GY211" s="2"/>
      <c r="GZ211" s="2"/>
      <c r="HA211" s="2"/>
      <c r="HB211" s="2"/>
      <c r="HC211" s="2"/>
      <c r="HD211" s="2"/>
      <c r="HE211" s="2"/>
      <c r="HF211" s="260"/>
      <c r="HG211" s="260"/>
      <c r="HH211" s="260"/>
      <c r="HI211" s="380"/>
      <c r="HJ211" s="380"/>
      <c r="HK211" s="380"/>
      <c r="HL211" s="2"/>
      <c r="HM211" s="442"/>
      <c r="HN211" s="442"/>
      <c r="HO211" s="443"/>
      <c r="HP211" s="442"/>
      <c r="HQ211" s="442"/>
      <c r="HR211" s="2"/>
      <c r="HS211" s="2"/>
      <c r="HT211" s="2"/>
      <c r="HU211" s="2"/>
      <c r="HV211" s="260"/>
      <c r="HW211" s="260"/>
      <c r="HX211" s="260"/>
      <c r="HY211" s="260"/>
      <c r="HZ211" s="260"/>
      <c r="IA211" s="260"/>
      <c r="IB211" s="308"/>
      <c r="IC211" s="290"/>
      <c r="ID211" s="290"/>
      <c r="IE211" s="260"/>
      <c r="IF211" s="260"/>
      <c r="IG211" s="260"/>
      <c r="IH211" s="260"/>
      <c r="II211" s="260"/>
      <c r="IJ211" s="2"/>
      <c r="IK211" s="2"/>
      <c r="IL211" s="2"/>
      <c r="IM211" s="2"/>
      <c r="IN211" s="2"/>
      <c r="IO211" s="2"/>
      <c r="IP211" s="260"/>
      <c r="IQ211" s="2"/>
      <c r="IR211" s="2"/>
      <c r="IS211" s="2"/>
      <c r="IT211" s="2"/>
      <c r="IU211" s="2"/>
      <c r="IV211" s="2"/>
      <c r="IW211" s="2"/>
      <c r="IX211" s="260"/>
      <c r="IY211" s="260"/>
      <c r="IZ211" s="260"/>
      <c r="JA211" s="380"/>
      <c r="JB211" s="380"/>
      <c r="JC211" s="380"/>
      <c r="JD211" s="2"/>
      <c r="JE211" s="442"/>
      <c r="JF211" s="442"/>
      <c r="JG211" s="443"/>
      <c r="JH211" s="442"/>
      <c r="JI211" s="442"/>
      <c r="JJ211" s="2"/>
      <c r="JK211" s="2"/>
      <c r="JL211" s="2"/>
      <c r="JM211" s="2"/>
      <c r="JN211" s="260"/>
      <c r="JO211" s="260"/>
      <c r="JP211" s="260"/>
      <c r="JQ211" s="260"/>
      <c r="JR211" s="260"/>
      <c r="JS211" s="260"/>
      <c r="JT211" s="308"/>
      <c r="JU211" s="290"/>
      <c r="JV211" s="290"/>
      <c r="JW211" s="260"/>
      <c r="JX211" s="260"/>
      <c r="JY211" s="260"/>
      <c r="JZ211" s="260"/>
      <c r="KA211" s="260"/>
      <c r="KB211" s="2"/>
      <c r="KC211" s="2"/>
      <c r="KD211" s="2"/>
      <c r="KE211" s="2"/>
      <c r="KF211" s="2"/>
      <c r="KG211" s="2"/>
      <c r="KH211" s="260"/>
      <c r="KI211" s="2"/>
      <c r="KJ211" s="2"/>
      <c r="KK211" s="2"/>
      <c r="KL211" s="2"/>
      <c r="KM211" s="2"/>
      <c r="KN211" s="2"/>
      <c r="KO211" s="2"/>
      <c r="KP211" s="260"/>
      <c r="KQ211" s="260"/>
      <c r="KR211" s="260"/>
      <c r="KS211" s="380"/>
      <c r="KT211" s="380"/>
      <c r="KU211" s="380"/>
      <c r="KV211" s="2"/>
      <c r="KW211" s="442"/>
      <c r="KX211" s="442"/>
      <c r="KY211" s="443"/>
      <c r="KZ211" s="442"/>
      <c r="LA211" s="442"/>
      <c r="LB211" s="2"/>
      <c r="LC211" s="2"/>
      <c r="LD211" s="2"/>
      <c r="LE211" s="2"/>
      <c r="LF211" s="260"/>
      <c r="LG211" s="260"/>
      <c r="LH211" s="260"/>
      <c r="LI211" s="260"/>
      <c r="LJ211" s="260"/>
      <c r="LK211" s="260"/>
      <c r="LL211" s="308"/>
      <c r="LM211" s="290"/>
      <c r="LN211" s="290"/>
      <c r="LO211" s="260"/>
      <c r="LP211" s="260"/>
      <c r="LQ211" s="260"/>
      <c r="LR211" s="260"/>
      <c r="LS211" s="260"/>
      <c r="LT211" s="2"/>
      <c r="LU211" s="2"/>
      <c r="LV211" s="2"/>
      <c r="LW211" s="2"/>
      <c r="LX211" s="2"/>
      <c r="LY211" s="2"/>
      <c r="LZ211" s="260"/>
      <c r="MA211" s="2"/>
      <c r="MB211" s="2"/>
      <c r="MC211" s="2"/>
      <c r="MD211" s="2"/>
      <c r="ME211" s="2"/>
      <c r="MF211" s="2"/>
      <c r="MG211" s="2"/>
      <c r="MH211" s="260"/>
      <c r="MI211" s="260"/>
      <c r="MJ211" s="260"/>
      <c r="MK211" s="380"/>
      <c r="ML211" s="380"/>
      <c r="MM211" s="380"/>
      <c r="MN211" s="2"/>
      <c r="MO211" s="442"/>
      <c r="MP211" s="442"/>
      <c r="MQ211" s="443"/>
      <c r="MR211" s="442"/>
      <c r="MS211" s="442"/>
      <c r="MT211" s="2"/>
      <c r="MU211" s="2"/>
      <c r="MV211" s="2"/>
      <c r="MW211" s="2"/>
      <c r="MX211" s="260"/>
      <c r="MY211" s="260"/>
      <c r="MZ211" s="260"/>
      <c r="NA211" s="260"/>
      <c r="NB211" s="260"/>
      <c r="NC211" s="260"/>
      <c r="ND211" s="308"/>
      <c r="NE211" s="290"/>
      <c r="NF211" s="290"/>
      <c r="NG211" s="260"/>
      <c r="NH211" s="260"/>
      <c r="NI211" s="260"/>
      <c r="NJ211" s="260"/>
      <c r="NK211" s="260"/>
      <c r="NL211" s="2"/>
      <c r="NM211" s="2"/>
      <c r="NN211" s="2"/>
      <c r="NO211" s="2"/>
      <c r="NP211" s="2"/>
      <c r="NQ211" s="2"/>
      <c r="NR211" s="260"/>
      <c r="NS211" s="2"/>
      <c r="NT211" s="2"/>
      <c r="NU211" s="2"/>
      <c r="NV211" s="2"/>
      <c r="NW211" s="2"/>
      <c r="NX211" s="2"/>
      <c r="NY211" s="2"/>
      <c r="NZ211" s="260"/>
      <c r="OA211" s="260"/>
      <c r="OB211" s="260"/>
      <c r="OC211" s="380"/>
      <c r="OD211" s="380"/>
      <c r="OE211" s="380"/>
      <c r="OF211" s="2"/>
      <c r="OG211" s="442"/>
      <c r="OH211" s="442"/>
      <c r="OI211" s="443"/>
      <c r="OJ211" s="442"/>
      <c r="OK211" s="442"/>
      <c r="OL211" s="2"/>
      <c r="OM211" s="2"/>
      <c r="ON211" s="2"/>
      <c r="OO211" s="2"/>
      <c r="OP211" s="260"/>
      <c r="OQ211" s="260"/>
      <c r="OR211" s="260"/>
      <c r="OS211" s="260"/>
      <c r="OT211" s="260"/>
      <c r="OU211" s="260"/>
      <c r="OV211" s="308"/>
      <c r="OW211" s="290"/>
      <c r="OX211" s="290"/>
      <c r="OY211" s="260"/>
      <c r="OZ211" s="260"/>
      <c r="PA211" s="260"/>
      <c r="PB211" s="260"/>
      <c r="PC211" s="260"/>
      <c r="PD211" s="2"/>
      <c r="PE211" s="2"/>
      <c r="PF211" s="2"/>
      <c r="PG211" s="2"/>
      <c r="PH211" s="2"/>
      <c r="PI211" s="2"/>
      <c r="PJ211" s="260"/>
      <c r="PK211" s="2"/>
      <c r="PL211" s="2"/>
      <c r="PM211" s="2"/>
      <c r="PN211" s="2"/>
      <c r="PO211" s="2"/>
      <c r="PP211" s="2"/>
      <c r="PQ211" s="2"/>
      <c r="PR211" s="260"/>
      <c r="PS211" s="260"/>
      <c r="PT211" s="260"/>
      <c r="PU211" s="380"/>
      <c r="PV211" s="380"/>
      <c r="PW211" s="380"/>
      <c r="PX211" s="2"/>
      <c r="PY211" s="442"/>
      <c r="PZ211" s="442"/>
      <c r="QA211" s="443"/>
      <c r="QB211" s="442"/>
      <c r="QC211" s="442"/>
      <c r="QD211" s="2"/>
      <c r="QE211" s="2"/>
      <c r="QF211" s="2"/>
      <c r="QG211" s="2"/>
      <c r="QH211" s="260"/>
      <c r="QI211" s="260"/>
      <c r="QJ211" s="260"/>
      <c r="QK211" s="260"/>
      <c r="QL211" s="260"/>
      <c r="QM211" s="260"/>
      <c r="QN211" s="308"/>
      <c r="QO211" s="290"/>
      <c r="QP211" s="290"/>
      <c r="QQ211" s="260"/>
      <c r="QR211" s="260"/>
      <c r="QS211" s="260"/>
      <c r="QT211" s="260"/>
      <c r="QU211" s="260"/>
      <c r="QV211" s="2"/>
      <c r="QW211" s="2"/>
      <c r="QX211" s="2"/>
      <c r="QY211" s="2"/>
      <c r="QZ211" s="2"/>
      <c r="RA211" s="2"/>
      <c r="RB211" s="260"/>
      <c r="RC211" s="2"/>
      <c r="RD211" s="2"/>
      <c r="RE211" s="2"/>
      <c r="RF211" s="2"/>
      <c r="RG211" s="2"/>
      <c r="RH211" s="2"/>
      <c r="RI211" s="2"/>
      <c r="RJ211" s="260"/>
      <c r="RK211" s="260"/>
      <c r="RL211" s="260"/>
      <c r="RM211" s="380"/>
      <c r="RN211" s="380"/>
      <c r="RO211" s="380"/>
      <c r="RP211" s="2"/>
      <c r="RQ211" s="442"/>
      <c r="RR211" s="442"/>
      <c r="RS211" s="443"/>
      <c r="RT211" s="442"/>
      <c r="RU211" s="442"/>
      <c r="RV211" s="2"/>
      <c r="RW211" s="2"/>
      <c r="RX211" s="2"/>
      <c r="RY211" s="2"/>
      <c r="RZ211" s="260"/>
      <c r="SA211" s="260"/>
      <c r="SB211" s="260"/>
      <c r="SC211" s="260"/>
      <c r="SD211" s="260"/>
      <c r="SE211" s="260"/>
      <c r="SF211" s="308"/>
      <c r="SG211" s="290"/>
      <c r="SH211" s="290"/>
      <c r="SI211" s="260"/>
      <c r="SJ211" s="260"/>
      <c r="SK211" s="260"/>
      <c r="SL211" s="260"/>
      <c r="SM211" s="260"/>
      <c r="SN211" s="2"/>
      <c r="SO211" s="2"/>
      <c r="SP211" s="2"/>
      <c r="SQ211" s="2"/>
      <c r="SR211" s="2"/>
      <c r="SS211" s="2"/>
      <c r="ST211" s="260"/>
      <c r="SU211" s="2"/>
      <c r="SV211" s="2"/>
      <c r="SW211" s="2"/>
      <c r="SX211" s="2"/>
      <c r="SY211" s="2"/>
      <c r="SZ211" s="2"/>
      <c r="TA211" s="2"/>
      <c r="TB211" s="260"/>
      <c r="TC211" s="260"/>
      <c r="TD211" s="260"/>
      <c r="TE211" s="380"/>
      <c r="TF211" s="380"/>
      <c r="TG211" s="380"/>
      <c r="TH211" s="2"/>
      <c r="TI211" s="442"/>
      <c r="TJ211" s="442"/>
      <c r="TK211" s="443"/>
      <c r="TL211" s="442"/>
      <c r="TM211" s="442"/>
      <c r="TN211" s="2"/>
      <c r="TO211" s="2"/>
      <c r="TP211" s="2"/>
      <c r="TQ211" s="2"/>
      <c r="TR211" s="260"/>
      <c r="TS211" s="260"/>
      <c r="TT211" s="260"/>
      <c r="TU211" s="260"/>
      <c r="TV211" s="260"/>
      <c r="TW211" s="260"/>
      <c r="TX211" s="308"/>
      <c r="TY211" s="290"/>
      <c r="TZ211" s="290"/>
      <c r="UA211" s="260"/>
      <c r="UB211" s="260"/>
      <c r="UC211" s="260"/>
      <c r="UD211" s="260"/>
      <c r="UE211" s="260"/>
      <c r="UF211" s="2"/>
      <c r="UG211" s="2"/>
      <c r="UH211" s="2"/>
      <c r="UI211" s="2"/>
      <c r="UJ211" s="2"/>
      <c r="UK211" s="2"/>
      <c r="UL211" s="260"/>
      <c r="UM211" s="2"/>
      <c r="UN211" s="2"/>
      <c r="UO211" s="2"/>
      <c r="UP211" s="2"/>
      <c r="UQ211" s="2"/>
      <c r="UR211" s="2"/>
      <c r="US211" s="2"/>
      <c r="UT211" s="260"/>
      <c r="UU211" s="260"/>
      <c r="UV211" s="260"/>
      <c r="UW211" s="380"/>
      <c r="UX211" s="380"/>
      <c r="UY211" s="380"/>
      <c r="UZ211" s="2"/>
      <c r="VA211" s="442"/>
      <c r="VB211" s="442"/>
      <c r="VC211" s="443"/>
      <c r="VD211" s="442"/>
      <c r="VE211" s="442"/>
      <c r="VF211" s="2"/>
      <c r="VG211" s="2"/>
      <c r="VH211" s="2"/>
      <c r="VI211" s="2"/>
      <c r="VJ211" s="260"/>
      <c r="VK211" s="260"/>
      <c r="VL211" s="260"/>
      <c r="VM211" s="260"/>
      <c r="VN211" s="260"/>
      <c r="VO211" s="260"/>
      <c r="VP211" s="308"/>
      <c r="VQ211" s="290"/>
      <c r="VR211" s="290"/>
      <c r="VS211" s="260"/>
      <c r="VT211" s="260"/>
      <c r="VU211" s="260"/>
      <c r="VV211" s="260"/>
      <c r="VW211" s="260"/>
      <c r="VX211" s="2"/>
      <c r="VY211" s="2"/>
      <c r="VZ211" s="2"/>
      <c r="WA211" s="2"/>
      <c r="WB211" s="2"/>
      <c r="WC211" s="2"/>
      <c r="WD211" s="260"/>
      <c r="WE211" s="2"/>
      <c r="WF211" s="2"/>
      <c r="WG211" s="2"/>
      <c r="WH211" s="2"/>
      <c r="WI211" s="2"/>
      <c r="WJ211" s="2"/>
      <c r="WK211" s="2"/>
      <c r="WL211" s="260"/>
      <c r="WM211" s="260"/>
      <c r="WN211" s="260"/>
      <c r="WO211" s="380"/>
      <c r="WP211" s="380"/>
      <c r="WQ211" s="380"/>
      <c r="WR211" s="2"/>
      <c r="WS211" s="442"/>
      <c r="WT211" s="442"/>
      <c r="WU211" s="443"/>
      <c r="WV211" s="442"/>
      <c r="WW211" s="442"/>
      <c r="WX211" s="2"/>
      <c r="WY211" s="2"/>
      <c r="WZ211" s="2"/>
      <c r="XA211" s="2"/>
      <c r="XB211" s="260"/>
      <c r="XC211" s="260"/>
      <c r="XD211" s="260"/>
      <c r="XE211" s="260"/>
      <c r="XF211" s="260"/>
      <c r="XG211" s="260"/>
      <c r="XH211" s="308"/>
      <c r="XI211" s="290"/>
      <c r="XJ211" s="290"/>
      <c r="XK211" s="260"/>
      <c r="XL211" s="260"/>
      <c r="XM211" s="260"/>
      <c r="XN211" s="260"/>
      <c r="XO211" s="260"/>
      <c r="XP211" s="2"/>
      <c r="XQ211" s="2"/>
      <c r="XR211" s="2"/>
      <c r="XS211" s="2"/>
      <c r="XT211" s="2"/>
      <c r="XU211" s="2"/>
      <c r="XV211" s="260"/>
      <c r="XW211" s="2"/>
      <c r="XX211" s="2"/>
      <c r="XY211" s="2"/>
      <c r="XZ211" s="2"/>
      <c r="YA211" s="2"/>
      <c r="YB211" s="2"/>
      <c r="YC211" s="2"/>
      <c r="YD211" s="260"/>
      <c r="YE211" s="260"/>
      <c r="YF211" s="260"/>
      <c r="YG211" s="380"/>
      <c r="YH211" s="380"/>
      <c r="YI211" s="380"/>
      <c r="YJ211" s="2"/>
      <c r="YK211" s="442"/>
      <c r="YL211" s="442"/>
      <c r="YM211" s="443"/>
      <c r="YN211" s="442"/>
      <c r="YO211" s="442"/>
      <c r="YP211" s="2"/>
      <c r="YQ211" s="2"/>
      <c r="YR211" s="2"/>
      <c r="YS211" s="2"/>
      <c r="YT211" s="260"/>
      <c r="YU211" s="260"/>
      <c r="YV211" s="260"/>
      <c r="YW211" s="260"/>
      <c r="YX211" s="260"/>
      <c r="YY211" s="260"/>
      <c r="YZ211" s="308"/>
      <c r="ZA211" s="290"/>
      <c r="ZB211" s="290"/>
      <c r="ZC211" s="260"/>
      <c r="ZD211" s="260"/>
      <c r="ZE211" s="260"/>
      <c r="ZF211" s="260"/>
      <c r="ZG211" s="260"/>
      <c r="ZH211" s="2"/>
      <c r="ZI211" s="2"/>
      <c r="ZJ211" s="2"/>
      <c r="ZK211" s="2"/>
      <c r="ZL211" s="2"/>
      <c r="ZM211" s="2"/>
      <c r="ZN211" s="260"/>
      <c r="ZO211" s="2"/>
      <c r="ZP211" s="2"/>
      <c r="ZQ211" s="2"/>
      <c r="ZR211" s="2"/>
      <c r="ZS211" s="2"/>
      <c r="ZT211" s="2"/>
      <c r="ZU211" s="2"/>
      <c r="ZV211" s="260"/>
      <c r="ZW211" s="260"/>
      <c r="ZX211" s="260"/>
      <c r="ZY211" s="380"/>
      <c r="ZZ211" s="380"/>
      <c r="AAA211" s="380"/>
      <c r="AAB211" s="2"/>
      <c r="AAC211" s="442"/>
      <c r="AAD211" s="442"/>
      <c r="AAE211" s="443"/>
      <c r="AAF211" s="442"/>
      <c r="AAG211" s="442"/>
      <c r="AAH211" s="2"/>
      <c r="AAI211" s="2"/>
      <c r="AAJ211" s="2"/>
      <c r="AAK211" s="2"/>
      <c r="AAL211" s="260"/>
      <c r="AAM211" s="260"/>
      <c r="AAN211" s="260"/>
      <c r="AAO211" s="260"/>
      <c r="AAP211" s="260"/>
      <c r="AAQ211" s="260"/>
      <c r="AAR211" s="308"/>
      <c r="AAS211" s="290"/>
      <c r="AAT211" s="290"/>
      <c r="AAU211" s="260"/>
      <c r="AAV211" s="260"/>
      <c r="AAW211" s="260"/>
      <c r="AAX211" s="260"/>
      <c r="AAY211" s="260"/>
      <c r="AAZ211" s="2"/>
      <c r="ABA211" s="2"/>
      <c r="ABB211" s="2"/>
      <c r="ABC211" s="2"/>
      <c r="ABD211" s="2"/>
      <c r="ABE211" s="2"/>
      <c r="ABF211" s="260"/>
      <c r="ABG211" s="2"/>
      <c r="ABH211" s="2"/>
      <c r="ABI211" s="2"/>
      <c r="ABJ211" s="2"/>
      <c r="ABK211" s="2"/>
      <c r="ABL211" s="2"/>
      <c r="ABM211" s="2"/>
      <c r="ABN211" s="260"/>
      <c r="ABO211" s="260"/>
      <c r="ABP211" s="260"/>
      <c r="ABQ211" s="380"/>
      <c r="ABR211" s="380"/>
      <c r="ABS211" s="380"/>
      <c r="ABT211" s="2"/>
      <c r="ABU211" s="442"/>
      <c r="ABV211" s="442"/>
      <c r="ABW211" s="443"/>
      <c r="ABX211" s="442"/>
      <c r="ABY211" s="442"/>
      <c r="ABZ211" s="2"/>
      <c r="ACA211" s="2"/>
      <c r="ACB211" s="2"/>
      <c r="ACC211" s="2"/>
      <c r="ACD211" s="260"/>
      <c r="ACE211" s="260"/>
      <c r="ACF211" s="260"/>
      <c r="ACG211" s="260"/>
      <c r="ACH211" s="260"/>
      <c r="ACI211" s="260"/>
      <c r="ACJ211" s="308"/>
      <c r="ACK211" s="290"/>
      <c r="ACL211" s="290"/>
      <c r="ACM211" s="260"/>
      <c r="ACN211" s="260"/>
      <c r="ACO211" s="260"/>
      <c r="ACP211" s="260"/>
      <c r="ACQ211" s="260"/>
      <c r="ACR211" s="2"/>
      <c r="ACS211" s="2"/>
      <c r="ACT211" s="2"/>
      <c r="ACU211" s="2"/>
      <c r="ACV211" s="2"/>
      <c r="ACW211" s="2"/>
      <c r="ACX211" s="260"/>
      <c r="ACY211" s="2"/>
      <c r="ACZ211" s="2"/>
      <c r="ADA211" s="2"/>
      <c r="ADB211" s="2"/>
      <c r="ADC211" s="2"/>
      <c r="ADD211" s="2"/>
      <c r="ADE211" s="2"/>
      <c r="ADF211" s="260"/>
      <c r="ADG211" s="260"/>
      <c r="ADH211" s="260"/>
      <c r="ADI211" s="380"/>
      <c r="ADJ211" s="380"/>
      <c r="ADK211" s="380"/>
      <c r="ADL211" s="2"/>
      <c r="ADM211" s="442"/>
      <c r="ADN211" s="442"/>
      <c r="ADO211" s="443"/>
      <c r="ADP211" s="442"/>
      <c r="ADQ211" s="442"/>
      <c r="ADR211" s="2"/>
      <c r="ADS211" s="2"/>
      <c r="ADT211" s="2"/>
      <c r="ADU211" s="2"/>
      <c r="ADV211" s="260"/>
      <c r="ADW211" s="260"/>
      <c r="ADX211" s="260"/>
      <c r="ADY211" s="260"/>
      <c r="ADZ211" s="260"/>
      <c r="AEA211" s="260"/>
      <c r="AEB211" s="308"/>
      <c r="AEC211" s="290"/>
      <c r="AED211" s="290"/>
      <c r="AEE211" s="260"/>
      <c r="AEF211" s="260"/>
      <c r="AEG211" s="260"/>
      <c r="AEH211" s="260"/>
      <c r="AEI211" s="260"/>
      <c r="AEJ211" s="2"/>
      <c r="AEK211" s="2"/>
      <c r="AEL211" s="2"/>
      <c r="AEM211" s="2"/>
      <c r="AEN211" s="2"/>
      <c r="AEO211" s="2"/>
      <c r="AEP211" s="260"/>
      <c r="AEQ211" s="2"/>
      <c r="AER211" s="2"/>
      <c r="AES211" s="2"/>
      <c r="AET211" s="2"/>
      <c r="AEU211" s="2"/>
      <c r="AEV211" s="2"/>
      <c r="AEW211" s="2"/>
      <c r="AEX211" s="260"/>
      <c r="AEY211" s="260"/>
      <c r="AEZ211" s="260"/>
      <c r="AFA211" s="380"/>
      <c r="AFB211" s="380"/>
      <c r="AFC211" s="380"/>
      <c r="AFD211" s="2"/>
      <c r="AFE211" s="442"/>
      <c r="AFF211" s="442"/>
      <c r="AFG211" s="443"/>
      <c r="AFH211" s="442"/>
      <c r="AFI211" s="442"/>
      <c r="AFJ211" s="2"/>
      <c r="AFK211" s="2"/>
      <c r="AFL211" s="2"/>
      <c r="AFM211" s="2"/>
      <c r="AFN211" s="260"/>
      <c r="AFO211" s="260"/>
      <c r="AFP211" s="260"/>
      <c r="AFQ211" s="260"/>
      <c r="AFR211" s="260"/>
      <c r="AFS211" s="260"/>
      <c r="AFT211" s="308"/>
      <c r="AFU211" s="290"/>
      <c r="AFV211" s="290"/>
      <c r="AFW211" s="260"/>
      <c r="AFX211" s="260"/>
      <c r="AFY211" s="260"/>
      <c r="AFZ211" s="260"/>
      <c r="AGA211" s="260"/>
      <c r="AGB211" s="2"/>
      <c r="AGC211" s="2"/>
      <c r="AGD211" s="2"/>
      <c r="AGE211" s="2"/>
      <c r="AGF211" s="2"/>
      <c r="AGG211" s="2"/>
      <c r="AGH211" s="260"/>
      <c r="AGI211" s="2"/>
      <c r="AGJ211" s="2"/>
      <c r="AGK211" s="2"/>
      <c r="AGL211" s="2"/>
      <c r="AGM211" s="2"/>
      <c r="AGN211" s="2"/>
      <c r="AGO211" s="2"/>
      <c r="AGP211" s="260"/>
      <c r="AGQ211" s="260"/>
      <c r="AGR211" s="260"/>
      <c r="AGS211" s="380"/>
      <c r="AGT211" s="380"/>
      <c r="AGU211" s="380"/>
      <c r="AGV211" s="2"/>
      <c r="AGW211" s="442"/>
      <c r="AGX211" s="442"/>
      <c r="AGY211" s="443"/>
      <c r="AGZ211" s="442"/>
      <c r="AHA211" s="442"/>
      <c r="AHB211" s="2"/>
      <c r="AHC211" s="2"/>
      <c r="AHD211" s="2"/>
      <c r="AHE211" s="2"/>
      <c r="AHF211" s="260"/>
      <c r="AHG211" s="260"/>
      <c r="AHH211" s="260"/>
      <c r="AHI211" s="260"/>
      <c r="AHJ211" s="260"/>
      <c r="AHK211" s="260"/>
      <c r="AHL211" s="308"/>
      <c r="AHM211" s="290"/>
      <c r="AHN211" s="290"/>
      <c r="AHO211" s="260"/>
      <c r="AHP211" s="260"/>
      <c r="AHQ211" s="260"/>
      <c r="AHR211" s="260"/>
      <c r="AHS211" s="260"/>
      <c r="AHT211" s="2"/>
      <c r="AHU211" s="2"/>
      <c r="AHV211" s="2"/>
      <c r="AHW211" s="2"/>
      <c r="AHX211" s="2"/>
      <c r="AHY211" s="2"/>
      <c r="AHZ211" s="260"/>
      <c r="AIA211" s="2"/>
      <c r="AIB211" s="2"/>
      <c r="AIC211" s="2"/>
      <c r="AID211" s="2"/>
      <c r="AIE211" s="2"/>
      <c r="AIF211" s="2"/>
      <c r="AIG211" s="2"/>
      <c r="AIH211" s="260"/>
      <c r="AII211" s="260"/>
      <c r="AIJ211" s="260"/>
      <c r="AIK211" s="380"/>
      <c r="AIL211" s="380"/>
      <c r="AIM211" s="380"/>
      <c r="AIN211" s="2"/>
      <c r="AIO211" s="442"/>
      <c r="AIP211" s="442"/>
      <c r="AIQ211" s="443"/>
      <c r="AIR211" s="442"/>
      <c r="AIS211" s="442"/>
      <c r="AIT211" s="2"/>
      <c r="AIU211" s="2"/>
      <c r="AIV211" s="2"/>
      <c r="AIW211" s="2"/>
      <c r="AIX211" s="260"/>
      <c r="AIY211" s="260"/>
      <c r="AIZ211" s="260"/>
      <c r="AJA211" s="260"/>
      <c r="AJB211" s="260"/>
      <c r="AJC211" s="260"/>
      <c r="AJD211" s="308"/>
      <c r="AJE211" s="290"/>
      <c r="AJF211" s="290"/>
      <c r="AJG211" s="260"/>
      <c r="AJH211" s="260"/>
      <c r="AJI211" s="260"/>
      <c r="AJJ211" s="260"/>
      <c r="AJK211" s="260"/>
      <c r="AJL211" s="2"/>
      <c r="AJM211" s="2"/>
      <c r="AJN211" s="2"/>
      <c r="AJO211" s="2"/>
      <c r="AJP211" s="2"/>
      <c r="AJQ211" s="2"/>
      <c r="AJR211" s="260"/>
      <c r="AJS211" s="2"/>
      <c r="AJT211" s="2"/>
      <c r="AJU211" s="2"/>
      <c r="AJV211" s="2"/>
      <c r="AJW211" s="2"/>
      <c r="AJX211" s="2"/>
      <c r="AJY211" s="2"/>
      <c r="AJZ211" s="260"/>
      <c r="AKA211" s="260"/>
      <c r="AKB211" s="260"/>
      <c r="AKC211" s="380"/>
      <c r="AKD211" s="380"/>
      <c r="AKE211" s="380"/>
      <c r="AKF211" s="2"/>
      <c r="AKG211" s="442"/>
      <c r="AKH211" s="442"/>
      <c r="AKI211" s="443"/>
      <c r="AKJ211" s="442"/>
      <c r="AKK211" s="442"/>
      <c r="AKL211" s="2"/>
      <c r="AKM211" s="2"/>
      <c r="AKN211" s="2"/>
      <c r="AKO211" s="2"/>
      <c r="AKP211" s="260"/>
      <c r="AKQ211" s="260"/>
      <c r="AKR211" s="260"/>
      <c r="AKS211" s="260"/>
      <c r="AKT211" s="260"/>
      <c r="AKU211" s="260"/>
      <c r="AKV211" s="308"/>
      <c r="AKW211" s="290"/>
      <c r="AKX211" s="290"/>
      <c r="AKY211" s="260"/>
      <c r="AKZ211" s="260"/>
      <c r="ALA211" s="260"/>
      <c r="ALB211" s="260"/>
      <c r="ALC211" s="260"/>
      <c r="ALD211" s="2"/>
      <c r="ALE211" s="2"/>
      <c r="ALF211" s="2"/>
      <c r="ALG211" s="2"/>
      <c r="ALH211" s="2"/>
      <c r="ALI211" s="2"/>
      <c r="ALJ211" s="260"/>
      <c r="ALK211" s="2"/>
      <c r="ALL211" s="2"/>
      <c r="ALM211" s="2"/>
      <c r="ALN211" s="2"/>
      <c r="ALO211" s="2"/>
      <c r="ALP211" s="2"/>
      <c r="ALQ211" s="2"/>
      <c r="ALR211" s="260"/>
      <c r="ALS211" s="260"/>
      <c r="ALT211" s="260"/>
      <c r="ALU211" s="380"/>
      <c r="ALV211" s="380"/>
      <c r="ALW211" s="380"/>
      <c r="ALX211" s="2"/>
      <c r="ALY211" s="442"/>
      <c r="ALZ211" s="442"/>
      <c r="AMA211" s="443"/>
      <c r="AMB211" s="442"/>
      <c r="AMC211" s="442"/>
      <c r="AMD211" s="2"/>
      <c r="AME211" s="2"/>
      <c r="AMF211" s="2"/>
      <c r="AMG211" s="2"/>
      <c r="AMH211" s="260"/>
      <c r="AMI211" s="260"/>
      <c r="AMJ211" s="260"/>
      <c r="AMK211" s="260"/>
      <c r="AML211" s="260"/>
      <c r="AMM211" s="260"/>
      <c r="AMN211" s="308"/>
      <c r="AMO211" s="290"/>
      <c r="AMP211" s="290"/>
      <c r="AMQ211" s="260"/>
      <c r="AMR211" s="260"/>
      <c r="AMS211" s="260"/>
      <c r="AMT211" s="260"/>
      <c r="AMU211" s="260"/>
      <c r="AMV211" s="2"/>
      <c r="AMW211" s="2"/>
      <c r="AMX211" s="2"/>
      <c r="AMY211" s="2"/>
      <c r="AMZ211" s="2"/>
      <c r="ANA211" s="2"/>
      <c r="ANB211" s="260"/>
      <c r="ANC211" s="2"/>
      <c r="AND211" s="2"/>
      <c r="ANE211" s="2"/>
      <c r="ANF211" s="2"/>
      <c r="ANG211" s="2"/>
      <c r="ANH211" s="2"/>
      <c r="ANI211" s="2"/>
      <c r="ANJ211" s="260"/>
      <c r="ANK211" s="260"/>
      <c r="ANL211" s="260"/>
      <c r="ANM211" s="380"/>
      <c r="ANN211" s="380"/>
      <c r="ANO211" s="380"/>
      <c r="ANP211" s="2"/>
      <c r="ANQ211" s="442"/>
      <c r="ANR211" s="442"/>
      <c r="ANS211" s="443"/>
      <c r="ANT211" s="442"/>
      <c r="ANU211" s="442"/>
      <c r="ANV211" s="2"/>
      <c r="ANW211" s="2"/>
      <c r="ANX211" s="2"/>
      <c r="ANY211" s="2"/>
      <c r="ANZ211" s="260"/>
      <c r="AOA211" s="260"/>
      <c r="AOB211" s="260"/>
      <c r="AOC211" s="260"/>
      <c r="AOD211" s="260"/>
      <c r="AOE211" s="260"/>
      <c r="AOF211" s="308"/>
      <c r="AOG211" s="290"/>
      <c r="AOH211" s="290"/>
      <c r="AOI211" s="260"/>
      <c r="AOJ211" s="260"/>
      <c r="AOK211" s="260"/>
      <c r="AOL211" s="260"/>
      <c r="AOM211" s="260"/>
      <c r="AON211" s="2"/>
      <c r="AOO211" s="2"/>
      <c r="AOP211" s="2"/>
      <c r="AOQ211" s="2"/>
      <c r="AOR211" s="2"/>
      <c r="AOS211" s="2"/>
      <c r="AOT211" s="260"/>
      <c r="AOU211" s="2"/>
      <c r="AOV211" s="2"/>
      <c r="AOW211" s="2"/>
      <c r="AOX211" s="2"/>
      <c r="AOY211" s="2"/>
      <c r="AOZ211" s="2"/>
      <c r="APA211" s="2"/>
      <c r="APB211" s="260"/>
      <c r="APC211" s="260"/>
      <c r="APD211" s="260"/>
      <c r="APE211" s="380"/>
      <c r="APF211" s="380"/>
      <c r="APG211" s="380"/>
      <c r="APH211" s="2"/>
      <c r="API211" s="442"/>
      <c r="APJ211" s="442"/>
      <c r="APK211" s="443"/>
      <c r="APL211" s="442"/>
      <c r="APM211" s="442"/>
      <c r="APN211" s="2"/>
      <c r="APO211" s="2"/>
      <c r="APP211" s="2"/>
      <c r="APQ211" s="2"/>
      <c r="APR211" s="260"/>
      <c r="APS211" s="260"/>
      <c r="APT211" s="260"/>
      <c r="APU211" s="260"/>
      <c r="APV211" s="260"/>
      <c r="APW211" s="260"/>
      <c r="APX211" s="308"/>
      <c r="APY211" s="290"/>
      <c r="APZ211" s="290"/>
      <c r="AQA211" s="260"/>
      <c r="AQB211" s="260"/>
      <c r="AQC211" s="260"/>
      <c r="AQD211" s="260"/>
      <c r="AQE211" s="260"/>
      <c r="AQF211" s="2"/>
      <c r="AQG211" s="2"/>
      <c r="AQH211" s="2"/>
      <c r="AQI211" s="2"/>
      <c r="AQJ211" s="2"/>
      <c r="AQK211" s="2"/>
      <c r="AQL211" s="260"/>
      <c r="AQM211" s="2"/>
      <c r="AQN211" s="2"/>
      <c r="AQO211" s="2"/>
      <c r="AQP211" s="2"/>
      <c r="AQQ211" s="2"/>
      <c r="AQR211" s="2"/>
      <c r="AQS211" s="2"/>
      <c r="AQT211" s="260"/>
      <c r="AQU211" s="260"/>
      <c r="AQV211" s="260"/>
      <c r="AQW211" s="380"/>
      <c r="AQX211" s="380"/>
      <c r="AQY211" s="380"/>
      <c r="AQZ211" s="2"/>
      <c r="ARA211" s="442"/>
      <c r="ARB211" s="442"/>
      <c r="ARC211" s="443"/>
      <c r="ARD211" s="442"/>
      <c r="ARE211" s="442"/>
      <c r="ARF211" s="2"/>
      <c r="ARG211" s="2"/>
      <c r="ARH211" s="2"/>
      <c r="ARI211" s="2"/>
      <c r="ARJ211" s="260"/>
      <c r="ARK211" s="260"/>
      <c r="ARL211" s="260"/>
      <c r="ARM211" s="260"/>
      <c r="ARN211" s="260"/>
      <c r="ARO211" s="260"/>
      <c r="ARP211" s="308"/>
      <c r="ARQ211" s="290"/>
      <c r="ARR211" s="290"/>
      <c r="ARS211" s="260"/>
      <c r="ART211" s="260"/>
      <c r="ARU211" s="260"/>
      <c r="ARV211" s="260"/>
      <c r="ARW211" s="260"/>
      <c r="ARX211" s="2"/>
      <c r="ARY211" s="2"/>
      <c r="ARZ211" s="2"/>
      <c r="ASA211" s="2"/>
      <c r="ASB211" s="2"/>
      <c r="ASC211" s="2"/>
      <c r="ASD211" s="260"/>
      <c r="ASE211" s="2"/>
      <c r="ASF211" s="2"/>
      <c r="ASG211" s="2"/>
      <c r="ASH211" s="2"/>
      <c r="ASI211" s="2"/>
      <c r="ASJ211" s="2"/>
      <c r="ASK211" s="2"/>
      <c r="ASL211" s="260"/>
      <c r="ASM211" s="260"/>
      <c r="ASN211" s="260"/>
      <c r="ASO211" s="380"/>
      <c r="ASP211" s="380"/>
      <c r="ASQ211" s="380"/>
      <c r="ASR211" s="2"/>
      <c r="ASS211" s="442"/>
      <c r="AST211" s="442"/>
      <c r="ASU211" s="443"/>
      <c r="ASV211" s="442"/>
      <c r="ASW211" s="442"/>
      <c r="ASX211" s="2"/>
      <c r="ASY211" s="2"/>
      <c r="ASZ211" s="2"/>
      <c r="ATA211" s="2"/>
      <c r="ATB211" s="260"/>
      <c r="ATC211" s="260"/>
      <c r="ATD211" s="260"/>
      <c r="ATE211" s="260"/>
      <c r="ATF211" s="260"/>
      <c r="ATG211" s="260"/>
      <c r="ATH211" s="308"/>
      <c r="ATI211" s="290"/>
      <c r="ATJ211" s="290"/>
      <c r="ATK211" s="260"/>
      <c r="ATL211" s="260"/>
      <c r="ATM211" s="260"/>
      <c r="ATN211" s="260"/>
      <c r="ATO211" s="260"/>
      <c r="ATP211" s="2"/>
      <c r="ATQ211" s="2"/>
      <c r="ATR211" s="2"/>
      <c r="ATS211" s="2"/>
      <c r="ATT211" s="2"/>
      <c r="ATU211" s="2"/>
      <c r="ATV211" s="260"/>
      <c r="ATW211" s="2"/>
      <c r="ATX211" s="2"/>
      <c r="ATY211" s="2"/>
      <c r="ATZ211" s="2"/>
      <c r="AUA211" s="2"/>
      <c r="AUB211" s="2"/>
      <c r="AUC211" s="2"/>
      <c r="AUD211" s="260"/>
      <c r="AUE211" s="260"/>
      <c r="AUF211" s="260"/>
      <c r="AUG211" s="380"/>
      <c r="AUH211" s="380"/>
      <c r="AUI211" s="380"/>
      <c r="AUJ211" s="2"/>
      <c r="AUK211" s="442"/>
      <c r="AUL211" s="442"/>
      <c r="AUM211" s="443"/>
      <c r="AUN211" s="442"/>
      <c r="AUO211" s="442"/>
      <c r="AUP211" s="2"/>
      <c r="AUQ211" s="2"/>
      <c r="AUR211" s="2"/>
      <c r="AUS211" s="2"/>
      <c r="AUT211" s="260"/>
      <c r="AUU211" s="260"/>
      <c r="AUV211" s="260"/>
      <c r="AUW211" s="260"/>
      <c r="AUX211" s="260"/>
      <c r="AUY211" s="260"/>
      <c r="AUZ211" s="308"/>
      <c r="AVA211" s="290"/>
      <c r="AVB211" s="290"/>
      <c r="AVC211" s="260"/>
      <c r="AVD211" s="260"/>
      <c r="AVE211" s="260"/>
      <c r="AVF211" s="260"/>
      <c r="AVG211" s="260"/>
      <c r="AVH211" s="2"/>
      <c r="AVI211" s="2"/>
      <c r="AVJ211" s="2"/>
      <c r="AVK211" s="2"/>
      <c r="AVL211" s="2"/>
      <c r="AVM211" s="2"/>
      <c r="AVN211" s="260"/>
      <c r="AVO211" s="2"/>
      <c r="AVP211" s="2"/>
      <c r="AVQ211" s="2"/>
      <c r="AVR211" s="2"/>
      <c r="AVS211" s="2"/>
      <c r="AVT211" s="2"/>
      <c r="AVU211" s="2"/>
      <c r="AVV211" s="260"/>
      <c r="AVW211" s="260"/>
      <c r="AVX211" s="260"/>
      <c r="AVY211" s="380"/>
      <c r="AVZ211" s="380"/>
      <c r="AWA211" s="380"/>
      <c r="AWB211" s="2"/>
      <c r="AWC211" s="442"/>
      <c r="AWD211" s="442"/>
      <c r="AWE211" s="443"/>
      <c r="AWF211" s="442"/>
      <c r="AWG211" s="442"/>
      <c r="AWH211" s="2"/>
      <c r="AWI211" s="2"/>
      <c r="AWJ211" s="2"/>
      <c r="AWK211" s="2"/>
      <c r="AWL211" s="260"/>
      <c r="AWM211" s="260"/>
      <c r="AWN211" s="260"/>
      <c r="AWO211" s="260"/>
      <c r="AWP211" s="260"/>
      <c r="AWQ211" s="260"/>
      <c r="AWR211" s="308"/>
      <c r="AWS211" s="290"/>
      <c r="AWT211" s="290"/>
      <c r="AWU211" s="260"/>
      <c r="AWV211" s="260"/>
      <c r="AWW211" s="260"/>
      <c r="AWX211" s="260"/>
      <c r="AWY211" s="260"/>
      <c r="AWZ211" s="2"/>
      <c r="AXA211" s="2"/>
      <c r="AXB211" s="2"/>
      <c r="AXC211" s="2"/>
      <c r="AXD211" s="2"/>
      <c r="AXE211" s="2"/>
      <c r="AXF211" s="260"/>
      <c r="AXG211" s="2"/>
      <c r="AXH211" s="2"/>
      <c r="AXI211" s="2"/>
      <c r="AXJ211" s="2"/>
      <c r="AXK211" s="2"/>
      <c r="AXL211" s="2"/>
      <c r="AXM211" s="2"/>
      <c r="AXN211" s="260"/>
      <c r="AXO211" s="260"/>
      <c r="AXP211" s="260"/>
      <c r="AXQ211" s="380"/>
      <c r="AXR211" s="380"/>
      <c r="AXS211" s="380"/>
      <c r="AXT211" s="2"/>
      <c r="AXU211" s="442"/>
      <c r="AXV211" s="442"/>
      <c r="AXW211" s="443"/>
      <c r="AXX211" s="442"/>
      <c r="AXY211" s="442"/>
      <c r="AXZ211" s="2"/>
      <c r="AYA211" s="2"/>
      <c r="AYB211" s="2"/>
      <c r="AYC211" s="2"/>
      <c r="AYD211" s="260"/>
      <c r="AYE211" s="260"/>
      <c r="AYF211" s="260"/>
      <c r="AYG211" s="260"/>
      <c r="AYH211" s="260"/>
      <c r="AYI211" s="260"/>
      <c r="AYJ211" s="308"/>
      <c r="AYK211" s="290"/>
      <c r="AYL211" s="290"/>
      <c r="AYM211" s="260"/>
      <c r="AYN211" s="260"/>
      <c r="AYO211" s="260"/>
      <c r="AYP211" s="260"/>
      <c r="AYQ211" s="260"/>
      <c r="AYR211" s="2"/>
      <c r="AYS211" s="2"/>
      <c r="AYT211" s="2"/>
      <c r="AYU211" s="2"/>
      <c r="AYV211" s="2"/>
      <c r="AYW211" s="2"/>
      <c r="AYX211" s="260"/>
      <c r="AYY211" s="2"/>
      <c r="AYZ211" s="2"/>
      <c r="AZA211" s="2"/>
      <c r="AZB211" s="2"/>
      <c r="AZC211" s="2"/>
      <c r="AZD211" s="2"/>
      <c r="AZE211" s="2"/>
      <c r="AZF211" s="260"/>
      <c r="AZG211" s="260"/>
      <c r="AZH211" s="260"/>
      <c r="AZI211" s="380"/>
      <c r="AZJ211" s="380"/>
      <c r="AZK211" s="380"/>
      <c r="AZL211" s="2"/>
      <c r="AZM211" s="442"/>
      <c r="AZN211" s="442"/>
      <c r="AZO211" s="443"/>
      <c r="AZP211" s="442"/>
      <c r="AZQ211" s="442"/>
      <c r="AZR211" s="2"/>
      <c r="AZS211" s="2"/>
      <c r="AZT211" s="2"/>
      <c r="AZU211" s="2"/>
      <c r="AZV211" s="260"/>
      <c r="AZW211" s="260"/>
      <c r="AZX211" s="260"/>
      <c r="AZY211" s="260"/>
      <c r="AZZ211" s="260"/>
      <c r="BAA211" s="260"/>
      <c r="BAB211" s="308"/>
      <c r="BAC211" s="290"/>
      <c r="BAD211" s="290"/>
      <c r="BAE211" s="260"/>
      <c r="BAF211" s="260"/>
      <c r="BAG211" s="260"/>
      <c r="BAH211" s="260"/>
      <c r="BAI211" s="260"/>
      <c r="BAJ211" s="2"/>
      <c r="BAK211" s="2"/>
      <c r="BAL211" s="2"/>
      <c r="BAM211" s="2"/>
      <c r="BAN211" s="2"/>
      <c r="BAO211" s="2"/>
      <c r="BAP211" s="260"/>
      <c r="BAQ211" s="2"/>
      <c r="BAR211" s="2"/>
      <c r="BAS211" s="2"/>
      <c r="BAT211" s="2"/>
      <c r="BAU211" s="2"/>
      <c r="BAV211" s="2"/>
      <c r="BAW211" s="2"/>
      <c r="BAX211" s="260"/>
      <c r="BAY211" s="260"/>
      <c r="BAZ211" s="260"/>
      <c r="BBA211" s="380"/>
      <c r="BBB211" s="380"/>
      <c r="BBC211" s="380"/>
      <c r="BBD211" s="2"/>
      <c r="BBE211" s="442"/>
      <c r="BBF211" s="442"/>
      <c r="BBG211" s="443"/>
      <c r="BBH211" s="442"/>
      <c r="BBI211" s="442"/>
      <c r="BBJ211" s="2"/>
      <c r="BBK211" s="2"/>
      <c r="BBL211" s="2"/>
      <c r="BBM211" s="2"/>
      <c r="BBN211" s="260"/>
      <c r="BBO211" s="260"/>
      <c r="BBP211" s="260"/>
      <c r="BBQ211" s="260"/>
      <c r="BBR211" s="260"/>
      <c r="BBS211" s="260"/>
      <c r="BBT211" s="308"/>
      <c r="BBU211" s="290"/>
      <c r="BBV211" s="290"/>
      <c r="BBW211" s="260"/>
      <c r="BBX211" s="260"/>
      <c r="BBY211" s="260"/>
      <c r="BBZ211" s="260"/>
      <c r="BCA211" s="260"/>
      <c r="BCB211" s="2"/>
      <c r="BCC211" s="2"/>
      <c r="BCD211" s="2"/>
      <c r="BCE211" s="2"/>
      <c r="BCF211" s="2"/>
      <c r="BCG211" s="2"/>
      <c r="BCH211" s="260"/>
      <c r="BCI211" s="2"/>
      <c r="BCJ211" s="2"/>
      <c r="BCK211" s="2"/>
      <c r="BCL211" s="2"/>
      <c r="BCM211" s="2"/>
      <c r="BCN211" s="2"/>
      <c r="BCO211" s="2"/>
      <c r="BCP211" s="260"/>
      <c r="BCQ211" s="260"/>
      <c r="BCR211" s="260"/>
      <c r="BCS211" s="380"/>
      <c r="BCT211" s="380"/>
      <c r="BCU211" s="380"/>
      <c r="BCV211" s="2"/>
      <c r="BCW211" s="442"/>
      <c r="BCX211" s="442"/>
      <c r="BCY211" s="443"/>
      <c r="BCZ211" s="442"/>
      <c r="BDA211" s="442"/>
      <c r="BDB211" s="2"/>
      <c r="BDC211" s="2"/>
      <c r="BDD211" s="2"/>
      <c r="BDE211" s="2"/>
      <c r="BDF211" s="260"/>
      <c r="BDG211" s="260"/>
      <c r="BDH211" s="260"/>
      <c r="BDI211" s="260"/>
      <c r="BDJ211" s="260"/>
      <c r="BDK211" s="260"/>
      <c r="BDL211" s="308"/>
      <c r="BDM211" s="290"/>
      <c r="BDN211" s="290"/>
      <c r="BDO211" s="260"/>
      <c r="BDP211" s="260"/>
      <c r="BDQ211" s="260"/>
      <c r="BDR211" s="260"/>
      <c r="BDS211" s="260"/>
      <c r="BDT211" s="2"/>
      <c r="BDU211" s="2"/>
      <c r="BDV211" s="2"/>
      <c r="BDW211" s="2"/>
      <c r="BDX211" s="2"/>
      <c r="BDY211" s="2"/>
      <c r="BDZ211" s="260"/>
      <c r="BEA211" s="2"/>
      <c r="BEB211" s="2"/>
      <c r="BEC211" s="2"/>
      <c r="BED211" s="2"/>
      <c r="BEE211" s="2"/>
      <c r="BEF211" s="2"/>
      <c r="BEG211" s="2"/>
      <c r="BEH211" s="260"/>
      <c r="BEI211" s="260"/>
      <c r="BEJ211" s="260"/>
      <c r="BEK211" s="380"/>
      <c r="BEL211" s="380"/>
      <c r="BEM211" s="380"/>
      <c r="BEN211" s="2"/>
      <c r="BEO211" s="442"/>
      <c r="BEP211" s="442"/>
      <c r="BEQ211" s="443"/>
      <c r="BER211" s="442"/>
      <c r="BES211" s="442"/>
      <c r="BET211" s="2"/>
      <c r="BEU211" s="2"/>
      <c r="BEV211" s="2"/>
      <c r="BEW211" s="2"/>
      <c r="BEX211" s="260"/>
      <c r="BEY211" s="260"/>
      <c r="BEZ211" s="260"/>
      <c r="BFA211" s="260"/>
      <c r="BFB211" s="260"/>
      <c r="BFC211" s="260"/>
      <c r="BFD211" s="308"/>
      <c r="BFE211" s="290"/>
      <c r="BFF211" s="290"/>
      <c r="BFG211" s="260"/>
      <c r="BFH211" s="260"/>
      <c r="BFI211" s="260"/>
      <c r="BFJ211" s="260"/>
      <c r="BFK211" s="260"/>
      <c r="BFL211" s="2"/>
      <c r="BFM211" s="2"/>
      <c r="BFN211" s="2"/>
      <c r="BFO211" s="2"/>
      <c r="BFP211" s="2"/>
      <c r="BFQ211" s="2"/>
      <c r="BFR211" s="260"/>
      <c r="BFS211" s="2"/>
      <c r="BFT211" s="2"/>
      <c r="BFU211" s="2"/>
      <c r="BFV211" s="2"/>
      <c r="BFW211" s="2"/>
      <c r="BFX211" s="2"/>
      <c r="BFY211" s="2"/>
      <c r="BFZ211" s="260"/>
      <c r="BGA211" s="260"/>
      <c r="BGB211" s="260"/>
      <c r="BGC211" s="380"/>
      <c r="BGD211" s="380"/>
      <c r="BGE211" s="380"/>
      <c r="BGF211" s="2"/>
      <c r="BGG211" s="442"/>
      <c r="BGH211" s="442"/>
      <c r="BGI211" s="443"/>
      <c r="BGJ211" s="442"/>
      <c r="BGK211" s="442"/>
      <c r="BGL211" s="2"/>
      <c r="BGM211" s="2"/>
      <c r="BGN211" s="2"/>
      <c r="BGO211" s="2"/>
      <c r="BGP211" s="260"/>
      <c r="BGQ211" s="260"/>
      <c r="BGR211" s="260"/>
      <c r="BGS211" s="260"/>
      <c r="BGT211" s="260"/>
      <c r="BGU211" s="260"/>
      <c r="BGV211" s="308"/>
      <c r="BGW211" s="290"/>
      <c r="BGX211" s="290"/>
      <c r="BGY211" s="260"/>
      <c r="BGZ211" s="260"/>
      <c r="BHA211" s="260"/>
      <c r="BHB211" s="260"/>
      <c r="BHC211" s="260"/>
      <c r="BHD211" s="2"/>
      <c r="BHE211" s="2"/>
      <c r="BHF211" s="2"/>
      <c r="BHG211" s="2"/>
      <c r="BHH211" s="2"/>
      <c r="BHI211" s="2"/>
      <c r="BHJ211" s="260"/>
      <c r="BHK211" s="2"/>
      <c r="BHL211" s="2"/>
      <c r="BHM211" s="2"/>
      <c r="BHN211" s="2"/>
      <c r="BHO211" s="2"/>
      <c r="BHP211" s="2"/>
      <c r="BHQ211" s="2"/>
      <c r="BHR211" s="260"/>
      <c r="BHS211" s="260"/>
      <c r="BHT211" s="260"/>
      <c r="BHU211" s="380"/>
      <c r="BHV211" s="380"/>
      <c r="BHW211" s="380"/>
      <c r="BHX211" s="2"/>
      <c r="BHY211" s="442"/>
      <c r="BHZ211" s="442"/>
      <c r="BIA211" s="443"/>
      <c r="BIB211" s="442"/>
      <c r="BIC211" s="442"/>
      <c r="BID211" s="2"/>
      <c r="BIE211" s="2"/>
      <c r="BIF211" s="2"/>
      <c r="BIG211" s="2"/>
      <c r="BIH211" s="260"/>
      <c r="BII211" s="260"/>
      <c r="BIJ211" s="260"/>
      <c r="BIK211" s="260"/>
      <c r="BIL211" s="260"/>
      <c r="BIM211" s="260"/>
      <c r="BIN211" s="308"/>
      <c r="BIO211" s="290"/>
      <c r="BIP211" s="290"/>
      <c r="BIQ211" s="260"/>
      <c r="BIR211" s="260"/>
      <c r="BIS211" s="260"/>
      <c r="BIT211" s="260"/>
      <c r="BIU211" s="260"/>
      <c r="BIV211" s="2"/>
      <c r="BIW211" s="2"/>
      <c r="BIX211" s="2"/>
      <c r="BIY211" s="2"/>
      <c r="BIZ211" s="2"/>
      <c r="BJA211" s="2"/>
      <c r="BJB211" s="260"/>
      <c r="BJC211" s="2"/>
      <c r="BJD211" s="2"/>
      <c r="BJE211" s="2"/>
      <c r="BJF211" s="2"/>
      <c r="BJG211" s="2"/>
      <c r="BJH211" s="2"/>
      <c r="BJI211" s="2"/>
      <c r="BJJ211" s="260"/>
      <c r="BJK211" s="260"/>
      <c r="BJL211" s="260"/>
      <c r="BJM211" s="380"/>
      <c r="BJN211" s="380"/>
      <c r="BJO211" s="380"/>
      <c r="BJP211" s="2"/>
      <c r="BJQ211" s="442"/>
      <c r="BJR211" s="442"/>
      <c r="BJS211" s="443"/>
      <c r="BJT211" s="442"/>
      <c r="BJU211" s="442"/>
      <c r="BJV211" s="2"/>
      <c r="BJW211" s="2"/>
      <c r="BJX211" s="2"/>
      <c r="BJY211" s="2"/>
      <c r="BJZ211" s="260"/>
      <c r="BKA211" s="260"/>
      <c r="BKB211" s="260"/>
      <c r="BKC211" s="260"/>
      <c r="BKD211" s="260"/>
      <c r="BKE211" s="260"/>
      <c r="BKF211" s="308"/>
      <c r="BKG211" s="290"/>
      <c r="BKH211" s="290"/>
      <c r="BKI211" s="260"/>
      <c r="BKJ211" s="260"/>
      <c r="BKK211" s="260"/>
      <c r="BKL211" s="260"/>
      <c r="BKM211" s="260"/>
      <c r="BKN211" s="2"/>
      <c r="BKO211" s="2"/>
      <c r="BKP211" s="2"/>
      <c r="BKQ211" s="2"/>
      <c r="BKR211" s="2"/>
      <c r="BKS211" s="2"/>
      <c r="BKT211" s="260"/>
      <c r="BKU211" s="2"/>
      <c r="BKV211" s="2"/>
      <c r="BKW211" s="2"/>
      <c r="BKX211" s="2"/>
      <c r="BKY211" s="2"/>
      <c r="BKZ211" s="2"/>
      <c r="BLA211" s="2"/>
      <c r="BLB211" s="260"/>
      <c r="BLC211" s="260"/>
      <c r="BLD211" s="260"/>
      <c r="BLE211" s="380"/>
      <c r="BLF211" s="380"/>
      <c r="BLG211" s="380"/>
      <c r="BLH211" s="2"/>
      <c r="BLI211" s="442"/>
      <c r="BLJ211" s="442"/>
      <c r="BLK211" s="443"/>
      <c r="BLL211" s="442"/>
      <c r="BLM211" s="442"/>
      <c r="BLN211" s="2"/>
      <c r="BLO211" s="2"/>
      <c r="BLP211" s="2"/>
      <c r="BLQ211" s="2"/>
      <c r="BLR211" s="260"/>
      <c r="BLS211" s="260"/>
      <c r="BLT211" s="260"/>
      <c r="BLU211" s="260"/>
      <c r="BLV211" s="260"/>
      <c r="BLW211" s="260"/>
      <c r="BLX211" s="308"/>
      <c r="BLY211" s="290"/>
      <c r="BLZ211" s="290"/>
      <c r="BMA211" s="260"/>
      <c r="BMB211" s="260"/>
      <c r="BMC211" s="260"/>
      <c r="BMD211" s="260"/>
      <c r="BME211" s="260"/>
      <c r="BMF211" s="2"/>
      <c r="BMG211" s="2"/>
      <c r="BMH211" s="2"/>
      <c r="BMI211" s="2"/>
      <c r="BMJ211" s="2"/>
      <c r="BMK211" s="2"/>
      <c r="BML211" s="260"/>
      <c r="BMM211" s="2"/>
      <c r="BMN211" s="2"/>
      <c r="BMO211" s="2"/>
      <c r="BMP211" s="2"/>
      <c r="BMQ211" s="2"/>
      <c r="BMR211" s="2"/>
      <c r="BMS211" s="2"/>
      <c r="BMT211" s="260"/>
      <c r="BMU211" s="260"/>
      <c r="BMV211" s="260"/>
      <c r="BMW211" s="380"/>
      <c r="BMX211" s="380"/>
      <c r="BMY211" s="380"/>
      <c r="BMZ211" s="2"/>
      <c r="BNA211" s="442"/>
      <c r="BNB211" s="442"/>
      <c r="BNC211" s="443"/>
      <c r="BND211" s="442"/>
      <c r="BNE211" s="442"/>
      <c r="BNF211" s="2"/>
      <c r="BNG211" s="2"/>
      <c r="BNH211" s="2"/>
      <c r="BNI211" s="2"/>
      <c r="BNJ211" s="260"/>
      <c r="BNK211" s="260"/>
      <c r="BNL211" s="260"/>
      <c r="BNM211" s="260"/>
      <c r="BNN211" s="260"/>
      <c r="BNO211" s="260"/>
      <c r="BNP211" s="308"/>
      <c r="BNQ211" s="290"/>
      <c r="BNR211" s="290"/>
      <c r="BNS211" s="260"/>
      <c r="BNT211" s="260"/>
      <c r="BNU211" s="260"/>
      <c r="BNV211" s="260"/>
      <c r="BNW211" s="260"/>
      <c r="BNX211" s="2"/>
      <c r="BNY211" s="2"/>
      <c r="BNZ211" s="2"/>
      <c r="BOA211" s="2"/>
      <c r="BOB211" s="2"/>
      <c r="BOC211" s="2"/>
      <c r="BOD211" s="260"/>
      <c r="BOE211" s="2"/>
      <c r="BOF211" s="2"/>
      <c r="BOG211" s="2"/>
      <c r="BOH211" s="2"/>
      <c r="BOI211" s="2"/>
      <c r="BOJ211" s="2"/>
      <c r="BOK211" s="2"/>
      <c r="BOL211" s="260"/>
      <c r="BOM211" s="260"/>
      <c r="BON211" s="260"/>
      <c r="BOO211" s="380"/>
      <c r="BOP211" s="380"/>
      <c r="BOQ211" s="380"/>
      <c r="BOR211" s="2"/>
      <c r="BOS211" s="442"/>
      <c r="BOT211" s="442"/>
      <c r="BOU211" s="443"/>
      <c r="BOV211" s="442"/>
      <c r="BOW211" s="442"/>
      <c r="BOX211" s="2"/>
      <c r="BOY211" s="2"/>
      <c r="BOZ211" s="2"/>
      <c r="BPA211" s="2"/>
      <c r="BPB211" s="260"/>
      <c r="BPC211" s="260"/>
      <c r="BPD211" s="260"/>
      <c r="BPE211" s="260"/>
      <c r="BPF211" s="260"/>
      <c r="BPG211" s="260"/>
      <c r="BPH211" s="308"/>
      <c r="BPI211" s="290"/>
      <c r="BPJ211" s="290"/>
      <c r="BPK211" s="260"/>
      <c r="BPL211" s="260"/>
      <c r="BPM211" s="260"/>
      <c r="BPN211" s="260"/>
      <c r="BPO211" s="260"/>
      <c r="BPP211" s="2"/>
      <c r="BPQ211" s="2"/>
      <c r="BPR211" s="2"/>
      <c r="BPS211" s="2"/>
      <c r="BPT211" s="2"/>
      <c r="BPU211" s="2"/>
      <c r="BPV211" s="260"/>
      <c r="BPW211" s="2"/>
      <c r="BPX211" s="2"/>
      <c r="BPY211" s="2"/>
      <c r="BPZ211" s="2"/>
      <c r="BQA211" s="2"/>
      <c r="BQB211" s="2"/>
      <c r="BQC211" s="2"/>
      <c r="BQD211" s="260"/>
      <c r="BQE211" s="260"/>
      <c r="BQF211" s="260"/>
      <c r="BQG211" s="380"/>
      <c r="BQH211" s="380"/>
      <c r="BQI211" s="380"/>
      <c r="BQJ211" s="2"/>
      <c r="BQK211" s="442"/>
      <c r="BQL211" s="442"/>
      <c r="BQM211" s="443"/>
      <c r="BQN211" s="442"/>
      <c r="BQO211" s="442"/>
      <c r="BQP211" s="2"/>
      <c r="BQQ211" s="2"/>
      <c r="BQR211" s="2"/>
      <c r="BQS211" s="2"/>
      <c r="BQT211" s="260"/>
      <c r="BQU211" s="260"/>
      <c r="BQV211" s="260"/>
      <c r="BQW211" s="260"/>
      <c r="BQX211" s="260"/>
      <c r="BQY211" s="260"/>
      <c r="BQZ211" s="308"/>
      <c r="BRA211" s="290"/>
      <c r="BRB211" s="290"/>
      <c r="BRC211" s="260"/>
      <c r="BRD211" s="260"/>
      <c r="BRE211" s="260"/>
      <c r="BRF211" s="260"/>
      <c r="BRG211" s="260"/>
      <c r="BRH211" s="2"/>
      <c r="BRI211" s="2"/>
      <c r="BRJ211" s="2"/>
      <c r="BRK211" s="2"/>
      <c r="BRL211" s="2"/>
      <c r="BRM211" s="2"/>
      <c r="BRN211" s="260"/>
      <c r="BRO211" s="2"/>
      <c r="BRP211" s="2"/>
      <c r="BRQ211" s="2"/>
      <c r="BRR211" s="2"/>
      <c r="BRS211" s="2"/>
      <c r="BRT211" s="2"/>
      <c r="BRU211" s="2"/>
      <c r="BRV211" s="260"/>
      <c r="BRW211" s="260"/>
      <c r="BRX211" s="260"/>
      <c r="BRY211" s="380"/>
      <c r="BRZ211" s="380"/>
      <c r="BSA211" s="380"/>
      <c r="BSB211" s="2"/>
      <c r="BSC211" s="442"/>
      <c r="BSD211" s="442"/>
      <c r="BSE211" s="443"/>
      <c r="BSF211" s="442"/>
      <c r="BSG211" s="442"/>
      <c r="BSH211" s="2"/>
      <c r="BSI211" s="2"/>
      <c r="BSJ211" s="2"/>
      <c r="BSK211" s="2"/>
      <c r="BSL211" s="260"/>
      <c r="BSM211" s="260"/>
      <c r="BSN211" s="260"/>
      <c r="BSO211" s="260"/>
      <c r="BSP211" s="260"/>
      <c r="BSQ211" s="260"/>
      <c r="BSR211" s="308"/>
      <c r="BSS211" s="290"/>
      <c r="BST211" s="290"/>
      <c r="BSU211" s="260"/>
      <c r="BSV211" s="260"/>
      <c r="BSW211" s="260"/>
      <c r="BSX211" s="260"/>
      <c r="BSY211" s="260"/>
      <c r="BSZ211" s="2"/>
      <c r="BTA211" s="2"/>
      <c r="BTB211" s="2"/>
      <c r="BTC211" s="2"/>
      <c r="BTD211" s="2"/>
      <c r="BTE211" s="2"/>
      <c r="BTF211" s="260"/>
      <c r="BTG211" s="2"/>
      <c r="BTH211" s="2"/>
      <c r="BTI211" s="2"/>
      <c r="BTJ211" s="2"/>
      <c r="BTK211" s="2"/>
      <c r="BTL211" s="2"/>
      <c r="BTM211" s="2"/>
      <c r="BTN211" s="260"/>
      <c r="BTO211" s="260"/>
      <c r="BTP211" s="260"/>
      <c r="BTQ211" s="380"/>
      <c r="BTR211" s="380"/>
      <c r="BTS211" s="380"/>
      <c r="BTT211" s="2"/>
      <c r="BTU211" s="442"/>
      <c r="BTV211" s="442"/>
      <c r="BTW211" s="443"/>
      <c r="BTX211" s="442"/>
      <c r="BTY211" s="442"/>
      <c r="BTZ211" s="2"/>
      <c r="BUA211" s="2"/>
      <c r="BUB211" s="2"/>
      <c r="BUC211" s="2"/>
      <c r="BUD211" s="260"/>
      <c r="BUE211" s="260"/>
      <c r="BUF211" s="260"/>
      <c r="BUG211" s="260"/>
      <c r="BUH211" s="260"/>
      <c r="BUI211" s="260"/>
      <c r="BUJ211" s="308"/>
      <c r="BUK211" s="290"/>
      <c r="BUL211" s="290"/>
      <c r="BUM211" s="260"/>
      <c r="BUN211" s="260"/>
      <c r="BUO211" s="260"/>
      <c r="BUP211" s="260"/>
      <c r="BUQ211" s="260"/>
      <c r="BUR211" s="2"/>
      <c r="BUS211" s="2"/>
      <c r="BUT211" s="2"/>
      <c r="BUU211" s="2"/>
      <c r="BUV211" s="2"/>
      <c r="BUW211" s="2"/>
      <c r="BUX211" s="260"/>
      <c r="BUY211" s="2"/>
      <c r="BUZ211" s="2"/>
      <c r="BVA211" s="2"/>
      <c r="BVB211" s="2"/>
      <c r="BVC211" s="2"/>
      <c r="BVD211" s="2"/>
      <c r="BVE211" s="2"/>
      <c r="BVF211" s="260"/>
      <c r="BVG211" s="260"/>
      <c r="BVH211" s="260"/>
      <c r="BVI211" s="380"/>
      <c r="BVJ211" s="380"/>
      <c r="BVK211" s="380"/>
      <c r="BVL211" s="2"/>
      <c r="BVM211" s="442"/>
      <c r="BVN211" s="442"/>
      <c r="BVO211" s="443"/>
      <c r="BVP211" s="442"/>
      <c r="BVQ211" s="442"/>
      <c r="BVR211" s="2"/>
      <c r="BVS211" s="2"/>
      <c r="BVT211" s="2"/>
      <c r="BVU211" s="2"/>
      <c r="BVV211" s="260"/>
      <c r="BVW211" s="260"/>
      <c r="BVX211" s="260"/>
      <c r="BVY211" s="260"/>
      <c r="BVZ211" s="260"/>
      <c r="BWA211" s="260"/>
      <c r="BWB211" s="308"/>
      <c r="BWC211" s="290"/>
      <c r="BWD211" s="290"/>
      <c r="BWE211" s="260"/>
      <c r="BWF211" s="260"/>
      <c r="BWG211" s="260"/>
      <c r="BWH211" s="260"/>
      <c r="BWI211" s="260"/>
      <c r="BWJ211" s="2"/>
      <c r="BWK211" s="2"/>
      <c r="BWL211" s="2"/>
      <c r="BWM211" s="2"/>
      <c r="BWN211" s="2"/>
      <c r="BWO211" s="2"/>
      <c r="BWP211" s="260"/>
      <c r="BWQ211" s="2"/>
      <c r="BWR211" s="2"/>
      <c r="BWS211" s="2"/>
      <c r="BWT211" s="2"/>
      <c r="BWU211" s="2"/>
      <c r="BWV211" s="2"/>
      <c r="BWW211" s="2"/>
      <c r="BWX211" s="260"/>
      <c r="BWY211" s="260"/>
      <c r="BWZ211" s="260"/>
      <c r="BXA211" s="380"/>
      <c r="BXB211" s="380"/>
      <c r="BXC211" s="380"/>
      <c r="BXD211" s="2"/>
      <c r="BXE211" s="442"/>
      <c r="BXF211" s="442"/>
      <c r="BXG211" s="443"/>
      <c r="BXH211" s="442"/>
      <c r="BXI211" s="442"/>
      <c r="BXJ211" s="2"/>
      <c r="BXK211" s="2"/>
      <c r="BXL211" s="2"/>
      <c r="BXM211" s="2"/>
      <c r="BXN211" s="260"/>
      <c r="BXO211" s="260"/>
      <c r="BXP211" s="260"/>
      <c r="BXQ211" s="260"/>
      <c r="BXR211" s="260"/>
      <c r="BXS211" s="260"/>
      <c r="BXT211" s="308"/>
      <c r="BXU211" s="290"/>
      <c r="BXV211" s="290"/>
      <c r="BXW211" s="260"/>
      <c r="BXX211" s="260"/>
      <c r="BXY211" s="260"/>
      <c r="BXZ211" s="260"/>
      <c r="BYA211" s="260"/>
      <c r="BYB211" s="2"/>
      <c r="BYC211" s="2"/>
      <c r="BYD211" s="2"/>
      <c r="BYE211" s="2"/>
      <c r="BYF211" s="2"/>
      <c r="BYG211" s="2"/>
      <c r="BYH211" s="260"/>
      <c r="BYI211" s="2"/>
      <c r="BYJ211" s="2"/>
      <c r="BYK211" s="2"/>
      <c r="BYL211" s="2"/>
      <c r="BYM211" s="2"/>
      <c r="BYN211" s="2"/>
      <c r="BYO211" s="2"/>
      <c r="BYP211" s="260"/>
      <c r="BYQ211" s="260"/>
      <c r="BYR211" s="260"/>
      <c r="BYS211" s="380"/>
      <c r="BYT211" s="380"/>
      <c r="BYU211" s="380"/>
      <c r="BYV211" s="2"/>
      <c r="BYW211" s="442"/>
      <c r="BYX211" s="442"/>
      <c r="BYY211" s="443"/>
      <c r="BYZ211" s="442"/>
      <c r="BZA211" s="442"/>
      <c r="BZB211" s="2"/>
      <c r="BZC211" s="2"/>
      <c r="BZD211" s="2"/>
      <c r="BZE211" s="2"/>
      <c r="BZF211" s="260"/>
      <c r="BZG211" s="260"/>
      <c r="BZH211" s="260"/>
      <c r="BZI211" s="260"/>
      <c r="BZJ211" s="260"/>
      <c r="BZK211" s="260"/>
      <c r="BZL211" s="308"/>
      <c r="BZM211" s="290"/>
      <c r="BZN211" s="290"/>
      <c r="BZO211" s="260"/>
      <c r="BZP211" s="260"/>
      <c r="BZQ211" s="260"/>
      <c r="BZR211" s="260"/>
      <c r="BZS211" s="260"/>
      <c r="BZT211" s="2"/>
      <c r="BZU211" s="2"/>
      <c r="BZV211" s="2"/>
      <c r="BZW211" s="2"/>
      <c r="BZX211" s="2"/>
      <c r="BZY211" s="2"/>
      <c r="BZZ211" s="260"/>
      <c r="CAA211" s="2"/>
      <c r="CAB211" s="2"/>
      <c r="CAC211" s="2"/>
      <c r="CAD211" s="2"/>
      <c r="CAE211" s="2"/>
      <c r="CAF211" s="2"/>
      <c r="CAG211" s="2"/>
      <c r="CAH211" s="260"/>
      <c r="CAI211" s="260"/>
      <c r="CAJ211" s="260"/>
      <c r="CAK211" s="380"/>
      <c r="CAL211" s="380"/>
      <c r="CAM211" s="380"/>
      <c r="CAN211" s="2"/>
      <c r="CAO211" s="442"/>
      <c r="CAP211" s="442"/>
      <c r="CAQ211" s="443"/>
      <c r="CAR211" s="442"/>
      <c r="CAS211" s="442"/>
      <c r="CAT211" s="2"/>
      <c r="CAU211" s="2"/>
      <c r="CAV211" s="2"/>
      <c r="CAW211" s="2"/>
      <c r="CAX211" s="260"/>
      <c r="CAY211" s="260"/>
      <c r="CAZ211" s="260"/>
      <c r="CBA211" s="260"/>
      <c r="CBB211" s="260"/>
      <c r="CBC211" s="260"/>
      <c r="CBD211" s="308"/>
      <c r="CBE211" s="290"/>
      <c r="CBF211" s="290"/>
      <c r="CBG211" s="260"/>
      <c r="CBH211" s="260"/>
      <c r="CBI211" s="260"/>
      <c r="CBJ211" s="260"/>
      <c r="CBK211" s="260"/>
      <c r="CBL211" s="2"/>
      <c r="CBM211" s="2"/>
      <c r="CBN211" s="2"/>
      <c r="CBO211" s="2"/>
      <c r="CBP211" s="2"/>
      <c r="CBQ211" s="2"/>
      <c r="CBR211" s="260"/>
      <c r="CBS211" s="2"/>
      <c r="CBT211" s="2"/>
      <c r="CBU211" s="2"/>
      <c r="CBV211" s="2"/>
      <c r="CBW211" s="2"/>
      <c r="CBX211" s="2"/>
      <c r="CBY211" s="2"/>
      <c r="CBZ211" s="260"/>
      <c r="CCA211" s="260"/>
      <c r="CCB211" s="260"/>
      <c r="CCC211" s="380"/>
      <c r="CCD211" s="380"/>
      <c r="CCE211" s="380"/>
      <c r="CCF211" s="2"/>
      <c r="CCG211" s="442"/>
      <c r="CCH211" s="442"/>
      <c r="CCI211" s="443"/>
      <c r="CCJ211" s="442"/>
      <c r="CCK211" s="442"/>
      <c r="CCL211" s="2"/>
      <c r="CCM211" s="2"/>
      <c r="CCN211" s="2"/>
      <c r="CCO211" s="2"/>
      <c r="CCP211" s="260"/>
      <c r="CCQ211" s="260"/>
      <c r="CCR211" s="260"/>
      <c r="CCS211" s="260"/>
      <c r="CCT211" s="260"/>
      <c r="CCU211" s="260"/>
      <c r="CCV211" s="308"/>
      <c r="CCW211" s="290"/>
      <c r="CCX211" s="290"/>
      <c r="CCY211" s="260"/>
      <c r="CCZ211" s="260"/>
      <c r="CDA211" s="260"/>
      <c r="CDB211" s="260"/>
      <c r="CDC211" s="260"/>
      <c r="CDD211" s="2"/>
      <c r="CDE211" s="2"/>
      <c r="CDF211" s="2"/>
      <c r="CDG211" s="2"/>
      <c r="CDH211" s="2"/>
      <c r="CDI211" s="2"/>
      <c r="CDJ211" s="260"/>
      <c r="CDK211" s="2"/>
      <c r="CDL211" s="2"/>
      <c r="CDM211" s="2"/>
      <c r="CDN211" s="2"/>
      <c r="CDO211" s="2"/>
      <c r="CDP211" s="2"/>
      <c r="CDQ211" s="2"/>
      <c r="CDR211" s="260"/>
      <c r="CDS211" s="260"/>
      <c r="CDT211" s="260"/>
      <c r="CDU211" s="380"/>
      <c r="CDV211" s="380"/>
      <c r="CDW211" s="380"/>
      <c r="CDX211" s="2"/>
      <c r="CDY211" s="442"/>
      <c r="CDZ211" s="442"/>
      <c r="CEA211" s="443"/>
      <c r="CEB211" s="442"/>
      <c r="CEC211" s="442"/>
      <c r="CED211" s="2"/>
      <c r="CEE211" s="2"/>
      <c r="CEF211" s="2"/>
      <c r="CEG211" s="2"/>
      <c r="CEH211" s="260"/>
      <c r="CEI211" s="260"/>
      <c r="CEJ211" s="260"/>
      <c r="CEK211" s="260"/>
      <c r="CEL211" s="260"/>
      <c r="CEM211" s="260"/>
      <c r="CEN211" s="308"/>
      <c r="CEO211" s="290"/>
      <c r="CEP211" s="290"/>
      <c r="CEQ211" s="260"/>
      <c r="CER211" s="260"/>
      <c r="CES211" s="260"/>
      <c r="CET211" s="260"/>
      <c r="CEU211" s="260"/>
      <c r="CEV211" s="2"/>
      <c r="CEW211" s="2"/>
      <c r="CEX211" s="2"/>
      <c r="CEY211" s="2"/>
      <c r="CEZ211" s="2"/>
      <c r="CFA211" s="2"/>
      <c r="CFB211" s="260"/>
      <c r="CFC211" s="2"/>
      <c r="CFD211" s="2"/>
      <c r="CFE211" s="2"/>
      <c r="CFF211" s="2"/>
      <c r="CFG211" s="2"/>
      <c r="CFH211" s="2"/>
      <c r="CFI211" s="2"/>
      <c r="CFJ211" s="260"/>
      <c r="CFK211" s="260"/>
      <c r="CFL211" s="260"/>
      <c r="CFM211" s="380"/>
      <c r="CFN211" s="380"/>
      <c r="CFO211" s="380"/>
      <c r="CFP211" s="2"/>
      <c r="CFQ211" s="442"/>
      <c r="CFR211" s="442"/>
      <c r="CFS211" s="443"/>
      <c r="CFT211" s="442"/>
      <c r="CFU211" s="442"/>
      <c r="CFV211" s="2"/>
      <c r="CFW211" s="2"/>
      <c r="CFX211" s="2"/>
      <c r="CFY211" s="2"/>
      <c r="CFZ211" s="260"/>
      <c r="CGA211" s="260"/>
      <c r="CGB211" s="260"/>
      <c r="CGC211" s="260"/>
      <c r="CGD211" s="260"/>
      <c r="CGE211" s="260"/>
      <c r="CGF211" s="308"/>
      <c r="CGG211" s="290"/>
      <c r="CGH211" s="290"/>
      <c r="CGI211" s="260"/>
      <c r="CGJ211" s="260"/>
      <c r="CGK211" s="260"/>
      <c r="CGL211" s="260"/>
      <c r="CGM211" s="260"/>
      <c r="CGN211" s="2"/>
      <c r="CGO211" s="2"/>
      <c r="CGP211" s="2"/>
      <c r="CGQ211" s="2"/>
      <c r="CGR211" s="2"/>
      <c r="CGS211" s="2"/>
      <c r="CGT211" s="260"/>
      <c r="CGU211" s="2"/>
      <c r="CGV211" s="2"/>
      <c r="CGW211" s="2"/>
      <c r="CGX211" s="2"/>
      <c r="CGY211" s="2"/>
      <c r="CGZ211" s="2"/>
      <c r="CHA211" s="2"/>
      <c r="CHB211" s="260"/>
      <c r="CHC211" s="260"/>
      <c r="CHD211" s="260"/>
      <c r="CHE211" s="380"/>
      <c r="CHF211" s="380"/>
      <c r="CHG211" s="380"/>
      <c r="CHH211" s="2"/>
      <c r="CHI211" s="442"/>
      <c r="CHJ211" s="442"/>
      <c r="CHK211" s="443"/>
      <c r="CHL211" s="442"/>
      <c r="CHM211" s="442"/>
      <c r="CHN211" s="2"/>
      <c r="CHO211" s="2"/>
      <c r="CHP211" s="2"/>
      <c r="CHQ211" s="2"/>
      <c r="CHR211" s="260"/>
      <c r="CHS211" s="260"/>
      <c r="CHT211" s="260"/>
      <c r="CHU211" s="260"/>
      <c r="CHV211" s="260"/>
      <c r="CHW211" s="260"/>
      <c r="CHX211" s="308"/>
      <c r="CHY211" s="290"/>
      <c r="CHZ211" s="290"/>
      <c r="CIA211" s="260"/>
      <c r="CIB211" s="260"/>
      <c r="CIC211" s="260"/>
      <c r="CID211" s="260"/>
      <c r="CIE211" s="260"/>
      <c r="CIF211" s="2"/>
      <c r="CIG211" s="2"/>
      <c r="CIH211" s="2"/>
      <c r="CII211" s="2"/>
      <c r="CIJ211" s="2"/>
      <c r="CIK211" s="2"/>
      <c r="CIL211" s="260"/>
      <c r="CIM211" s="2"/>
      <c r="CIN211" s="2"/>
      <c r="CIO211" s="2"/>
      <c r="CIP211" s="2"/>
      <c r="CIQ211" s="2"/>
      <c r="CIR211" s="2"/>
      <c r="CIS211" s="2"/>
      <c r="CIT211" s="260"/>
      <c r="CIU211" s="260"/>
      <c r="CIV211" s="260"/>
      <c r="CIW211" s="380"/>
      <c r="CIX211" s="380"/>
      <c r="CIY211" s="380"/>
      <c r="CIZ211" s="2"/>
      <c r="CJA211" s="442"/>
      <c r="CJB211" s="442"/>
      <c r="CJC211" s="443"/>
      <c r="CJD211" s="442"/>
      <c r="CJE211" s="442"/>
      <c r="CJF211" s="2"/>
      <c r="CJG211" s="2"/>
      <c r="CJH211" s="2"/>
      <c r="CJI211" s="2"/>
      <c r="CJJ211" s="260"/>
      <c r="CJK211" s="260"/>
      <c r="CJL211" s="260"/>
      <c r="CJM211" s="260"/>
      <c r="CJN211" s="260"/>
      <c r="CJO211" s="260"/>
      <c r="CJP211" s="308"/>
      <c r="CJQ211" s="290"/>
      <c r="CJR211" s="290"/>
      <c r="CJS211" s="260"/>
      <c r="CJT211" s="260"/>
      <c r="CJU211" s="260"/>
      <c r="CJV211" s="260"/>
      <c r="CJW211" s="260"/>
      <c r="CJX211" s="2"/>
      <c r="CJY211" s="2"/>
      <c r="CJZ211" s="2"/>
      <c r="CKA211" s="2"/>
      <c r="CKB211" s="2"/>
      <c r="CKC211" s="2"/>
      <c r="CKD211" s="260"/>
      <c r="CKE211" s="2"/>
      <c r="CKF211" s="2"/>
      <c r="CKG211" s="2"/>
      <c r="CKH211" s="2"/>
      <c r="CKI211" s="2"/>
      <c r="CKJ211" s="2"/>
      <c r="CKK211" s="2"/>
      <c r="CKL211" s="260"/>
      <c r="CKM211" s="260"/>
      <c r="CKN211" s="260"/>
      <c r="CKO211" s="380"/>
      <c r="CKP211" s="380"/>
      <c r="CKQ211" s="380"/>
      <c r="CKR211" s="2"/>
      <c r="CKS211" s="442"/>
      <c r="CKT211" s="442"/>
      <c r="CKU211" s="443"/>
      <c r="CKV211" s="442"/>
      <c r="CKW211" s="442"/>
      <c r="CKX211" s="2"/>
      <c r="CKY211" s="2"/>
      <c r="CKZ211" s="2"/>
      <c r="CLA211" s="2"/>
      <c r="CLB211" s="260"/>
      <c r="CLC211" s="260"/>
      <c r="CLD211" s="260"/>
      <c r="CLE211" s="260"/>
      <c r="CLF211" s="260"/>
      <c r="CLG211" s="260"/>
      <c r="CLH211" s="308"/>
      <c r="CLI211" s="290"/>
      <c r="CLJ211" s="290"/>
      <c r="CLK211" s="260"/>
      <c r="CLL211" s="260"/>
      <c r="CLM211" s="260"/>
      <c r="CLN211" s="260"/>
      <c r="CLO211" s="260"/>
      <c r="CLP211" s="2"/>
      <c r="CLQ211" s="2"/>
      <c r="CLR211" s="2"/>
      <c r="CLS211" s="2"/>
      <c r="CLT211" s="2"/>
      <c r="CLU211" s="2"/>
      <c r="CLV211" s="260"/>
      <c r="CLW211" s="2"/>
      <c r="CLX211" s="2"/>
      <c r="CLY211" s="2"/>
      <c r="CLZ211" s="2"/>
      <c r="CMA211" s="2"/>
      <c r="CMB211" s="2"/>
      <c r="CMC211" s="2"/>
      <c r="CMD211" s="260"/>
      <c r="CME211" s="260"/>
      <c r="CMF211" s="260"/>
      <c r="CMG211" s="380"/>
      <c r="CMH211" s="380"/>
      <c r="CMI211" s="380"/>
      <c r="CMJ211" s="2"/>
      <c r="CMK211" s="442"/>
      <c r="CML211" s="442"/>
      <c r="CMM211" s="443"/>
      <c r="CMN211" s="442"/>
      <c r="CMO211" s="442"/>
      <c r="CMP211" s="2"/>
      <c r="CMQ211" s="2"/>
      <c r="CMR211" s="2"/>
      <c r="CMS211" s="2"/>
      <c r="CMT211" s="260"/>
      <c r="CMU211" s="260"/>
      <c r="CMV211" s="260"/>
      <c r="CMW211" s="260"/>
      <c r="CMX211" s="260"/>
      <c r="CMY211" s="260"/>
      <c r="CMZ211" s="308"/>
      <c r="CNA211" s="290"/>
      <c r="CNB211" s="290"/>
      <c r="CNC211" s="260"/>
      <c r="CND211" s="260"/>
      <c r="CNE211" s="260"/>
      <c r="CNF211" s="260"/>
      <c r="CNG211" s="260"/>
      <c r="CNH211" s="2"/>
      <c r="CNI211" s="2"/>
      <c r="CNJ211" s="2"/>
      <c r="CNK211" s="2"/>
      <c r="CNL211" s="2"/>
      <c r="CNM211" s="2"/>
      <c r="CNN211" s="260"/>
      <c r="CNO211" s="2"/>
      <c r="CNP211" s="2"/>
      <c r="CNQ211" s="2"/>
      <c r="CNR211" s="2"/>
      <c r="CNS211" s="2"/>
      <c r="CNT211" s="2"/>
      <c r="CNU211" s="2"/>
      <c r="CNV211" s="260"/>
      <c r="CNW211" s="260"/>
      <c r="CNX211" s="260"/>
      <c r="CNY211" s="380"/>
      <c r="CNZ211" s="380"/>
      <c r="COA211" s="380"/>
      <c r="COB211" s="2"/>
      <c r="COC211" s="442"/>
      <c r="COD211" s="442"/>
      <c r="COE211" s="443"/>
      <c r="COF211" s="442"/>
      <c r="COG211" s="442"/>
      <c r="COH211" s="2"/>
      <c r="COI211" s="2"/>
      <c r="COJ211" s="2"/>
      <c r="COK211" s="2"/>
      <c r="COL211" s="260"/>
      <c r="COM211" s="260"/>
      <c r="CON211" s="260"/>
      <c r="COO211" s="260"/>
      <c r="COP211" s="260"/>
      <c r="COQ211" s="260"/>
      <c r="COR211" s="308"/>
      <c r="COS211" s="290"/>
      <c r="COT211" s="290"/>
      <c r="COU211" s="260"/>
      <c r="COV211" s="260"/>
      <c r="COW211" s="260"/>
      <c r="COX211" s="260"/>
      <c r="COY211" s="260"/>
      <c r="COZ211" s="2"/>
      <c r="CPA211" s="2"/>
      <c r="CPB211" s="2"/>
      <c r="CPC211" s="2"/>
      <c r="CPD211" s="2"/>
      <c r="CPE211" s="2"/>
      <c r="CPF211" s="260"/>
      <c r="CPG211" s="2"/>
      <c r="CPH211" s="2"/>
      <c r="CPI211" s="2"/>
      <c r="CPJ211" s="2"/>
      <c r="CPK211" s="2"/>
      <c r="CPL211" s="2"/>
      <c r="CPM211" s="2"/>
      <c r="CPN211" s="260"/>
      <c r="CPO211" s="260"/>
      <c r="CPP211" s="260"/>
      <c r="CPQ211" s="380"/>
      <c r="CPR211" s="380"/>
      <c r="CPS211" s="380"/>
      <c r="CPT211" s="2"/>
      <c r="CPU211" s="442"/>
      <c r="CPV211" s="442"/>
      <c r="CPW211" s="443"/>
      <c r="CPX211" s="442"/>
      <c r="CPY211" s="442"/>
      <c r="CPZ211" s="2"/>
      <c r="CQA211" s="2"/>
      <c r="CQB211" s="2"/>
      <c r="CQC211" s="2"/>
      <c r="CQD211" s="260"/>
      <c r="CQE211" s="260"/>
      <c r="CQF211" s="260"/>
      <c r="CQG211" s="260"/>
      <c r="CQH211" s="260"/>
      <c r="CQI211" s="260"/>
      <c r="CQJ211" s="308"/>
      <c r="CQK211" s="290"/>
      <c r="CQL211" s="290"/>
      <c r="CQM211" s="260"/>
      <c r="CQN211" s="260"/>
      <c r="CQO211" s="260"/>
      <c r="CQP211" s="260"/>
      <c r="CQQ211" s="260"/>
      <c r="CQR211" s="2"/>
      <c r="CQS211" s="2"/>
      <c r="CQT211" s="2"/>
      <c r="CQU211" s="2"/>
      <c r="CQV211" s="2"/>
      <c r="CQW211" s="2"/>
      <c r="CQX211" s="260"/>
      <c r="CQY211" s="2"/>
      <c r="CQZ211" s="2"/>
      <c r="CRA211" s="2"/>
      <c r="CRB211" s="2"/>
      <c r="CRC211" s="2"/>
      <c r="CRD211" s="2"/>
      <c r="CRE211" s="2"/>
      <c r="CRF211" s="260"/>
      <c r="CRG211" s="260"/>
      <c r="CRH211" s="260"/>
      <c r="CRI211" s="380"/>
      <c r="CRJ211" s="380"/>
      <c r="CRK211" s="380"/>
      <c r="CRL211" s="2"/>
      <c r="CRM211" s="442"/>
      <c r="CRN211" s="442"/>
      <c r="CRO211" s="443"/>
      <c r="CRP211" s="442"/>
      <c r="CRQ211" s="442"/>
      <c r="CRR211" s="2"/>
      <c r="CRS211" s="2"/>
      <c r="CRT211" s="2"/>
      <c r="CRU211" s="2"/>
      <c r="CRV211" s="260"/>
      <c r="CRW211" s="260"/>
      <c r="CRX211" s="260"/>
      <c r="CRY211" s="260"/>
      <c r="CRZ211" s="260"/>
      <c r="CSA211" s="260"/>
      <c r="CSB211" s="308"/>
      <c r="CSC211" s="290"/>
      <c r="CSD211" s="290"/>
      <c r="CSE211" s="260"/>
      <c r="CSF211" s="260"/>
      <c r="CSG211" s="260"/>
      <c r="CSH211" s="260"/>
      <c r="CSI211" s="260"/>
      <c r="CSJ211" s="2"/>
      <c r="CSK211" s="2"/>
      <c r="CSL211" s="2"/>
      <c r="CSM211" s="2"/>
      <c r="CSN211" s="2"/>
      <c r="CSO211" s="2"/>
      <c r="CSP211" s="260"/>
      <c r="CSQ211" s="2"/>
      <c r="CSR211" s="2"/>
      <c r="CSS211" s="2"/>
      <c r="CST211" s="2"/>
      <c r="CSU211" s="2"/>
      <c r="CSV211" s="2"/>
      <c r="CSW211" s="2"/>
      <c r="CSX211" s="260"/>
      <c r="CSY211" s="260"/>
      <c r="CSZ211" s="260"/>
      <c r="CTA211" s="380"/>
      <c r="CTB211" s="380"/>
      <c r="CTC211" s="380"/>
      <c r="CTD211" s="2"/>
      <c r="CTE211" s="442"/>
      <c r="CTF211" s="442"/>
      <c r="CTG211" s="443"/>
      <c r="CTH211" s="442"/>
      <c r="CTI211" s="442"/>
      <c r="CTJ211" s="2"/>
      <c r="CTK211" s="2"/>
      <c r="CTL211" s="2"/>
      <c r="CTM211" s="2"/>
      <c r="CTN211" s="260"/>
      <c r="CTO211" s="260"/>
      <c r="CTP211" s="260"/>
      <c r="CTQ211" s="260"/>
      <c r="CTR211" s="260"/>
      <c r="CTS211" s="260"/>
      <c r="CTT211" s="308"/>
      <c r="CTU211" s="290"/>
      <c r="CTV211" s="290"/>
      <c r="CTW211" s="260"/>
      <c r="CTX211" s="260"/>
      <c r="CTY211" s="260"/>
      <c r="CTZ211" s="260"/>
      <c r="CUA211" s="260"/>
      <c r="CUB211" s="2"/>
      <c r="CUC211" s="2"/>
      <c r="CUD211" s="2"/>
      <c r="CUE211" s="2"/>
      <c r="CUF211" s="2"/>
      <c r="CUG211" s="2"/>
      <c r="CUH211" s="260"/>
      <c r="CUI211" s="2"/>
      <c r="CUJ211" s="2"/>
      <c r="CUK211" s="2"/>
      <c r="CUL211" s="2"/>
      <c r="CUM211" s="2"/>
      <c r="CUN211" s="2"/>
      <c r="CUO211" s="2"/>
      <c r="CUP211" s="260"/>
      <c r="CUQ211" s="260"/>
      <c r="CUR211" s="260"/>
      <c r="CUS211" s="380"/>
      <c r="CUT211" s="380"/>
      <c r="CUU211" s="380"/>
      <c r="CUV211" s="2"/>
      <c r="CUW211" s="442"/>
      <c r="CUX211" s="442"/>
      <c r="CUY211" s="443"/>
      <c r="CUZ211" s="442"/>
      <c r="CVA211" s="442"/>
      <c r="CVB211" s="2"/>
      <c r="CVC211" s="2"/>
      <c r="CVD211" s="2"/>
      <c r="CVE211" s="2"/>
      <c r="CVF211" s="260"/>
      <c r="CVG211" s="260"/>
      <c r="CVH211" s="260"/>
      <c r="CVI211" s="260"/>
      <c r="CVJ211" s="260"/>
      <c r="CVK211" s="260"/>
      <c r="CVL211" s="308"/>
      <c r="CVM211" s="290"/>
      <c r="CVN211" s="290"/>
      <c r="CVO211" s="260"/>
      <c r="CVP211" s="260"/>
      <c r="CVQ211" s="260"/>
      <c r="CVR211" s="260"/>
      <c r="CVS211" s="260"/>
      <c r="CVT211" s="2"/>
      <c r="CVU211" s="2"/>
      <c r="CVV211" s="2"/>
      <c r="CVW211" s="2"/>
      <c r="CVX211" s="2"/>
      <c r="CVY211" s="2"/>
      <c r="CVZ211" s="260"/>
      <c r="CWA211" s="2"/>
      <c r="CWB211" s="2"/>
      <c r="CWC211" s="2"/>
      <c r="CWD211" s="2"/>
      <c r="CWE211" s="2"/>
      <c r="CWF211" s="2"/>
      <c r="CWG211" s="2"/>
      <c r="CWH211" s="260"/>
      <c r="CWI211" s="260"/>
      <c r="CWJ211" s="260"/>
      <c r="CWK211" s="380"/>
      <c r="CWL211" s="380"/>
      <c r="CWM211" s="380"/>
      <c r="CWN211" s="2"/>
      <c r="CWO211" s="442"/>
      <c r="CWP211" s="442"/>
      <c r="CWQ211" s="443"/>
      <c r="CWR211" s="442"/>
      <c r="CWS211" s="442"/>
      <c r="CWT211" s="2"/>
      <c r="CWU211" s="2"/>
      <c r="CWV211" s="2"/>
      <c r="CWW211" s="2"/>
      <c r="CWX211" s="260"/>
      <c r="CWY211" s="260"/>
      <c r="CWZ211" s="260"/>
      <c r="CXA211" s="260"/>
      <c r="CXB211" s="260"/>
      <c r="CXC211" s="260"/>
      <c r="CXD211" s="308"/>
      <c r="CXE211" s="290"/>
      <c r="CXF211" s="290"/>
      <c r="CXG211" s="260"/>
      <c r="CXH211" s="260"/>
      <c r="CXI211" s="260"/>
      <c r="CXJ211" s="260"/>
      <c r="CXK211" s="260"/>
      <c r="CXL211" s="2"/>
      <c r="CXM211" s="2"/>
      <c r="CXN211" s="2"/>
      <c r="CXO211" s="2"/>
      <c r="CXP211" s="2"/>
      <c r="CXQ211" s="2"/>
      <c r="CXR211" s="260"/>
      <c r="CXS211" s="2"/>
      <c r="CXT211" s="2"/>
      <c r="CXU211" s="2"/>
      <c r="CXV211" s="2"/>
      <c r="CXW211" s="2"/>
      <c r="CXX211" s="2"/>
      <c r="CXY211" s="2"/>
      <c r="CXZ211" s="260"/>
      <c r="CYA211" s="260"/>
      <c r="CYB211" s="260"/>
      <c r="CYC211" s="380"/>
      <c r="CYD211" s="380"/>
      <c r="CYE211" s="380"/>
      <c r="CYF211" s="2"/>
      <c r="CYG211" s="442"/>
      <c r="CYH211" s="442"/>
      <c r="CYI211" s="443"/>
      <c r="CYJ211" s="442"/>
      <c r="CYK211" s="442"/>
      <c r="CYL211" s="2"/>
      <c r="CYM211" s="2"/>
      <c r="CYN211" s="2"/>
      <c r="CYO211" s="2"/>
      <c r="CYP211" s="260"/>
      <c r="CYQ211" s="260"/>
      <c r="CYR211" s="260"/>
      <c r="CYS211" s="260"/>
      <c r="CYT211" s="260"/>
      <c r="CYU211" s="260"/>
      <c r="CYV211" s="308"/>
      <c r="CYW211" s="290"/>
      <c r="CYX211" s="290"/>
      <c r="CYY211" s="260"/>
      <c r="CYZ211" s="260"/>
      <c r="CZA211" s="260"/>
      <c r="CZB211" s="260"/>
      <c r="CZC211" s="260"/>
      <c r="CZD211" s="2"/>
      <c r="CZE211" s="2"/>
      <c r="CZF211" s="2"/>
      <c r="CZG211" s="2"/>
      <c r="CZH211" s="2"/>
      <c r="CZI211" s="2"/>
      <c r="CZJ211" s="260"/>
      <c r="CZK211" s="2"/>
      <c r="CZL211" s="2"/>
      <c r="CZM211" s="2"/>
      <c r="CZN211" s="2"/>
      <c r="CZO211" s="2"/>
      <c r="CZP211" s="2"/>
      <c r="CZQ211" s="2"/>
      <c r="CZR211" s="260"/>
      <c r="CZS211" s="260"/>
      <c r="CZT211" s="260"/>
      <c r="CZU211" s="380"/>
      <c r="CZV211" s="380"/>
      <c r="CZW211" s="380"/>
      <c r="CZX211" s="2"/>
      <c r="CZY211" s="442"/>
      <c r="CZZ211" s="442"/>
      <c r="DAA211" s="443"/>
      <c r="DAB211" s="442"/>
      <c r="DAC211" s="442"/>
      <c r="DAD211" s="2"/>
      <c r="DAE211" s="2"/>
      <c r="DAF211" s="2"/>
      <c r="DAG211" s="2"/>
      <c r="DAH211" s="260"/>
      <c r="DAI211" s="260"/>
      <c r="DAJ211" s="260"/>
      <c r="DAK211" s="260"/>
      <c r="DAL211" s="260"/>
      <c r="DAM211" s="260"/>
      <c r="DAN211" s="308"/>
      <c r="DAO211" s="290"/>
      <c r="DAP211" s="290"/>
      <c r="DAQ211" s="260"/>
      <c r="DAR211" s="260"/>
      <c r="DAS211" s="260"/>
      <c r="DAT211" s="260"/>
      <c r="DAU211" s="260"/>
      <c r="DAV211" s="2"/>
      <c r="DAW211" s="2"/>
      <c r="DAX211" s="2"/>
      <c r="DAY211" s="2"/>
      <c r="DAZ211" s="2"/>
      <c r="DBA211" s="2"/>
      <c r="DBB211" s="260"/>
      <c r="DBC211" s="2"/>
      <c r="DBD211" s="2"/>
      <c r="DBE211" s="2"/>
      <c r="DBF211" s="2"/>
      <c r="DBG211" s="2"/>
      <c r="DBH211" s="2"/>
      <c r="DBI211" s="2"/>
      <c r="DBJ211" s="260"/>
      <c r="DBK211" s="260"/>
      <c r="DBL211" s="260"/>
      <c r="DBM211" s="380"/>
      <c r="DBN211" s="380"/>
      <c r="DBO211" s="380"/>
      <c r="DBP211" s="2"/>
      <c r="DBQ211" s="442"/>
      <c r="DBR211" s="442"/>
      <c r="DBS211" s="443"/>
      <c r="DBT211" s="442"/>
      <c r="DBU211" s="442"/>
      <c r="DBV211" s="2"/>
      <c r="DBW211" s="2"/>
      <c r="DBX211" s="2"/>
      <c r="DBY211" s="2"/>
      <c r="DBZ211" s="260"/>
      <c r="DCA211" s="260"/>
      <c r="DCB211" s="260"/>
      <c r="DCC211" s="260"/>
      <c r="DCD211" s="260"/>
      <c r="DCE211" s="260"/>
      <c r="DCF211" s="308"/>
      <c r="DCG211" s="290"/>
      <c r="DCH211" s="290"/>
      <c r="DCI211" s="260"/>
      <c r="DCJ211" s="260"/>
      <c r="DCK211" s="260"/>
      <c r="DCL211" s="260"/>
      <c r="DCM211" s="260"/>
      <c r="DCN211" s="2"/>
      <c r="DCO211" s="2"/>
      <c r="DCP211" s="2"/>
      <c r="DCQ211" s="2"/>
      <c r="DCR211" s="2"/>
      <c r="DCS211" s="2"/>
      <c r="DCT211" s="260"/>
      <c r="DCU211" s="2"/>
      <c r="DCV211" s="2"/>
      <c r="DCW211" s="2"/>
      <c r="DCX211" s="2"/>
      <c r="DCY211" s="2"/>
      <c r="DCZ211" s="2"/>
      <c r="DDA211" s="2"/>
      <c r="DDB211" s="260"/>
      <c r="DDC211" s="260"/>
      <c r="DDD211" s="260"/>
      <c r="DDE211" s="380"/>
      <c r="DDF211" s="380"/>
      <c r="DDG211" s="380"/>
      <c r="DDH211" s="2"/>
      <c r="DDI211" s="442"/>
      <c r="DDJ211" s="442"/>
      <c r="DDK211" s="443"/>
      <c r="DDL211" s="442"/>
      <c r="DDM211" s="442"/>
      <c r="DDN211" s="2"/>
      <c r="DDO211" s="2"/>
      <c r="DDP211" s="2"/>
      <c r="DDQ211" s="2"/>
      <c r="DDR211" s="260"/>
      <c r="DDS211" s="260"/>
      <c r="DDT211" s="260"/>
      <c r="DDU211" s="260"/>
      <c r="DDV211" s="260"/>
      <c r="DDW211" s="260"/>
      <c r="DDX211" s="308"/>
      <c r="DDY211" s="290"/>
      <c r="DDZ211" s="290"/>
      <c r="DEA211" s="260"/>
      <c r="DEB211" s="260"/>
      <c r="DEC211" s="260"/>
      <c r="DED211" s="260"/>
      <c r="DEE211" s="260"/>
      <c r="DEF211" s="2"/>
      <c r="DEG211" s="2"/>
      <c r="DEH211" s="2"/>
      <c r="DEI211" s="2"/>
      <c r="DEJ211" s="2"/>
      <c r="DEK211" s="2"/>
      <c r="DEL211" s="260"/>
      <c r="DEM211" s="2"/>
      <c r="DEN211" s="2"/>
      <c r="DEO211" s="2"/>
      <c r="DEP211" s="2"/>
      <c r="DEQ211" s="2"/>
      <c r="DER211" s="2"/>
      <c r="DES211" s="2"/>
      <c r="DET211" s="260"/>
      <c r="DEU211" s="260"/>
      <c r="DEV211" s="260"/>
      <c r="DEW211" s="380"/>
      <c r="DEX211" s="380"/>
      <c r="DEY211" s="380"/>
      <c r="DEZ211" s="2"/>
      <c r="DFA211" s="442"/>
      <c r="DFB211" s="442"/>
      <c r="DFC211" s="443"/>
      <c r="DFD211" s="442"/>
      <c r="DFE211" s="442"/>
      <c r="DFF211" s="2"/>
      <c r="DFG211" s="2"/>
      <c r="DFH211" s="2"/>
      <c r="DFI211" s="2"/>
      <c r="DFJ211" s="260"/>
      <c r="DFK211" s="260"/>
      <c r="DFL211" s="260"/>
      <c r="DFM211" s="260"/>
      <c r="DFN211" s="260"/>
      <c r="DFO211" s="260"/>
      <c r="DFP211" s="308"/>
      <c r="DFQ211" s="290"/>
      <c r="DFR211" s="290"/>
      <c r="DFS211" s="260"/>
      <c r="DFT211" s="260"/>
      <c r="DFU211" s="260"/>
      <c r="DFV211" s="260"/>
      <c r="DFW211" s="260"/>
      <c r="DFX211" s="2"/>
      <c r="DFY211" s="2"/>
      <c r="DFZ211" s="2"/>
      <c r="DGA211" s="2"/>
      <c r="DGB211" s="2"/>
      <c r="DGC211" s="2"/>
      <c r="DGD211" s="260"/>
      <c r="DGE211" s="2"/>
      <c r="DGF211" s="2"/>
      <c r="DGG211" s="2"/>
      <c r="DGH211" s="2"/>
      <c r="DGI211" s="2"/>
      <c r="DGJ211" s="2"/>
      <c r="DGK211" s="2"/>
      <c r="DGL211" s="260"/>
      <c r="DGM211" s="260"/>
      <c r="DGN211" s="260"/>
      <c r="DGO211" s="380"/>
      <c r="DGP211" s="380"/>
      <c r="DGQ211" s="380"/>
      <c r="DGR211" s="2"/>
      <c r="DGS211" s="442"/>
      <c r="DGT211" s="442"/>
      <c r="DGU211" s="443"/>
      <c r="DGV211" s="442"/>
      <c r="DGW211" s="442"/>
      <c r="DGX211" s="2"/>
      <c r="DGY211" s="2"/>
      <c r="DGZ211" s="2"/>
      <c r="DHA211" s="2"/>
      <c r="DHB211" s="260"/>
      <c r="DHC211" s="260"/>
      <c r="DHD211" s="260"/>
      <c r="DHE211" s="260"/>
      <c r="DHF211" s="260"/>
      <c r="DHG211" s="260"/>
      <c r="DHH211" s="308"/>
      <c r="DHI211" s="290"/>
      <c r="DHJ211" s="290"/>
      <c r="DHK211" s="260"/>
      <c r="DHL211" s="260"/>
      <c r="DHM211" s="260"/>
      <c r="DHN211" s="260"/>
      <c r="DHO211" s="260"/>
      <c r="DHP211" s="2"/>
      <c r="DHQ211" s="2"/>
      <c r="DHR211" s="2"/>
      <c r="DHS211" s="2"/>
      <c r="DHT211" s="2"/>
      <c r="DHU211" s="2"/>
      <c r="DHV211" s="260"/>
      <c r="DHW211" s="2"/>
      <c r="DHX211" s="2"/>
      <c r="DHY211" s="2"/>
      <c r="DHZ211" s="2"/>
      <c r="DIA211" s="2"/>
      <c r="DIB211" s="2"/>
      <c r="DIC211" s="2"/>
      <c r="DID211" s="260"/>
      <c r="DIE211" s="260"/>
      <c r="DIF211" s="260"/>
      <c r="DIG211" s="380"/>
      <c r="DIH211" s="380"/>
      <c r="DII211" s="380"/>
      <c r="DIJ211" s="2"/>
      <c r="DIK211" s="442"/>
      <c r="DIL211" s="442"/>
      <c r="DIM211" s="443"/>
      <c r="DIN211" s="442"/>
      <c r="DIO211" s="442"/>
      <c r="DIP211" s="2"/>
      <c r="DIQ211" s="2"/>
      <c r="DIR211" s="2"/>
      <c r="DIS211" s="2"/>
      <c r="DIT211" s="260"/>
      <c r="DIU211" s="260"/>
      <c r="DIV211" s="260"/>
      <c r="DIW211" s="260"/>
      <c r="DIX211" s="260"/>
      <c r="DIY211" s="260"/>
      <c r="DIZ211" s="308"/>
      <c r="DJA211" s="290"/>
      <c r="DJB211" s="290"/>
      <c r="DJC211" s="260"/>
      <c r="DJD211" s="260"/>
      <c r="DJE211" s="260"/>
      <c r="DJF211" s="260"/>
      <c r="DJG211" s="260"/>
      <c r="DJH211" s="2"/>
      <c r="DJI211" s="2"/>
      <c r="DJJ211" s="2"/>
      <c r="DJK211" s="2"/>
      <c r="DJL211" s="2"/>
      <c r="DJM211" s="2"/>
      <c r="DJN211" s="260"/>
      <c r="DJO211" s="2"/>
      <c r="DJP211" s="2"/>
      <c r="DJQ211" s="2"/>
      <c r="DJR211" s="2"/>
      <c r="DJS211" s="2"/>
      <c r="DJT211" s="2"/>
      <c r="DJU211" s="2"/>
      <c r="DJV211" s="260"/>
      <c r="DJW211" s="260"/>
      <c r="DJX211" s="260"/>
      <c r="DJY211" s="380"/>
      <c r="DJZ211" s="380"/>
      <c r="DKA211" s="380"/>
      <c r="DKB211" s="2"/>
      <c r="DKC211" s="442"/>
      <c r="DKD211" s="442"/>
      <c r="DKE211" s="443"/>
      <c r="DKF211" s="442"/>
      <c r="DKG211" s="442"/>
      <c r="DKH211" s="2"/>
      <c r="DKI211" s="2"/>
      <c r="DKJ211" s="2"/>
      <c r="DKK211" s="2"/>
      <c r="DKL211" s="260"/>
      <c r="DKM211" s="260"/>
      <c r="DKN211" s="260"/>
      <c r="DKO211" s="260"/>
      <c r="DKP211" s="260"/>
      <c r="DKQ211" s="260"/>
      <c r="DKR211" s="308"/>
      <c r="DKS211" s="290"/>
      <c r="DKT211" s="290"/>
      <c r="DKU211" s="260"/>
      <c r="DKV211" s="260"/>
      <c r="DKW211" s="260"/>
      <c r="DKX211" s="260"/>
      <c r="DKY211" s="260"/>
      <c r="DKZ211" s="2"/>
      <c r="DLA211" s="2"/>
      <c r="DLB211" s="2"/>
      <c r="DLC211" s="2"/>
      <c r="DLD211" s="2"/>
      <c r="DLE211" s="2"/>
      <c r="DLF211" s="260"/>
      <c r="DLG211" s="2"/>
      <c r="DLH211" s="2"/>
      <c r="DLI211" s="2"/>
      <c r="DLJ211" s="2"/>
      <c r="DLK211" s="2"/>
      <c r="DLL211" s="2"/>
      <c r="DLM211" s="2"/>
      <c r="DLN211" s="260"/>
      <c r="DLO211" s="260"/>
      <c r="DLP211" s="260"/>
      <c r="DLQ211" s="380"/>
      <c r="DLR211" s="380"/>
      <c r="DLS211" s="380"/>
      <c r="DLT211" s="2"/>
      <c r="DLU211" s="442"/>
      <c r="DLV211" s="442"/>
      <c r="DLW211" s="443"/>
      <c r="DLX211" s="442"/>
      <c r="DLY211" s="442"/>
      <c r="DLZ211" s="2"/>
      <c r="DMA211" s="2"/>
      <c r="DMB211" s="2"/>
      <c r="DMC211" s="2"/>
      <c r="DMD211" s="260"/>
      <c r="DME211" s="260"/>
      <c r="DMF211" s="260"/>
      <c r="DMG211" s="260"/>
      <c r="DMH211" s="260"/>
      <c r="DMI211" s="260"/>
      <c r="DMJ211" s="308"/>
      <c r="DMK211" s="290"/>
      <c r="DML211" s="290"/>
      <c r="DMM211" s="260"/>
      <c r="DMN211" s="260"/>
      <c r="DMO211" s="260"/>
      <c r="DMP211" s="260"/>
      <c r="DMQ211" s="260"/>
      <c r="DMR211" s="2"/>
      <c r="DMS211" s="2"/>
      <c r="DMT211" s="2"/>
      <c r="DMU211" s="2"/>
      <c r="DMV211" s="2"/>
      <c r="DMW211" s="2"/>
      <c r="DMX211" s="260"/>
      <c r="DMY211" s="2"/>
      <c r="DMZ211" s="2"/>
      <c r="DNA211" s="2"/>
      <c r="DNB211" s="2"/>
      <c r="DNC211" s="2"/>
      <c r="DND211" s="2"/>
      <c r="DNE211" s="2"/>
      <c r="DNF211" s="260"/>
      <c r="DNG211" s="260"/>
      <c r="DNH211" s="260"/>
      <c r="DNI211" s="380"/>
      <c r="DNJ211" s="380"/>
      <c r="DNK211" s="380"/>
      <c r="DNL211" s="2"/>
      <c r="DNM211" s="442"/>
      <c r="DNN211" s="442"/>
      <c r="DNO211" s="443"/>
      <c r="DNP211" s="442"/>
      <c r="DNQ211" s="442"/>
      <c r="DNR211" s="2"/>
      <c r="DNS211" s="2"/>
      <c r="DNT211" s="2"/>
      <c r="DNU211" s="2"/>
      <c r="DNV211" s="260"/>
      <c r="DNW211" s="260"/>
      <c r="DNX211" s="260"/>
      <c r="DNY211" s="260"/>
      <c r="DNZ211" s="260"/>
      <c r="DOA211" s="260"/>
      <c r="DOB211" s="308"/>
      <c r="DOC211" s="290"/>
      <c r="DOD211" s="290"/>
      <c r="DOE211" s="260"/>
      <c r="DOF211" s="260"/>
      <c r="DOG211" s="260"/>
      <c r="DOH211" s="260"/>
      <c r="DOI211" s="260"/>
      <c r="DOJ211" s="2"/>
      <c r="DOK211" s="2"/>
      <c r="DOL211" s="2"/>
      <c r="DOM211" s="2"/>
      <c r="DON211" s="2"/>
      <c r="DOO211" s="2"/>
      <c r="DOP211" s="260"/>
      <c r="DOQ211" s="2"/>
      <c r="DOR211" s="2"/>
      <c r="DOS211" s="2"/>
      <c r="DOT211" s="2"/>
      <c r="DOU211" s="2"/>
      <c r="DOV211" s="2"/>
      <c r="DOW211" s="2"/>
      <c r="DOX211" s="260"/>
      <c r="DOY211" s="260"/>
      <c r="DOZ211" s="260"/>
      <c r="DPA211" s="380"/>
      <c r="DPB211" s="380"/>
      <c r="DPC211" s="380"/>
      <c r="DPD211" s="2"/>
      <c r="DPE211" s="442"/>
      <c r="DPF211" s="442"/>
      <c r="DPG211" s="443"/>
      <c r="DPH211" s="442"/>
      <c r="DPI211" s="442"/>
      <c r="DPJ211" s="2"/>
      <c r="DPK211" s="2"/>
      <c r="DPL211" s="2"/>
      <c r="DPM211" s="2"/>
      <c r="DPN211" s="260"/>
      <c r="DPO211" s="260"/>
      <c r="DPP211" s="260"/>
      <c r="DPQ211" s="260"/>
      <c r="DPR211" s="260"/>
      <c r="DPS211" s="260"/>
      <c r="DPT211" s="308"/>
      <c r="DPU211" s="290"/>
      <c r="DPV211" s="290"/>
      <c r="DPW211" s="260"/>
      <c r="DPX211" s="260"/>
      <c r="DPY211" s="260"/>
      <c r="DPZ211" s="260"/>
      <c r="DQA211" s="260"/>
      <c r="DQB211" s="2"/>
      <c r="DQC211" s="2"/>
      <c r="DQD211" s="2"/>
      <c r="DQE211" s="2"/>
      <c r="DQF211" s="2"/>
      <c r="DQG211" s="2"/>
      <c r="DQH211" s="260"/>
      <c r="DQI211" s="2"/>
      <c r="DQJ211" s="2"/>
      <c r="DQK211" s="2"/>
      <c r="DQL211" s="2"/>
      <c r="DQM211" s="2"/>
      <c r="DQN211" s="2"/>
      <c r="DQO211" s="2"/>
      <c r="DQP211" s="260"/>
      <c r="DQQ211" s="260"/>
      <c r="DQR211" s="260"/>
      <c r="DQS211" s="380"/>
      <c r="DQT211" s="380"/>
      <c r="DQU211" s="380"/>
      <c r="DQV211" s="2"/>
      <c r="DQW211" s="442"/>
      <c r="DQX211" s="442"/>
      <c r="DQY211" s="443"/>
      <c r="DQZ211" s="442"/>
      <c r="DRA211" s="442"/>
      <c r="DRB211" s="2"/>
      <c r="DRC211" s="2"/>
      <c r="DRD211" s="2"/>
      <c r="DRE211" s="2"/>
      <c r="DRF211" s="260"/>
      <c r="DRG211" s="260"/>
      <c r="DRH211" s="260"/>
      <c r="DRI211" s="260"/>
      <c r="DRJ211" s="260"/>
      <c r="DRK211" s="260"/>
      <c r="DRL211" s="308"/>
      <c r="DRM211" s="290"/>
      <c r="DRN211" s="290"/>
      <c r="DRO211" s="260"/>
      <c r="DRP211" s="260"/>
      <c r="DRQ211" s="260"/>
      <c r="DRR211" s="260"/>
      <c r="DRS211" s="260"/>
      <c r="DRT211" s="2"/>
      <c r="DRU211" s="2"/>
      <c r="DRV211" s="2"/>
      <c r="DRW211" s="2"/>
      <c r="DRX211" s="2"/>
      <c r="DRY211" s="2"/>
      <c r="DRZ211" s="260"/>
      <c r="DSA211" s="2"/>
      <c r="DSB211" s="2"/>
      <c r="DSC211" s="2"/>
      <c r="DSD211" s="2"/>
      <c r="DSE211" s="2"/>
      <c r="DSF211" s="2"/>
      <c r="DSG211" s="2"/>
      <c r="DSH211" s="260"/>
      <c r="DSI211" s="260"/>
      <c r="DSJ211" s="260"/>
      <c r="DSK211" s="380"/>
      <c r="DSL211" s="380"/>
      <c r="DSM211" s="380"/>
      <c r="DSN211" s="2"/>
      <c r="DSO211" s="442"/>
      <c r="DSP211" s="442"/>
      <c r="DSQ211" s="443"/>
      <c r="DSR211" s="442"/>
      <c r="DSS211" s="442"/>
      <c r="DST211" s="2"/>
      <c r="DSU211" s="2"/>
      <c r="DSV211" s="2"/>
      <c r="DSW211" s="2"/>
      <c r="DSX211" s="260"/>
      <c r="DSY211" s="260"/>
      <c r="DSZ211" s="260"/>
      <c r="DTA211" s="260"/>
      <c r="DTB211" s="260"/>
      <c r="DTC211" s="260"/>
      <c r="DTD211" s="308"/>
      <c r="DTE211" s="290"/>
      <c r="DTF211" s="290"/>
      <c r="DTG211" s="260"/>
      <c r="DTH211" s="260"/>
      <c r="DTI211" s="260"/>
      <c r="DTJ211" s="260"/>
      <c r="DTK211" s="260"/>
      <c r="DTL211" s="2"/>
      <c r="DTM211" s="2"/>
      <c r="DTN211" s="2"/>
      <c r="DTO211" s="2"/>
      <c r="DTP211" s="2"/>
      <c r="DTQ211" s="2"/>
      <c r="DTR211" s="260"/>
      <c r="DTS211" s="2"/>
      <c r="DTT211" s="2"/>
      <c r="DTU211" s="2"/>
      <c r="DTV211" s="2"/>
      <c r="DTW211" s="2"/>
      <c r="DTX211" s="2"/>
      <c r="DTY211" s="2"/>
      <c r="DTZ211" s="260"/>
      <c r="DUA211" s="260"/>
      <c r="DUB211" s="260"/>
      <c r="DUC211" s="380"/>
      <c r="DUD211" s="380"/>
      <c r="DUE211" s="380"/>
      <c r="DUF211" s="2"/>
      <c r="DUG211" s="442"/>
      <c r="DUH211" s="442"/>
      <c r="DUI211" s="443"/>
      <c r="DUJ211" s="442"/>
      <c r="DUK211" s="442"/>
      <c r="DUL211" s="2"/>
      <c r="DUM211" s="2"/>
      <c r="DUN211" s="2"/>
      <c r="DUO211" s="2"/>
      <c r="DUP211" s="260"/>
      <c r="DUQ211" s="260"/>
      <c r="DUR211" s="260"/>
      <c r="DUS211" s="260"/>
      <c r="DUT211" s="260"/>
      <c r="DUU211" s="260"/>
      <c r="DUV211" s="308"/>
      <c r="DUW211" s="290"/>
      <c r="DUX211" s="290"/>
      <c r="DUY211" s="260"/>
      <c r="DUZ211" s="260"/>
      <c r="DVA211" s="260"/>
      <c r="DVB211" s="260"/>
      <c r="DVC211" s="260"/>
      <c r="DVD211" s="2"/>
      <c r="DVE211" s="2"/>
      <c r="DVF211" s="2"/>
      <c r="DVG211" s="2"/>
      <c r="DVH211" s="2"/>
      <c r="DVI211" s="2"/>
      <c r="DVJ211" s="260"/>
      <c r="DVK211" s="2"/>
      <c r="DVL211" s="2"/>
      <c r="DVM211" s="2"/>
      <c r="DVN211" s="2"/>
      <c r="DVO211" s="2"/>
      <c r="DVP211" s="2"/>
      <c r="DVQ211" s="2"/>
      <c r="DVR211" s="260"/>
      <c r="DVS211" s="260"/>
      <c r="DVT211" s="260"/>
      <c r="DVU211" s="380"/>
      <c r="DVV211" s="380"/>
      <c r="DVW211" s="380"/>
      <c r="DVX211" s="2"/>
      <c r="DVY211" s="442"/>
      <c r="DVZ211" s="442"/>
      <c r="DWA211" s="443"/>
      <c r="DWB211" s="442"/>
      <c r="DWC211" s="442"/>
      <c r="DWD211" s="2"/>
      <c r="DWE211" s="2"/>
      <c r="DWF211" s="2"/>
      <c r="DWG211" s="2"/>
      <c r="DWH211" s="260"/>
      <c r="DWI211" s="260"/>
      <c r="DWJ211" s="260"/>
      <c r="DWK211" s="260"/>
      <c r="DWL211" s="260"/>
      <c r="DWM211" s="260"/>
      <c r="DWN211" s="308"/>
      <c r="DWO211" s="290"/>
      <c r="DWP211" s="290"/>
      <c r="DWQ211" s="260"/>
      <c r="DWR211" s="260"/>
      <c r="DWS211" s="260"/>
      <c r="DWT211" s="260"/>
      <c r="DWU211" s="260"/>
      <c r="DWV211" s="2"/>
      <c r="DWW211" s="2"/>
      <c r="DWX211" s="2"/>
      <c r="DWY211" s="2"/>
      <c r="DWZ211" s="2"/>
      <c r="DXA211" s="2"/>
      <c r="DXB211" s="260"/>
      <c r="DXC211" s="2"/>
      <c r="DXD211" s="2"/>
      <c r="DXE211" s="2"/>
      <c r="DXF211" s="2"/>
      <c r="DXG211" s="2"/>
      <c r="DXH211" s="2"/>
      <c r="DXI211" s="2"/>
      <c r="DXJ211" s="260"/>
      <c r="DXK211" s="260"/>
      <c r="DXL211" s="260"/>
      <c r="DXM211" s="380"/>
      <c r="DXN211" s="380"/>
      <c r="DXO211" s="380"/>
      <c r="DXP211" s="2"/>
      <c r="DXQ211" s="442"/>
      <c r="DXR211" s="442"/>
      <c r="DXS211" s="443"/>
      <c r="DXT211" s="442"/>
      <c r="DXU211" s="442"/>
      <c r="DXV211" s="2"/>
      <c r="DXW211" s="2"/>
      <c r="DXX211" s="2"/>
      <c r="DXY211" s="2"/>
      <c r="DXZ211" s="260"/>
      <c r="DYA211" s="260"/>
      <c r="DYB211" s="260"/>
      <c r="DYC211" s="260"/>
      <c r="DYD211" s="260"/>
      <c r="DYE211" s="260"/>
      <c r="DYF211" s="308"/>
      <c r="DYG211" s="290"/>
      <c r="DYH211" s="290"/>
      <c r="DYI211" s="260"/>
      <c r="DYJ211" s="260"/>
      <c r="DYK211" s="260"/>
      <c r="DYL211" s="260"/>
      <c r="DYM211" s="260"/>
      <c r="DYN211" s="2"/>
      <c r="DYO211" s="2"/>
      <c r="DYP211" s="2"/>
      <c r="DYQ211" s="2"/>
      <c r="DYR211" s="2"/>
      <c r="DYS211" s="2"/>
      <c r="DYT211" s="260"/>
      <c r="DYU211" s="2"/>
      <c r="DYV211" s="2"/>
      <c r="DYW211" s="2"/>
      <c r="DYX211" s="2"/>
      <c r="DYY211" s="2"/>
      <c r="DYZ211" s="2"/>
      <c r="DZA211" s="2"/>
      <c r="DZB211" s="260"/>
      <c r="DZC211" s="260"/>
      <c r="DZD211" s="260"/>
      <c r="DZE211" s="380"/>
      <c r="DZF211" s="380"/>
      <c r="DZG211" s="380"/>
      <c r="DZH211" s="2"/>
      <c r="DZI211" s="442"/>
      <c r="DZJ211" s="442"/>
      <c r="DZK211" s="443"/>
      <c r="DZL211" s="442"/>
      <c r="DZM211" s="442"/>
      <c r="DZN211" s="2"/>
      <c r="DZO211" s="2"/>
      <c r="DZP211" s="2"/>
      <c r="DZQ211" s="2"/>
      <c r="DZR211" s="260"/>
      <c r="DZS211" s="260"/>
      <c r="DZT211" s="260"/>
      <c r="DZU211" s="260"/>
      <c r="DZV211" s="260"/>
      <c r="DZW211" s="260"/>
      <c r="DZX211" s="308"/>
      <c r="DZY211" s="290"/>
      <c r="DZZ211" s="290"/>
      <c r="EAA211" s="260"/>
      <c r="EAB211" s="260"/>
      <c r="EAC211" s="260"/>
      <c r="EAD211" s="260"/>
      <c r="EAE211" s="260"/>
      <c r="EAF211" s="2"/>
      <c r="EAG211" s="2"/>
      <c r="EAH211" s="2"/>
      <c r="EAI211" s="2"/>
      <c r="EAJ211" s="2"/>
      <c r="EAK211" s="2"/>
      <c r="EAL211" s="260"/>
      <c r="EAM211" s="2"/>
      <c r="EAN211" s="2"/>
      <c r="EAO211" s="2"/>
      <c r="EAP211" s="2"/>
      <c r="EAQ211" s="2"/>
      <c r="EAR211" s="2"/>
      <c r="EAS211" s="2"/>
      <c r="EAT211" s="260"/>
      <c r="EAU211" s="260"/>
      <c r="EAV211" s="260"/>
      <c r="EAW211" s="380"/>
      <c r="EAX211" s="380"/>
      <c r="EAY211" s="380"/>
      <c r="EAZ211" s="2"/>
      <c r="EBA211" s="442"/>
      <c r="EBB211" s="442"/>
      <c r="EBC211" s="443"/>
      <c r="EBD211" s="442"/>
      <c r="EBE211" s="442"/>
      <c r="EBF211" s="2"/>
      <c r="EBG211" s="2"/>
      <c r="EBH211" s="2"/>
      <c r="EBI211" s="2"/>
      <c r="EBJ211" s="260"/>
      <c r="EBK211" s="260"/>
      <c r="EBL211" s="260"/>
      <c r="EBM211" s="260"/>
      <c r="EBN211" s="260"/>
      <c r="EBO211" s="260"/>
      <c r="EBP211" s="308"/>
      <c r="EBQ211" s="290"/>
      <c r="EBR211" s="290"/>
      <c r="EBS211" s="260"/>
      <c r="EBT211" s="260"/>
      <c r="EBU211" s="260"/>
      <c r="EBV211" s="260"/>
      <c r="EBW211" s="260"/>
      <c r="EBX211" s="2"/>
      <c r="EBY211" s="2"/>
      <c r="EBZ211" s="2"/>
      <c r="ECA211" s="2"/>
      <c r="ECB211" s="2"/>
      <c r="ECC211" s="2"/>
      <c r="ECD211" s="260"/>
      <c r="ECE211" s="2"/>
      <c r="ECF211" s="2"/>
      <c r="ECG211" s="2"/>
      <c r="ECH211" s="2"/>
      <c r="ECI211" s="2"/>
      <c r="ECJ211" s="2"/>
      <c r="ECK211" s="2"/>
      <c r="ECL211" s="260"/>
      <c r="ECM211" s="260"/>
      <c r="ECN211" s="260"/>
      <c r="ECO211" s="380"/>
      <c r="ECP211" s="380"/>
      <c r="ECQ211" s="380"/>
      <c r="ECR211" s="2"/>
      <c r="ECS211" s="442"/>
      <c r="ECT211" s="442"/>
      <c r="ECU211" s="443"/>
      <c r="ECV211" s="442"/>
      <c r="ECW211" s="442"/>
      <c r="ECX211" s="2"/>
      <c r="ECY211" s="2"/>
      <c r="ECZ211" s="2"/>
      <c r="EDA211" s="2"/>
      <c r="EDB211" s="260"/>
      <c r="EDC211" s="260"/>
      <c r="EDD211" s="260"/>
      <c r="EDE211" s="260"/>
      <c r="EDF211" s="260"/>
      <c r="EDG211" s="260"/>
      <c r="EDH211" s="308"/>
      <c r="EDI211" s="290"/>
      <c r="EDJ211" s="290"/>
      <c r="EDK211" s="260"/>
      <c r="EDL211" s="260"/>
      <c r="EDM211" s="260"/>
      <c r="EDN211" s="260"/>
      <c r="EDO211" s="260"/>
      <c r="EDP211" s="2"/>
      <c r="EDQ211" s="2"/>
      <c r="EDR211" s="2"/>
      <c r="EDS211" s="2"/>
      <c r="EDT211" s="2"/>
      <c r="EDU211" s="2"/>
      <c r="EDV211" s="260"/>
      <c r="EDW211" s="2"/>
      <c r="EDX211" s="2"/>
      <c r="EDY211" s="2"/>
      <c r="EDZ211" s="2"/>
      <c r="EEA211" s="2"/>
      <c r="EEB211" s="2"/>
      <c r="EEC211" s="2"/>
      <c r="EED211" s="260"/>
      <c r="EEE211" s="260"/>
      <c r="EEF211" s="260"/>
      <c r="EEG211" s="380"/>
      <c r="EEH211" s="380"/>
      <c r="EEI211" s="380"/>
      <c r="EEJ211" s="2"/>
      <c r="EEK211" s="442"/>
      <c r="EEL211" s="442"/>
      <c r="EEM211" s="443"/>
      <c r="EEN211" s="442"/>
      <c r="EEO211" s="442"/>
      <c r="EEP211" s="2"/>
      <c r="EEQ211" s="2"/>
      <c r="EER211" s="2"/>
      <c r="EES211" s="2"/>
      <c r="EET211" s="260"/>
      <c r="EEU211" s="260"/>
      <c r="EEV211" s="260"/>
      <c r="EEW211" s="260"/>
      <c r="EEX211" s="260"/>
      <c r="EEY211" s="260"/>
      <c r="EEZ211" s="308"/>
      <c r="EFA211" s="290"/>
      <c r="EFB211" s="290"/>
      <c r="EFC211" s="260"/>
      <c r="EFD211" s="260"/>
      <c r="EFE211" s="260"/>
      <c r="EFF211" s="260"/>
      <c r="EFG211" s="260"/>
      <c r="EFH211" s="2"/>
      <c r="EFI211" s="2"/>
      <c r="EFJ211" s="2"/>
      <c r="EFK211" s="2"/>
      <c r="EFL211" s="2"/>
      <c r="EFM211" s="2"/>
      <c r="EFN211" s="260"/>
      <c r="EFO211" s="2"/>
      <c r="EFP211" s="2"/>
      <c r="EFQ211" s="2"/>
      <c r="EFR211" s="2"/>
      <c r="EFS211" s="2"/>
      <c r="EFT211" s="2"/>
      <c r="EFU211" s="2"/>
      <c r="EFV211" s="260"/>
      <c r="EFW211" s="260"/>
      <c r="EFX211" s="260"/>
      <c r="EFY211" s="380"/>
      <c r="EFZ211" s="380"/>
      <c r="EGA211" s="380"/>
      <c r="EGB211" s="2"/>
      <c r="EGC211" s="442"/>
      <c r="EGD211" s="442"/>
      <c r="EGE211" s="443"/>
      <c r="EGF211" s="442"/>
      <c r="EGG211" s="442"/>
      <c r="EGH211" s="2"/>
      <c r="EGI211" s="2"/>
      <c r="EGJ211" s="2"/>
      <c r="EGK211" s="2"/>
      <c r="EGL211" s="260"/>
      <c r="EGM211" s="260"/>
      <c r="EGN211" s="260"/>
      <c r="EGO211" s="260"/>
      <c r="EGP211" s="260"/>
      <c r="EGQ211" s="260"/>
      <c r="EGR211" s="308"/>
      <c r="EGS211" s="290"/>
      <c r="EGT211" s="290"/>
      <c r="EGU211" s="260"/>
      <c r="EGV211" s="260"/>
      <c r="EGW211" s="260"/>
      <c r="EGX211" s="260"/>
      <c r="EGY211" s="260"/>
      <c r="EGZ211" s="2"/>
      <c r="EHA211" s="2"/>
      <c r="EHB211" s="2"/>
      <c r="EHC211" s="2"/>
      <c r="EHD211" s="2"/>
      <c r="EHE211" s="2"/>
      <c r="EHF211" s="260"/>
      <c r="EHG211" s="2"/>
      <c r="EHH211" s="2"/>
      <c r="EHI211" s="2"/>
      <c r="EHJ211" s="2"/>
      <c r="EHK211" s="2"/>
      <c r="EHL211" s="2"/>
      <c r="EHM211" s="2"/>
      <c r="EHN211" s="260"/>
      <c r="EHO211" s="260"/>
      <c r="EHP211" s="260"/>
      <c r="EHQ211" s="380"/>
      <c r="EHR211" s="380"/>
      <c r="EHS211" s="380"/>
      <c r="EHT211" s="2"/>
      <c r="EHU211" s="442"/>
      <c r="EHV211" s="442"/>
      <c r="EHW211" s="443"/>
      <c r="EHX211" s="442"/>
      <c r="EHY211" s="442"/>
      <c r="EHZ211" s="2"/>
      <c r="EIA211" s="2"/>
      <c r="EIB211" s="2"/>
      <c r="EIC211" s="2"/>
      <c r="EID211" s="260"/>
      <c r="EIE211" s="260"/>
      <c r="EIF211" s="260"/>
      <c r="EIG211" s="260"/>
      <c r="EIH211" s="260"/>
      <c r="EII211" s="260"/>
      <c r="EIJ211" s="308"/>
      <c r="EIK211" s="290"/>
      <c r="EIL211" s="290"/>
      <c r="EIM211" s="260"/>
      <c r="EIN211" s="260"/>
      <c r="EIO211" s="260"/>
      <c r="EIP211" s="260"/>
      <c r="EIQ211" s="260"/>
      <c r="EIR211" s="2"/>
      <c r="EIS211" s="2"/>
      <c r="EIT211" s="2"/>
      <c r="EIU211" s="2"/>
      <c r="EIV211" s="2"/>
      <c r="EIW211" s="2"/>
      <c r="EIX211" s="260"/>
      <c r="EIY211" s="2"/>
      <c r="EIZ211" s="2"/>
      <c r="EJA211" s="2"/>
      <c r="EJB211" s="2"/>
      <c r="EJC211" s="2"/>
      <c r="EJD211" s="2"/>
      <c r="EJE211" s="2"/>
      <c r="EJF211" s="260"/>
      <c r="EJG211" s="260"/>
      <c r="EJH211" s="260"/>
      <c r="EJI211" s="380"/>
      <c r="EJJ211" s="380"/>
      <c r="EJK211" s="380"/>
      <c r="EJL211" s="2"/>
      <c r="EJM211" s="442"/>
      <c r="EJN211" s="442"/>
      <c r="EJO211" s="443"/>
      <c r="EJP211" s="442"/>
      <c r="EJQ211" s="442"/>
      <c r="EJR211" s="2"/>
      <c r="EJS211" s="2"/>
      <c r="EJT211" s="2"/>
      <c r="EJU211" s="2"/>
      <c r="EJV211" s="260"/>
      <c r="EJW211" s="260"/>
      <c r="EJX211" s="260"/>
      <c r="EJY211" s="260"/>
      <c r="EJZ211" s="260"/>
      <c r="EKA211" s="260"/>
      <c r="EKB211" s="308"/>
      <c r="EKC211" s="290"/>
      <c r="EKD211" s="290"/>
      <c r="EKE211" s="260"/>
      <c r="EKF211" s="260"/>
      <c r="EKG211" s="260"/>
      <c r="EKH211" s="260"/>
      <c r="EKI211" s="260"/>
      <c r="EKJ211" s="2"/>
      <c r="EKK211" s="2"/>
      <c r="EKL211" s="2"/>
      <c r="EKM211" s="2"/>
      <c r="EKN211" s="2"/>
      <c r="EKO211" s="2"/>
      <c r="EKP211" s="260"/>
      <c r="EKQ211" s="2"/>
      <c r="EKR211" s="2"/>
      <c r="EKS211" s="2"/>
      <c r="EKT211" s="2"/>
      <c r="EKU211" s="2"/>
      <c r="EKV211" s="2"/>
      <c r="EKW211" s="2"/>
      <c r="EKX211" s="260"/>
      <c r="EKY211" s="260"/>
      <c r="EKZ211" s="260"/>
      <c r="ELA211" s="380"/>
      <c r="ELB211" s="380"/>
      <c r="ELC211" s="380"/>
      <c r="ELD211" s="2"/>
      <c r="ELE211" s="442"/>
      <c r="ELF211" s="442"/>
      <c r="ELG211" s="443"/>
      <c r="ELH211" s="442"/>
      <c r="ELI211" s="442"/>
      <c r="ELJ211" s="2"/>
      <c r="ELK211" s="2"/>
      <c r="ELL211" s="2"/>
      <c r="ELM211" s="2"/>
      <c r="ELN211" s="260"/>
      <c r="ELO211" s="260"/>
      <c r="ELP211" s="260"/>
      <c r="ELQ211" s="260"/>
      <c r="ELR211" s="260"/>
      <c r="ELS211" s="260"/>
      <c r="ELT211" s="308"/>
      <c r="ELU211" s="290"/>
      <c r="ELV211" s="290"/>
      <c r="ELW211" s="260"/>
      <c r="ELX211" s="260"/>
      <c r="ELY211" s="260"/>
      <c r="ELZ211" s="260"/>
      <c r="EMA211" s="260"/>
      <c r="EMB211" s="2"/>
      <c r="EMC211" s="2"/>
      <c r="EMD211" s="2"/>
      <c r="EME211" s="2"/>
      <c r="EMF211" s="2"/>
      <c r="EMG211" s="2"/>
      <c r="EMH211" s="260"/>
      <c r="EMI211" s="2"/>
      <c r="EMJ211" s="2"/>
      <c r="EMK211" s="2"/>
      <c r="EML211" s="2"/>
      <c r="EMM211" s="2"/>
      <c r="EMN211" s="2"/>
      <c r="EMO211" s="2"/>
      <c r="EMP211" s="260"/>
      <c r="EMQ211" s="260"/>
      <c r="EMR211" s="260"/>
      <c r="EMS211" s="380"/>
      <c r="EMT211" s="380"/>
      <c r="EMU211" s="380"/>
      <c r="EMV211" s="2"/>
      <c r="EMW211" s="442"/>
      <c r="EMX211" s="442"/>
      <c r="EMY211" s="443"/>
      <c r="EMZ211" s="442"/>
      <c r="ENA211" s="442"/>
      <c r="ENB211" s="2"/>
      <c r="ENC211" s="2"/>
      <c r="END211" s="2"/>
      <c r="ENE211" s="2"/>
      <c r="ENF211" s="260"/>
      <c r="ENG211" s="260"/>
      <c r="ENH211" s="260"/>
      <c r="ENI211" s="260"/>
      <c r="ENJ211" s="260"/>
      <c r="ENK211" s="260"/>
      <c r="ENL211" s="308"/>
      <c r="ENM211" s="290"/>
      <c r="ENN211" s="290"/>
      <c r="ENO211" s="260"/>
      <c r="ENP211" s="260"/>
      <c r="ENQ211" s="260"/>
      <c r="ENR211" s="260"/>
      <c r="ENS211" s="260"/>
      <c r="ENT211" s="2"/>
      <c r="ENU211" s="2"/>
      <c r="ENV211" s="2"/>
      <c r="ENW211" s="2"/>
      <c r="ENX211" s="2"/>
      <c r="ENY211" s="2"/>
      <c r="ENZ211" s="260"/>
      <c r="EOA211" s="2"/>
      <c r="EOB211" s="2"/>
      <c r="EOC211" s="2"/>
      <c r="EOD211" s="2"/>
      <c r="EOE211" s="2"/>
      <c r="EOF211" s="2"/>
      <c r="EOG211" s="2"/>
      <c r="EOH211" s="260"/>
      <c r="EOI211" s="260"/>
      <c r="EOJ211" s="260"/>
      <c r="EOK211" s="380"/>
      <c r="EOL211" s="380"/>
      <c r="EOM211" s="380"/>
      <c r="EON211" s="2"/>
      <c r="EOO211" s="442"/>
      <c r="EOP211" s="442"/>
      <c r="EOQ211" s="443"/>
      <c r="EOR211" s="442"/>
      <c r="EOS211" s="442"/>
      <c r="EOT211" s="2"/>
      <c r="EOU211" s="2"/>
      <c r="EOV211" s="2"/>
      <c r="EOW211" s="2"/>
      <c r="EOX211" s="260"/>
      <c r="EOY211" s="260"/>
      <c r="EOZ211" s="260"/>
      <c r="EPA211" s="260"/>
      <c r="EPB211" s="260"/>
      <c r="EPC211" s="260"/>
      <c r="EPD211" s="308"/>
      <c r="EPE211" s="290"/>
      <c r="EPF211" s="290"/>
      <c r="EPG211" s="260"/>
      <c r="EPH211" s="260"/>
      <c r="EPI211" s="260"/>
      <c r="EPJ211" s="260"/>
      <c r="EPK211" s="260"/>
      <c r="EPL211" s="2"/>
      <c r="EPM211" s="2"/>
      <c r="EPN211" s="2"/>
      <c r="EPO211" s="2"/>
      <c r="EPP211" s="2"/>
      <c r="EPQ211" s="2"/>
      <c r="EPR211" s="260"/>
      <c r="EPS211" s="2"/>
      <c r="EPT211" s="2"/>
      <c r="EPU211" s="2"/>
      <c r="EPV211" s="2"/>
      <c r="EPW211" s="2"/>
      <c r="EPX211" s="2"/>
      <c r="EPY211" s="2"/>
      <c r="EPZ211" s="260"/>
      <c r="EQA211" s="260"/>
      <c r="EQB211" s="260"/>
      <c r="EQC211" s="380"/>
      <c r="EQD211" s="380"/>
      <c r="EQE211" s="380"/>
      <c r="EQF211" s="2"/>
      <c r="EQG211" s="442"/>
      <c r="EQH211" s="442"/>
      <c r="EQI211" s="443"/>
      <c r="EQJ211" s="442"/>
      <c r="EQK211" s="442"/>
      <c r="EQL211" s="2"/>
      <c r="EQM211" s="2"/>
      <c r="EQN211" s="2"/>
      <c r="EQO211" s="2"/>
      <c r="EQP211" s="260"/>
      <c r="EQQ211" s="260"/>
      <c r="EQR211" s="260"/>
      <c r="EQS211" s="260"/>
      <c r="EQT211" s="260"/>
      <c r="EQU211" s="260"/>
      <c r="EQV211" s="308"/>
      <c r="EQW211" s="290"/>
      <c r="EQX211" s="290"/>
      <c r="EQY211" s="260"/>
      <c r="EQZ211" s="260"/>
      <c r="ERA211" s="260"/>
      <c r="ERB211" s="260"/>
      <c r="ERC211" s="260"/>
      <c r="ERD211" s="2"/>
      <c r="ERE211" s="2"/>
      <c r="ERF211" s="2"/>
      <c r="ERG211" s="2"/>
      <c r="ERH211" s="2"/>
      <c r="ERI211" s="2"/>
      <c r="ERJ211" s="260"/>
      <c r="ERK211" s="2"/>
      <c r="ERL211" s="2"/>
      <c r="ERM211" s="2"/>
      <c r="ERN211" s="2"/>
      <c r="ERO211" s="2"/>
      <c r="ERP211" s="2"/>
      <c r="ERQ211" s="2"/>
      <c r="ERR211" s="260"/>
      <c r="ERS211" s="260"/>
      <c r="ERT211" s="260"/>
      <c r="ERU211" s="380"/>
      <c r="ERV211" s="380"/>
      <c r="ERW211" s="380"/>
      <c r="ERX211" s="2"/>
      <c r="ERY211" s="442"/>
      <c r="ERZ211" s="442"/>
      <c r="ESA211" s="443"/>
      <c r="ESB211" s="442"/>
      <c r="ESC211" s="442"/>
      <c r="ESD211" s="2"/>
      <c r="ESE211" s="2"/>
      <c r="ESF211" s="2"/>
      <c r="ESG211" s="2"/>
      <c r="ESH211" s="260"/>
      <c r="ESI211" s="260"/>
      <c r="ESJ211" s="260"/>
      <c r="ESK211" s="260"/>
      <c r="ESL211" s="260"/>
      <c r="ESM211" s="260"/>
      <c r="ESN211" s="308"/>
      <c r="ESO211" s="290"/>
      <c r="ESP211" s="290"/>
      <c r="ESQ211" s="260"/>
      <c r="ESR211" s="260"/>
      <c r="ESS211" s="260"/>
      <c r="EST211" s="260"/>
      <c r="ESU211" s="260"/>
      <c r="ESV211" s="2"/>
      <c r="ESW211" s="2"/>
      <c r="ESX211" s="2"/>
      <c r="ESY211" s="2"/>
      <c r="ESZ211" s="2"/>
      <c r="ETA211" s="2"/>
      <c r="ETB211" s="260"/>
      <c r="ETC211" s="2"/>
      <c r="ETD211" s="2"/>
      <c r="ETE211" s="2"/>
      <c r="ETF211" s="2"/>
      <c r="ETG211" s="2"/>
      <c r="ETH211" s="2"/>
      <c r="ETI211" s="2"/>
      <c r="ETJ211" s="260"/>
      <c r="ETK211" s="260"/>
      <c r="ETL211" s="260"/>
      <c r="ETM211" s="380"/>
      <c r="ETN211" s="380"/>
      <c r="ETO211" s="380"/>
      <c r="ETP211" s="2"/>
      <c r="ETQ211" s="442"/>
      <c r="ETR211" s="442"/>
      <c r="ETS211" s="443"/>
      <c r="ETT211" s="442"/>
      <c r="ETU211" s="442"/>
      <c r="ETV211" s="2"/>
      <c r="ETW211" s="2"/>
      <c r="ETX211" s="2"/>
      <c r="ETY211" s="2"/>
      <c r="ETZ211" s="260"/>
      <c r="EUA211" s="260"/>
      <c r="EUB211" s="260"/>
      <c r="EUC211" s="260"/>
      <c r="EUD211" s="260"/>
      <c r="EUE211" s="260"/>
      <c r="EUF211" s="308"/>
      <c r="EUG211" s="290"/>
      <c r="EUH211" s="290"/>
      <c r="EUI211" s="260"/>
      <c r="EUJ211" s="260"/>
      <c r="EUK211" s="260"/>
      <c r="EUL211" s="260"/>
      <c r="EUM211" s="260"/>
      <c r="EUN211" s="2"/>
      <c r="EUO211" s="2"/>
      <c r="EUP211" s="2"/>
      <c r="EUQ211" s="2"/>
      <c r="EUR211" s="2"/>
      <c r="EUS211" s="2"/>
      <c r="EUT211" s="260"/>
      <c r="EUU211" s="2"/>
      <c r="EUV211" s="2"/>
      <c r="EUW211" s="2"/>
      <c r="EUX211" s="2"/>
      <c r="EUY211" s="2"/>
      <c r="EUZ211" s="2"/>
      <c r="EVA211" s="2"/>
      <c r="EVB211" s="260"/>
      <c r="EVC211" s="260"/>
      <c r="EVD211" s="260"/>
      <c r="EVE211" s="380"/>
      <c r="EVF211" s="380"/>
      <c r="EVG211" s="380"/>
      <c r="EVH211" s="2"/>
      <c r="EVI211" s="442"/>
      <c r="EVJ211" s="442"/>
      <c r="EVK211" s="443"/>
      <c r="EVL211" s="442"/>
      <c r="EVM211" s="442"/>
      <c r="EVN211" s="2"/>
      <c r="EVO211" s="2"/>
      <c r="EVP211" s="2"/>
      <c r="EVQ211" s="2"/>
      <c r="EVR211" s="260"/>
      <c r="EVS211" s="260"/>
      <c r="EVT211" s="260"/>
      <c r="EVU211" s="260"/>
      <c r="EVV211" s="260"/>
      <c r="EVW211" s="260"/>
      <c r="EVX211" s="308"/>
      <c r="EVY211" s="290"/>
      <c r="EVZ211" s="290"/>
      <c r="EWA211" s="260"/>
      <c r="EWB211" s="260"/>
      <c r="EWC211" s="260"/>
      <c r="EWD211" s="260"/>
      <c r="EWE211" s="260"/>
      <c r="EWF211" s="2"/>
      <c r="EWG211" s="2"/>
      <c r="EWH211" s="2"/>
      <c r="EWI211" s="2"/>
      <c r="EWJ211" s="2"/>
      <c r="EWK211" s="2"/>
      <c r="EWL211" s="260"/>
      <c r="EWM211" s="2"/>
      <c r="EWN211" s="2"/>
      <c r="EWO211" s="2"/>
      <c r="EWP211" s="2"/>
      <c r="EWQ211" s="2"/>
      <c r="EWR211" s="2"/>
      <c r="EWS211" s="2"/>
      <c r="EWT211" s="260"/>
      <c r="EWU211" s="260"/>
      <c r="EWV211" s="260"/>
      <c r="EWW211" s="380"/>
      <c r="EWX211" s="380"/>
      <c r="EWY211" s="380"/>
      <c r="EWZ211" s="2"/>
      <c r="EXA211" s="442"/>
      <c r="EXB211" s="442"/>
      <c r="EXC211" s="443"/>
      <c r="EXD211" s="442"/>
      <c r="EXE211" s="442"/>
      <c r="EXF211" s="2"/>
      <c r="EXG211" s="2"/>
      <c r="EXH211" s="2"/>
      <c r="EXI211" s="2"/>
      <c r="EXJ211" s="260"/>
      <c r="EXK211" s="260"/>
      <c r="EXL211" s="260"/>
      <c r="EXM211" s="260"/>
      <c r="EXN211" s="260"/>
      <c r="EXO211" s="260"/>
      <c r="EXP211" s="308"/>
      <c r="EXQ211" s="290"/>
      <c r="EXR211" s="290"/>
      <c r="EXS211" s="260"/>
      <c r="EXT211" s="260"/>
      <c r="EXU211" s="260"/>
      <c r="EXV211" s="260"/>
      <c r="EXW211" s="260"/>
      <c r="EXX211" s="2"/>
      <c r="EXY211" s="2"/>
      <c r="EXZ211" s="2"/>
      <c r="EYA211" s="2"/>
      <c r="EYB211" s="2"/>
      <c r="EYC211" s="2"/>
      <c r="EYD211" s="260"/>
      <c r="EYE211" s="2"/>
      <c r="EYF211" s="2"/>
      <c r="EYG211" s="2"/>
      <c r="EYH211" s="2"/>
      <c r="EYI211" s="2"/>
      <c r="EYJ211" s="2"/>
      <c r="EYK211" s="2"/>
      <c r="EYL211" s="260"/>
      <c r="EYM211" s="260"/>
      <c r="EYN211" s="260"/>
      <c r="EYO211" s="380"/>
      <c r="EYP211" s="380"/>
      <c r="EYQ211" s="380"/>
      <c r="EYR211" s="2"/>
      <c r="EYS211" s="442"/>
      <c r="EYT211" s="442"/>
      <c r="EYU211" s="443"/>
      <c r="EYV211" s="442"/>
      <c r="EYW211" s="442"/>
      <c r="EYX211" s="2"/>
      <c r="EYY211" s="2"/>
      <c r="EYZ211" s="2"/>
      <c r="EZA211" s="2"/>
      <c r="EZB211" s="260"/>
      <c r="EZC211" s="260"/>
      <c r="EZD211" s="260"/>
      <c r="EZE211" s="260"/>
      <c r="EZF211" s="260"/>
      <c r="EZG211" s="260"/>
      <c r="EZH211" s="308"/>
      <c r="EZI211" s="290"/>
      <c r="EZJ211" s="290"/>
      <c r="EZK211" s="260"/>
      <c r="EZL211" s="260"/>
      <c r="EZM211" s="260"/>
      <c r="EZN211" s="260"/>
      <c r="EZO211" s="260"/>
      <c r="EZP211" s="2"/>
      <c r="EZQ211" s="2"/>
      <c r="EZR211" s="2"/>
      <c r="EZS211" s="2"/>
      <c r="EZT211" s="2"/>
      <c r="EZU211" s="2"/>
      <c r="EZV211" s="260"/>
      <c r="EZW211" s="2"/>
      <c r="EZX211" s="2"/>
      <c r="EZY211" s="2"/>
      <c r="EZZ211" s="2"/>
      <c r="FAA211" s="2"/>
      <c r="FAB211" s="2"/>
      <c r="FAC211" s="2"/>
      <c r="FAD211" s="260"/>
      <c r="FAE211" s="260"/>
      <c r="FAF211" s="260"/>
      <c r="FAG211" s="380"/>
      <c r="FAH211" s="380"/>
      <c r="FAI211" s="380"/>
      <c r="FAJ211" s="2"/>
      <c r="FAK211" s="442"/>
      <c r="FAL211" s="442"/>
      <c r="FAM211" s="443"/>
      <c r="FAN211" s="442"/>
      <c r="FAO211" s="442"/>
      <c r="FAP211" s="2"/>
      <c r="FAQ211" s="2"/>
      <c r="FAR211" s="2"/>
      <c r="FAS211" s="2"/>
      <c r="FAT211" s="260"/>
      <c r="FAU211" s="260"/>
      <c r="FAV211" s="260"/>
      <c r="FAW211" s="260"/>
      <c r="FAX211" s="260"/>
      <c r="FAY211" s="260"/>
      <c r="FAZ211" s="308"/>
      <c r="FBA211" s="290"/>
      <c r="FBB211" s="290"/>
      <c r="FBC211" s="260"/>
      <c r="FBD211" s="260"/>
      <c r="FBE211" s="260"/>
      <c r="FBF211" s="260"/>
      <c r="FBG211" s="260"/>
      <c r="FBH211" s="2"/>
      <c r="FBI211" s="2"/>
      <c r="FBJ211" s="2"/>
      <c r="FBK211" s="2"/>
      <c r="FBL211" s="2"/>
      <c r="FBM211" s="2"/>
      <c r="FBN211" s="260"/>
      <c r="FBO211" s="2"/>
      <c r="FBP211" s="2"/>
      <c r="FBQ211" s="2"/>
      <c r="FBR211" s="2"/>
      <c r="FBS211" s="2"/>
      <c r="FBT211" s="2"/>
      <c r="FBU211" s="2"/>
      <c r="FBV211" s="260"/>
      <c r="FBW211" s="260"/>
      <c r="FBX211" s="260"/>
      <c r="FBY211" s="380"/>
      <c r="FBZ211" s="380"/>
      <c r="FCA211" s="380"/>
      <c r="FCB211" s="2"/>
      <c r="FCC211" s="442"/>
      <c r="FCD211" s="442"/>
      <c r="FCE211" s="443"/>
      <c r="FCF211" s="442"/>
      <c r="FCG211" s="442"/>
      <c r="FCH211" s="2"/>
      <c r="FCI211" s="2"/>
      <c r="FCJ211" s="2"/>
      <c r="FCK211" s="2"/>
      <c r="FCL211" s="260"/>
      <c r="FCM211" s="260"/>
      <c r="FCN211" s="260"/>
      <c r="FCO211" s="260"/>
      <c r="FCP211" s="260"/>
      <c r="FCQ211" s="260"/>
      <c r="FCR211" s="308"/>
      <c r="FCS211" s="290"/>
      <c r="FCT211" s="290"/>
      <c r="FCU211" s="260"/>
      <c r="FCV211" s="260"/>
      <c r="FCW211" s="260"/>
      <c r="FCX211" s="260"/>
      <c r="FCY211" s="260"/>
      <c r="FCZ211" s="2"/>
      <c r="FDA211" s="2"/>
      <c r="FDB211" s="2"/>
      <c r="FDC211" s="2"/>
      <c r="FDD211" s="2"/>
      <c r="FDE211" s="2"/>
      <c r="FDF211" s="260"/>
      <c r="FDG211" s="2"/>
      <c r="FDH211" s="2"/>
      <c r="FDI211" s="2"/>
      <c r="FDJ211" s="2"/>
      <c r="FDK211" s="2"/>
      <c r="FDL211" s="2"/>
      <c r="FDM211" s="2"/>
      <c r="FDN211" s="260"/>
      <c r="FDO211" s="260"/>
      <c r="FDP211" s="260"/>
      <c r="FDQ211" s="380"/>
      <c r="FDR211" s="380"/>
      <c r="FDS211" s="380"/>
      <c r="FDT211" s="2"/>
      <c r="FDU211" s="442"/>
      <c r="FDV211" s="442"/>
      <c r="FDW211" s="443"/>
      <c r="FDX211" s="442"/>
      <c r="FDY211" s="442"/>
      <c r="FDZ211" s="2"/>
      <c r="FEA211" s="2"/>
      <c r="FEB211" s="2"/>
      <c r="FEC211" s="2"/>
      <c r="FED211" s="260"/>
      <c r="FEE211" s="260"/>
      <c r="FEF211" s="260"/>
      <c r="FEG211" s="260"/>
      <c r="FEH211" s="260"/>
      <c r="FEI211" s="260"/>
      <c r="FEJ211" s="308"/>
      <c r="FEK211" s="290"/>
      <c r="FEL211" s="290"/>
      <c r="FEM211" s="260"/>
      <c r="FEN211" s="260"/>
      <c r="FEO211" s="260"/>
      <c r="FEP211" s="260"/>
      <c r="FEQ211" s="260"/>
      <c r="FER211" s="2"/>
      <c r="FES211" s="2"/>
      <c r="FET211" s="2"/>
      <c r="FEU211" s="2"/>
      <c r="FEV211" s="2"/>
      <c r="FEW211" s="2"/>
      <c r="FEX211" s="260"/>
      <c r="FEY211" s="2"/>
      <c r="FEZ211" s="2"/>
      <c r="FFA211" s="2"/>
      <c r="FFB211" s="2"/>
      <c r="FFC211" s="2"/>
      <c r="FFD211" s="2"/>
      <c r="FFE211" s="2"/>
      <c r="FFF211" s="260"/>
      <c r="FFG211" s="260"/>
      <c r="FFH211" s="260"/>
      <c r="FFI211" s="380"/>
      <c r="FFJ211" s="380"/>
      <c r="FFK211" s="380"/>
      <c r="FFL211" s="2"/>
      <c r="FFM211" s="442"/>
      <c r="FFN211" s="442"/>
      <c r="FFO211" s="443"/>
      <c r="FFP211" s="442"/>
      <c r="FFQ211" s="442"/>
      <c r="FFR211" s="2"/>
      <c r="FFS211" s="2"/>
      <c r="FFT211" s="2"/>
      <c r="FFU211" s="2"/>
      <c r="FFV211" s="260"/>
      <c r="FFW211" s="260"/>
      <c r="FFX211" s="260"/>
      <c r="FFY211" s="260"/>
      <c r="FFZ211" s="260"/>
      <c r="FGA211" s="260"/>
      <c r="FGB211" s="308"/>
      <c r="FGC211" s="290"/>
      <c r="FGD211" s="290"/>
      <c r="FGE211" s="260"/>
      <c r="FGF211" s="260"/>
      <c r="FGG211" s="260"/>
      <c r="FGH211" s="260"/>
      <c r="FGI211" s="260"/>
      <c r="FGJ211" s="2"/>
      <c r="FGK211" s="2"/>
      <c r="FGL211" s="2"/>
      <c r="FGM211" s="2"/>
      <c r="FGN211" s="2"/>
      <c r="FGO211" s="2"/>
      <c r="FGP211" s="260"/>
      <c r="FGQ211" s="2"/>
      <c r="FGR211" s="2"/>
      <c r="FGS211" s="2"/>
      <c r="FGT211" s="2"/>
      <c r="FGU211" s="2"/>
      <c r="FGV211" s="2"/>
      <c r="FGW211" s="2"/>
      <c r="FGX211" s="260"/>
      <c r="FGY211" s="260"/>
      <c r="FGZ211" s="260"/>
      <c r="FHA211" s="380"/>
      <c r="FHB211" s="380"/>
      <c r="FHC211" s="380"/>
      <c r="FHD211" s="2"/>
      <c r="FHE211" s="442"/>
      <c r="FHF211" s="442"/>
      <c r="FHG211" s="443"/>
      <c r="FHH211" s="442"/>
      <c r="FHI211" s="442"/>
      <c r="FHJ211" s="2"/>
      <c r="FHK211" s="2"/>
      <c r="FHL211" s="2"/>
      <c r="FHM211" s="2"/>
      <c r="FHN211" s="260"/>
      <c r="FHO211" s="260"/>
      <c r="FHP211" s="260"/>
      <c r="FHQ211" s="260"/>
      <c r="FHR211" s="260"/>
      <c r="FHS211" s="260"/>
      <c r="FHT211" s="308"/>
      <c r="FHU211" s="290"/>
      <c r="FHV211" s="290"/>
      <c r="FHW211" s="260"/>
      <c r="FHX211" s="260"/>
      <c r="FHY211" s="260"/>
      <c r="FHZ211" s="260"/>
      <c r="FIA211" s="260"/>
      <c r="FIB211" s="2"/>
      <c r="FIC211" s="2"/>
      <c r="FID211" s="2"/>
      <c r="FIE211" s="2"/>
      <c r="FIF211" s="2"/>
      <c r="FIG211" s="2"/>
      <c r="FIH211" s="260"/>
      <c r="FII211" s="2"/>
      <c r="FIJ211" s="2"/>
      <c r="FIK211" s="2"/>
      <c r="FIL211" s="2"/>
      <c r="FIM211" s="2"/>
      <c r="FIN211" s="2"/>
      <c r="FIO211" s="2"/>
      <c r="FIP211" s="260"/>
      <c r="FIQ211" s="260"/>
      <c r="FIR211" s="260"/>
      <c r="FIS211" s="380"/>
      <c r="FIT211" s="380"/>
      <c r="FIU211" s="380"/>
      <c r="FIV211" s="2"/>
      <c r="FIW211" s="442"/>
      <c r="FIX211" s="442"/>
      <c r="FIY211" s="443"/>
      <c r="FIZ211" s="442"/>
      <c r="FJA211" s="442"/>
      <c r="FJB211" s="2"/>
      <c r="FJC211" s="2"/>
      <c r="FJD211" s="2"/>
      <c r="FJE211" s="2"/>
      <c r="FJF211" s="260"/>
      <c r="FJG211" s="260"/>
      <c r="FJH211" s="260"/>
      <c r="FJI211" s="260"/>
      <c r="FJJ211" s="260"/>
      <c r="FJK211" s="260"/>
      <c r="FJL211" s="308"/>
      <c r="FJM211" s="290"/>
      <c r="FJN211" s="290"/>
      <c r="FJO211" s="260"/>
      <c r="FJP211" s="260"/>
      <c r="FJQ211" s="260"/>
      <c r="FJR211" s="260"/>
      <c r="FJS211" s="260"/>
      <c r="FJT211" s="2"/>
      <c r="FJU211" s="2"/>
      <c r="FJV211" s="2"/>
      <c r="FJW211" s="2"/>
      <c r="FJX211" s="2"/>
      <c r="FJY211" s="2"/>
      <c r="FJZ211" s="260"/>
      <c r="FKA211" s="2"/>
      <c r="FKB211" s="2"/>
      <c r="FKC211" s="2"/>
      <c r="FKD211" s="2"/>
      <c r="FKE211" s="2"/>
      <c r="FKF211" s="2"/>
      <c r="FKG211" s="2"/>
      <c r="FKH211" s="260"/>
      <c r="FKI211" s="260"/>
      <c r="FKJ211" s="260"/>
      <c r="FKK211" s="380"/>
      <c r="FKL211" s="380"/>
      <c r="FKM211" s="380"/>
      <c r="FKN211" s="2"/>
      <c r="FKO211" s="442"/>
      <c r="FKP211" s="442"/>
      <c r="FKQ211" s="443"/>
      <c r="FKR211" s="442"/>
      <c r="FKS211" s="442"/>
      <c r="FKT211" s="2"/>
      <c r="FKU211" s="2"/>
      <c r="FKV211" s="2"/>
      <c r="FKW211" s="2"/>
      <c r="FKX211" s="260"/>
      <c r="FKY211" s="260"/>
      <c r="FKZ211" s="260"/>
      <c r="FLA211" s="260"/>
      <c r="FLB211" s="260"/>
      <c r="FLC211" s="260"/>
      <c r="FLD211" s="308"/>
      <c r="FLE211" s="290"/>
      <c r="FLF211" s="290"/>
      <c r="FLG211" s="260"/>
      <c r="FLH211" s="260"/>
      <c r="FLI211" s="260"/>
      <c r="FLJ211" s="260"/>
      <c r="FLK211" s="260"/>
      <c r="FLL211" s="2"/>
      <c r="FLM211" s="2"/>
      <c r="FLN211" s="2"/>
      <c r="FLO211" s="2"/>
      <c r="FLP211" s="2"/>
      <c r="FLQ211" s="2"/>
      <c r="FLR211" s="260"/>
      <c r="FLS211" s="2"/>
      <c r="FLT211" s="2"/>
      <c r="FLU211" s="2"/>
      <c r="FLV211" s="2"/>
      <c r="FLW211" s="2"/>
      <c r="FLX211" s="2"/>
      <c r="FLY211" s="2"/>
      <c r="FLZ211" s="260"/>
      <c r="FMA211" s="260"/>
      <c r="FMB211" s="260"/>
      <c r="FMC211" s="380"/>
      <c r="FMD211" s="380"/>
      <c r="FME211" s="380"/>
      <c r="FMF211" s="2"/>
      <c r="FMG211" s="442"/>
      <c r="FMH211" s="442"/>
      <c r="FMI211" s="443"/>
      <c r="FMJ211" s="442"/>
      <c r="FMK211" s="442"/>
      <c r="FML211" s="2"/>
      <c r="FMM211" s="2"/>
      <c r="FMN211" s="2"/>
      <c r="FMO211" s="2"/>
      <c r="FMP211" s="260"/>
      <c r="FMQ211" s="260"/>
      <c r="FMR211" s="260"/>
      <c r="FMS211" s="260"/>
      <c r="FMT211" s="260"/>
      <c r="FMU211" s="260"/>
      <c r="FMV211" s="308"/>
      <c r="FMW211" s="290"/>
      <c r="FMX211" s="290"/>
      <c r="FMY211" s="260"/>
      <c r="FMZ211" s="260"/>
      <c r="FNA211" s="260"/>
      <c r="FNB211" s="260"/>
      <c r="FNC211" s="260"/>
      <c r="FND211" s="2"/>
      <c r="FNE211" s="2"/>
      <c r="FNF211" s="2"/>
      <c r="FNG211" s="2"/>
      <c r="FNH211" s="2"/>
      <c r="FNI211" s="2"/>
      <c r="FNJ211" s="260"/>
      <c r="FNK211" s="2"/>
      <c r="FNL211" s="2"/>
      <c r="FNM211" s="2"/>
      <c r="FNN211" s="2"/>
      <c r="FNO211" s="2"/>
      <c r="FNP211" s="2"/>
      <c r="FNQ211" s="2"/>
      <c r="FNR211" s="260"/>
      <c r="FNS211" s="260"/>
      <c r="FNT211" s="260"/>
      <c r="FNU211" s="380"/>
      <c r="FNV211" s="380"/>
      <c r="FNW211" s="380"/>
      <c r="FNX211" s="2"/>
      <c r="FNY211" s="442"/>
      <c r="FNZ211" s="442"/>
      <c r="FOA211" s="443"/>
      <c r="FOB211" s="442"/>
      <c r="FOC211" s="442"/>
      <c r="FOD211" s="2"/>
      <c r="FOE211" s="2"/>
      <c r="FOF211" s="2"/>
      <c r="FOG211" s="2"/>
      <c r="FOH211" s="260"/>
      <c r="FOI211" s="260"/>
      <c r="FOJ211" s="260"/>
      <c r="FOK211" s="260"/>
      <c r="FOL211" s="260"/>
      <c r="FOM211" s="260"/>
      <c r="FON211" s="308"/>
      <c r="FOO211" s="290"/>
      <c r="FOP211" s="290"/>
      <c r="FOQ211" s="260"/>
      <c r="FOR211" s="260"/>
      <c r="FOS211" s="260"/>
      <c r="FOT211" s="260"/>
      <c r="FOU211" s="260"/>
      <c r="FOV211" s="2"/>
      <c r="FOW211" s="2"/>
      <c r="FOX211" s="2"/>
      <c r="FOY211" s="2"/>
      <c r="FOZ211" s="2"/>
      <c r="FPA211" s="2"/>
      <c r="FPB211" s="260"/>
      <c r="FPC211" s="2"/>
      <c r="FPD211" s="2"/>
      <c r="FPE211" s="2"/>
      <c r="FPF211" s="2"/>
      <c r="FPG211" s="2"/>
      <c r="FPH211" s="2"/>
      <c r="FPI211" s="2"/>
      <c r="FPJ211" s="260"/>
      <c r="FPK211" s="260"/>
      <c r="FPL211" s="260"/>
      <c r="FPM211" s="380"/>
      <c r="FPN211" s="380"/>
      <c r="FPO211" s="380"/>
      <c r="FPP211" s="2"/>
      <c r="FPQ211" s="442"/>
      <c r="FPR211" s="442"/>
      <c r="FPS211" s="443"/>
      <c r="FPT211" s="442"/>
      <c r="FPU211" s="442"/>
      <c r="FPV211" s="2"/>
      <c r="FPW211" s="2"/>
      <c r="FPX211" s="2"/>
      <c r="FPY211" s="2"/>
      <c r="FPZ211" s="260"/>
      <c r="FQA211" s="260"/>
      <c r="FQB211" s="260"/>
      <c r="FQC211" s="260"/>
      <c r="FQD211" s="260"/>
      <c r="FQE211" s="260"/>
      <c r="FQF211" s="308"/>
      <c r="FQG211" s="290"/>
      <c r="FQH211" s="290"/>
      <c r="FQI211" s="260"/>
      <c r="FQJ211" s="260"/>
      <c r="FQK211" s="260"/>
      <c r="FQL211" s="260"/>
      <c r="FQM211" s="260"/>
      <c r="FQN211" s="2"/>
      <c r="FQO211" s="2"/>
      <c r="FQP211" s="2"/>
      <c r="FQQ211" s="2"/>
      <c r="FQR211" s="2"/>
      <c r="FQS211" s="2"/>
      <c r="FQT211" s="260"/>
      <c r="FQU211" s="2"/>
      <c r="FQV211" s="2"/>
      <c r="FQW211" s="2"/>
      <c r="FQX211" s="2"/>
      <c r="FQY211" s="2"/>
      <c r="FQZ211" s="2"/>
      <c r="FRA211" s="2"/>
      <c r="FRB211" s="260"/>
      <c r="FRC211" s="260"/>
      <c r="FRD211" s="260"/>
      <c r="FRE211" s="380"/>
      <c r="FRF211" s="380"/>
      <c r="FRG211" s="380"/>
      <c r="FRH211" s="2"/>
      <c r="FRI211" s="442"/>
      <c r="FRJ211" s="442"/>
      <c r="FRK211" s="443"/>
      <c r="FRL211" s="442"/>
      <c r="FRM211" s="442"/>
      <c r="FRN211" s="2"/>
      <c r="FRO211" s="2"/>
      <c r="FRP211" s="2"/>
      <c r="FRQ211" s="2"/>
      <c r="FRR211" s="260"/>
      <c r="FRS211" s="260"/>
      <c r="FRT211" s="260"/>
      <c r="FRU211" s="260"/>
      <c r="FRV211" s="260"/>
      <c r="FRW211" s="260"/>
      <c r="FRX211" s="308"/>
      <c r="FRY211" s="290"/>
      <c r="FRZ211" s="290"/>
      <c r="FSA211" s="260"/>
      <c r="FSB211" s="260"/>
      <c r="FSC211" s="260"/>
      <c r="FSD211" s="260"/>
      <c r="FSE211" s="260"/>
      <c r="FSF211" s="2"/>
      <c r="FSG211" s="2"/>
      <c r="FSH211" s="2"/>
      <c r="FSI211" s="2"/>
      <c r="FSJ211" s="2"/>
      <c r="FSK211" s="2"/>
      <c r="FSL211" s="260"/>
      <c r="FSM211" s="2"/>
      <c r="FSN211" s="2"/>
      <c r="FSO211" s="2"/>
      <c r="FSP211" s="2"/>
      <c r="FSQ211" s="2"/>
      <c r="FSR211" s="2"/>
      <c r="FSS211" s="2"/>
      <c r="FST211" s="260"/>
      <c r="FSU211" s="260"/>
      <c r="FSV211" s="260"/>
      <c r="FSW211" s="380"/>
      <c r="FSX211" s="380"/>
      <c r="FSY211" s="380"/>
      <c r="FSZ211" s="2"/>
      <c r="FTA211" s="442"/>
      <c r="FTB211" s="442"/>
      <c r="FTC211" s="443"/>
      <c r="FTD211" s="442"/>
      <c r="FTE211" s="442"/>
      <c r="FTF211" s="2"/>
      <c r="FTG211" s="2"/>
      <c r="FTH211" s="2"/>
      <c r="FTI211" s="2"/>
      <c r="FTJ211" s="260"/>
      <c r="FTK211" s="260"/>
      <c r="FTL211" s="260"/>
      <c r="FTM211" s="260"/>
      <c r="FTN211" s="260"/>
      <c r="FTO211" s="260"/>
      <c r="FTP211" s="308"/>
      <c r="FTQ211" s="290"/>
      <c r="FTR211" s="290"/>
      <c r="FTS211" s="260"/>
      <c r="FTT211" s="260"/>
      <c r="FTU211" s="260"/>
      <c r="FTV211" s="260"/>
      <c r="FTW211" s="260"/>
      <c r="FTX211" s="2"/>
      <c r="FTY211" s="2"/>
      <c r="FTZ211" s="2"/>
      <c r="FUA211" s="2"/>
      <c r="FUB211" s="2"/>
      <c r="FUC211" s="2"/>
      <c r="FUD211" s="260"/>
      <c r="FUE211" s="2"/>
      <c r="FUF211" s="2"/>
      <c r="FUG211" s="2"/>
      <c r="FUH211" s="2"/>
      <c r="FUI211" s="2"/>
      <c r="FUJ211" s="2"/>
      <c r="FUK211" s="2"/>
      <c r="FUL211" s="260"/>
      <c r="FUM211" s="260"/>
      <c r="FUN211" s="260"/>
      <c r="FUO211" s="380"/>
      <c r="FUP211" s="380"/>
      <c r="FUQ211" s="380"/>
      <c r="FUR211" s="2"/>
      <c r="FUS211" s="442"/>
      <c r="FUT211" s="442"/>
      <c r="FUU211" s="443"/>
      <c r="FUV211" s="442"/>
      <c r="FUW211" s="442"/>
      <c r="FUX211" s="2"/>
      <c r="FUY211" s="2"/>
      <c r="FUZ211" s="2"/>
      <c r="FVA211" s="2"/>
      <c r="FVB211" s="260"/>
      <c r="FVC211" s="260"/>
      <c r="FVD211" s="260"/>
      <c r="FVE211" s="260"/>
      <c r="FVF211" s="260"/>
      <c r="FVG211" s="260"/>
      <c r="FVH211" s="308"/>
      <c r="FVI211" s="290"/>
      <c r="FVJ211" s="290"/>
      <c r="FVK211" s="260"/>
      <c r="FVL211" s="260"/>
      <c r="FVM211" s="260"/>
      <c r="FVN211" s="260"/>
      <c r="FVO211" s="260"/>
      <c r="FVP211" s="2"/>
      <c r="FVQ211" s="2"/>
      <c r="FVR211" s="2"/>
      <c r="FVS211" s="2"/>
      <c r="FVT211" s="2"/>
      <c r="FVU211" s="2"/>
      <c r="FVV211" s="260"/>
      <c r="FVW211" s="2"/>
      <c r="FVX211" s="2"/>
      <c r="FVY211" s="2"/>
      <c r="FVZ211" s="2"/>
      <c r="FWA211" s="2"/>
      <c r="FWB211" s="2"/>
      <c r="FWC211" s="2"/>
      <c r="FWD211" s="260"/>
      <c r="FWE211" s="260"/>
      <c r="FWF211" s="260"/>
      <c r="FWG211" s="380"/>
      <c r="FWH211" s="380"/>
      <c r="FWI211" s="380"/>
      <c r="FWJ211" s="2"/>
      <c r="FWK211" s="442"/>
      <c r="FWL211" s="442"/>
      <c r="FWM211" s="443"/>
      <c r="FWN211" s="442"/>
      <c r="FWO211" s="442"/>
      <c r="FWP211" s="2"/>
      <c r="FWQ211" s="2"/>
      <c r="FWR211" s="2"/>
      <c r="FWS211" s="2"/>
      <c r="FWT211" s="260"/>
      <c r="FWU211" s="260"/>
      <c r="FWV211" s="260"/>
      <c r="FWW211" s="260"/>
      <c r="FWX211" s="260"/>
      <c r="FWY211" s="260"/>
      <c r="FWZ211" s="308"/>
      <c r="FXA211" s="290"/>
      <c r="FXB211" s="290"/>
      <c r="FXC211" s="260"/>
      <c r="FXD211" s="260"/>
      <c r="FXE211" s="260"/>
      <c r="FXF211" s="260"/>
      <c r="FXG211" s="260"/>
      <c r="FXH211" s="2"/>
      <c r="FXI211" s="2"/>
      <c r="FXJ211" s="2"/>
      <c r="FXK211" s="2"/>
      <c r="FXL211" s="2"/>
      <c r="FXM211" s="2"/>
      <c r="FXN211" s="260"/>
      <c r="FXO211" s="2"/>
      <c r="FXP211" s="2"/>
      <c r="FXQ211" s="2"/>
      <c r="FXR211" s="2"/>
      <c r="FXS211" s="2"/>
      <c r="FXT211" s="2"/>
      <c r="FXU211" s="2"/>
      <c r="FXV211" s="260"/>
      <c r="FXW211" s="260"/>
      <c r="FXX211" s="260"/>
      <c r="FXY211" s="380"/>
      <c r="FXZ211" s="380"/>
      <c r="FYA211" s="380"/>
      <c r="FYB211" s="2"/>
      <c r="FYC211" s="442"/>
      <c r="FYD211" s="442"/>
      <c r="FYE211" s="443"/>
      <c r="FYF211" s="442"/>
      <c r="FYG211" s="442"/>
      <c r="FYH211" s="2"/>
      <c r="FYI211" s="2"/>
      <c r="FYJ211" s="2"/>
      <c r="FYK211" s="2"/>
      <c r="FYL211" s="260"/>
      <c r="FYM211" s="260"/>
      <c r="FYN211" s="260"/>
      <c r="FYO211" s="260"/>
      <c r="FYP211" s="260"/>
      <c r="FYQ211" s="260"/>
      <c r="FYR211" s="308"/>
      <c r="FYS211" s="290"/>
      <c r="FYT211" s="290"/>
      <c r="FYU211" s="260"/>
      <c r="FYV211" s="260"/>
      <c r="FYW211" s="260"/>
      <c r="FYX211" s="260"/>
      <c r="FYY211" s="260"/>
      <c r="FYZ211" s="2"/>
      <c r="FZA211" s="2"/>
      <c r="FZB211" s="2"/>
      <c r="FZC211" s="2"/>
      <c r="FZD211" s="2"/>
      <c r="FZE211" s="2"/>
      <c r="FZF211" s="260"/>
      <c r="FZG211" s="2"/>
      <c r="FZH211" s="2"/>
      <c r="FZI211" s="2"/>
      <c r="FZJ211" s="2"/>
      <c r="FZK211" s="2"/>
      <c r="FZL211" s="2"/>
      <c r="FZM211" s="2"/>
      <c r="FZN211" s="260"/>
      <c r="FZO211" s="260"/>
      <c r="FZP211" s="260"/>
      <c r="FZQ211" s="380"/>
      <c r="FZR211" s="380"/>
      <c r="FZS211" s="380"/>
      <c r="FZT211" s="2"/>
      <c r="FZU211" s="442"/>
      <c r="FZV211" s="442"/>
      <c r="FZW211" s="443"/>
      <c r="FZX211" s="442"/>
      <c r="FZY211" s="442"/>
      <c r="FZZ211" s="2"/>
      <c r="GAA211" s="2"/>
      <c r="GAB211" s="2"/>
      <c r="GAC211" s="2"/>
      <c r="GAD211" s="260"/>
      <c r="GAE211" s="260"/>
      <c r="GAF211" s="260"/>
      <c r="GAG211" s="260"/>
      <c r="GAH211" s="260"/>
      <c r="GAI211" s="260"/>
      <c r="GAJ211" s="308"/>
      <c r="GAK211" s="290"/>
      <c r="GAL211" s="290"/>
      <c r="GAM211" s="260"/>
      <c r="GAN211" s="260"/>
      <c r="GAO211" s="260"/>
      <c r="GAP211" s="260"/>
      <c r="GAQ211" s="260"/>
      <c r="GAR211" s="2"/>
      <c r="GAS211" s="2"/>
      <c r="GAT211" s="2"/>
      <c r="GAU211" s="2"/>
      <c r="GAV211" s="2"/>
      <c r="GAW211" s="2"/>
      <c r="GAX211" s="260"/>
      <c r="GAY211" s="2"/>
      <c r="GAZ211" s="2"/>
      <c r="GBA211" s="2"/>
      <c r="GBB211" s="2"/>
      <c r="GBC211" s="2"/>
      <c r="GBD211" s="2"/>
      <c r="GBE211" s="2"/>
      <c r="GBF211" s="260"/>
      <c r="GBG211" s="260"/>
      <c r="GBH211" s="260"/>
      <c r="GBI211" s="380"/>
      <c r="GBJ211" s="380"/>
      <c r="GBK211" s="380"/>
      <c r="GBL211" s="2"/>
      <c r="GBM211" s="442"/>
      <c r="GBN211" s="442"/>
      <c r="GBO211" s="443"/>
      <c r="GBP211" s="442"/>
      <c r="GBQ211" s="442"/>
      <c r="GBR211" s="2"/>
      <c r="GBS211" s="2"/>
      <c r="GBT211" s="2"/>
      <c r="GBU211" s="2"/>
      <c r="GBV211" s="260"/>
      <c r="GBW211" s="260"/>
      <c r="GBX211" s="260"/>
      <c r="GBY211" s="260"/>
      <c r="GBZ211" s="260"/>
      <c r="GCA211" s="260"/>
      <c r="GCB211" s="308"/>
      <c r="GCC211" s="290"/>
      <c r="GCD211" s="290"/>
      <c r="GCE211" s="260"/>
      <c r="GCF211" s="260"/>
      <c r="GCG211" s="260"/>
      <c r="GCH211" s="260"/>
      <c r="GCI211" s="260"/>
      <c r="GCJ211" s="2"/>
      <c r="GCK211" s="2"/>
      <c r="GCL211" s="2"/>
      <c r="GCM211" s="2"/>
      <c r="GCN211" s="2"/>
      <c r="GCO211" s="2"/>
      <c r="GCP211" s="260"/>
      <c r="GCQ211" s="2"/>
      <c r="GCR211" s="2"/>
      <c r="GCS211" s="2"/>
      <c r="GCT211" s="2"/>
      <c r="GCU211" s="2"/>
      <c r="GCV211" s="2"/>
      <c r="GCW211" s="2"/>
      <c r="GCX211" s="260"/>
      <c r="GCY211" s="260"/>
      <c r="GCZ211" s="260"/>
      <c r="GDA211" s="380"/>
      <c r="GDB211" s="380"/>
      <c r="GDC211" s="380"/>
      <c r="GDD211" s="2"/>
      <c r="GDE211" s="442"/>
      <c r="GDF211" s="442"/>
      <c r="GDG211" s="443"/>
      <c r="GDH211" s="442"/>
      <c r="GDI211" s="442"/>
      <c r="GDJ211" s="2"/>
      <c r="GDK211" s="2"/>
      <c r="GDL211" s="2"/>
      <c r="GDM211" s="2"/>
      <c r="GDN211" s="260"/>
      <c r="GDO211" s="260"/>
      <c r="GDP211" s="260"/>
      <c r="GDQ211" s="260"/>
      <c r="GDR211" s="260"/>
      <c r="GDS211" s="260"/>
      <c r="GDT211" s="308"/>
      <c r="GDU211" s="290"/>
      <c r="GDV211" s="290"/>
      <c r="GDW211" s="260"/>
      <c r="GDX211" s="260"/>
      <c r="GDY211" s="260"/>
      <c r="GDZ211" s="260"/>
      <c r="GEA211" s="260"/>
      <c r="GEB211" s="2"/>
      <c r="GEC211" s="2"/>
      <c r="GED211" s="2"/>
      <c r="GEE211" s="2"/>
      <c r="GEF211" s="2"/>
      <c r="GEG211" s="2"/>
      <c r="GEH211" s="260"/>
      <c r="GEI211" s="2"/>
      <c r="GEJ211" s="2"/>
      <c r="GEK211" s="2"/>
      <c r="GEL211" s="2"/>
      <c r="GEM211" s="2"/>
      <c r="GEN211" s="2"/>
      <c r="GEO211" s="2"/>
      <c r="GEP211" s="260"/>
      <c r="GEQ211" s="260"/>
      <c r="GER211" s="260"/>
      <c r="GES211" s="380"/>
      <c r="GET211" s="380"/>
      <c r="GEU211" s="380"/>
      <c r="GEV211" s="2"/>
      <c r="GEW211" s="442"/>
      <c r="GEX211" s="442"/>
      <c r="GEY211" s="443"/>
      <c r="GEZ211" s="442"/>
      <c r="GFA211" s="442"/>
      <c r="GFB211" s="2"/>
      <c r="GFC211" s="2"/>
      <c r="GFD211" s="2"/>
      <c r="GFE211" s="2"/>
      <c r="GFF211" s="260"/>
      <c r="GFG211" s="260"/>
      <c r="GFH211" s="260"/>
      <c r="GFI211" s="260"/>
      <c r="GFJ211" s="260"/>
      <c r="GFK211" s="260"/>
      <c r="GFL211" s="308"/>
      <c r="GFM211" s="290"/>
      <c r="GFN211" s="290"/>
      <c r="GFO211" s="260"/>
      <c r="GFP211" s="260"/>
      <c r="GFQ211" s="260"/>
      <c r="GFR211" s="260"/>
      <c r="GFS211" s="260"/>
      <c r="GFT211" s="2"/>
      <c r="GFU211" s="2"/>
      <c r="GFV211" s="2"/>
      <c r="GFW211" s="2"/>
      <c r="GFX211" s="2"/>
      <c r="GFY211" s="2"/>
      <c r="GFZ211" s="260"/>
      <c r="GGA211" s="2"/>
      <c r="GGB211" s="2"/>
      <c r="GGC211" s="2"/>
      <c r="GGD211" s="2"/>
      <c r="GGE211" s="2"/>
      <c r="GGF211" s="2"/>
      <c r="GGG211" s="2"/>
      <c r="GGH211" s="260"/>
      <c r="GGI211" s="260"/>
      <c r="GGJ211" s="260"/>
      <c r="GGK211" s="380"/>
      <c r="GGL211" s="380"/>
      <c r="GGM211" s="380"/>
      <c r="GGN211" s="2"/>
      <c r="GGO211" s="442"/>
      <c r="GGP211" s="442"/>
      <c r="GGQ211" s="443"/>
      <c r="GGR211" s="442"/>
      <c r="GGS211" s="442"/>
      <c r="GGT211" s="2"/>
      <c r="GGU211" s="2"/>
      <c r="GGV211" s="2"/>
      <c r="GGW211" s="2"/>
      <c r="GGX211" s="260"/>
      <c r="GGY211" s="260"/>
      <c r="GGZ211" s="260"/>
      <c r="GHA211" s="260"/>
      <c r="GHB211" s="260"/>
      <c r="GHC211" s="260"/>
      <c r="GHD211" s="308"/>
      <c r="GHE211" s="290"/>
      <c r="GHF211" s="290"/>
      <c r="GHG211" s="260"/>
      <c r="GHH211" s="260"/>
      <c r="GHI211" s="260"/>
      <c r="GHJ211" s="260"/>
      <c r="GHK211" s="260"/>
      <c r="GHL211" s="2"/>
      <c r="GHM211" s="2"/>
      <c r="GHN211" s="2"/>
      <c r="GHO211" s="2"/>
      <c r="GHP211" s="2"/>
      <c r="GHQ211" s="2"/>
      <c r="GHR211" s="260"/>
      <c r="GHS211" s="2"/>
      <c r="GHT211" s="2"/>
      <c r="GHU211" s="2"/>
      <c r="GHV211" s="2"/>
      <c r="GHW211" s="2"/>
      <c r="GHX211" s="2"/>
      <c r="GHY211" s="2"/>
      <c r="GHZ211" s="260"/>
      <c r="GIA211" s="260"/>
      <c r="GIB211" s="260"/>
      <c r="GIC211" s="380"/>
      <c r="GID211" s="380"/>
      <c r="GIE211" s="380"/>
      <c r="GIF211" s="2"/>
      <c r="GIG211" s="442"/>
      <c r="GIH211" s="442"/>
      <c r="GII211" s="443"/>
      <c r="GIJ211" s="442"/>
      <c r="GIK211" s="442"/>
      <c r="GIL211" s="2"/>
      <c r="GIM211" s="2"/>
      <c r="GIN211" s="2"/>
      <c r="GIO211" s="2"/>
      <c r="GIP211" s="260"/>
      <c r="GIQ211" s="260"/>
      <c r="GIR211" s="260"/>
      <c r="GIS211" s="260"/>
      <c r="GIT211" s="260"/>
      <c r="GIU211" s="260"/>
      <c r="GIV211" s="308"/>
      <c r="GIW211" s="290"/>
      <c r="GIX211" s="290"/>
      <c r="GIY211" s="260"/>
      <c r="GIZ211" s="260"/>
      <c r="GJA211" s="260"/>
      <c r="GJB211" s="260"/>
      <c r="GJC211" s="260"/>
      <c r="GJD211" s="2"/>
      <c r="GJE211" s="2"/>
      <c r="GJF211" s="2"/>
      <c r="GJG211" s="2"/>
      <c r="GJH211" s="2"/>
      <c r="GJI211" s="2"/>
      <c r="GJJ211" s="260"/>
      <c r="GJK211" s="2"/>
      <c r="GJL211" s="2"/>
      <c r="GJM211" s="2"/>
      <c r="GJN211" s="2"/>
      <c r="GJO211" s="2"/>
      <c r="GJP211" s="2"/>
      <c r="GJQ211" s="2"/>
      <c r="GJR211" s="260"/>
      <c r="GJS211" s="260"/>
      <c r="GJT211" s="260"/>
      <c r="GJU211" s="380"/>
      <c r="GJV211" s="380"/>
      <c r="GJW211" s="380"/>
      <c r="GJX211" s="2"/>
      <c r="GJY211" s="442"/>
      <c r="GJZ211" s="442"/>
      <c r="GKA211" s="443"/>
      <c r="GKB211" s="442"/>
      <c r="GKC211" s="442"/>
      <c r="GKD211" s="2"/>
      <c r="GKE211" s="2"/>
      <c r="GKF211" s="2"/>
      <c r="GKG211" s="2"/>
      <c r="GKH211" s="260"/>
      <c r="GKI211" s="260"/>
      <c r="GKJ211" s="260"/>
      <c r="GKK211" s="260"/>
      <c r="GKL211" s="260"/>
      <c r="GKM211" s="260"/>
      <c r="GKN211" s="308"/>
      <c r="GKO211" s="290"/>
      <c r="GKP211" s="290"/>
      <c r="GKQ211" s="260"/>
      <c r="GKR211" s="260"/>
      <c r="GKS211" s="260"/>
      <c r="GKT211" s="260"/>
      <c r="GKU211" s="260"/>
      <c r="GKV211" s="2"/>
      <c r="GKW211" s="2"/>
      <c r="GKX211" s="2"/>
      <c r="GKY211" s="2"/>
      <c r="GKZ211" s="2"/>
      <c r="GLA211" s="2"/>
      <c r="GLB211" s="260"/>
      <c r="GLC211" s="2"/>
      <c r="GLD211" s="2"/>
      <c r="GLE211" s="2"/>
      <c r="GLF211" s="2"/>
      <c r="GLG211" s="2"/>
      <c r="GLH211" s="2"/>
      <c r="GLI211" s="2"/>
      <c r="GLJ211" s="260"/>
      <c r="GLK211" s="260"/>
      <c r="GLL211" s="260"/>
      <c r="GLM211" s="380"/>
      <c r="GLN211" s="380"/>
      <c r="GLO211" s="380"/>
      <c r="GLP211" s="2"/>
      <c r="GLQ211" s="442"/>
      <c r="GLR211" s="442"/>
      <c r="GLS211" s="443"/>
      <c r="GLT211" s="442"/>
      <c r="GLU211" s="442"/>
      <c r="GLV211" s="2"/>
      <c r="GLW211" s="2"/>
      <c r="GLX211" s="2"/>
      <c r="GLY211" s="2"/>
      <c r="GLZ211" s="260"/>
      <c r="GMA211" s="260"/>
      <c r="GMB211" s="260"/>
      <c r="GMC211" s="260"/>
      <c r="GMD211" s="260"/>
      <c r="GME211" s="260"/>
      <c r="GMF211" s="308"/>
      <c r="GMG211" s="290"/>
      <c r="GMH211" s="290"/>
      <c r="GMI211" s="260"/>
      <c r="GMJ211" s="260"/>
      <c r="GMK211" s="260"/>
      <c r="GML211" s="260"/>
      <c r="GMM211" s="260"/>
      <c r="GMN211" s="2"/>
      <c r="GMO211" s="2"/>
      <c r="GMP211" s="2"/>
      <c r="GMQ211" s="2"/>
      <c r="GMR211" s="2"/>
      <c r="GMS211" s="2"/>
      <c r="GMT211" s="260"/>
      <c r="GMU211" s="2"/>
      <c r="GMV211" s="2"/>
      <c r="GMW211" s="2"/>
      <c r="GMX211" s="2"/>
      <c r="GMY211" s="2"/>
      <c r="GMZ211" s="2"/>
      <c r="GNA211" s="2"/>
      <c r="GNB211" s="260"/>
      <c r="GNC211" s="260"/>
      <c r="GND211" s="260"/>
      <c r="GNE211" s="380"/>
      <c r="GNF211" s="380"/>
      <c r="GNG211" s="380"/>
      <c r="GNH211" s="2"/>
      <c r="GNI211" s="442"/>
      <c r="GNJ211" s="442"/>
      <c r="GNK211" s="443"/>
      <c r="GNL211" s="442"/>
      <c r="GNM211" s="442"/>
      <c r="GNN211" s="2"/>
      <c r="GNO211" s="2"/>
      <c r="GNP211" s="2"/>
      <c r="GNQ211" s="2"/>
      <c r="GNR211" s="260"/>
      <c r="GNS211" s="260"/>
      <c r="GNT211" s="260"/>
      <c r="GNU211" s="260"/>
      <c r="GNV211" s="260"/>
      <c r="GNW211" s="260"/>
      <c r="GNX211" s="308"/>
      <c r="GNY211" s="290"/>
      <c r="GNZ211" s="290"/>
      <c r="GOA211" s="260"/>
      <c r="GOB211" s="260"/>
      <c r="GOC211" s="260"/>
      <c r="GOD211" s="260"/>
      <c r="GOE211" s="260"/>
      <c r="GOF211" s="2"/>
      <c r="GOG211" s="2"/>
      <c r="GOH211" s="2"/>
      <c r="GOI211" s="2"/>
      <c r="GOJ211" s="2"/>
      <c r="GOK211" s="2"/>
      <c r="GOL211" s="260"/>
      <c r="GOM211" s="2"/>
      <c r="GON211" s="2"/>
      <c r="GOO211" s="2"/>
      <c r="GOP211" s="2"/>
      <c r="GOQ211" s="2"/>
      <c r="GOR211" s="2"/>
      <c r="GOS211" s="2"/>
      <c r="GOT211" s="260"/>
      <c r="GOU211" s="260"/>
      <c r="GOV211" s="260"/>
      <c r="GOW211" s="380"/>
      <c r="GOX211" s="380"/>
      <c r="GOY211" s="380"/>
      <c r="GOZ211" s="2"/>
      <c r="GPA211" s="442"/>
      <c r="GPB211" s="442"/>
      <c r="GPC211" s="443"/>
      <c r="GPD211" s="442"/>
      <c r="GPE211" s="442"/>
      <c r="GPF211" s="2"/>
      <c r="GPG211" s="2"/>
      <c r="GPH211" s="2"/>
      <c r="GPI211" s="2"/>
      <c r="GPJ211" s="260"/>
      <c r="GPK211" s="260"/>
      <c r="GPL211" s="260"/>
      <c r="GPM211" s="260"/>
      <c r="GPN211" s="260"/>
      <c r="GPO211" s="260"/>
      <c r="GPP211" s="308"/>
      <c r="GPQ211" s="290"/>
      <c r="GPR211" s="290"/>
      <c r="GPS211" s="260"/>
      <c r="GPT211" s="260"/>
      <c r="GPU211" s="260"/>
      <c r="GPV211" s="260"/>
      <c r="GPW211" s="260"/>
      <c r="GPX211" s="2"/>
      <c r="GPY211" s="2"/>
      <c r="GPZ211" s="2"/>
      <c r="GQA211" s="2"/>
      <c r="GQB211" s="2"/>
      <c r="GQC211" s="2"/>
      <c r="GQD211" s="260"/>
      <c r="GQE211" s="2"/>
      <c r="GQF211" s="2"/>
      <c r="GQG211" s="2"/>
      <c r="GQH211" s="2"/>
      <c r="GQI211" s="2"/>
      <c r="GQJ211" s="2"/>
      <c r="GQK211" s="2"/>
      <c r="GQL211" s="260"/>
      <c r="GQM211" s="260"/>
      <c r="GQN211" s="260"/>
      <c r="GQO211" s="380"/>
      <c r="GQP211" s="380"/>
      <c r="GQQ211" s="380"/>
      <c r="GQR211" s="2"/>
      <c r="GQS211" s="442"/>
      <c r="GQT211" s="442"/>
      <c r="GQU211" s="443"/>
      <c r="GQV211" s="442"/>
      <c r="GQW211" s="442"/>
      <c r="GQX211" s="2"/>
      <c r="GQY211" s="2"/>
      <c r="GQZ211" s="2"/>
      <c r="GRA211" s="2"/>
      <c r="GRB211" s="260"/>
      <c r="GRC211" s="260"/>
      <c r="GRD211" s="260"/>
      <c r="GRE211" s="260"/>
      <c r="GRF211" s="260"/>
      <c r="GRG211" s="260"/>
      <c r="GRH211" s="308"/>
      <c r="GRI211" s="290"/>
      <c r="GRJ211" s="290"/>
      <c r="GRK211" s="260"/>
      <c r="GRL211" s="260"/>
      <c r="GRM211" s="260"/>
      <c r="GRN211" s="260"/>
      <c r="GRO211" s="260"/>
      <c r="GRP211" s="2"/>
      <c r="GRQ211" s="2"/>
      <c r="GRR211" s="2"/>
      <c r="GRS211" s="2"/>
      <c r="GRT211" s="2"/>
      <c r="GRU211" s="2"/>
      <c r="GRV211" s="260"/>
      <c r="GRW211" s="2"/>
      <c r="GRX211" s="2"/>
      <c r="GRY211" s="2"/>
      <c r="GRZ211" s="2"/>
      <c r="GSA211" s="2"/>
      <c r="GSB211" s="2"/>
      <c r="GSC211" s="2"/>
      <c r="GSD211" s="260"/>
      <c r="GSE211" s="260"/>
      <c r="GSF211" s="260"/>
      <c r="GSG211" s="380"/>
      <c r="GSH211" s="380"/>
      <c r="GSI211" s="380"/>
      <c r="GSJ211" s="2"/>
      <c r="GSK211" s="442"/>
      <c r="GSL211" s="442"/>
      <c r="GSM211" s="443"/>
      <c r="GSN211" s="442"/>
      <c r="GSO211" s="442"/>
      <c r="GSP211" s="2"/>
      <c r="GSQ211" s="2"/>
      <c r="GSR211" s="2"/>
      <c r="GSS211" s="2"/>
      <c r="GST211" s="260"/>
      <c r="GSU211" s="260"/>
      <c r="GSV211" s="260"/>
      <c r="GSW211" s="260"/>
      <c r="GSX211" s="260"/>
      <c r="GSY211" s="260"/>
      <c r="GSZ211" s="308"/>
      <c r="GTA211" s="290"/>
      <c r="GTB211" s="290"/>
      <c r="GTC211" s="260"/>
      <c r="GTD211" s="260"/>
      <c r="GTE211" s="260"/>
      <c r="GTF211" s="260"/>
      <c r="GTG211" s="260"/>
      <c r="GTH211" s="2"/>
      <c r="GTI211" s="2"/>
      <c r="GTJ211" s="2"/>
      <c r="GTK211" s="2"/>
      <c r="GTL211" s="2"/>
      <c r="GTM211" s="2"/>
      <c r="GTN211" s="260"/>
      <c r="GTO211" s="2"/>
      <c r="GTP211" s="2"/>
      <c r="GTQ211" s="2"/>
      <c r="GTR211" s="2"/>
      <c r="GTS211" s="2"/>
      <c r="GTT211" s="2"/>
      <c r="GTU211" s="2"/>
      <c r="GTV211" s="260"/>
      <c r="GTW211" s="260"/>
      <c r="GTX211" s="260"/>
      <c r="GTY211" s="380"/>
      <c r="GTZ211" s="380"/>
      <c r="GUA211" s="380"/>
      <c r="GUB211" s="2"/>
      <c r="GUC211" s="442"/>
      <c r="GUD211" s="442"/>
      <c r="GUE211" s="443"/>
      <c r="GUF211" s="442"/>
      <c r="GUG211" s="442"/>
      <c r="GUH211" s="2"/>
      <c r="GUI211" s="2"/>
      <c r="GUJ211" s="2"/>
      <c r="GUK211" s="2"/>
      <c r="GUL211" s="260"/>
      <c r="GUM211" s="260"/>
      <c r="GUN211" s="260"/>
      <c r="GUO211" s="260"/>
      <c r="GUP211" s="260"/>
      <c r="GUQ211" s="260"/>
      <c r="GUR211" s="308"/>
      <c r="GUS211" s="290"/>
      <c r="GUT211" s="290"/>
      <c r="GUU211" s="260"/>
      <c r="GUV211" s="260"/>
      <c r="GUW211" s="260"/>
      <c r="GUX211" s="260"/>
      <c r="GUY211" s="260"/>
      <c r="GUZ211" s="2"/>
      <c r="GVA211" s="2"/>
      <c r="GVB211" s="2"/>
      <c r="GVC211" s="2"/>
      <c r="GVD211" s="2"/>
      <c r="GVE211" s="2"/>
      <c r="GVF211" s="260"/>
      <c r="GVG211" s="2"/>
      <c r="GVH211" s="2"/>
      <c r="GVI211" s="2"/>
      <c r="GVJ211" s="2"/>
      <c r="GVK211" s="2"/>
      <c r="GVL211" s="2"/>
      <c r="GVM211" s="2"/>
      <c r="GVN211" s="260"/>
      <c r="GVO211" s="260"/>
      <c r="GVP211" s="260"/>
      <c r="GVQ211" s="380"/>
      <c r="GVR211" s="380"/>
      <c r="GVS211" s="380"/>
      <c r="GVT211" s="2"/>
      <c r="GVU211" s="442"/>
      <c r="GVV211" s="442"/>
      <c r="GVW211" s="443"/>
      <c r="GVX211" s="442"/>
      <c r="GVY211" s="442"/>
      <c r="GVZ211" s="2"/>
      <c r="GWA211" s="2"/>
      <c r="GWB211" s="2"/>
      <c r="GWC211" s="2"/>
      <c r="GWD211" s="260"/>
      <c r="GWE211" s="260"/>
      <c r="GWF211" s="260"/>
      <c r="GWG211" s="260"/>
      <c r="GWH211" s="260"/>
      <c r="GWI211" s="260"/>
      <c r="GWJ211" s="308"/>
      <c r="GWK211" s="290"/>
      <c r="GWL211" s="290"/>
      <c r="GWM211" s="260"/>
      <c r="GWN211" s="260"/>
      <c r="GWO211" s="260"/>
      <c r="GWP211" s="260"/>
      <c r="GWQ211" s="260"/>
      <c r="GWR211" s="2"/>
      <c r="GWS211" s="2"/>
      <c r="GWT211" s="2"/>
      <c r="GWU211" s="2"/>
      <c r="GWV211" s="2"/>
      <c r="GWW211" s="2"/>
      <c r="GWX211" s="260"/>
      <c r="GWY211" s="2"/>
      <c r="GWZ211" s="2"/>
      <c r="GXA211" s="2"/>
      <c r="GXB211" s="2"/>
      <c r="GXC211" s="2"/>
      <c r="GXD211" s="2"/>
      <c r="GXE211" s="2"/>
      <c r="GXF211" s="260"/>
      <c r="GXG211" s="260"/>
      <c r="GXH211" s="260"/>
      <c r="GXI211" s="380"/>
      <c r="GXJ211" s="380"/>
      <c r="GXK211" s="380"/>
      <c r="GXL211" s="2"/>
      <c r="GXM211" s="442"/>
      <c r="GXN211" s="442"/>
      <c r="GXO211" s="443"/>
      <c r="GXP211" s="442"/>
      <c r="GXQ211" s="442"/>
      <c r="GXR211" s="2"/>
      <c r="GXS211" s="2"/>
      <c r="GXT211" s="2"/>
      <c r="GXU211" s="2"/>
      <c r="GXV211" s="260"/>
      <c r="GXW211" s="260"/>
      <c r="GXX211" s="260"/>
      <c r="GXY211" s="260"/>
      <c r="GXZ211" s="260"/>
      <c r="GYA211" s="260"/>
      <c r="GYB211" s="308"/>
      <c r="GYC211" s="290"/>
      <c r="GYD211" s="290"/>
      <c r="GYE211" s="260"/>
      <c r="GYF211" s="260"/>
      <c r="GYG211" s="260"/>
      <c r="GYH211" s="260"/>
      <c r="GYI211" s="260"/>
      <c r="GYJ211" s="2"/>
      <c r="GYK211" s="2"/>
      <c r="GYL211" s="2"/>
      <c r="GYM211" s="2"/>
      <c r="GYN211" s="2"/>
      <c r="GYO211" s="2"/>
      <c r="GYP211" s="260"/>
      <c r="GYQ211" s="2"/>
      <c r="GYR211" s="2"/>
      <c r="GYS211" s="2"/>
      <c r="GYT211" s="2"/>
      <c r="GYU211" s="2"/>
      <c r="GYV211" s="2"/>
      <c r="GYW211" s="2"/>
      <c r="GYX211" s="260"/>
      <c r="GYY211" s="260"/>
      <c r="GYZ211" s="260"/>
      <c r="GZA211" s="380"/>
      <c r="GZB211" s="380"/>
      <c r="GZC211" s="380"/>
      <c r="GZD211" s="2"/>
      <c r="GZE211" s="442"/>
      <c r="GZF211" s="442"/>
      <c r="GZG211" s="443"/>
      <c r="GZH211" s="442"/>
      <c r="GZI211" s="442"/>
      <c r="GZJ211" s="2"/>
      <c r="GZK211" s="2"/>
      <c r="GZL211" s="2"/>
      <c r="GZM211" s="2"/>
      <c r="GZN211" s="260"/>
      <c r="GZO211" s="260"/>
      <c r="GZP211" s="260"/>
      <c r="GZQ211" s="260"/>
      <c r="GZR211" s="260"/>
      <c r="GZS211" s="260"/>
      <c r="GZT211" s="308"/>
      <c r="GZU211" s="290"/>
      <c r="GZV211" s="290"/>
      <c r="GZW211" s="260"/>
      <c r="GZX211" s="260"/>
      <c r="GZY211" s="260"/>
      <c r="GZZ211" s="260"/>
      <c r="HAA211" s="260"/>
      <c r="HAB211" s="2"/>
      <c r="HAC211" s="2"/>
      <c r="HAD211" s="2"/>
      <c r="HAE211" s="2"/>
      <c r="HAF211" s="2"/>
      <c r="HAG211" s="2"/>
      <c r="HAH211" s="260"/>
      <c r="HAI211" s="2"/>
      <c r="HAJ211" s="2"/>
      <c r="HAK211" s="2"/>
      <c r="HAL211" s="2"/>
      <c r="HAM211" s="2"/>
      <c r="HAN211" s="2"/>
      <c r="HAO211" s="2"/>
      <c r="HAP211" s="260"/>
      <c r="HAQ211" s="260"/>
      <c r="HAR211" s="260"/>
      <c r="HAS211" s="380"/>
      <c r="HAT211" s="380"/>
      <c r="HAU211" s="380"/>
      <c r="HAV211" s="2"/>
      <c r="HAW211" s="442"/>
      <c r="HAX211" s="442"/>
      <c r="HAY211" s="443"/>
      <c r="HAZ211" s="442"/>
      <c r="HBA211" s="442"/>
      <c r="HBB211" s="2"/>
      <c r="HBC211" s="2"/>
      <c r="HBD211" s="2"/>
      <c r="HBE211" s="2"/>
      <c r="HBF211" s="260"/>
      <c r="HBG211" s="260"/>
      <c r="HBH211" s="260"/>
      <c r="HBI211" s="260"/>
      <c r="HBJ211" s="260"/>
      <c r="HBK211" s="260"/>
      <c r="HBL211" s="308"/>
      <c r="HBM211" s="290"/>
      <c r="HBN211" s="290"/>
      <c r="HBO211" s="260"/>
      <c r="HBP211" s="260"/>
      <c r="HBQ211" s="260"/>
      <c r="HBR211" s="260"/>
      <c r="HBS211" s="260"/>
      <c r="HBT211" s="2"/>
      <c r="HBU211" s="2"/>
      <c r="HBV211" s="2"/>
      <c r="HBW211" s="2"/>
      <c r="HBX211" s="2"/>
      <c r="HBY211" s="2"/>
      <c r="HBZ211" s="260"/>
      <c r="HCA211" s="2"/>
      <c r="HCB211" s="2"/>
      <c r="HCC211" s="2"/>
      <c r="HCD211" s="2"/>
      <c r="HCE211" s="2"/>
      <c r="HCF211" s="2"/>
      <c r="HCG211" s="2"/>
      <c r="HCH211" s="260"/>
      <c r="HCI211" s="260"/>
      <c r="HCJ211" s="260"/>
      <c r="HCK211" s="380"/>
      <c r="HCL211" s="380"/>
      <c r="HCM211" s="380"/>
      <c r="HCN211" s="2"/>
      <c r="HCO211" s="442"/>
      <c r="HCP211" s="442"/>
      <c r="HCQ211" s="443"/>
      <c r="HCR211" s="442"/>
      <c r="HCS211" s="442"/>
      <c r="HCT211" s="2"/>
      <c r="HCU211" s="2"/>
      <c r="HCV211" s="2"/>
      <c r="HCW211" s="2"/>
      <c r="HCX211" s="260"/>
      <c r="HCY211" s="260"/>
      <c r="HCZ211" s="260"/>
      <c r="HDA211" s="260"/>
      <c r="HDB211" s="260"/>
      <c r="HDC211" s="260"/>
      <c r="HDD211" s="308"/>
      <c r="HDE211" s="290"/>
      <c r="HDF211" s="290"/>
      <c r="HDG211" s="260"/>
      <c r="HDH211" s="260"/>
      <c r="HDI211" s="260"/>
      <c r="HDJ211" s="260"/>
      <c r="HDK211" s="260"/>
      <c r="HDL211" s="2"/>
      <c r="HDM211" s="2"/>
      <c r="HDN211" s="2"/>
      <c r="HDO211" s="2"/>
      <c r="HDP211" s="2"/>
      <c r="HDQ211" s="2"/>
      <c r="HDR211" s="260"/>
      <c r="HDS211" s="2"/>
      <c r="HDT211" s="2"/>
      <c r="HDU211" s="2"/>
      <c r="HDV211" s="2"/>
      <c r="HDW211" s="2"/>
      <c r="HDX211" s="2"/>
      <c r="HDY211" s="2"/>
      <c r="HDZ211" s="260"/>
      <c r="HEA211" s="260"/>
      <c r="HEB211" s="260"/>
      <c r="HEC211" s="380"/>
      <c r="HED211" s="380"/>
      <c r="HEE211" s="380"/>
      <c r="HEF211" s="2"/>
      <c r="HEG211" s="442"/>
      <c r="HEH211" s="442"/>
      <c r="HEI211" s="443"/>
      <c r="HEJ211" s="442"/>
      <c r="HEK211" s="442"/>
      <c r="HEL211" s="2"/>
      <c r="HEM211" s="2"/>
      <c r="HEN211" s="2"/>
      <c r="HEO211" s="2"/>
      <c r="HEP211" s="260"/>
      <c r="HEQ211" s="260"/>
      <c r="HER211" s="260"/>
      <c r="HES211" s="260"/>
      <c r="HET211" s="260"/>
      <c r="HEU211" s="260"/>
      <c r="HEV211" s="308"/>
      <c r="HEW211" s="290"/>
      <c r="HEX211" s="290"/>
      <c r="HEY211" s="260"/>
      <c r="HEZ211" s="260"/>
      <c r="HFA211" s="260"/>
      <c r="HFB211" s="260"/>
      <c r="HFC211" s="260"/>
      <c r="HFD211" s="2"/>
      <c r="HFE211" s="2"/>
      <c r="HFF211" s="2"/>
      <c r="HFG211" s="2"/>
      <c r="HFH211" s="2"/>
      <c r="HFI211" s="2"/>
      <c r="HFJ211" s="260"/>
      <c r="HFK211" s="2"/>
      <c r="HFL211" s="2"/>
      <c r="HFM211" s="2"/>
      <c r="HFN211" s="2"/>
      <c r="HFO211" s="2"/>
      <c r="HFP211" s="2"/>
      <c r="HFQ211" s="2"/>
      <c r="HFR211" s="260"/>
      <c r="HFS211" s="260"/>
      <c r="HFT211" s="260"/>
      <c r="HFU211" s="380"/>
      <c r="HFV211" s="380"/>
      <c r="HFW211" s="380"/>
      <c r="HFX211" s="2"/>
      <c r="HFY211" s="442"/>
      <c r="HFZ211" s="442"/>
      <c r="HGA211" s="443"/>
      <c r="HGB211" s="442"/>
      <c r="HGC211" s="442"/>
      <c r="HGD211" s="2"/>
      <c r="HGE211" s="2"/>
      <c r="HGF211" s="2"/>
      <c r="HGG211" s="2"/>
      <c r="HGH211" s="260"/>
      <c r="HGI211" s="260"/>
      <c r="HGJ211" s="260"/>
      <c r="HGK211" s="260"/>
      <c r="HGL211" s="260"/>
      <c r="HGM211" s="260"/>
      <c r="HGN211" s="308"/>
      <c r="HGO211" s="290"/>
      <c r="HGP211" s="290"/>
      <c r="HGQ211" s="260"/>
      <c r="HGR211" s="260"/>
      <c r="HGS211" s="260"/>
      <c r="HGT211" s="260"/>
      <c r="HGU211" s="260"/>
      <c r="HGV211" s="2"/>
      <c r="HGW211" s="2"/>
      <c r="HGX211" s="2"/>
      <c r="HGY211" s="2"/>
      <c r="HGZ211" s="2"/>
      <c r="HHA211" s="2"/>
      <c r="HHB211" s="260"/>
      <c r="HHC211" s="2"/>
      <c r="HHD211" s="2"/>
      <c r="HHE211" s="2"/>
      <c r="HHF211" s="2"/>
      <c r="HHG211" s="2"/>
      <c r="HHH211" s="2"/>
      <c r="HHI211" s="2"/>
      <c r="HHJ211" s="260"/>
      <c r="HHK211" s="260"/>
      <c r="HHL211" s="260"/>
      <c r="HHM211" s="380"/>
      <c r="HHN211" s="380"/>
      <c r="HHO211" s="380"/>
      <c r="HHP211" s="2"/>
      <c r="HHQ211" s="442"/>
      <c r="HHR211" s="442"/>
      <c r="HHS211" s="443"/>
      <c r="HHT211" s="442"/>
      <c r="HHU211" s="442"/>
      <c r="HHV211" s="2"/>
      <c r="HHW211" s="2"/>
      <c r="HHX211" s="2"/>
      <c r="HHY211" s="2"/>
      <c r="HHZ211" s="260"/>
      <c r="HIA211" s="260"/>
      <c r="HIB211" s="260"/>
      <c r="HIC211" s="260"/>
      <c r="HID211" s="260"/>
      <c r="HIE211" s="260"/>
      <c r="HIF211" s="308"/>
      <c r="HIG211" s="290"/>
      <c r="HIH211" s="290"/>
      <c r="HII211" s="260"/>
      <c r="HIJ211" s="260"/>
      <c r="HIK211" s="260"/>
      <c r="HIL211" s="260"/>
      <c r="HIM211" s="260"/>
      <c r="HIN211" s="2"/>
      <c r="HIO211" s="2"/>
      <c r="HIP211" s="2"/>
      <c r="HIQ211" s="2"/>
      <c r="HIR211" s="2"/>
      <c r="HIS211" s="2"/>
      <c r="HIT211" s="260"/>
      <c r="HIU211" s="2"/>
      <c r="HIV211" s="2"/>
      <c r="HIW211" s="2"/>
      <c r="HIX211" s="2"/>
      <c r="HIY211" s="2"/>
      <c r="HIZ211" s="2"/>
      <c r="HJA211" s="2"/>
      <c r="HJB211" s="260"/>
      <c r="HJC211" s="260"/>
      <c r="HJD211" s="260"/>
      <c r="HJE211" s="380"/>
      <c r="HJF211" s="380"/>
      <c r="HJG211" s="380"/>
      <c r="HJH211" s="2"/>
      <c r="HJI211" s="442"/>
      <c r="HJJ211" s="442"/>
      <c r="HJK211" s="443"/>
      <c r="HJL211" s="442"/>
      <c r="HJM211" s="442"/>
      <c r="HJN211" s="2"/>
      <c r="HJO211" s="2"/>
      <c r="HJP211" s="2"/>
      <c r="HJQ211" s="2"/>
      <c r="HJR211" s="260"/>
      <c r="HJS211" s="260"/>
      <c r="HJT211" s="260"/>
      <c r="HJU211" s="260"/>
      <c r="HJV211" s="260"/>
      <c r="HJW211" s="260"/>
      <c r="HJX211" s="308"/>
      <c r="HJY211" s="290"/>
      <c r="HJZ211" s="290"/>
      <c r="HKA211" s="260"/>
      <c r="HKB211" s="260"/>
      <c r="HKC211" s="260"/>
      <c r="HKD211" s="260"/>
      <c r="HKE211" s="260"/>
      <c r="HKF211" s="2"/>
      <c r="HKG211" s="2"/>
      <c r="HKH211" s="2"/>
      <c r="HKI211" s="2"/>
      <c r="HKJ211" s="2"/>
      <c r="HKK211" s="2"/>
      <c r="HKL211" s="260"/>
      <c r="HKM211" s="2"/>
      <c r="HKN211" s="2"/>
      <c r="HKO211" s="2"/>
      <c r="HKP211" s="2"/>
      <c r="HKQ211" s="2"/>
      <c r="HKR211" s="2"/>
      <c r="HKS211" s="2"/>
      <c r="HKT211" s="260"/>
      <c r="HKU211" s="260"/>
      <c r="HKV211" s="260"/>
      <c r="HKW211" s="380"/>
      <c r="HKX211" s="380"/>
      <c r="HKY211" s="380"/>
      <c r="HKZ211" s="2"/>
      <c r="HLA211" s="442"/>
      <c r="HLB211" s="442"/>
      <c r="HLC211" s="443"/>
      <c r="HLD211" s="442"/>
      <c r="HLE211" s="442"/>
      <c r="HLF211" s="2"/>
      <c r="HLG211" s="2"/>
      <c r="HLH211" s="2"/>
      <c r="HLI211" s="2"/>
      <c r="HLJ211" s="260"/>
      <c r="HLK211" s="260"/>
      <c r="HLL211" s="260"/>
      <c r="HLM211" s="260"/>
      <c r="HLN211" s="260"/>
      <c r="HLO211" s="260"/>
      <c r="HLP211" s="308"/>
      <c r="HLQ211" s="290"/>
      <c r="HLR211" s="290"/>
      <c r="HLS211" s="260"/>
      <c r="HLT211" s="260"/>
      <c r="HLU211" s="260"/>
      <c r="HLV211" s="260"/>
      <c r="HLW211" s="260"/>
      <c r="HLX211" s="2"/>
      <c r="HLY211" s="2"/>
      <c r="HLZ211" s="2"/>
      <c r="HMA211" s="2"/>
      <c r="HMB211" s="2"/>
      <c r="HMC211" s="2"/>
      <c r="HMD211" s="260"/>
      <c r="HME211" s="2"/>
      <c r="HMF211" s="2"/>
      <c r="HMG211" s="2"/>
      <c r="HMH211" s="2"/>
      <c r="HMI211" s="2"/>
      <c r="HMJ211" s="2"/>
      <c r="HMK211" s="2"/>
      <c r="HML211" s="260"/>
      <c r="HMM211" s="260"/>
      <c r="HMN211" s="260"/>
      <c r="HMO211" s="380"/>
      <c r="HMP211" s="380"/>
      <c r="HMQ211" s="380"/>
      <c r="HMR211" s="2"/>
      <c r="HMS211" s="442"/>
      <c r="HMT211" s="442"/>
      <c r="HMU211" s="443"/>
      <c r="HMV211" s="442"/>
      <c r="HMW211" s="442"/>
      <c r="HMX211" s="2"/>
      <c r="HMY211" s="2"/>
      <c r="HMZ211" s="2"/>
      <c r="HNA211" s="2"/>
      <c r="HNB211" s="260"/>
      <c r="HNC211" s="260"/>
      <c r="HND211" s="260"/>
      <c r="HNE211" s="260"/>
      <c r="HNF211" s="260"/>
      <c r="HNG211" s="260"/>
      <c r="HNH211" s="308"/>
      <c r="HNI211" s="290"/>
      <c r="HNJ211" s="290"/>
      <c r="HNK211" s="260"/>
      <c r="HNL211" s="260"/>
      <c r="HNM211" s="260"/>
      <c r="HNN211" s="260"/>
      <c r="HNO211" s="260"/>
      <c r="HNP211" s="2"/>
      <c r="HNQ211" s="2"/>
      <c r="HNR211" s="2"/>
      <c r="HNS211" s="2"/>
      <c r="HNT211" s="2"/>
      <c r="HNU211" s="2"/>
      <c r="HNV211" s="260"/>
      <c r="HNW211" s="2"/>
      <c r="HNX211" s="2"/>
      <c r="HNY211" s="2"/>
      <c r="HNZ211" s="2"/>
      <c r="HOA211" s="2"/>
      <c r="HOB211" s="2"/>
      <c r="HOC211" s="2"/>
      <c r="HOD211" s="260"/>
      <c r="HOE211" s="260"/>
      <c r="HOF211" s="260"/>
      <c r="HOG211" s="380"/>
      <c r="HOH211" s="380"/>
      <c r="HOI211" s="380"/>
      <c r="HOJ211" s="2"/>
      <c r="HOK211" s="442"/>
      <c r="HOL211" s="442"/>
      <c r="HOM211" s="443"/>
      <c r="HON211" s="442"/>
      <c r="HOO211" s="442"/>
      <c r="HOP211" s="2"/>
      <c r="HOQ211" s="2"/>
      <c r="HOR211" s="2"/>
      <c r="HOS211" s="2"/>
      <c r="HOT211" s="260"/>
      <c r="HOU211" s="260"/>
      <c r="HOV211" s="260"/>
      <c r="HOW211" s="260"/>
      <c r="HOX211" s="260"/>
      <c r="HOY211" s="260"/>
      <c r="HOZ211" s="308"/>
      <c r="HPA211" s="290"/>
      <c r="HPB211" s="290"/>
      <c r="HPC211" s="260"/>
      <c r="HPD211" s="260"/>
      <c r="HPE211" s="260"/>
      <c r="HPF211" s="260"/>
      <c r="HPG211" s="260"/>
      <c r="HPH211" s="2"/>
      <c r="HPI211" s="2"/>
      <c r="HPJ211" s="2"/>
      <c r="HPK211" s="2"/>
      <c r="HPL211" s="2"/>
      <c r="HPM211" s="2"/>
      <c r="HPN211" s="260"/>
      <c r="HPO211" s="2"/>
      <c r="HPP211" s="2"/>
      <c r="HPQ211" s="2"/>
      <c r="HPR211" s="2"/>
      <c r="HPS211" s="2"/>
      <c r="HPT211" s="2"/>
      <c r="HPU211" s="2"/>
      <c r="HPV211" s="260"/>
      <c r="HPW211" s="260"/>
      <c r="HPX211" s="260"/>
      <c r="HPY211" s="380"/>
      <c r="HPZ211" s="380"/>
      <c r="HQA211" s="380"/>
      <c r="HQB211" s="2"/>
      <c r="HQC211" s="442"/>
      <c r="HQD211" s="442"/>
      <c r="HQE211" s="443"/>
      <c r="HQF211" s="442"/>
      <c r="HQG211" s="442"/>
      <c r="HQH211" s="2"/>
      <c r="HQI211" s="2"/>
      <c r="HQJ211" s="2"/>
      <c r="HQK211" s="2"/>
      <c r="HQL211" s="260"/>
      <c r="HQM211" s="260"/>
      <c r="HQN211" s="260"/>
      <c r="HQO211" s="260"/>
      <c r="HQP211" s="260"/>
      <c r="HQQ211" s="260"/>
      <c r="HQR211" s="308"/>
      <c r="HQS211" s="290"/>
      <c r="HQT211" s="290"/>
      <c r="HQU211" s="260"/>
      <c r="HQV211" s="260"/>
      <c r="HQW211" s="260"/>
      <c r="HQX211" s="260"/>
      <c r="HQY211" s="260"/>
      <c r="HQZ211" s="2"/>
      <c r="HRA211" s="2"/>
      <c r="HRB211" s="2"/>
      <c r="HRC211" s="2"/>
      <c r="HRD211" s="2"/>
      <c r="HRE211" s="2"/>
      <c r="HRF211" s="260"/>
      <c r="HRG211" s="2"/>
      <c r="HRH211" s="2"/>
      <c r="HRI211" s="2"/>
      <c r="HRJ211" s="2"/>
      <c r="HRK211" s="2"/>
      <c r="HRL211" s="2"/>
      <c r="HRM211" s="2"/>
      <c r="HRN211" s="260"/>
      <c r="HRO211" s="260"/>
      <c r="HRP211" s="260"/>
      <c r="HRQ211" s="380"/>
      <c r="HRR211" s="380"/>
      <c r="HRS211" s="380"/>
      <c r="HRT211" s="2"/>
      <c r="HRU211" s="442"/>
      <c r="HRV211" s="442"/>
      <c r="HRW211" s="443"/>
      <c r="HRX211" s="442"/>
      <c r="HRY211" s="442"/>
      <c r="HRZ211" s="2"/>
      <c r="HSA211" s="2"/>
      <c r="HSB211" s="2"/>
      <c r="HSC211" s="2"/>
      <c r="HSD211" s="260"/>
      <c r="HSE211" s="260"/>
      <c r="HSF211" s="260"/>
      <c r="HSG211" s="260"/>
      <c r="HSH211" s="260"/>
      <c r="HSI211" s="260"/>
      <c r="HSJ211" s="308"/>
      <c r="HSK211" s="290"/>
      <c r="HSL211" s="290"/>
      <c r="HSM211" s="260"/>
      <c r="HSN211" s="260"/>
      <c r="HSO211" s="260"/>
      <c r="HSP211" s="260"/>
      <c r="HSQ211" s="260"/>
      <c r="HSR211" s="2"/>
      <c r="HSS211" s="2"/>
      <c r="HST211" s="2"/>
      <c r="HSU211" s="2"/>
      <c r="HSV211" s="2"/>
      <c r="HSW211" s="2"/>
      <c r="HSX211" s="260"/>
      <c r="HSY211" s="2"/>
      <c r="HSZ211" s="2"/>
      <c r="HTA211" s="2"/>
      <c r="HTB211" s="2"/>
      <c r="HTC211" s="2"/>
      <c r="HTD211" s="2"/>
      <c r="HTE211" s="2"/>
      <c r="HTF211" s="260"/>
      <c r="HTG211" s="260"/>
      <c r="HTH211" s="260"/>
      <c r="HTI211" s="380"/>
      <c r="HTJ211" s="380"/>
      <c r="HTK211" s="380"/>
      <c r="HTL211" s="2"/>
      <c r="HTM211" s="442"/>
      <c r="HTN211" s="442"/>
      <c r="HTO211" s="443"/>
      <c r="HTP211" s="442"/>
      <c r="HTQ211" s="442"/>
      <c r="HTR211" s="2"/>
      <c r="HTS211" s="2"/>
      <c r="HTT211" s="2"/>
      <c r="HTU211" s="2"/>
      <c r="HTV211" s="260"/>
      <c r="HTW211" s="260"/>
      <c r="HTX211" s="260"/>
      <c r="HTY211" s="260"/>
      <c r="HTZ211" s="260"/>
      <c r="HUA211" s="260"/>
      <c r="HUB211" s="308"/>
      <c r="HUC211" s="290"/>
      <c r="HUD211" s="290"/>
      <c r="HUE211" s="260"/>
      <c r="HUF211" s="260"/>
      <c r="HUG211" s="260"/>
      <c r="HUH211" s="260"/>
      <c r="HUI211" s="260"/>
      <c r="HUJ211" s="2"/>
      <c r="HUK211" s="2"/>
      <c r="HUL211" s="2"/>
      <c r="HUM211" s="2"/>
      <c r="HUN211" s="2"/>
      <c r="HUO211" s="2"/>
      <c r="HUP211" s="260"/>
      <c r="HUQ211" s="2"/>
      <c r="HUR211" s="2"/>
      <c r="HUS211" s="2"/>
      <c r="HUT211" s="2"/>
      <c r="HUU211" s="2"/>
      <c r="HUV211" s="2"/>
      <c r="HUW211" s="2"/>
      <c r="HUX211" s="260"/>
      <c r="HUY211" s="260"/>
      <c r="HUZ211" s="260"/>
      <c r="HVA211" s="380"/>
      <c r="HVB211" s="380"/>
      <c r="HVC211" s="380"/>
      <c r="HVD211" s="2"/>
      <c r="HVE211" s="442"/>
      <c r="HVF211" s="442"/>
      <c r="HVG211" s="443"/>
      <c r="HVH211" s="442"/>
      <c r="HVI211" s="442"/>
      <c r="HVJ211" s="2"/>
      <c r="HVK211" s="2"/>
      <c r="HVL211" s="2"/>
      <c r="HVM211" s="2"/>
      <c r="HVN211" s="260"/>
      <c r="HVO211" s="260"/>
      <c r="HVP211" s="260"/>
      <c r="HVQ211" s="260"/>
      <c r="HVR211" s="260"/>
      <c r="HVS211" s="260"/>
      <c r="HVT211" s="308"/>
      <c r="HVU211" s="290"/>
      <c r="HVV211" s="290"/>
      <c r="HVW211" s="260"/>
      <c r="HVX211" s="260"/>
      <c r="HVY211" s="260"/>
      <c r="HVZ211" s="260"/>
      <c r="HWA211" s="260"/>
      <c r="HWB211" s="2"/>
      <c r="HWC211" s="2"/>
      <c r="HWD211" s="2"/>
      <c r="HWE211" s="2"/>
      <c r="HWF211" s="2"/>
      <c r="HWG211" s="2"/>
      <c r="HWH211" s="260"/>
      <c r="HWI211" s="2"/>
      <c r="HWJ211" s="2"/>
      <c r="HWK211" s="2"/>
      <c r="HWL211" s="2"/>
      <c r="HWM211" s="2"/>
      <c r="HWN211" s="2"/>
      <c r="HWO211" s="2"/>
      <c r="HWP211" s="260"/>
      <c r="HWQ211" s="260"/>
      <c r="HWR211" s="260"/>
      <c r="HWS211" s="380"/>
      <c r="HWT211" s="380"/>
      <c r="HWU211" s="380"/>
      <c r="HWV211" s="2"/>
      <c r="HWW211" s="442"/>
      <c r="HWX211" s="442"/>
      <c r="HWY211" s="443"/>
      <c r="HWZ211" s="442"/>
      <c r="HXA211" s="442"/>
      <c r="HXB211" s="2"/>
      <c r="HXC211" s="2"/>
      <c r="HXD211" s="2"/>
      <c r="HXE211" s="2"/>
      <c r="HXF211" s="260"/>
      <c r="HXG211" s="260"/>
      <c r="HXH211" s="260"/>
      <c r="HXI211" s="260"/>
      <c r="HXJ211" s="260"/>
      <c r="HXK211" s="260"/>
      <c r="HXL211" s="308"/>
      <c r="HXM211" s="290"/>
      <c r="HXN211" s="290"/>
      <c r="HXO211" s="260"/>
      <c r="HXP211" s="260"/>
      <c r="HXQ211" s="260"/>
      <c r="HXR211" s="260"/>
      <c r="HXS211" s="260"/>
      <c r="HXT211" s="2"/>
      <c r="HXU211" s="2"/>
      <c r="HXV211" s="2"/>
      <c r="HXW211" s="2"/>
      <c r="HXX211" s="2"/>
      <c r="HXY211" s="2"/>
      <c r="HXZ211" s="260"/>
      <c r="HYA211" s="2"/>
      <c r="HYB211" s="2"/>
      <c r="HYC211" s="2"/>
      <c r="HYD211" s="2"/>
      <c r="HYE211" s="2"/>
      <c r="HYF211" s="2"/>
      <c r="HYG211" s="2"/>
      <c r="HYH211" s="260"/>
      <c r="HYI211" s="260"/>
      <c r="HYJ211" s="260"/>
      <c r="HYK211" s="380"/>
      <c r="HYL211" s="380"/>
      <c r="HYM211" s="380"/>
      <c r="HYN211" s="2"/>
      <c r="HYO211" s="442"/>
      <c r="HYP211" s="442"/>
      <c r="HYQ211" s="443"/>
      <c r="HYR211" s="442"/>
      <c r="HYS211" s="442"/>
      <c r="HYT211" s="2"/>
      <c r="HYU211" s="2"/>
      <c r="HYV211" s="2"/>
      <c r="HYW211" s="2"/>
      <c r="HYX211" s="260"/>
      <c r="HYY211" s="260"/>
      <c r="HYZ211" s="260"/>
      <c r="HZA211" s="260"/>
      <c r="HZB211" s="260"/>
      <c r="HZC211" s="260"/>
      <c r="HZD211" s="308"/>
      <c r="HZE211" s="290"/>
      <c r="HZF211" s="290"/>
      <c r="HZG211" s="260"/>
      <c r="HZH211" s="260"/>
      <c r="HZI211" s="260"/>
      <c r="HZJ211" s="260"/>
      <c r="HZK211" s="260"/>
      <c r="HZL211" s="2"/>
      <c r="HZM211" s="2"/>
      <c r="HZN211" s="2"/>
      <c r="HZO211" s="2"/>
      <c r="HZP211" s="2"/>
      <c r="HZQ211" s="2"/>
      <c r="HZR211" s="260"/>
      <c r="HZS211" s="2"/>
      <c r="HZT211" s="2"/>
      <c r="HZU211" s="2"/>
      <c r="HZV211" s="2"/>
      <c r="HZW211" s="2"/>
      <c r="HZX211" s="2"/>
      <c r="HZY211" s="2"/>
      <c r="HZZ211" s="260"/>
      <c r="IAA211" s="260"/>
      <c r="IAB211" s="260"/>
      <c r="IAC211" s="380"/>
      <c r="IAD211" s="380"/>
      <c r="IAE211" s="380"/>
      <c r="IAF211" s="2"/>
      <c r="IAG211" s="442"/>
      <c r="IAH211" s="442"/>
      <c r="IAI211" s="443"/>
      <c r="IAJ211" s="442"/>
      <c r="IAK211" s="442"/>
      <c r="IAL211" s="2"/>
      <c r="IAM211" s="2"/>
      <c r="IAN211" s="2"/>
      <c r="IAO211" s="2"/>
      <c r="IAP211" s="260"/>
      <c r="IAQ211" s="260"/>
      <c r="IAR211" s="260"/>
      <c r="IAS211" s="260"/>
      <c r="IAT211" s="260"/>
      <c r="IAU211" s="260"/>
      <c r="IAV211" s="308"/>
      <c r="IAW211" s="290"/>
      <c r="IAX211" s="290"/>
      <c r="IAY211" s="260"/>
      <c r="IAZ211" s="260"/>
      <c r="IBA211" s="260"/>
      <c r="IBB211" s="260"/>
      <c r="IBC211" s="260"/>
      <c r="IBD211" s="2"/>
      <c r="IBE211" s="2"/>
      <c r="IBF211" s="2"/>
      <c r="IBG211" s="2"/>
      <c r="IBH211" s="2"/>
      <c r="IBI211" s="2"/>
      <c r="IBJ211" s="260"/>
      <c r="IBK211" s="2"/>
      <c r="IBL211" s="2"/>
      <c r="IBM211" s="2"/>
      <c r="IBN211" s="2"/>
      <c r="IBO211" s="2"/>
      <c r="IBP211" s="2"/>
      <c r="IBQ211" s="2"/>
      <c r="IBR211" s="260"/>
      <c r="IBS211" s="260"/>
      <c r="IBT211" s="260"/>
      <c r="IBU211" s="380"/>
      <c r="IBV211" s="380"/>
      <c r="IBW211" s="380"/>
      <c r="IBX211" s="2"/>
      <c r="IBY211" s="442"/>
      <c r="IBZ211" s="442"/>
      <c r="ICA211" s="443"/>
      <c r="ICB211" s="442"/>
      <c r="ICC211" s="442"/>
      <c r="ICD211" s="2"/>
      <c r="ICE211" s="2"/>
      <c r="ICF211" s="2"/>
      <c r="ICG211" s="2"/>
      <c r="ICH211" s="260"/>
      <c r="ICI211" s="260"/>
      <c r="ICJ211" s="260"/>
      <c r="ICK211" s="260"/>
      <c r="ICL211" s="260"/>
      <c r="ICM211" s="260"/>
      <c r="ICN211" s="308"/>
      <c r="ICO211" s="290"/>
      <c r="ICP211" s="290"/>
      <c r="ICQ211" s="260"/>
      <c r="ICR211" s="260"/>
      <c r="ICS211" s="260"/>
      <c r="ICT211" s="260"/>
      <c r="ICU211" s="260"/>
      <c r="ICV211" s="2"/>
      <c r="ICW211" s="2"/>
      <c r="ICX211" s="2"/>
      <c r="ICY211" s="2"/>
      <c r="ICZ211" s="2"/>
      <c r="IDA211" s="2"/>
      <c r="IDB211" s="260"/>
      <c r="IDC211" s="2"/>
      <c r="IDD211" s="2"/>
      <c r="IDE211" s="2"/>
      <c r="IDF211" s="2"/>
      <c r="IDG211" s="2"/>
      <c r="IDH211" s="2"/>
      <c r="IDI211" s="2"/>
      <c r="IDJ211" s="260"/>
      <c r="IDK211" s="260"/>
      <c r="IDL211" s="260"/>
      <c r="IDM211" s="380"/>
      <c r="IDN211" s="380"/>
      <c r="IDO211" s="380"/>
      <c r="IDP211" s="2"/>
      <c r="IDQ211" s="442"/>
      <c r="IDR211" s="442"/>
      <c r="IDS211" s="443"/>
      <c r="IDT211" s="442"/>
      <c r="IDU211" s="442"/>
      <c r="IDV211" s="2"/>
      <c r="IDW211" s="2"/>
      <c r="IDX211" s="2"/>
      <c r="IDY211" s="2"/>
      <c r="IDZ211" s="260"/>
      <c r="IEA211" s="260"/>
      <c r="IEB211" s="260"/>
      <c r="IEC211" s="260"/>
      <c r="IED211" s="260"/>
      <c r="IEE211" s="260"/>
      <c r="IEF211" s="308"/>
      <c r="IEG211" s="290"/>
      <c r="IEH211" s="290"/>
      <c r="IEI211" s="260"/>
      <c r="IEJ211" s="260"/>
      <c r="IEK211" s="260"/>
      <c r="IEL211" s="260"/>
      <c r="IEM211" s="260"/>
      <c r="IEN211" s="2"/>
      <c r="IEO211" s="2"/>
      <c r="IEP211" s="2"/>
      <c r="IEQ211" s="2"/>
      <c r="IER211" s="2"/>
      <c r="IES211" s="2"/>
      <c r="IET211" s="260"/>
      <c r="IEU211" s="2"/>
      <c r="IEV211" s="2"/>
      <c r="IEW211" s="2"/>
      <c r="IEX211" s="2"/>
      <c r="IEY211" s="2"/>
      <c r="IEZ211" s="2"/>
      <c r="IFA211" s="2"/>
      <c r="IFB211" s="260"/>
      <c r="IFC211" s="260"/>
      <c r="IFD211" s="260"/>
      <c r="IFE211" s="380"/>
      <c r="IFF211" s="380"/>
      <c r="IFG211" s="380"/>
      <c r="IFH211" s="2"/>
      <c r="IFI211" s="442"/>
      <c r="IFJ211" s="442"/>
      <c r="IFK211" s="443"/>
      <c r="IFL211" s="442"/>
      <c r="IFM211" s="442"/>
      <c r="IFN211" s="2"/>
      <c r="IFO211" s="2"/>
      <c r="IFP211" s="2"/>
      <c r="IFQ211" s="2"/>
      <c r="IFR211" s="260"/>
      <c r="IFS211" s="260"/>
      <c r="IFT211" s="260"/>
      <c r="IFU211" s="260"/>
      <c r="IFV211" s="260"/>
      <c r="IFW211" s="260"/>
      <c r="IFX211" s="308"/>
      <c r="IFY211" s="290"/>
      <c r="IFZ211" s="290"/>
      <c r="IGA211" s="260"/>
      <c r="IGB211" s="260"/>
      <c r="IGC211" s="260"/>
      <c r="IGD211" s="260"/>
      <c r="IGE211" s="260"/>
      <c r="IGF211" s="2"/>
      <c r="IGG211" s="2"/>
      <c r="IGH211" s="2"/>
      <c r="IGI211" s="2"/>
      <c r="IGJ211" s="2"/>
      <c r="IGK211" s="2"/>
      <c r="IGL211" s="260"/>
      <c r="IGM211" s="2"/>
      <c r="IGN211" s="2"/>
      <c r="IGO211" s="2"/>
      <c r="IGP211" s="2"/>
      <c r="IGQ211" s="2"/>
      <c r="IGR211" s="2"/>
      <c r="IGS211" s="2"/>
      <c r="IGT211" s="260"/>
      <c r="IGU211" s="260"/>
      <c r="IGV211" s="260"/>
      <c r="IGW211" s="380"/>
      <c r="IGX211" s="380"/>
      <c r="IGY211" s="380"/>
      <c r="IGZ211" s="2"/>
      <c r="IHA211" s="442"/>
      <c r="IHB211" s="442"/>
      <c r="IHC211" s="443"/>
      <c r="IHD211" s="442"/>
      <c r="IHE211" s="442"/>
      <c r="IHF211" s="2"/>
      <c r="IHG211" s="2"/>
      <c r="IHH211" s="2"/>
      <c r="IHI211" s="2"/>
      <c r="IHJ211" s="260"/>
      <c r="IHK211" s="260"/>
      <c r="IHL211" s="260"/>
      <c r="IHM211" s="260"/>
      <c r="IHN211" s="260"/>
      <c r="IHO211" s="260"/>
      <c r="IHP211" s="308"/>
      <c r="IHQ211" s="290"/>
      <c r="IHR211" s="290"/>
      <c r="IHS211" s="260"/>
      <c r="IHT211" s="260"/>
      <c r="IHU211" s="260"/>
      <c r="IHV211" s="260"/>
      <c r="IHW211" s="260"/>
      <c r="IHX211" s="2"/>
      <c r="IHY211" s="2"/>
      <c r="IHZ211" s="2"/>
      <c r="IIA211" s="2"/>
      <c r="IIB211" s="2"/>
      <c r="IIC211" s="2"/>
      <c r="IID211" s="260"/>
      <c r="IIE211" s="2"/>
      <c r="IIF211" s="2"/>
      <c r="IIG211" s="2"/>
      <c r="IIH211" s="2"/>
      <c r="III211" s="2"/>
      <c r="IIJ211" s="2"/>
      <c r="IIK211" s="2"/>
      <c r="IIL211" s="260"/>
      <c r="IIM211" s="260"/>
      <c r="IIN211" s="260"/>
      <c r="IIO211" s="380"/>
      <c r="IIP211" s="380"/>
      <c r="IIQ211" s="380"/>
      <c r="IIR211" s="2"/>
      <c r="IIS211" s="442"/>
      <c r="IIT211" s="442"/>
      <c r="IIU211" s="443"/>
      <c r="IIV211" s="442"/>
      <c r="IIW211" s="442"/>
      <c r="IIX211" s="2"/>
      <c r="IIY211" s="2"/>
      <c r="IIZ211" s="2"/>
      <c r="IJA211" s="2"/>
      <c r="IJB211" s="260"/>
      <c r="IJC211" s="260"/>
      <c r="IJD211" s="260"/>
      <c r="IJE211" s="260"/>
      <c r="IJF211" s="260"/>
      <c r="IJG211" s="260"/>
      <c r="IJH211" s="308"/>
      <c r="IJI211" s="290"/>
      <c r="IJJ211" s="290"/>
      <c r="IJK211" s="260"/>
      <c r="IJL211" s="260"/>
      <c r="IJM211" s="260"/>
      <c r="IJN211" s="260"/>
      <c r="IJO211" s="260"/>
      <c r="IJP211" s="2"/>
      <c r="IJQ211" s="2"/>
      <c r="IJR211" s="2"/>
      <c r="IJS211" s="2"/>
      <c r="IJT211" s="2"/>
      <c r="IJU211" s="2"/>
      <c r="IJV211" s="260"/>
      <c r="IJW211" s="2"/>
      <c r="IJX211" s="2"/>
      <c r="IJY211" s="2"/>
      <c r="IJZ211" s="2"/>
      <c r="IKA211" s="2"/>
      <c r="IKB211" s="2"/>
      <c r="IKC211" s="2"/>
      <c r="IKD211" s="260"/>
      <c r="IKE211" s="260"/>
      <c r="IKF211" s="260"/>
      <c r="IKG211" s="380"/>
      <c r="IKH211" s="380"/>
      <c r="IKI211" s="380"/>
      <c r="IKJ211" s="2"/>
      <c r="IKK211" s="442"/>
      <c r="IKL211" s="442"/>
      <c r="IKM211" s="443"/>
      <c r="IKN211" s="442"/>
      <c r="IKO211" s="442"/>
      <c r="IKP211" s="2"/>
      <c r="IKQ211" s="2"/>
      <c r="IKR211" s="2"/>
      <c r="IKS211" s="2"/>
      <c r="IKT211" s="260"/>
      <c r="IKU211" s="260"/>
      <c r="IKV211" s="260"/>
      <c r="IKW211" s="260"/>
      <c r="IKX211" s="260"/>
      <c r="IKY211" s="260"/>
      <c r="IKZ211" s="308"/>
      <c r="ILA211" s="290"/>
      <c r="ILB211" s="290"/>
      <c r="ILC211" s="260"/>
      <c r="ILD211" s="260"/>
      <c r="ILE211" s="260"/>
      <c r="ILF211" s="260"/>
      <c r="ILG211" s="260"/>
      <c r="ILH211" s="2"/>
      <c r="ILI211" s="2"/>
      <c r="ILJ211" s="2"/>
      <c r="ILK211" s="2"/>
      <c r="ILL211" s="2"/>
      <c r="ILM211" s="2"/>
      <c r="ILN211" s="260"/>
      <c r="ILO211" s="2"/>
      <c r="ILP211" s="2"/>
      <c r="ILQ211" s="2"/>
      <c r="ILR211" s="2"/>
      <c r="ILS211" s="2"/>
      <c r="ILT211" s="2"/>
      <c r="ILU211" s="2"/>
      <c r="ILV211" s="260"/>
      <c r="ILW211" s="260"/>
      <c r="ILX211" s="260"/>
      <c r="ILY211" s="380"/>
      <c r="ILZ211" s="380"/>
      <c r="IMA211" s="380"/>
      <c r="IMB211" s="2"/>
      <c r="IMC211" s="442"/>
      <c r="IMD211" s="442"/>
      <c r="IME211" s="443"/>
      <c r="IMF211" s="442"/>
      <c r="IMG211" s="442"/>
      <c r="IMH211" s="2"/>
      <c r="IMI211" s="2"/>
      <c r="IMJ211" s="2"/>
      <c r="IMK211" s="2"/>
      <c r="IML211" s="260"/>
      <c r="IMM211" s="260"/>
      <c r="IMN211" s="260"/>
      <c r="IMO211" s="260"/>
      <c r="IMP211" s="260"/>
      <c r="IMQ211" s="260"/>
      <c r="IMR211" s="308"/>
      <c r="IMS211" s="290"/>
      <c r="IMT211" s="290"/>
      <c r="IMU211" s="260"/>
      <c r="IMV211" s="260"/>
      <c r="IMW211" s="260"/>
      <c r="IMX211" s="260"/>
      <c r="IMY211" s="260"/>
      <c r="IMZ211" s="2"/>
      <c r="INA211" s="2"/>
      <c r="INB211" s="2"/>
      <c r="INC211" s="2"/>
      <c r="IND211" s="2"/>
      <c r="INE211" s="2"/>
      <c r="INF211" s="260"/>
      <c r="ING211" s="2"/>
      <c r="INH211" s="2"/>
      <c r="INI211" s="2"/>
      <c r="INJ211" s="2"/>
      <c r="INK211" s="2"/>
      <c r="INL211" s="2"/>
      <c r="INM211" s="2"/>
      <c r="INN211" s="260"/>
      <c r="INO211" s="260"/>
      <c r="INP211" s="260"/>
      <c r="INQ211" s="380"/>
      <c r="INR211" s="380"/>
      <c r="INS211" s="380"/>
      <c r="INT211" s="2"/>
      <c r="INU211" s="442"/>
      <c r="INV211" s="442"/>
      <c r="INW211" s="443"/>
      <c r="INX211" s="442"/>
      <c r="INY211" s="442"/>
      <c r="INZ211" s="2"/>
      <c r="IOA211" s="2"/>
      <c r="IOB211" s="2"/>
      <c r="IOC211" s="2"/>
      <c r="IOD211" s="260"/>
      <c r="IOE211" s="260"/>
      <c r="IOF211" s="260"/>
      <c r="IOG211" s="260"/>
      <c r="IOH211" s="260"/>
      <c r="IOI211" s="260"/>
      <c r="IOJ211" s="308"/>
      <c r="IOK211" s="290"/>
      <c r="IOL211" s="290"/>
      <c r="IOM211" s="260"/>
      <c r="ION211" s="260"/>
      <c r="IOO211" s="260"/>
      <c r="IOP211" s="260"/>
      <c r="IOQ211" s="260"/>
      <c r="IOR211" s="2"/>
      <c r="IOS211" s="2"/>
      <c r="IOT211" s="2"/>
      <c r="IOU211" s="2"/>
      <c r="IOV211" s="2"/>
      <c r="IOW211" s="2"/>
      <c r="IOX211" s="260"/>
      <c r="IOY211" s="2"/>
      <c r="IOZ211" s="2"/>
      <c r="IPA211" s="2"/>
      <c r="IPB211" s="2"/>
      <c r="IPC211" s="2"/>
      <c r="IPD211" s="2"/>
      <c r="IPE211" s="2"/>
      <c r="IPF211" s="260"/>
      <c r="IPG211" s="260"/>
      <c r="IPH211" s="260"/>
      <c r="IPI211" s="380"/>
      <c r="IPJ211" s="380"/>
      <c r="IPK211" s="380"/>
      <c r="IPL211" s="2"/>
      <c r="IPM211" s="442"/>
      <c r="IPN211" s="442"/>
      <c r="IPO211" s="443"/>
      <c r="IPP211" s="442"/>
      <c r="IPQ211" s="442"/>
      <c r="IPR211" s="2"/>
      <c r="IPS211" s="2"/>
      <c r="IPT211" s="2"/>
      <c r="IPU211" s="2"/>
      <c r="IPV211" s="260"/>
      <c r="IPW211" s="260"/>
      <c r="IPX211" s="260"/>
      <c r="IPY211" s="260"/>
      <c r="IPZ211" s="260"/>
      <c r="IQA211" s="260"/>
      <c r="IQB211" s="308"/>
      <c r="IQC211" s="290"/>
      <c r="IQD211" s="290"/>
      <c r="IQE211" s="260"/>
      <c r="IQF211" s="260"/>
      <c r="IQG211" s="260"/>
      <c r="IQH211" s="260"/>
      <c r="IQI211" s="260"/>
      <c r="IQJ211" s="2"/>
      <c r="IQK211" s="2"/>
      <c r="IQL211" s="2"/>
      <c r="IQM211" s="2"/>
      <c r="IQN211" s="2"/>
      <c r="IQO211" s="2"/>
      <c r="IQP211" s="260"/>
      <c r="IQQ211" s="2"/>
      <c r="IQR211" s="2"/>
      <c r="IQS211" s="2"/>
      <c r="IQT211" s="2"/>
      <c r="IQU211" s="2"/>
      <c r="IQV211" s="2"/>
      <c r="IQW211" s="2"/>
      <c r="IQX211" s="260"/>
      <c r="IQY211" s="260"/>
      <c r="IQZ211" s="260"/>
      <c r="IRA211" s="380"/>
      <c r="IRB211" s="380"/>
      <c r="IRC211" s="380"/>
      <c r="IRD211" s="2"/>
      <c r="IRE211" s="442"/>
      <c r="IRF211" s="442"/>
      <c r="IRG211" s="443"/>
      <c r="IRH211" s="442"/>
      <c r="IRI211" s="442"/>
      <c r="IRJ211" s="2"/>
      <c r="IRK211" s="2"/>
      <c r="IRL211" s="2"/>
      <c r="IRM211" s="2"/>
      <c r="IRN211" s="260"/>
      <c r="IRO211" s="260"/>
      <c r="IRP211" s="260"/>
      <c r="IRQ211" s="260"/>
      <c r="IRR211" s="260"/>
      <c r="IRS211" s="260"/>
      <c r="IRT211" s="308"/>
      <c r="IRU211" s="290"/>
      <c r="IRV211" s="290"/>
      <c r="IRW211" s="260"/>
      <c r="IRX211" s="260"/>
      <c r="IRY211" s="260"/>
      <c r="IRZ211" s="260"/>
      <c r="ISA211" s="260"/>
      <c r="ISB211" s="2"/>
      <c r="ISC211" s="2"/>
      <c r="ISD211" s="2"/>
      <c r="ISE211" s="2"/>
      <c r="ISF211" s="2"/>
      <c r="ISG211" s="2"/>
      <c r="ISH211" s="260"/>
      <c r="ISI211" s="2"/>
      <c r="ISJ211" s="2"/>
      <c r="ISK211" s="2"/>
      <c r="ISL211" s="2"/>
      <c r="ISM211" s="2"/>
      <c r="ISN211" s="2"/>
      <c r="ISO211" s="2"/>
      <c r="ISP211" s="260"/>
      <c r="ISQ211" s="260"/>
      <c r="ISR211" s="260"/>
      <c r="ISS211" s="380"/>
      <c r="IST211" s="380"/>
      <c r="ISU211" s="380"/>
      <c r="ISV211" s="2"/>
      <c r="ISW211" s="442"/>
      <c r="ISX211" s="442"/>
      <c r="ISY211" s="443"/>
      <c r="ISZ211" s="442"/>
      <c r="ITA211" s="442"/>
      <c r="ITB211" s="2"/>
      <c r="ITC211" s="2"/>
      <c r="ITD211" s="2"/>
      <c r="ITE211" s="2"/>
      <c r="ITF211" s="260"/>
      <c r="ITG211" s="260"/>
      <c r="ITH211" s="260"/>
      <c r="ITI211" s="260"/>
      <c r="ITJ211" s="260"/>
      <c r="ITK211" s="260"/>
      <c r="ITL211" s="308"/>
      <c r="ITM211" s="290"/>
      <c r="ITN211" s="290"/>
      <c r="ITO211" s="260"/>
      <c r="ITP211" s="260"/>
      <c r="ITQ211" s="260"/>
      <c r="ITR211" s="260"/>
      <c r="ITS211" s="260"/>
      <c r="ITT211" s="2"/>
      <c r="ITU211" s="2"/>
      <c r="ITV211" s="2"/>
      <c r="ITW211" s="2"/>
      <c r="ITX211" s="2"/>
      <c r="ITY211" s="2"/>
      <c r="ITZ211" s="260"/>
      <c r="IUA211" s="2"/>
      <c r="IUB211" s="2"/>
      <c r="IUC211" s="2"/>
      <c r="IUD211" s="2"/>
      <c r="IUE211" s="2"/>
      <c r="IUF211" s="2"/>
      <c r="IUG211" s="2"/>
      <c r="IUH211" s="260"/>
      <c r="IUI211" s="260"/>
      <c r="IUJ211" s="260"/>
      <c r="IUK211" s="380"/>
      <c r="IUL211" s="380"/>
      <c r="IUM211" s="380"/>
      <c r="IUN211" s="2"/>
      <c r="IUO211" s="442"/>
      <c r="IUP211" s="442"/>
      <c r="IUQ211" s="443"/>
      <c r="IUR211" s="442"/>
      <c r="IUS211" s="442"/>
      <c r="IUT211" s="2"/>
      <c r="IUU211" s="2"/>
      <c r="IUV211" s="2"/>
      <c r="IUW211" s="2"/>
      <c r="IUX211" s="260"/>
      <c r="IUY211" s="260"/>
      <c r="IUZ211" s="260"/>
      <c r="IVA211" s="260"/>
      <c r="IVB211" s="260"/>
      <c r="IVC211" s="260"/>
      <c r="IVD211" s="308"/>
      <c r="IVE211" s="290"/>
      <c r="IVF211" s="290"/>
      <c r="IVG211" s="260"/>
      <c r="IVH211" s="260"/>
      <c r="IVI211" s="260"/>
      <c r="IVJ211" s="260"/>
      <c r="IVK211" s="260"/>
      <c r="IVL211" s="2"/>
      <c r="IVM211" s="2"/>
      <c r="IVN211" s="2"/>
      <c r="IVO211" s="2"/>
      <c r="IVP211" s="2"/>
      <c r="IVQ211" s="2"/>
      <c r="IVR211" s="260"/>
      <c r="IVS211" s="2"/>
      <c r="IVT211" s="2"/>
      <c r="IVU211" s="2"/>
      <c r="IVV211" s="2"/>
      <c r="IVW211" s="2"/>
      <c r="IVX211" s="2"/>
      <c r="IVY211" s="2"/>
      <c r="IVZ211" s="260"/>
      <c r="IWA211" s="260"/>
      <c r="IWB211" s="260"/>
      <c r="IWC211" s="380"/>
      <c r="IWD211" s="380"/>
      <c r="IWE211" s="380"/>
      <c r="IWF211" s="2"/>
      <c r="IWG211" s="442"/>
      <c r="IWH211" s="442"/>
      <c r="IWI211" s="443"/>
      <c r="IWJ211" s="442"/>
      <c r="IWK211" s="442"/>
      <c r="IWL211" s="2"/>
      <c r="IWM211" s="2"/>
      <c r="IWN211" s="2"/>
      <c r="IWO211" s="2"/>
      <c r="IWP211" s="260"/>
      <c r="IWQ211" s="260"/>
      <c r="IWR211" s="260"/>
      <c r="IWS211" s="260"/>
      <c r="IWT211" s="260"/>
      <c r="IWU211" s="260"/>
      <c r="IWV211" s="308"/>
      <c r="IWW211" s="290"/>
      <c r="IWX211" s="290"/>
      <c r="IWY211" s="260"/>
      <c r="IWZ211" s="260"/>
      <c r="IXA211" s="260"/>
      <c r="IXB211" s="260"/>
      <c r="IXC211" s="260"/>
      <c r="IXD211" s="2"/>
      <c r="IXE211" s="2"/>
      <c r="IXF211" s="2"/>
      <c r="IXG211" s="2"/>
      <c r="IXH211" s="2"/>
      <c r="IXI211" s="2"/>
      <c r="IXJ211" s="260"/>
      <c r="IXK211" s="2"/>
      <c r="IXL211" s="2"/>
      <c r="IXM211" s="2"/>
      <c r="IXN211" s="2"/>
      <c r="IXO211" s="2"/>
      <c r="IXP211" s="2"/>
      <c r="IXQ211" s="2"/>
      <c r="IXR211" s="260"/>
      <c r="IXS211" s="260"/>
      <c r="IXT211" s="260"/>
      <c r="IXU211" s="380"/>
      <c r="IXV211" s="380"/>
      <c r="IXW211" s="380"/>
      <c r="IXX211" s="2"/>
      <c r="IXY211" s="442"/>
      <c r="IXZ211" s="442"/>
      <c r="IYA211" s="443"/>
      <c r="IYB211" s="442"/>
      <c r="IYC211" s="442"/>
      <c r="IYD211" s="2"/>
      <c r="IYE211" s="2"/>
      <c r="IYF211" s="2"/>
      <c r="IYG211" s="2"/>
      <c r="IYH211" s="260"/>
      <c r="IYI211" s="260"/>
      <c r="IYJ211" s="260"/>
      <c r="IYK211" s="260"/>
      <c r="IYL211" s="260"/>
      <c r="IYM211" s="260"/>
      <c r="IYN211" s="308"/>
      <c r="IYO211" s="290"/>
      <c r="IYP211" s="290"/>
      <c r="IYQ211" s="260"/>
      <c r="IYR211" s="260"/>
      <c r="IYS211" s="260"/>
      <c r="IYT211" s="260"/>
      <c r="IYU211" s="260"/>
      <c r="IYV211" s="2"/>
      <c r="IYW211" s="2"/>
      <c r="IYX211" s="2"/>
      <c r="IYY211" s="2"/>
      <c r="IYZ211" s="2"/>
      <c r="IZA211" s="2"/>
      <c r="IZB211" s="260"/>
      <c r="IZC211" s="2"/>
      <c r="IZD211" s="2"/>
      <c r="IZE211" s="2"/>
      <c r="IZF211" s="2"/>
      <c r="IZG211" s="2"/>
      <c r="IZH211" s="2"/>
      <c r="IZI211" s="2"/>
      <c r="IZJ211" s="260"/>
      <c r="IZK211" s="260"/>
      <c r="IZL211" s="260"/>
      <c r="IZM211" s="380"/>
      <c r="IZN211" s="380"/>
      <c r="IZO211" s="380"/>
      <c r="IZP211" s="2"/>
      <c r="IZQ211" s="442"/>
      <c r="IZR211" s="442"/>
      <c r="IZS211" s="443"/>
      <c r="IZT211" s="442"/>
      <c r="IZU211" s="442"/>
      <c r="IZV211" s="2"/>
      <c r="IZW211" s="2"/>
      <c r="IZX211" s="2"/>
      <c r="IZY211" s="2"/>
      <c r="IZZ211" s="260"/>
      <c r="JAA211" s="260"/>
      <c r="JAB211" s="260"/>
      <c r="JAC211" s="260"/>
      <c r="JAD211" s="260"/>
      <c r="JAE211" s="260"/>
      <c r="JAF211" s="308"/>
      <c r="JAG211" s="290"/>
      <c r="JAH211" s="290"/>
      <c r="JAI211" s="260"/>
      <c r="JAJ211" s="260"/>
      <c r="JAK211" s="260"/>
      <c r="JAL211" s="260"/>
      <c r="JAM211" s="260"/>
      <c r="JAN211" s="2"/>
      <c r="JAO211" s="2"/>
      <c r="JAP211" s="2"/>
      <c r="JAQ211" s="2"/>
      <c r="JAR211" s="2"/>
      <c r="JAS211" s="2"/>
      <c r="JAT211" s="260"/>
      <c r="JAU211" s="2"/>
      <c r="JAV211" s="2"/>
      <c r="JAW211" s="2"/>
      <c r="JAX211" s="2"/>
      <c r="JAY211" s="2"/>
      <c r="JAZ211" s="2"/>
      <c r="JBA211" s="2"/>
      <c r="JBB211" s="260"/>
      <c r="JBC211" s="260"/>
      <c r="JBD211" s="260"/>
      <c r="JBE211" s="380"/>
      <c r="JBF211" s="380"/>
      <c r="JBG211" s="380"/>
      <c r="JBH211" s="2"/>
      <c r="JBI211" s="442"/>
      <c r="JBJ211" s="442"/>
      <c r="JBK211" s="443"/>
      <c r="JBL211" s="442"/>
      <c r="JBM211" s="442"/>
      <c r="JBN211" s="2"/>
      <c r="JBO211" s="2"/>
      <c r="JBP211" s="2"/>
      <c r="JBQ211" s="2"/>
      <c r="JBR211" s="260"/>
      <c r="JBS211" s="260"/>
      <c r="JBT211" s="260"/>
      <c r="JBU211" s="260"/>
      <c r="JBV211" s="260"/>
      <c r="JBW211" s="260"/>
      <c r="JBX211" s="308"/>
      <c r="JBY211" s="290"/>
      <c r="JBZ211" s="290"/>
      <c r="JCA211" s="260"/>
      <c r="JCB211" s="260"/>
      <c r="JCC211" s="260"/>
      <c r="JCD211" s="260"/>
      <c r="JCE211" s="260"/>
      <c r="JCF211" s="2"/>
      <c r="JCG211" s="2"/>
      <c r="JCH211" s="2"/>
      <c r="JCI211" s="2"/>
      <c r="JCJ211" s="2"/>
      <c r="JCK211" s="2"/>
      <c r="JCL211" s="260"/>
      <c r="JCM211" s="2"/>
      <c r="JCN211" s="2"/>
      <c r="JCO211" s="2"/>
      <c r="JCP211" s="2"/>
      <c r="JCQ211" s="2"/>
      <c r="JCR211" s="2"/>
      <c r="JCS211" s="2"/>
      <c r="JCT211" s="260"/>
      <c r="JCU211" s="260"/>
      <c r="JCV211" s="260"/>
      <c r="JCW211" s="380"/>
      <c r="JCX211" s="380"/>
      <c r="JCY211" s="380"/>
      <c r="JCZ211" s="2"/>
      <c r="JDA211" s="442"/>
      <c r="JDB211" s="442"/>
      <c r="JDC211" s="443"/>
      <c r="JDD211" s="442"/>
      <c r="JDE211" s="442"/>
      <c r="JDF211" s="2"/>
      <c r="JDG211" s="2"/>
      <c r="JDH211" s="2"/>
      <c r="JDI211" s="2"/>
      <c r="JDJ211" s="260"/>
      <c r="JDK211" s="260"/>
      <c r="JDL211" s="260"/>
      <c r="JDM211" s="260"/>
      <c r="JDN211" s="260"/>
      <c r="JDO211" s="260"/>
      <c r="JDP211" s="308"/>
      <c r="JDQ211" s="290"/>
      <c r="JDR211" s="290"/>
      <c r="JDS211" s="260"/>
      <c r="JDT211" s="260"/>
      <c r="JDU211" s="260"/>
      <c r="JDV211" s="260"/>
      <c r="JDW211" s="260"/>
      <c r="JDX211" s="2"/>
      <c r="JDY211" s="2"/>
      <c r="JDZ211" s="2"/>
      <c r="JEA211" s="2"/>
      <c r="JEB211" s="2"/>
      <c r="JEC211" s="2"/>
      <c r="JED211" s="260"/>
      <c r="JEE211" s="2"/>
      <c r="JEF211" s="2"/>
      <c r="JEG211" s="2"/>
      <c r="JEH211" s="2"/>
      <c r="JEI211" s="2"/>
      <c r="JEJ211" s="2"/>
      <c r="JEK211" s="2"/>
      <c r="JEL211" s="260"/>
      <c r="JEM211" s="260"/>
      <c r="JEN211" s="260"/>
      <c r="JEO211" s="380"/>
      <c r="JEP211" s="380"/>
      <c r="JEQ211" s="380"/>
      <c r="JER211" s="2"/>
      <c r="JES211" s="442"/>
      <c r="JET211" s="442"/>
      <c r="JEU211" s="443"/>
      <c r="JEV211" s="442"/>
      <c r="JEW211" s="442"/>
      <c r="JEX211" s="2"/>
      <c r="JEY211" s="2"/>
      <c r="JEZ211" s="2"/>
      <c r="JFA211" s="2"/>
      <c r="JFB211" s="260"/>
      <c r="JFC211" s="260"/>
      <c r="JFD211" s="260"/>
      <c r="JFE211" s="260"/>
      <c r="JFF211" s="260"/>
      <c r="JFG211" s="260"/>
      <c r="JFH211" s="308"/>
      <c r="JFI211" s="290"/>
      <c r="JFJ211" s="290"/>
      <c r="JFK211" s="260"/>
      <c r="JFL211" s="260"/>
      <c r="JFM211" s="260"/>
      <c r="JFN211" s="260"/>
      <c r="JFO211" s="260"/>
      <c r="JFP211" s="2"/>
      <c r="JFQ211" s="2"/>
      <c r="JFR211" s="2"/>
      <c r="JFS211" s="2"/>
      <c r="JFT211" s="2"/>
      <c r="JFU211" s="2"/>
      <c r="JFV211" s="260"/>
      <c r="JFW211" s="2"/>
      <c r="JFX211" s="2"/>
      <c r="JFY211" s="2"/>
      <c r="JFZ211" s="2"/>
      <c r="JGA211" s="2"/>
      <c r="JGB211" s="2"/>
      <c r="JGC211" s="2"/>
      <c r="JGD211" s="260"/>
      <c r="JGE211" s="260"/>
      <c r="JGF211" s="260"/>
      <c r="JGG211" s="380"/>
      <c r="JGH211" s="380"/>
      <c r="JGI211" s="380"/>
      <c r="JGJ211" s="2"/>
      <c r="JGK211" s="442"/>
      <c r="JGL211" s="442"/>
      <c r="JGM211" s="443"/>
      <c r="JGN211" s="442"/>
      <c r="JGO211" s="442"/>
      <c r="JGP211" s="2"/>
      <c r="JGQ211" s="2"/>
      <c r="JGR211" s="2"/>
      <c r="JGS211" s="2"/>
      <c r="JGT211" s="260"/>
      <c r="JGU211" s="260"/>
      <c r="JGV211" s="260"/>
      <c r="JGW211" s="260"/>
      <c r="JGX211" s="260"/>
      <c r="JGY211" s="260"/>
      <c r="JGZ211" s="308"/>
      <c r="JHA211" s="290"/>
      <c r="JHB211" s="290"/>
      <c r="JHC211" s="260"/>
      <c r="JHD211" s="260"/>
      <c r="JHE211" s="260"/>
      <c r="JHF211" s="260"/>
      <c r="JHG211" s="260"/>
      <c r="JHH211" s="2"/>
      <c r="JHI211" s="2"/>
      <c r="JHJ211" s="2"/>
      <c r="JHK211" s="2"/>
      <c r="JHL211" s="2"/>
      <c r="JHM211" s="2"/>
      <c r="JHN211" s="260"/>
      <c r="JHO211" s="2"/>
      <c r="JHP211" s="2"/>
      <c r="JHQ211" s="2"/>
      <c r="JHR211" s="2"/>
      <c r="JHS211" s="2"/>
      <c r="JHT211" s="2"/>
      <c r="JHU211" s="2"/>
      <c r="JHV211" s="260"/>
      <c r="JHW211" s="260"/>
      <c r="JHX211" s="260"/>
      <c r="JHY211" s="380"/>
      <c r="JHZ211" s="380"/>
      <c r="JIA211" s="380"/>
      <c r="JIB211" s="2"/>
      <c r="JIC211" s="442"/>
      <c r="JID211" s="442"/>
      <c r="JIE211" s="443"/>
      <c r="JIF211" s="442"/>
      <c r="JIG211" s="442"/>
      <c r="JIH211" s="2"/>
      <c r="JII211" s="2"/>
      <c r="JIJ211" s="2"/>
      <c r="JIK211" s="2"/>
      <c r="JIL211" s="260"/>
      <c r="JIM211" s="260"/>
      <c r="JIN211" s="260"/>
      <c r="JIO211" s="260"/>
      <c r="JIP211" s="260"/>
      <c r="JIQ211" s="260"/>
      <c r="JIR211" s="308"/>
      <c r="JIS211" s="290"/>
      <c r="JIT211" s="290"/>
      <c r="JIU211" s="260"/>
      <c r="JIV211" s="260"/>
      <c r="JIW211" s="260"/>
      <c r="JIX211" s="260"/>
      <c r="JIY211" s="260"/>
      <c r="JIZ211" s="2"/>
      <c r="JJA211" s="2"/>
      <c r="JJB211" s="2"/>
      <c r="JJC211" s="2"/>
      <c r="JJD211" s="2"/>
      <c r="JJE211" s="2"/>
      <c r="JJF211" s="260"/>
      <c r="JJG211" s="2"/>
      <c r="JJH211" s="2"/>
      <c r="JJI211" s="2"/>
      <c r="JJJ211" s="2"/>
      <c r="JJK211" s="2"/>
      <c r="JJL211" s="2"/>
      <c r="JJM211" s="2"/>
      <c r="JJN211" s="260"/>
      <c r="JJO211" s="260"/>
      <c r="JJP211" s="260"/>
      <c r="JJQ211" s="380"/>
      <c r="JJR211" s="380"/>
      <c r="JJS211" s="380"/>
      <c r="JJT211" s="2"/>
      <c r="JJU211" s="442"/>
      <c r="JJV211" s="442"/>
      <c r="JJW211" s="443"/>
      <c r="JJX211" s="442"/>
      <c r="JJY211" s="442"/>
      <c r="JJZ211" s="2"/>
      <c r="JKA211" s="2"/>
      <c r="JKB211" s="2"/>
      <c r="JKC211" s="2"/>
      <c r="JKD211" s="260"/>
      <c r="JKE211" s="260"/>
      <c r="JKF211" s="260"/>
      <c r="JKG211" s="260"/>
      <c r="JKH211" s="260"/>
      <c r="JKI211" s="260"/>
      <c r="JKJ211" s="308"/>
      <c r="JKK211" s="290"/>
      <c r="JKL211" s="290"/>
      <c r="JKM211" s="260"/>
      <c r="JKN211" s="260"/>
      <c r="JKO211" s="260"/>
      <c r="JKP211" s="260"/>
      <c r="JKQ211" s="260"/>
      <c r="JKR211" s="2"/>
      <c r="JKS211" s="2"/>
      <c r="JKT211" s="2"/>
      <c r="JKU211" s="2"/>
      <c r="JKV211" s="2"/>
      <c r="JKW211" s="2"/>
      <c r="JKX211" s="260"/>
      <c r="JKY211" s="2"/>
      <c r="JKZ211" s="2"/>
      <c r="JLA211" s="2"/>
      <c r="JLB211" s="2"/>
      <c r="JLC211" s="2"/>
      <c r="JLD211" s="2"/>
      <c r="JLE211" s="2"/>
      <c r="JLF211" s="260"/>
      <c r="JLG211" s="260"/>
      <c r="JLH211" s="260"/>
      <c r="JLI211" s="380"/>
      <c r="JLJ211" s="380"/>
      <c r="JLK211" s="380"/>
      <c r="JLL211" s="2"/>
      <c r="JLM211" s="442"/>
      <c r="JLN211" s="442"/>
      <c r="JLO211" s="443"/>
      <c r="JLP211" s="442"/>
      <c r="JLQ211" s="442"/>
      <c r="JLR211" s="2"/>
      <c r="JLS211" s="2"/>
      <c r="JLT211" s="2"/>
      <c r="JLU211" s="2"/>
      <c r="JLV211" s="260"/>
      <c r="JLW211" s="260"/>
      <c r="JLX211" s="260"/>
      <c r="JLY211" s="260"/>
      <c r="JLZ211" s="260"/>
      <c r="JMA211" s="260"/>
      <c r="JMB211" s="308"/>
      <c r="JMC211" s="290"/>
      <c r="JMD211" s="290"/>
      <c r="JME211" s="260"/>
      <c r="JMF211" s="260"/>
      <c r="JMG211" s="260"/>
      <c r="JMH211" s="260"/>
      <c r="JMI211" s="260"/>
      <c r="JMJ211" s="2"/>
      <c r="JMK211" s="2"/>
      <c r="JML211" s="2"/>
      <c r="JMM211" s="2"/>
      <c r="JMN211" s="2"/>
      <c r="JMO211" s="2"/>
      <c r="JMP211" s="260"/>
      <c r="JMQ211" s="2"/>
      <c r="JMR211" s="2"/>
      <c r="JMS211" s="2"/>
      <c r="JMT211" s="2"/>
      <c r="JMU211" s="2"/>
      <c r="JMV211" s="2"/>
      <c r="JMW211" s="2"/>
      <c r="JMX211" s="260"/>
      <c r="JMY211" s="260"/>
      <c r="JMZ211" s="260"/>
      <c r="JNA211" s="380"/>
      <c r="JNB211" s="380"/>
      <c r="JNC211" s="380"/>
      <c r="JND211" s="2"/>
      <c r="JNE211" s="442"/>
      <c r="JNF211" s="442"/>
      <c r="JNG211" s="443"/>
      <c r="JNH211" s="442"/>
      <c r="JNI211" s="442"/>
      <c r="JNJ211" s="2"/>
      <c r="JNK211" s="2"/>
      <c r="JNL211" s="2"/>
      <c r="JNM211" s="2"/>
      <c r="JNN211" s="260"/>
      <c r="JNO211" s="260"/>
      <c r="JNP211" s="260"/>
      <c r="JNQ211" s="260"/>
      <c r="JNR211" s="260"/>
      <c r="JNS211" s="260"/>
      <c r="JNT211" s="308"/>
      <c r="JNU211" s="290"/>
      <c r="JNV211" s="290"/>
      <c r="JNW211" s="260"/>
      <c r="JNX211" s="260"/>
      <c r="JNY211" s="260"/>
      <c r="JNZ211" s="260"/>
      <c r="JOA211" s="260"/>
      <c r="JOB211" s="2"/>
      <c r="JOC211" s="2"/>
      <c r="JOD211" s="2"/>
      <c r="JOE211" s="2"/>
      <c r="JOF211" s="2"/>
      <c r="JOG211" s="2"/>
      <c r="JOH211" s="260"/>
      <c r="JOI211" s="2"/>
      <c r="JOJ211" s="2"/>
      <c r="JOK211" s="2"/>
      <c r="JOL211" s="2"/>
      <c r="JOM211" s="2"/>
      <c r="JON211" s="2"/>
      <c r="JOO211" s="2"/>
      <c r="JOP211" s="260"/>
      <c r="JOQ211" s="260"/>
      <c r="JOR211" s="260"/>
      <c r="JOS211" s="380"/>
      <c r="JOT211" s="380"/>
      <c r="JOU211" s="380"/>
      <c r="JOV211" s="2"/>
      <c r="JOW211" s="442"/>
      <c r="JOX211" s="442"/>
      <c r="JOY211" s="443"/>
      <c r="JOZ211" s="442"/>
      <c r="JPA211" s="442"/>
      <c r="JPB211" s="2"/>
      <c r="JPC211" s="2"/>
      <c r="JPD211" s="2"/>
      <c r="JPE211" s="2"/>
      <c r="JPF211" s="260"/>
      <c r="JPG211" s="260"/>
      <c r="JPH211" s="260"/>
      <c r="JPI211" s="260"/>
      <c r="JPJ211" s="260"/>
      <c r="JPK211" s="260"/>
      <c r="JPL211" s="308"/>
      <c r="JPM211" s="290"/>
      <c r="JPN211" s="290"/>
      <c r="JPO211" s="260"/>
      <c r="JPP211" s="260"/>
      <c r="JPQ211" s="260"/>
      <c r="JPR211" s="260"/>
      <c r="JPS211" s="260"/>
      <c r="JPT211" s="2"/>
      <c r="JPU211" s="2"/>
      <c r="JPV211" s="2"/>
      <c r="JPW211" s="2"/>
      <c r="JPX211" s="2"/>
      <c r="JPY211" s="2"/>
      <c r="JPZ211" s="260"/>
      <c r="JQA211" s="2"/>
      <c r="JQB211" s="2"/>
      <c r="JQC211" s="2"/>
      <c r="JQD211" s="2"/>
      <c r="JQE211" s="2"/>
      <c r="JQF211" s="2"/>
      <c r="JQG211" s="2"/>
      <c r="JQH211" s="260"/>
      <c r="JQI211" s="260"/>
      <c r="JQJ211" s="260"/>
      <c r="JQK211" s="380"/>
      <c r="JQL211" s="380"/>
      <c r="JQM211" s="380"/>
      <c r="JQN211" s="2"/>
      <c r="JQO211" s="442"/>
      <c r="JQP211" s="442"/>
      <c r="JQQ211" s="443"/>
      <c r="JQR211" s="442"/>
      <c r="JQS211" s="442"/>
      <c r="JQT211" s="2"/>
      <c r="JQU211" s="2"/>
      <c r="JQV211" s="2"/>
      <c r="JQW211" s="2"/>
      <c r="JQX211" s="260"/>
      <c r="JQY211" s="260"/>
      <c r="JQZ211" s="260"/>
      <c r="JRA211" s="260"/>
      <c r="JRB211" s="260"/>
      <c r="JRC211" s="260"/>
      <c r="JRD211" s="308"/>
      <c r="JRE211" s="290"/>
      <c r="JRF211" s="290"/>
      <c r="JRG211" s="260"/>
      <c r="JRH211" s="260"/>
      <c r="JRI211" s="260"/>
      <c r="JRJ211" s="260"/>
      <c r="JRK211" s="260"/>
      <c r="JRL211" s="2"/>
      <c r="JRM211" s="2"/>
      <c r="JRN211" s="2"/>
      <c r="JRO211" s="2"/>
      <c r="JRP211" s="2"/>
      <c r="JRQ211" s="2"/>
      <c r="JRR211" s="260"/>
      <c r="JRS211" s="2"/>
      <c r="JRT211" s="2"/>
      <c r="JRU211" s="2"/>
      <c r="JRV211" s="2"/>
      <c r="JRW211" s="2"/>
      <c r="JRX211" s="2"/>
      <c r="JRY211" s="2"/>
      <c r="JRZ211" s="260"/>
      <c r="JSA211" s="260"/>
      <c r="JSB211" s="260"/>
      <c r="JSC211" s="380"/>
      <c r="JSD211" s="380"/>
      <c r="JSE211" s="380"/>
      <c r="JSF211" s="2"/>
      <c r="JSG211" s="442"/>
      <c r="JSH211" s="442"/>
      <c r="JSI211" s="443"/>
      <c r="JSJ211" s="442"/>
      <c r="JSK211" s="442"/>
      <c r="JSL211" s="2"/>
      <c r="JSM211" s="2"/>
      <c r="JSN211" s="2"/>
      <c r="JSO211" s="2"/>
      <c r="JSP211" s="260"/>
      <c r="JSQ211" s="260"/>
      <c r="JSR211" s="260"/>
      <c r="JSS211" s="260"/>
      <c r="JST211" s="260"/>
      <c r="JSU211" s="260"/>
      <c r="JSV211" s="308"/>
      <c r="JSW211" s="290"/>
      <c r="JSX211" s="290"/>
      <c r="JSY211" s="260"/>
      <c r="JSZ211" s="260"/>
      <c r="JTA211" s="260"/>
      <c r="JTB211" s="260"/>
      <c r="JTC211" s="260"/>
      <c r="JTD211" s="2"/>
      <c r="JTE211" s="2"/>
      <c r="JTF211" s="2"/>
      <c r="JTG211" s="2"/>
      <c r="JTH211" s="2"/>
      <c r="JTI211" s="2"/>
      <c r="JTJ211" s="260"/>
      <c r="JTK211" s="2"/>
      <c r="JTL211" s="2"/>
      <c r="JTM211" s="2"/>
      <c r="JTN211" s="2"/>
      <c r="JTO211" s="2"/>
      <c r="JTP211" s="2"/>
      <c r="JTQ211" s="2"/>
      <c r="JTR211" s="260"/>
      <c r="JTS211" s="260"/>
      <c r="JTT211" s="260"/>
      <c r="JTU211" s="380"/>
      <c r="JTV211" s="380"/>
      <c r="JTW211" s="380"/>
      <c r="JTX211" s="2"/>
      <c r="JTY211" s="442"/>
      <c r="JTZ211" s="442"/>
      <c r="JUA211" s="443"/>
      <c r="JUB211" s="442"/>
      <c r="JUC211" s="442"/>
      <c r="JUD211" s="2"/>
      <c r="JUE211" s="2"/>
      <c r="JUF211" s="2"/>
      <c r="JUG211" s="2"/>
      <c r="JUH211" s="260"/>
      <c r="JUI211" s="260"/>
      <c r="JUJ211" s="260"/>
      <c r="JUK211" s="260"/>
      <c r="JUL211" s="260"/>
      <c r="JUM211" s="260"/>
      <c r="JUN211" s="308"/>
      <c r="JUO211" s="290"/>
      <c r="JUP211" s="290"/>
      <c r="JUQ211" s="260"/>
      <c r="JUR211" s="260"/>
      <c r="JUS211" s="260"/>
      <c r="JUT211" s="260"/>
      <c r="JUU211" s="260"/>
      <c r="JUV211" s="2"/>
      <c r="JUW211" s="2"/>
      <c r="JUX211" s="2"/>
      <c r="JUY211" s="2"/>
      <c r="JUZ211" s="2"/>
      <c r="JVA211" s="2"/>
      <c r="JVB211" s="260"/>
      <c r="JVC211" s="2"/>
      <c r="JVD211" s="2"/>
      <c r="JVE211" s="2"/>
      <c r="JVF211" s="2"/>
      <c r="JVG211" s="2"/>
      <c r="JVH211" s="2"/>
      <c r="JVI211" s="2"/>
      <c r="JVJ211" s="260"/>
      <c r="JVK211" s="260"/>
      <c r="JVL211" s="260"/>
      <c r="JVM211" s="380"/>
      <c r="JVN211" s="380"/>
      <c r="JVO211" s="380"/>
      <c r="JVP211" s="2"/>
      <c r="JVQ211" s="442"/>
      <c r="JVR211" s="442"/>
      <c r="JVS211" s="443"/>
      <c r="JVT211" s="442"/>
      <c r="JVU211" s="442"/>
      <c r="JVV211" s="2"/>
      <c r="JVW211" s="2"/>
      <c r="JVX211" s="2"/>
      <c r="JVY211" s="2"/>
      <c r="JVZ211" s="260"/>
      <c r="JWA211" s="260"/>
      <c r="JWB211" s="260"/>
      <c r="JWC211" s="260"/>
      <c r="JWD211" s="260"/>
      <c r="JWE211" s="260"/>
      <c r="JWF211" s="308"/>
      <c r="JWG211" s="290"/>
      <c r="JWH211" s="290"/>
      <c r="JWI211" s="260"/>
      <c r="JWJ211" s="260"/>
      <c r="JWK211" s="260"/>
      <c r="JWL211" s="260"/>
      <c r="JWM211" s="260"/>
      <c r="JWN211" s="2"/>
      <c r="JWO211" s="2"/>
      <c r="JWP211" s="2"/>
      <c r="JWQ211" s="2"/>
      <c r="JWR211" s="2"/>
      <c r="JWS211" s="2"/>
      <c r="JWT211" s="260"/>
      <c r="JWU211" s="2"/>
      <c r="JWV211" s="2"/>
      <c r="JWW211" s="2"/>
      <c r="JWX211" s="2"/>
      <c r="JWY211" s="2"/>
      <c r="JWZ211" s="2"/>
      <c r="JXA211" s="2"/>
      <c r="JXB211" s="260"/>
      <c r="JXC211" s="260"/>
      <c r="JXD211" s="260"/>
      <c r="JXE211" s="380"/>
      <c r="JXF211" s="380"/>
      <c r="JXG211" s="380"/>
      <c r="JXH211" s="2"/>
      <c r="JXI211" s="442"/>
      <c r="JXJ211" s="442"/>
      <c r="JXK211" s="443"/>
      <c r="JXL211" s="442"/>
      <c r="JXM211" s="442"/>
      <c r="JXN211" s="2"/>
      <c r="JXO211" s="2"/>
      <c r="JXP211" s="2"/>
      <c r="JXQ211" s="2"/>
      <c r="JXR211" s="260"/>
      <c r="JXS211" s="260"/>
      <c r="JXT211" s="260"/>
      <c r="JXU211" s="260"/>
      <c r="JXV211" s="260"/>
      <c r="JXW211" s="260"/>
      <c r="JXX211" s="308"/>
      <c r="JXY211" s="290"/>
      <c r="JXZ211" s="290"/>
      <c r="JYA211" s="260"/>
      <c r="JYB211" s="260"/>
      <c r="JYC211" s="260"/>
      <c r="JYD211" s="260"/>
      <c r="JYE211" s="260"/>
      <c r="JYF211" s="2"/>
      <c r="JYG211" s="2"/>
      <c r="JYH211" s="2"/>
      <c r="JYI211" s="2"/>
      <c r="JYJ211" s="2"/>
      <c r="JYK211" s="2"/>
      <c r="JYL211" s="260"/>
      <c r="JYM211" s="2"/>
      <c r="JYN211" s="2"/>
      <c r="JYO211" s="2"/>
      <c r="JYP211" s="2"/>
      <c r="JYQ211" s="2"/>
      <c r="JYR211" s="2"/>
      <c r="JYS211" s="2"/>
      <c r="JYT211" s="260"/>
      <c r="JYU211" s="260"/>
      <c r="JYV211" s="260"/>
      <c r="JYW211" s="380"/>
      <c r="JYX211" s="380"/>
      <c r="JYY211" s="380"/>
      <c r="JYZ211" s="2"/>
      <c r="JZA211" s="442"/>
      <c r="JZB211" s="442"/>
      <c r="JZC211" s="443"/>
      <c r="JZD211" s="442"/>
      <c r="JZE211" s="442"/>
      <c r="JZF211" s="2"/>
      <c r="JZG211" s="2"/>
      <c r="JZH211" s="2"/>
      <c r="JZI211" s="2"/>
      <c r="JZJ211" s="260"/>
      <c r="JZK211" s="260"/>
      <c r="JZL211" s="260"/>
      <c r="JZM211" s="260"/>
      <c r="JZN211" s="260"/>
      <c r="JZO211" s="260"/>
      <c r="JZP211" s="308"/>
      <c r="JZQ211" s="290"/>
      <c r="JZR211" s="290"/>
      <c r="JZS211" s="260"/>
      <c r="JZT211" s="260"/>
      <c r="JZU211" s="260"/>
      <c r="JZV211" s="260"/>
      <c r="JZW211" s="260"/>
      <c r="JZX211" s="2"/>
      <c r="JZY211" s="2"/>
      <c r="JZZ211" s="2"/>
      <c r="KAA211" s="2"/>
      <c r="KAB211" s="2"/>
      <c r="KAC211" s="2"/>
      <c r="KAD211" s="260"/>
      <c r="KAE211" s="2"/>
      <c r="KAF211" s="2"/>
      <c r="KAG211" s="2"/>
      <c r="KAH211" s="2"/>
      <c r="KAI211" s="2"/>
      <c r="KAJ211" s="2"/>
      <c r="KAK211" s="2"/>
      <c r="KAL211" s="260"/>
      <c r="KAM211" s="260"/>
      <c r="KAN211" s="260"/>
      <c r="KAO211" s="380"/>
      <c r="KAP211" s="380"/>
      <c r="KAQ211" s="380"/>
      <c r="KAR211" s="2"/>
      <c r="KAS211" s="442"/>
      <c r="KAT211" s="442"/>
      <c r="KAU211" s="443"/>
      <c r="KAV211" s="442"/>
      <c r="KAW211" s="442"/>
      <c r="KAX211" s="2"/>
      <c r="KAY211" s="2"/>
      <c r="KAZ211" s="2"/>
      <c r="KBA211" s="2"/>
      <c r="KBB211" s="260"/>
      <c r="KBC211" s="260"/>
      <c r="KBD211" s="260"/>
      <c r="KBE211" s="260"/>
      <c r="KBF211" s="260"/>
      <c r="KBG211" s="260"/>
      <c r="KBH211" s="308"/>
      <c r="KBI211" s="290"/>
      <c r="KBJ211" s="290"/>
      <c r="KBK211" s="260"/>
      <c r="KBL211" s="260"/>
      <c r="KBM211" s="260"/>
      <c r="KBN211" s="260"/>
      <c r="KBO211" s="260"/>
      <c r="KBP211" s="2"/>
      <c r="KBQ211" s="2"/>
      <c r="KBR211" s="2"/>
      <c r="KBS211" s="2"/>
      <c r="KBT211" s="2"/>
      <c r="KBU211" s="2"/>
      <c r="KBV211" s="260"/>
      <c r="KBW211" s="2"/>
      <c r="KBX211" s="2"/>
      <c r="KBY211" s="2"/>
      <c r="KBZ211" s="2"/>
      <c r="KCA211" s="2"/>
      <c r="KCB211" s="2"/>
      <c r="KCC211" s="2"/>
      <c r="KCD211" s="260"/>
      <c r="KCE211" s="260"/>
      <c r="KCF211" s="260"/>
      <c r="KCG211" s="380"/>
      <c r="KCH211" s="380"/>
      <c r="KCI211" s="380"/>
      <c r="KCJ211" s="2"/>
      <c r="KCK211" s="442"/>
      <c r="KCL211" s="442"/>
      <c r="KCM211" s="443"/>
      <c r="KCN211" s="442"/>
      <c r="KCO211" s="442"/>
      <c r="KCP211" s="2"/>
      <c r="KCQ211" s="2"/>
      <c r="KCR211" s="2"/>
      <c r="KCS211" s="2"/>
      <c r="KCT211" s="260"/>
      <c r="KCU211" s="260"/>
      <c r="KCV211" s="260"/>
      <c r="KCW211" s="260"/>
      <c r="KCX211" s="260"/>
      <c r="KCY211" s="260"/>
      <c r="KCZ211" s="308"/>
      <c r="KDA211" s="290"/>
      <c r="KDB211" s="290"/>
      <c r="KDC211" s="260"/>
      <c r="KDD211" s="260"/>
      <c r="KDE211" s="260"/>
      <c r="KDF211" s="260"/>
      <c r="KDG211" s="260"/>
      <c r="KDH211" s="2"/>
      <c r="KDI211" s="2"/>
      <c r="KDJ211" s="2"/>
      <c r="KDK211" s="2"/>
      <c r="KDL211" s="2"/>
      <c r="KDM211" s="2"/>
      <c r="KDN211" s="260"/>
      <c r="KDO211" s="2"/>
      <c r="KDP211" s="2"/>
      <c r="KDQ211" s="2"/>
      <c r="KDR211" s="2"/>
      <c r="KDS211" s="2"/>
      <c r="KDT211" s="2"/>
      <c r="KDU211" s="2"/>
      <c r="KDV211" s="260"/>
      <c r="KDW211" s="260"/>
      <c r="KDX211" s="260"/>
      <c r="KDY211" s="380"/>
      <c r="KDZ211" s="380"/>
      <c r="KEA211" s="380"/>
      <c r="KEB211" s="2"/>
      <c r="KEC211" s="442"/>
      <c r="KED211" s="442"/>
      <c r="KEE211" s="443"/>
      <c r="KEF211" s="442"/>
      <c r="KEG211" s="442"/>
      <c r="KEH211" s="2"/>
      <c r="KEI211" s="2"/>
      <c r="KEJ211" s="2"/>
      <c r="KEK211" s="2"/>
      <c r="KEL211" s="260"/>
      <c r="KEM211" s="260"/>
      <c r="KEN211" s="260"/>
      <c r="KEO211" s="260"/>
      <c r="KEP211" s="260"/>
      <c r="KEQ211" s="260"/>
      <c r="KER211" s="308"/>
      <c r="KES211" s="290"/>
      <c r="KET211" s="290"/>
      <c r="KEU211" s="260"/>
      <c r="KEV211" s="260"/>
      <c r="KEW211" s="260"/>
      <c r="KEX211" s="260"/>
      <c r="KEY211" s="260"/>
      <c r="KEZ211" s="2"/>
      <c r="KFA211" s="2"/>
      <c r="KFB211" s="2"/>
      <c r="KFC211" s="2"/>
      <c r="KFD211" s="2"/>
      <c r="KFE211" s="2"/>
      <c r="KFF211" s="260"/>
      <c r="KFG211" s="2"/>
      <c r="KFH211" s="2"/>
      <c r="KFI211" s="2"/>
      <c r="KFJ211" s="2"/>
      <c r="KFK211" s="2"/>
      <c r="KFL211" s="2"/>
      <c r="KFM211" s="2"/>
      <c r="KFN211" s="260"/>
      <c r="KFO211" s="260"/>
      <c r="KFP211" s="260"/>
      <c r="KFQ211" s="380"/>
      <c r="KFR211" s="380"/>
      <c r="KFS211" s="380"/>
      <c r="KFT211" s="2"/>
      <c r="KFU211" s="442"/>
      <c r="KFV211" s="442"/>
      <c r="KFW211" s="443"/>
      <c r="KFX211" s="442"/>
      <c r="KFY211" s="442"/>
      <c r="KFZ211" s="2"/>
      <c r="KGA211" s="2"/>
      <c r="KGB211" s="2"/>
      <c r="KGC211" s="2"/>
      <c r="KGD211" s="260"/>
      <c r="KGE211" s="260"/>
      <c r="KGF211" s="260"/>
      <c r="KGG211" s="260"/>
      <c r="KGH211" s="260"/>
      <c r="KGI211" s="260"/>
      <c r="KGJ211" s="308"/>
      <c r="KGK211" s="290"/>
      <c r="KGL211" s="290"/>
      <c r="KGM211" s="260"/>
      <c r="KGN211" s="260"/>
      <c r="KGO211" s="260"/>
      <c r="KGP211" s="260"/>
      <c r="KGQ211" s="260"/>
      <c r="KGR211" s="2"/>
      <c r="KGS211" s="2"/>
      <c r="KGT211" s="2"/>
      <c r="KGU211" s="2"/>
      <c r="KGV211" s="2"/>
      <c r="KGW211" s="2"/>
      <c r="KGX211" s="260"/>
      <c r="KGY211" s="2"/>
      <c r="KGZ211" s="2"/>
      <c r="KHA211" s="2"/>
      <c r="KHB211" s="2"/>
      <c r="KHC211" s="2"/>
      <c r="KHD211" s="2"/>
      <c r="KHE211" s="2"/>
      <c r="KHF211" s="260"/>
      <c r="KHG211" s="260"/>
      <c r="KHH211" s="260"/>
      <c r="KHI211" s="380"/>
      <c r="KHJ211" s="380"/>
      <c r="KHK211" s="380"/>
      <c r="KHL211" s="2"/>
      <c r="KHM211" s="442"/>
      <c r="KHN211" s="442"/>
      <c r="KHO211" s="443"/>
      <c r="KHP211" s="442"/>
      <c r="KHQ211" s="442"/>
      <c r="KHR211" s="2"/>
      <c r="KHS211" s="2"/>
      <c r="KHT211" s="2"/>
      <c r="KHU211" s="2"/>
      <c r="KHV211" s="260"/>
      <c r="KHW211" s="260"/>
      <c r="KHX211" s="260"/>
      <c r="KHY211" s="260"/>
      <c r="KHZ211" s="260"/>
      <c r="KIA211" s="260"/>
      <c r="KIB211" s="308"/>
      <c r="KIC211" s="290"/>
      <c r="KID211" s="290"/>
      <c r="KIE211" s="260"/>
      <c r="KIF211" s="260"/>
      <c r="KIG211" s="260"/>
      <c r="KIH211" s="260"/>
      <c r="KII211" s="260"/>
      <c r="KIJ211" s="2"/>
      <c r="KIK211" s="2"/>
      <c r="KIL211" s="2"/>
      <c r="KIM211" s="2"/>
      <c r="KIN211" s="2"/>
      <c r="KIO211" s="2"/>
      <c r="KIP211" s="260"/>
      <c r="KIQ211" s="2"/>
      <c r="KIR211" s="2"/>
      <c r="KIS211" s="2"/>
      <c r="KIT211" s="2"/>
      <c r="KIU211" s="2"/>
      <c r="KIV211" s="2"/>
      <c r="KIW211" s="2"/>
      <c r="KIX211" s="260"/>
      <c r="KIY211" s="260"/>
      <c r="KIZ211" s="260"/>
      <c r="KJA211" s="380"/>
      <c r="KJB211" s="380"/>
      <c r="KJC211" s="380"/>
      <c r="KJD211" s="2"/>
      <c r="KJE211" s="442"/>
      <c r="KJF211" s="442"/>
      <c r="KJG211" s="443"/>
      <c r="KJH211" s="442"/>
      <c r="KJI211" s="442"/>
      <c r="KJJ211" s="2"/>
      <c r="KJK211" s="2"/>
      <c r="KJL211" s="2"/>
      <c r="KJM211" s="2"/>
      <c r="KJN211" s="260"/>
      <c r="KJO211" s="260"/>
      <c r="KJP211" s="260"/>
      <c r="KJQ211" s="260"/>
      <c r="KJR211" s="260"/>
      <c r="KJS211" s="260"/>
      <c r="KJT211" s="308"/>
      <c r="KJU211" s="290"/>
      <c r="KJV211" s="290"/>
      <c r="KJW211" s="260"/>
      <c r="KJX211" s="260"/>
      <c r="KJY211" s="260"/>
      <c r="KJZ211" s="260"/>
      <c r="KKA211" s="260"/>
      <c r="KKB211" s="2"/>
      <c r="KKC211" s="2"/>
      <c r="KKD211" s="2"/>
      <c r="KKE211" s="2"/>
      <c r="KKF211" s="2"/>
      <c r="KKG211" s="2"/>
      <c r="KKH211" s="260"/>
      <c r="KKI211" s="2"/>
      <c r="KKJ211" s="2"/>
      <c r="KKK211" s="2"/>
      <c r="KKL211" s="2"/>
      <c r="KKM211" s="2"/>
      <c r="KKN211" s="2"/>
      <c r="KKO211" s="2"/>
      <c r="KKP211" s="260"/>
      <c r="KKQ211" s="260"/>
      <c r="KKR211" s="260"/>
      <c r="KKS211" s="380"/>
      <c r="KKT211" s="380"/>
      <c r="KKU211" s="380"/>
      <c r="KKV211" s="2"/>
      <c r="KKW211" s="442"/>
      <c r="KKX211" s="442"/>
      <c r="KKY211" s="443"/>
      <c r="KKZ211" s="442"/>
      <c r="KLA211" s="442"/>
      <c r="KLB211" s="2"/>
      <c r="KLC211" s="2"/>
      <c r="KLD211" s="2"/>
      <c r="KLE211" s="2"/>
      <c r="KLF211" s="260"/>
      <c r="KLG211" s="260"/>
      <c r="KLH211" s="260"/>
      <c r="KLI211" s="260"/>
      <c r="KLJ211" s="260"/>
      <c r="KLK211" s="260"/>
      <c r="KLL211" s="308"/>
      <c r="KLM211" s="290"/>
      <c r="KLN211" s="290"/>
      <c r="KLO211" s="260"/>
      <c r="KLP211" s="260"/>
      <c r="KLQ211" s="260"/>
      <c r="KLR211" s="260"/>
      <c r="KLS211" s="260"/>
      <c r="KLT211" s="2"/>
      <c r="KLU211" s="2"/>
      <c r="KLV211" s="2"/>
      <c r="KLW211" s="2"/>
      <c r="KLX211" s="2"/>
      <c r="KLY211" s="2"/>
      <c r="KLZ211" s="260"/>
      <c r="KMA211" s="2"/>
      <c r="KMB211" s="2"/>
      <c r="KMC211" s="2"/>
      <c r="KMD211" s="2"/>
      <c r="KME211" s="2"/>
      <c r="KMF211" s="2"/>
      <c r="KMG211" s="2"/>
      <c r="KMH211" s="260"/>
      <c r="KMI211" s="260"/>
      <c r="KMJ211" s="260"/>
      <c r="KMK211" s="380"/>
      <c r="KML211" s="380"/>
      <c r="KMM211" s="380"/>
      <c r="KMN211" s="2"/>
      <c r="KMO211" s="442"/>
      <c r="KMP211" s="442"/>
      <c r="KMQ211" s="443"/>
      <c r="KMR211" s="442"/>
      <c r="KMS211" s="442"/>
      <c r="KMT211" s="2"/>
      <c r="KMU211" s="2"/>
      <c r="KMV211" s="2"/>
      <c r="KMW211" s="2"/>
      <c r="KMX211" s="260"/>
      <c r="KMY211" s="260"/>
      <c r="KMZ211" s="260"/>
      <c r="KNA211" s="260"/>
      <c r="KNB211" s="260"/>
      <c r="KNC211" s="260"/>
      <c r="KND211" s="308"/>
      <c r="KNE211" s="290"/>
      <c r="KNF211" s="290"/>
      <c r="KNG211" s="260"/>
      <c r="KNH211" s="260"/>
      <c r="KNI211" s="260"/>
      <c r="KNJ211" s="260"/>
      <c r="KNK211" s="260"/>
      <c r="KNL211" s="2"/>
      <c r="KNM211" s="2"/>
      <c r="KNN211" s="2"/>
      <c r="KNO211" s="2"/>
      <c r="KNP211" s="2"/>
      <c r="KNQ211" s="2"/>
      <c r="KNR211" s="260"/>
      <c r="KNS211" s="2"/>
      <c r="KNT211" s="2"/>
      <c r="KNU211" s="2"/>
      <c r="KNV211" s="2"/>
      <c r="KNW211" s="2"/>
      <c r="KNX211" s="2"/>
      <c r="KNY211" s="2"/>
      <c r="KNZ211" s="260"/>
      <c r="KOA211" s="260"/>
      <c r="KOB211" s="260"/>
      <c r="KOC211" s="380"/>
      <c r="KOD211" s="380"/>
      <c r="KOE211" s="380"/>
      <c r="KOF211" s="2"/>
      <c r="KOG211" s="442"/>
      <c r="KOH211" s="442"/>
      <c r="KOI211" s="443"/>
      <c r="KOJ211" s="442"/>
      <c r="KOK211" s="442"/>
      <c r="KOL211" s="2"/>
      <c r="KOM211" s="2"/>
      <c r="KON211" s="2"/>
      <c r="KOO211" s="2"/>
      <c r="KOP211" s="260"/>
      <c r="KOQ211" s="260"/>
      <c r="KOR211" s="260"/>
      <c r="KOS211" s="260"/>
      <c r="KOT211" s="260"/>
      <c r="KOU211" s="260"/>
      <c r="KOV211" s="308"/>
      <c r="KOW211" s="290"/>
      <c r="KOX211" s="290"/>
      <c r="KOY211" s="260"/>
      <c r="KOZ211" s="260"/>
      <c r="KPA211" s="260"/>
      <c r="KPB211" s="260"/>
      <c r="KPC211" s="260"/>
      <c r="KPD211" s="2"/>
      <c r="KPE211" s="2"/>
      <c r="KPF211" s="2"/>
      <c r="KPG211" s="2"/>
      <c r="KPH211" s="2"/>
      <c r="KPI211" s="2"/>
      <c r="KPJ211" s="260"/>
      <c r="KPK211" s="2"/>
      <c r="KPL211" s="2"/>
      <c r="KPM211" s="2"/>
      <c r="KPN211" s="2"/>
      <c r="KPO211" s="2"/>
      <c r="KPP211" s="2"/>
      <c r="KPQ211" s="2"/>
      <c r="KPR211" s="260"/>
      <c r="KPS211" s="260"/>
      <c r="KPT211" s="260"/>
      <c r="KPU211" s="380"/>
      <c r="KPV211" s="380"/>
      <c r="KPW211" s="380"/>
      <c r="KPX211" s="2"/>
      <c r="KPY211" s="442"/>
      <c r="KPZ211" s="442"/>
      <c r="KQA211" s="443"/>
      <c r="KQB211" s="442"/>
      <c r="KQC211" s="442"/>
      <c r="KQD211" s="2"/>
      <c r="KQE211" s="2"/>
      <c r="KQF211" s="2"/>
      <c r="KQG211" s="2"/>
      <c r="KQH211" s="260"/>
      <c r="KQI211" s="260"/>
      <c r="KQJ211" s="260"/>
      <c r="KQK211" s="260"/>
      <c r="KQL211" s="260"/>
      <c r="KQM211" s="260"/>
      <c r="KQN211" s="308"/>
      <c r="KQO211" s="290"/>
      <c r="KQP211" s="290"/>
      <c r="KQQ211" s="260"/>
      <c r="KQR211" s="260"/>
      <c r="KQS211" s="260"/>
      <c r="KQT211" s="260"/>
      <c r="KQU211" s="260"/>
      <c r="KQV211" s="2"/>
      <c r="KQW211" s="2"/>
      <c r="KQX211" s="2"/>
      <c r="KQY211" s="2"/>
      <c r="KQZ211" s="2"/>
      <c r="KRA211" s="2"/>
      <c r="KRB211" s="260"/>
      <c r="KRC211" s="2"/>
      <c r="KRD211" s="2"/>
      <c r="KRE211" s="2"/>
      <c r="KRF211" s="2"/>
      <c r="KRG211" s="2"/>
      <c r="KRH211" s="2"/>
      <c r="KRI211" s="2"/>
      <c r="KRJ211" s="260"/>
      <c r="KRK211" s="260"/>
      <c r="KRL211" s="260"/>
      <c r="KRM211" s="380"/>
      <c r="KRN211" s="380"/>
      <c r="KRO211" s="380"/>
      <c r="KRP211" s="2"/>
      <c r="KRQ211" s="442"/>
      <c r="KRR211" s="442"/>
      <c r="KRS211" s="443"/>
      <c r="KRT211" s="442"/>
      <c r="KRU211" s="442"/>
      <c r="KRV211" s="2"/>
      <c r="KRW211" s="2"/>
      <c r="KRX211" s="2"/>
      <c r="KRY211" s="2"/>
      <c r="KRZ211" s="260"/>
      <c r="KSA211" s="260"/>
      <c r="KSB211" s="260"/>
      <c r="KSC211" s="260"/>
      <c r="KSD211" s="260"/>
      <c r="KSE211" s="260"/>
      <c r="KSF211" s="308"/>
      <c r="KSG211" s="290"/>
      <c r="KSH211" s="290"/>
      <c r="KSI211" s="260"/>
      <c r="KSJ211" s="260"/>
      <c r="KSK211" s="260"/>
      <c r="KSL211" s="260"/>
      <c r="KSM211" s="260"/>
      <c r="KSN211" s="2"/>
      <c r="KSO211" s="2"/>
      <c r="KSP211" s="2"/>
      <c r="KSQ211" s="2"/>
      <c r="KSR211" s="2"/>
      <c r="KSS211" s="2"/>
      <c r="KST211" s="260"/>
      <c r="KSU211" s="2"/>
      <c r="KSV211" s="2"/>
      <c r="KSW211" s="2"/>
      <c r="KSX211" s="2"/>
      <c r="KSY211" s="2"/>
      <c r="KSZ211" s="2"/>
      <c r="KTA211" s="2"/>
      <c r="KTB211" s="260"/>
      <c r="KTC211" s="260"/>
      <c r="KTD211" s="260"/>
      <c r="KTE211" s="380"/>
      <c r="KTF211" s="380"/>
      <c r="KTG211" s="380"/>
      <c r="KTH211" s="2"/>
      <c r="KTI211" s="442"/>
      <c r="KTJ211" s="442"/>
      <c r="KTK211" s="443"/>
      <c r="KTL211" s="442"/>
      <c r="KTM211" s="442"/>
      <c r="KTN211" s="2"/>
      <c r="KTO211" s="2"/>
      <c r="KTP211" s="2"/>
      <c r="KTQ211" s="2"/>
      <c r="KTR211" s="260"/>
      <c r="KTS211" s="260"/>
      <c r="KTT211" s="260"/>
      <c r="KTU211" s="260"/>
      <c r="KTV211" s="260"/>
      <c r="KTW211" s="260"/>
      <c r="KTX211" s="308"/>
      <c r="KTY211" s="290"/>
      <c r="KTZ211" s="290"/>
      <c r="KUA211" s="260"/>
      <c r="KUB211" s="260"/>
      <c r="KUC211" s="260"/>
      <c r="KUD211" s="260"/>
      <c r="KUE211" s="260"/>
      <c r="KUF211" s="2"/>
      <c r="KUG211" s="2"/>
      <c r="KUH211" s="2"/>
      <c r="KUI211" s="2"/>
      <c r="KUJ211" s="2"/>
      <c r="KUK211" s="2"/>
      <c r="KUL211" s="260"/>
      <c r="KUM211" s="2"/>
      <c r="KUN211" s="2"/>
      <c r="KUO211" s="2"/>
      <c r="KUP211" s="2"/>
      <c r="KUQ211" s="2"/>
      <c r="KUR211" s="2"/>
      <c r="KUS211" s="2"/>
      <c r="KUT211" s="260"/>
      <c r="KUU211" s="260"/>
      <c r="KUV211" s="260"/>
      <c r="KUW211" s="380"/>
      <c r="KUX211" s="380"/>
      <c r="KUY211" s="380"/>
      <c r="KUZ211" s="2"/>
      <c r="KVA211" s="442"/>
      <c r="KVB211" s="442"/>
      <c r="KVC211" s="443"/>
      <c r="KVD211" s="442"/>
      <c r="KVE211" s="442"/>
      <c r="KVF211" s="2"/>
      <c r="KVG211" s="2"/>
      <c r="KVH211" s="2"/>
      <c r="KVI211" s="2"/>
      <c r="KVJ211" s="260"/>
      <c r="KVK211" s="260"/>
      <c r="KVL211" s="260"/>
      <c r="KVM211" s="260"/>
      <c r="KVN211" s="260"/>
      <c r="KVO211" s="260"/>
      <c r="KVP211" s="308"/>
      <c r="KVQ211" s="290"/>
      <c r="KVR211" s="290"/>
      <c r="KVS211" s="260"/>
      <c r="KVT211" s="260"/>
      <c r="KVU211" s="260"/>
      <c r="KVV211" s="260"/>
      <c r="KVW211" s="260"/>
      <c r="KVX211" s="2"/>
      <c r="KVY211" s="2"/>
      <c r="KVZ211" s="2"/>
      <c r="KWA211" s="2"/>
      <c r="KWB211" s="2"/>
      <c r="KWC211" s="2"/>
      <c r="KWD211" s="260"/>
      <c r="KWE211" s="2"/>
      <c r="KWF211" s="2"/>
      <c r="KWG211" s="2"/>
      <c r="KWH211" s="2"/>
      <c r="KWI211" s="2"/>
      <c r="KWJ211" s="2"/>
      <c r="KWK211" s="2"/>
      <c r="KWL211" s="260"/>
      <c r="KWM211" s="260"/>
      <c r="KWN211" s="260"/>
      <c r="KWO211" s="380"/>
      <c r="KWP211" s="380"/>
      <c r="KWQ211" s="380"/>
      <c r="KWR211" s="2"/>
      <c r="KWS211" s="442"/>
      <c r="KWT211" s="442"/>
      <c r="KWU211" s="443"/>
      <c r="KWV211" s="442"/>
      <c r="KWW211" s="442"/>
      <c r="KWX211" s="2"/>
      <c r="KWY211" s="2"/>
      <c r="KWZ211" s="2"/>
      <c r="KXA211" s="2"/>
      <c r="KXB211" s="260"/>
      <c r="KXC211" s="260"/>
      <c r="KXD211" s="260"/>
      <c r="KXE211" s="260"/>
      <c r="KXF211" s="260"/>
      <c r="KXG211" s="260"/>
      <c r="KXH211" s="308"/>
      <c r="KXI211" s="290"/>
      <c r="KXJ211" s="290"/>
      <c r="KXK211" s="260"/>
      <c r="KXL211" s="260"/>
      <c r="KXM211" s="260"/>
      <c r="KXN211" s="260"/>
      <c r="KXO211" s="260"/>
      <c r="KXP211" s="2"/>
      <c r="KXQ211" s="2"/>
      <c r="KXR211" s="2"/>
      <c r="KXS211" s="2"/>
      <c r="KXT211" s="2"/>
      <c r="KXU211" s="2"/>
      <c r="KXV211" s="260"/>
      <c r="KXW211" s="2"/>
      <c r="KXX211" s="2"/>
      <c r="KXY211" s="2"/>
      <c r="KXZ211" s="2"/>
      <c r="KYA211" s="2"/>
      <c r="KYB211" s="2"/>
      <c r="KYC211" s="2"/>
      <c r="KYD211" s="260"/>
      <c r="KYE211" s="260"/>
      <c r="KYF211" s="260"/>
      <c r="KYG211" s="380"/>
      <c r="KYH211" s="380"/>
      <c r="KYI211" s="380"/>
      <c r="KYJ211" s="2"/>
      <c r="KYK211" s="442"/>
      <c r="KYL211" s="442"/>
      <c r="KYM211" s="443"/>
      <c r="KYN211" s="442"/>
      <c r="KYO211" s="442"/>
      <c r="KYP211" s="2"/>
      <c r="KYQ211" s="2"/>
      <c r="KYR211" s="2"/>
      <c r="KYS211" s="2"/>
      <c r="KYT211" s="260"/>
      <c r="KYU211" s="260"/>
      <c r="KYV211" s="260"/>
      <c r="KYW211" s="260"/>
      <c r="KYX211" s="260"/>
      <c r="KYY211" s="260"/>
      <c r="KYZ211" s="308"/>
      <c r="KZA211" s="290"/>
      <c r="KZB211" s="290"/>
      <c r="KZC211" s="260"/>
      <c r="KZD211" s="260"/>
      <c r="KZE211" s="260"/>
      <c r="KZF211" s="260"/>
      <c r="KZG211" s="260"/>
      <c r="KZH211" s="2"/>
      <c r="KZI211" s="2"/>
      <c r="KZJ211" s="2"/>
      <c r="KZK211" s="2"/>
      <c r="KZL211" s="2"/>
      <c r="KZM211" s="2"/>
      <c r="KZN211" s="260"/>
      <c r="KZO211" s="2"/>
      <c r="KZP211" s="2"/>
      <c r="KZQ211" s="2"/>
      <c r="KZR211" s="2"/>
      <c r="KZS211" s="2"/>
      <c r="KZT211" s="2"/>
      <c r="KZU211" s="2"/>
      <c r="KZV211" s="260"/>
      <c r="KZW211" s="260"/>
      <c r="KZX211" s="260"/>
      <c r="KZY211" s="380"/>
      <c r="KZZ211" s="380"/>
      <c r="LAA211" s="380"/>
      <c r="LAB211" s="2"/>
      <c r="LAC211" s="442"/>
      <c r="LAD211" s="442"/>
      <c r="LAE211" s="443"/>
      <c r="LAF211" s="442"/>
      <c r="LAG211" s="442"/>
      <c r="LAH211" s="2"/>
      <c r="LAI211" s="2"/>
      <c r="LAJ211" s="2"/>
      <c r="LAK211" s="2"/>
      <c r="LAL211" s="260"/>
      <c r="LAM211" s="260"/>
      <c r="LAN211" s="260"/>
      <c r="LAO211" s="260"/>
      <c r="LAP211" s="260"/>
      <c r="LAQ211" s="260"/>
      <c r="LAR211" s="308"/>
      <c r="LAS211" s="290"/>
      <c r="LAT211" s="290"/>
      <c r="LAU211" s="260"/>
      <c r="LAV211" s="260"/>
      <c r="LAW211" s="260"/>
      <c r="LAX211" s="260"/>
      <c r="LAY211" s="260"/>
      <c r="LAZ211" s="2"/>
      <c r="LBA211" s="2"/>
      <c r="LBB211" s="2"/>
      <c r="LBC211" s="2"/>
      <c r="LBD211" s="2"/>
      <c r="LBE211" s="2"/>
      <c r="LBF211" s="260"/>
      <c r="LBG211" s="2"/>
      <c r="LBH211" s="2"/>
      <c r="LBI211" s="2"/>
      <c r="LBJ211" s="2"/>
      <c r="LBK211" s="2"/>
      <c r="LBL211" s="2"/>
      <c r="LBM211" s="2"/>
      <c r="LBN211" s="260"/>
      <c r="LBO211" s="260"/>
      <c r="LBP211" s="260"/>
      <c r="LBQ211" s="380"/>
      <c r="LBR211" s="380"/>
      <c r="LBS211" s="380"/>
      <c r="LBT211" s="2"/>
      <c r="LBU211" s="442"/>
      <c r="LBV211" s="442"/>
      <c r="LBW211" s="443"/>
      <c r="LBX211" s="442"/>
      <c r="LBY211" s="442"/>
      <c r="LBZ211" s="2"/>
      <c r="LCA211" s="2"/>
      <c r="LCB211" s="2"/>
      <c r="LCC211" s="2"/>
      <c r="LCD211" s="260"/>
      <c r="LCE211" s="260"/>
      <c r="LCF211" s="260"/>
      <c r="LCG211" s="260"/>
      <c r="LCH211" s="260"/>
      <c r="LCI211" s="260"/>
      <c r="LCJ211" s="308"/>
      <c r="LCK211" s="290"/>
      <c r="LCL211" s="290"/>
      <c r="LCM211" s="260"/>
      <c r="LCN211" s="260"/>
      <c r="LCO211" s="260"/>
      <c r="LCP211" s="260"/>
      <c r="LCQ211" s="260"/>
      <c r="LCR211" s="2"/>
      <c r="LCS211" s="2"/>
      <c r="LCT211" s="2"/>
      <c r="LCU211" s="2"/>
      <c r="LCV211" s="2"/>
      <c r="LCW211" s="2"/>
      <c r="LCX211" s="260"/>
      <c r="LCY211" s="2"/>
      <c r="LCZ211" s="2"/>
      <c r="LDA211" s="2"/>
      <c r="LDB211" s="2"/>
      <c r="LDC211" s="2"/>
      <c r="LDD211" s="2"/>
      <c r="LDE211" s="2"/>
      <c r="LDF211" s="260"/>
      <c r="LDG211" s="260"/>
      <c r="LDH211" s="260"/>
      <c r="LDI211" s="380"/>
      <c r="LDJ211" s="380"/>
      <c r="LDK211" s="380"/>
      <c r="LDL211" s="2"/>
      <c r="LDM211" s="442"/>
      <c r="LDN211" s="442"/>
      <c r="LDO211" s="443"/>
      <c r="LDP211" s="442"/>
      <c r="LDQ211" s="442"/>
      <c r="LDR211" s="2"/>
      <c r="LDS211" s="2"/>
      <c r="LDT211" s="2"/>
      <c r="LDU211" s="2"/>
      <c r="LDV211" s="260"/>
      <c r="LDW211" s="260"/>
      <c r="LDX211" s="260"/>
      <c r="LDY211" s="260"/>
      <c r="LDZ211" s="260"/>
      <c r="LEA211" s="260"/>
      <c r="LEB211" s="308"/>
      <c r="LEC211" s="290"/>
      <c r="LED211" s="290"/>
      <c r="LEE211" s="260"/>
      <c r="LEF211" s="260"/>
      <c r="LEG211" s="260"/>
      <c r="LEH211" s="260"/>
      <c r="LEI211" s="260"/>
      <c r="LEJ211" s="2"/>
      <c r="LEK211" s="2"/>
      <c r="LEL211" s="2"/>
      <c r="LEM211" s="2"/>
      <c r="LEN211" s="2"/>
      <c r="LEO211" s="2"/>
      <c r="LEP211" s="260"/>
      <c r="LEQ211" s="2"/>
      <c r="LER211" s="2"/>
      <c r="LES211" s="2"/>
      <c r="LET211" s="2"/>
      <c r="LEU211" s="2"/>
      <c r="LEV211" s="2"/>
      <c r="LEW211" s="2"/>
      <c r="LEX211" s="260"/>
      <c r="LEY211" s="260"/>
      <c r="LEZ211" s="260"/>
      <c r="LFA211" s="380"/>
      <c r="LFB211" s="380"/>
      <c r="LFC211" s="380"/>
      <c r="LFD211" s="2"/>
      <c r="LFE211" s="442"/>
      <c r="LFF211" s="442"/>
      <c r="LFG211" s="443"/>
      <c r="LFH211" s="442"/>
      <c r="LFI211" s="442"/>
      <c r="LFJ211" s="2"/>
      <c r="LFK211" s="2"/>
      <c r="LFL211" s="2"/>
      <c r="LFM211" s="2"/>
      <c r="LFN211" s="260"/>
      <c r="LFO211" s="260"/>
      <c r="LFP211" s="260"/>
      <c r="LFQ211" s="260"/>
      <c r="LFR211" s="260"/>
      <c r="LFS211" s="260"/>
      <c r="LFT211" s="308"/>
      <c r="LFU211" s="290"/>
      <c r="LFV211" s="290"/>
      <c r="LFW211" s="260"/>
      <c r="LFX211" s="260"/>
      <c r="LFY211" s="260"/>
      <c r="LFZ211" s="260"/>
      <c r="LGA211" s="260"/>
      <c r="LGB211" s="2"/>
      <c r="LGC211" s="2"/>
      <c r="LGD211" s="2"/>
      <c r="LGE211" s="2"/>
      <c r="LGF211" s="2"/>
      <c r="LGG211" s="2"/>
      <c r="LGH211" s="260"/>
      <c r="LGI211" s="2"/>
      <c r="LGJ211" s="2"/>
      <c r="LGK211" s="2"/>
      <c r="LGL211" s="2"/>
      <c r="LGM211" s="2"/>
      <c r="LGN211" s="2"/>
      <c r="LGO211" s="2"/>
      <c r="LGP211" s="260"/>
      <c r="LGQ211" s="260"/>
      <c r="LGR211" s="260"/>
      <c r="LGS211" s="380"/>
      <c r="LGT211" s="380"/>
      <c r="LGU211" s="380"/>
      <c r="LGV211" s="2"/>
      <c r="LGW211" s="442"/>
      <c r="LGX211" s="442"/>
      <c r="LGY211" s="443"/>
      <c r="LGZ211" s="442"/>
      <c r="LHA211" s="442"/>
      <c r="LHB211" s="2"/>
      <c r="LHC211" s="2"/>
      <c r="LHD211" s="2"/>
      <c r="LHE211" s="2"/>
      <c r="LHF211" s="260"/>
      <c r="LHG211" s="260"/>
      <c r="LHH211" s="260"/>
      <c r="LHI211" s="260"/>
      <c r="LHJ211" s="260"/>
      <c r="LHK211" s="260"/>
      <c r="LHL211" s="308"/>
      <c r="LHM211" s="290"/>
      <c r="LHN211" s="290"/>
      <c r="LHO211" s="260"/>
      <c r="LHP211" s="260"/>
      <c r="LHQ211" s="260"/>
      <c r="LHR211" s="260"/>
      <c r="LHS211" s="260"/>
      <c r="LHT211" s="2"/>
      <c r="LHU211" s="2"/>
      <c r="LHV211" s="2"/>
      <c r="LHW211" s="2"/>
      <c r="LHX211" s="2"/>
      <c r="LHY211" s="2"/>
      <c r="LHZ211" s="260"/>
      <c r="LIA211" s="2"/>
      <c r="LIB211" s="2"/>
      <c r="LIC211" s="2"/>
      <c r="LID211" s="2"/>
      <c r="LIE211" s="2"/>
      <c r="LIF211" s="2"/>
      <c r="LIG211" s="2"/>
      <c r="LIH211" s="260"/>
      <c r="LII211" s="260"/>
      <c r="LIJ211" s="260"/>
      <c r="LIK211" s="380"/>
      <c r="LIL211" s="380"/>
      <c r="LIM211" s="380"/>
      <c r="LIN211" s="2"/>
      <c r="LIO211" s="442"/>
      <c r="LIP211" s="442"/>
      <c r="LIQ211" s="443"/>
      <c r="LIR211" s="442"/>
      <c r="LIS211" s="442"/>
      <c r="LIT211" s="2"/>
      <c r="LIU211" s="2"/>
      <c r="LIV211" s="2"/>
      <c r="LIW211" s="2"/>
      <c r="LIX211" s="260"/>
      <c r="LIY211" s="260"/>
      <c r="LIZ211" s="260"/>
      <c r="LJA211" s="260"/>
      <c r="LJB211" s="260"/>
      <c r="LJC211" s="260"/>
      <c r="LJD211" s="308"/>
      <c r="LJE211" s="290"/>
      <c r="LJF211" s="290"/>
      <c r="LJG211" s="260"/>
      <c r="LJH211" s="260"/>
      <c r="LJI211" s="260"/>
      <c r="LJJ211" s="260"/>
      <c r="LJK211" s="260"/>
      <c r="LJL211" s="2"/>
      <c r="LJM211" s="2"/>
      <c r="LJN211" s="2"/>
      <c r="LJO211" s="2"/>
      <c r="LJP211" s="2"/>
      <c r="LJQ211" s="2"/>
      <c r="LJR211" s="260"/>
      <c r="LJS211" s="2"/>
      <c r="LJT211" s="2"/>
      <c r="LJU211" s="2"/>
      <c r="LJV211" s="2"/>
      <c r="LJW211" s="2"/>
      <c r="LJX211" s="2"/>
      <c r="LJY211" s="2"/>
      <c r="LJZ211" s="260"/>
      <c r="LKA211" s="260"/>
      <c r="LKB211" s="260"/>
      <c r="LKC211" s="380"/>
      <c r="LKD211" s="380"/>
      <c r="LKE211" s="380"/>
      <c r="LKF211" s="2"/>
      <c r="LKG211" s="442"/>
      <c r="LKH211" s="442"/>
      <c r="LKI211" s="443"/>
      <c r="LKJ211" s="442"/>
      <c r="LKK211" s="442"/>
      <c r="LKL211" s="2"/>
      <c r="LKM211" s="2"/>
      <c r="LKN211" s="2"/>
      <c r="LKO211" s="2"/>
      <c r="LKP211" s="260"/>
      <c r="LKQ211" s="260"/>
      <c r="LKR211" s="260"/>
      <c r="LKS211" s="260"/>
      <c r="LKT211" s="260"/>
      <c r="LKU211" s="260"/>
      <c r="LKV211" s="308"/>
      <c r="LKW211" s="290"/>
      <c r="LKX211" s="290"/>
      <c r="LKY211" s="260"/>
      <c r="LKZ211" s="260"/>
      <c r="LLA211" s="260"/>
      <c r="LLB211" s="260"/>
      <c r="LLC211" s="260"/>
      <c r="LLD211" s="2"/>
      <c r="LLE211" s="2"/>
      <c r="LLF211" s="2"/>
      <c r="LLG211" s="2"/>
      <c r="LLH211" s="2"/>
      <c r="LLI211" s="2"/>
      <c r="LLJ211" s="260"/>
      <c r="LLK211" s="2"/>
      <c r="LLL211" s="2"/>
      <c r="LLM211" s="2"/>
      <c r="LLN211" s="2"/>
      <c r="LLO211" s="2"/>
      <c r="LLP211" s="2"/>
      <c r="LLQ211" s="2"/>
      <c r="LLR211" s="260"/>
      <c r="LLS211" s="260"/>
      <c r="LLT211" s="260"/>
      <c r="LLU211" s="380"/>
      <c r="LLV211" s="380"/>
      <c r="LLW211" s="380"/>
      <c r="LLX211" s="2"/>
      <c r="LLY211" s="442"/>
      <c r="LLZ211" s="442"/>
      <c r="LMA211" s="443"/>
      <c r="LMB211" s="442"/>
      <c r="LMC211" s="442"/>
      <c r="LMD211" s="2"/>
      <c r="LME211" s="2"/>
      <c r="LMF211" s="2"/>
      <c r="LMG211" s="2"/>
      <c r="LMH211" s="260"/>
      <c r="LMI211" s="260"/>
      <c r="LMJ211" s="260"/>
      <c r="LMK211" s="260"/>
      <c r="LML211" s="260"/>
      <c r="LMM211" s="260"/>
      <c r="LMN211" s="308"/>
      <c r="LMO211" s="290"/>
      <c r="LMP211" s="290"/>
      <c r="LMQ211" s="260"/>
      <c r="LMR211" s="260"/>
      <c r="LMS211" s="260"/>
      <c r="LMT211" s="260"/>
      <c r="LMU211" s="260"/>
      <c r="LMV211" s="2"/>
      <c r="LMW211" s="2"/>
      <c r="LMX211" s="2"/>
      <c r="LMY211" s="2"/>
      <c r="LMZ211" s="2"/>
      <c r="LNA211" s="2"/>
      <c r="LNB211" s="260"/>
      <c r="LNC211" s="2"/>
      <c r="LND211" s="2"/>
      <c r="LNE211" s="2"/>
      <c r="LNF211" s="2"/>
      <c r="LNG211" s="2"/>
      <c r="LNH211" s="2"/>
      <c r="LNI211" s="2"/>
      <c r="LNJ211" s="260"/>
      <c r="LNK211" s="260"/>
      <c r="LNL211" s="260"/>
      <c r="LNM211" s="380"/>
      <c r="LNN211" s="380"/>
      <c r="LNO211" s="380"/>
      <c r="LNP211" s="2"/>
      <c r="LNQ211" s="442"/>
      <c r="LNR211" s="442"/>
      <c r="LNS211" s="443"/>
      <c r="LNT211" s="442"/>
      <c r="LNU211" s="442"/>
      <c r="LNV211" s="2"/>
      <c r="LNW211" s="2"/>
      <c r="LNX211" s="2"/>
      <c r="LNY211" s="2"/>
      <c r="LNZ211" s="260"/>
      <c r="LOA211" s="260"/>
      <c r="LOB211" s="260"/>
      <c r="LOC211" s="260"/>
      <c r="LOD211" s="260"/>
      <c r="LOE211" s="260"/>
      <c r="LOF211" s="308"/>
      <c r="LOG211" s="290"/>
      <c r="LOH211" s="290"/>
      <c r="LOI211" s="260"/>
      <c r="LOJ211" s="260"/>
      <c r="LOK211" s="260"/>
      <c r="LOL211" s="260"/>
      <c r="LOM211" s="260"/>
      <c r="LON211" s="2"/>
      <c r="LOO211" s="2"/>
      <c r="LOP211" s="2"/>
      <c r="LOQ211" s="2"/>
      <c r="LOR211" s="2"/>
      <c r="LOS211" s="2"/>
      <c r="LOT211" s="260"/>
      <c r="LOU211" s="2"/>
      <c r="LOV211" s="2"/>
      <c r="LOW211" s="2"/>
      <c r="LOX211" s="2"/>
      <c r="LOY211" s="2"/>
      <c r="LOZ211" s="2"/>
      <c r="LPA211" s="2"/>
      <c r="LPB211" s="260"/>
      <c r="LPC211" s="260"/>
      <c r="LPD211" s="260"/>
      <c r="LPE211" s="380"/>
      <c r="LPF211" s="380"/>
      <c r="LPG211" s="380"/>
      <c r="LPH211" s="2"/>
      <c r="LPI211" s="442"/>
      <c r="LPJ211" s="442"/>
      <c r="LPK211" s="443"/>
      <c r="LPL211" s="442"/>
      <c r="LPM211" s="442"/>
      <c r="LPN211" s="2"/>
      <c r="LPO211" s="2"/>
      <c r="LPP211" s="2"/>
      <c r="LPQ211" s="2"/>
      <c r="LPR211" s="260"/>
      <c r="LPS211" s="260"/>
      <c r="LPT211" s="260"/>
      <c r="LPU211" s="260"/>
      <c r="LPV211" s="260"/>
      <c r="LPW211" s="260"/>
      <c r="LPX211" s="308"/>
      <c r="LPY211" s="290"/>
      <c r="LPZ211" s="290"/>
      <c r="LQA211" s="260"/>
      <c r="LQB211" s="260"/>
      <c r="LQC211" s="260"/>
      <c r="LQD211" s="260"/>
      <c r="LQE211" s="260"/>
      <c r="LQF211" s="2"/>
      <c r="LQG211" s="2"/>
      <c r="LQH211" s="2"/>
      <c r="LQI211" s="2"/>
      <c r="LQJ211" s="2"/>
      <c r="LQK211" s="2"/>
      <c r="LQL211" s="260"/>
      <c r="LQM211" s="2"/>
      <c r="LQN211" s="2"/>
      <c r="LQO211" s="2"/>
      <c r="LQP211" s="2"/>
      <c r="LQQ211" s="2"/>
      <c r="LQR211" s="2"/>
      <c r="LQS211" s="2"/>
      <c r="LQT211" s="260"/>
      <c r="LQU211" s="260"/>
      <c r="LQV211" s="260"/>
      <c r="LQW211" s="380"/>
      <c r="LQX211" s="380"/>
      <c r="LQY211" s="380"/>
      <c r="LQZ211" s="2"/>
      <c r="LRA211" s="442"/>
      <c r="LRB211" s="442"/>
      <c r="LRC211" s="443"/>
      <c r="LRD211" s="442"/>
      <c r="LRE211" s="442"/>
      <c r="LRF211" s="2"/>
      <c r="LRG211" s="2"/>
      <c r="LRH211" s="2"/>
      <c r="LRI211" s="2"/>
      <c r="LRJ211" s="260"/>
      <c r="LRK211" s="260"/>
      <c r="LRL211" s="260"/>
      <c r="LRM211" s="260"/>
      <c r="LRN211" s="260"/>
      <c r="LRO211" s="260"/>
      <c r="LRP211" s="308"/>
      <c r="LRQ211" s="290"/>
      <c r="LRR211" s="290"/>
      <c r="LRS211" s="260"/>
      <c r="LRT211" s="260"/>
      <c r="LRU211" s="260"/>
      <c r="LRV211" s="260"/>
      <c r="LRW211" s="260"/>
      <c r="LRX211" s="2"/>
      <c r="LRY211" s="2"/>
      <c r="LRZ211" s="2"/>
      <c r="LSA211" s="2"/>
      <c r="LSB211" s="2"/>
      <c r="LSC211" s="2"/>
      <c r="LSD211" s="260"/>
      <c r="LSE211" s="2"/>
      <c r="LSF211" s="2"/>
      <c r="LSG211" s="2"/>
      <c r="LSH211" s="2"/>
      <c r="LSI211" s="2"/>
      <c r="LSJ211" s="2"/>
      <c r="LSK211" s="2"/>
      <c r="LSL211" s="260"/>
      <c r="LSM211" s="260"/>
      <c r="LSN211" s="260"/>
      <c r="LSO211" s="380"/>
      <c r="LSP211" s="380"/>
      <c r="LSQ211" s="380"/>
      <c r="LSR211" s="2"/>
      <c r="LSS211" s="442"/>
      <c r="LST211" s="442"/>
      <c r="LSU211" s="443"/>
      <c r="LSV211" s="442"/>
      <c r="LSW211" s="442"/>
      <c r="LSX211" s="2"/>
      <c r="LSY211" s="2"/>
      <c r="LSZ211" s="2"/>
      <c r="LTA211" s="2"/>
      <c r="LTB211" s="260"/>
      <c r="LTC211" s="260"/>
      <c r="LTD211" s="260"/>
      <c r="LTE211" s="260"/>
      <c r="LTF211" s="260"/>
      <c r="LTG211" s="260"/>
      <c r="LTH211" s="308"/>
      <c r="LTI211" s="290"/>
      <c r="LTJ211" s="290"/>
      <c r="LTK211" s="260"/>
      <c r="LTL211" s="260"/>
      <c r="LTM211" s="260"/>
      <c r="LTN211" s="260"/>
      <c r="LTO211" s="260"/>
      <c r="LTP211" s="2"/>
      <c r="LTQ211" s="2"/>
      <c r="LTR211" s="2"/>
      <c r="LTS211" s="2"/>
      <c r="LTT211" s="2"/>
      <c r="LTU211" s="2"/>
      <c r="LTV211" s="260"/>
      <c r="LTW211" s="2"/>
      <c r="LTX211" s="2"/>
      <c r="LTY211" s="2"/>
      <c r="LTZ211" s="2"/>
      <c r="LUA211" s="2"/>
      <c r="LUB211" s="2"/>
      <c r="LUC211" s="2"/>
      <c r="LUD211" s="260"/>
      <c r="LUE211" s="260"/>
      <c r="LUF211" s="260"/>
      <c r="LUG211" s="380"/>
      <c r="LUH211" s="380"/>
      <c r="LUI211" s="380"/>
      <c r="LUJ211" s="2"/>
      <c r="LUK211" s="442"/>
      <c r="LUL211" s="442"/>
      <c r="LUM211" s="443"/>
      <c r="LUN211" s="442"/>
      <c r="LUO211" s="442"/>
      <c r="LUP211" s="2"/>
      <c r="LUQ211" s="2"/>
      <c r="LUR211" s="2"/>
      <c r="LUS211" s="2"/>
      <c r="LUT211" s="260"/>
      <c r="LUU211" s="260"/>
      <c r="LUV211" s="260"/>
      <c r="LUW211" s="260"/>
      <c r="LUX211" s="260"/>
      <c r="LUY211" s="260"/>
      <c r="LUZ211" s="308"/>
      <c r="LVA211" s="290"/>
      <c r="LVB211" s="290"/>
      <c r="LVC211" s="260"/>
      <c r="LVD211" s="260"/>
      <c r="LVE211" s="260"/>
      <c r="LVF211" s="260"/>
      <c r="LVG211" s="260"/>
      <c r="LVH211" s="2"/>
      <c r="LVI211" s="2"/>
      <c r="LVJ211" s="2"/>
      <c r="LVK211" s="2"/>
      <c r="LVL211" s="2"/>
      <c r="LVM211" s="2"/>
      <c r="LVN211" s="260"/>
      <c r="LVO211" s="2"/>
      <c r="LVP211" s="2"/>
      <c r="LVQ211" s="2"/>
      <c r="LVR211" s="2"/>
      <c r="LVS211" s="2"/>
      <c r="LVT211" s="2"/>
      <c r="LVU211" s="2"/>
      <c r="LVV211" s="260"/>
      <c r="LVW211" s="260"/>
      <c r="LVX211" s="260"/>
      <c r="LVY211" s="380"/>
      <c r="LVZ211" s="380"/>
      <c r="LWA211" s="380"/>
      <c r="LWB211" s="2"/>
      <c r="LWC211" s="442"/>
      <c r="LWD211" s="442"/>
      <c r="LWE211" s="443"/>
      <c r="LWF211" s="442"/>
      <c r="LWG211" s="442"/>
      <c r="LWH211" s="2"/>
      <c r="LWI211" s="2"/>
      <c r="LWJ211" s="2"/>
      <c r="LWK211" s="2"/>
      <c r="LWL211" s="260"/>
      <c r="LWM211" s="260"/>
      <c r="LWN211" s="260"/>
      <c r="LWO211" s="260"/>
      <c r="LWP211" s="260"/>
      <c r="LWQ211" s="260"/>
      <c r="LWR211" s="308"/>
      <c r="LWS211" s="290"/>
      <c r="LWT211" s="290"/>
      <c r="LWU211" s="260"/>
      <c r="LWV211" s="260"/>
      <c r="LWW211" s="260"/>
      <c r="LWX211" s="260"/>
      <c r="LWY211" s="260"/>
      <c r="LWZ211" s="2"/>
      <c r="LXA211" s="2"/>
      <c r="LXB211" s="2"/>
      <c r="LXC211" s="2"/>
      <c r="LXD211" s="2"/>
      <c r="LXE211" s="2"/>
      <c r="LXF211" s="260"/>
      <c r="LXG211" s="2"/>
      <c r="LXH211" s="2"/>
      <c r="LXI211" s="2"/>
      <c r="LXJ211" s="2"/>
      <c r="LXK211" s="2"/>
      <c r="LXL211" s="2"/>
      <c r="LXM211" s="2"/>
      <c r="LXN211" s="260"/>
      <c r="LXO211" s="260"/>
      <c r="LXP211" s="260"/>
      <c r="LXQ211" s="380"/>
      <c r="LXR211" s="380"/>
      <c r="LXS211" s="380"/>
      <c r="LXT211" s="2"/>
      <c r="LXU211" s="442"/>
      <c r="LXV211" s="442"/>
      <c r="LXW211" s="443"/>
      <c r="LXX211" s="442"/>
      <c r="LXY211" s="442"/>
      <c r="LXZ211" s="2"/>
      <c r="LYA211" s="2"/>
      <c r="LYB211" s="2"/>
      <c r="LYC211" s="2"/>
      <c r="LYD211" s="260"/>
      <c r="LYE211" s="260"/>
      <c r="LYF211" s="260"/>
      <c r="LYG211" s="260"/>
      <c r="LYH211" s="260"/>
      <c r="LYI211" s="260"/>
      <c r="LYJ211" s="308"/>
      <c r="LYK211" s="290"/>
      <c r="LYL211" s="290"/>
      <c r="LYM211" s="260"/>
      <c r="LYN211" s="260"/>
      <c r="LYO211" s="260"/>
      <c r="LYP211" s="260"/>
      <c r="LYQ211" s="260"/>
      <c r="LYR211" s="2"/>
      <c r="LYS211" s="2"/>
      <c r="LYT211" s="2"/>
      <c r="LYU211" s="2"/>
      <c r="LYV211" s="2"/>
      <c r="LYW211" s="2"/>
      <c r="LYX211" s="260"/>
      <c r="LYY211" s="2"/>
      <c r="LYZ211" s="2"/>
      <c r="LZA211" s="2"/>
      <c r="LZB211" s="2"/>
      <c r="LZC211" s="2"/>
      <c r="LZD211" s="2"/>
      <c r="LZE211" s="2"/>
      <c r="LZF211" s="260"/>
      <c r="LZG211" s="260"/>
      <c r="LZH211" s="260"/>
      <c r="LZI211" s="380"/>
      <c r="LZJ211" s="380"/>
      <c r="LZK211" s="380"/>
      <c r="LZL211" s="2"/>
      <c r="LZM211" s="442"/>
      <c r="LZN211" s="442"/>
      <c r="LZO211" s="443"/>
      <c r="LZP211" s="442"/>
      <c r="LZQ211" s="442"/>
      <c r="LZR211" s="2"/>
      <c r="LZS211" s="2"/>
      <c r="LZT211" s="2"/>
      <c r="LZU211" s="2"/>
      <c r="LZV211" s="260"/>
      <c r="LZW211" s="260"/>
      <c r="LZX211" s="260"/>
      <c r="LZY211" s="260"/>
      <c r="LZZ211" s="260"/>
      <c r="MAA211" s="260"/>
      <c r="MAB211" s="308"/>
      <c r="MAC211" s="290"/>
      <c r="MAD211" s="290"/>
      <c r="MAE211" s="260"/>
      <c r="MAF211" s="260"/>
      <c r="MAG211" s="260"/>
      <c r="MAH211" s="260"/>
      <c r="MAI211" s="260"/>
      <c r="MAJ211" s="2"/>
      <c r="MAK211" s="2"/>
      <c r="MAL211" s="2"/>
      <c r="MAM211" s="2"/>
      <c r="MAN211" s="2"/>
      <c r="MAO211" s="2"/>
      <c r="MAP211" s="260"/>
      <c r="MAQ211" s="2"/>
      <c r="MAR211" s="2"/>
      <c r="MAS211" s="2"/>
      <c r="MAT211" s="2"/>
      <c r="MAU211" s="2"/>
      <c r="MAV211" s="2"/>
      <c r="MAW211" s="2"/>
      <c r="MAX211" s="260"/>
      <c r="MAY211" s="260"/>
      <c r="MAZ211" s="260"/>
      <c r="MBA211" s="380"/>
      <c r="MBB211" s="380"/>
      <c r="MBC211" s="380"/>
      <c r="MBD211" s="2"/>
      <c r="MBE211" s="442"/>
      <c r="MBF211" s="442"/>
      <c r="MBG211" s="443"/>
      <c r="MBH211" s="442"/>
      <c r="MBI211" s="442"/>
      <c r="MBJ211" s="2"/>
      <c r="MBK211" s="2"/>
      <c r="MBL211" s="2"/>
      <c r="MBM211" s="2"/>
      <c r="MBN211" s="260"/>
      <c r="MBO211" s="260"/>
      <c r="MBP211" s="260"/>
      <c r="MBQ211" s="260"/>
      <c r="MBR211" s="260"/>
      <c r="MBS211" s="260"/>
      <c r="MBT211" s="308"/>
      <c r="MBU211" s="290"/>
      <c r="MBV211" s="290"/>
      <c r="MBW211" s="260"/>
      <c r="MBX211" s="260"/>
      <c r="MBY211" s="260"/>
      <c r="MBZ211" s="260"/>
      <c r="MCA211" s="260"/>
      <c r="MCB211" s="2"/>
      <c r="MCC211" s="2"/>
      <c r="MCD211" s="2"/>
      <c r="MCE211" s="2"/>
      <c r="MCF211" s="2"/>
      <c r="MCG211" s="2"/>
      <c r="MCH211" s="260"/>
      <c r="MCI211" s="2"/>
      <c r="MCJ211" s="2"/>
      <c r="MCK211" s="2"/>
      <c r="MCL211" s="2"/>
      <c r="MCM211" s="2"/>
      <c r="MCN211" s="2"/>
      <c r="MCO211" s="2"/>
      <c r="MCP211" s="260"/>
      <c r="MCQ211" s="260"/>
      <c r="MCR211" s="260"/>
      <c r="MCS211" s="380"/>
      <c r="MCT211" s="380"/>
      <c r="MCU211" s="380"/>
      <c r="MCV211" s="2"/>
      <c r="MCW211" s="442"/>
      <c r="MCX211" s="442"/>
      <c r="MCY211" s="443"/>
      <c r="MCZ211" s="442"/>
      <c r="MDA211" s="442"/>
      <c r="MDB211" s="2"/>
      <c r="MDC211" s="2"/>
      <c r="MDD211" s="2"/>
      <c r="MDE211" s="2"/>
      <c r="MDF211" s="260"/>
      <c r="MDG211" s="260"/>
      <c r="MDH211" s="260"/>
      <c r="MDI211" s="260"/>
      <c r="MDJ211" s="260"/>
      <c r="MDK211" s="260"/>
      <c r="MDL211" s="308"/>
      <c r="MDM211" s="290"/>
      <c r="MDN211" s="290"/>
      <c r="MDO211" s="260"/>
      <c r="MDP211" s="260"/>
      <c r="MDQ211" s="260"/>
      <c r="MDR211" s="260"/>
      <c r="MDS211" s="260"/>
      <c r="MDT211" s="2"/>
      <c r="MDU211" s="2"/>
      <c r="MDV211" s="2"/>
      <c r="MDW211" s="2"/>
      <c r="MDX211" s="2"/>
      <c r="MDY211" s="2"/>
      <c r="MDZ211" s="260"/>
      <c r="MEA211" s="2"/>
      <c r="MEB211" s="2"/>
      <c r="MEC211" s="2"/>
      <c r="MED211" s="2"/>
      <c r="MEE211" s="2"/>
      <c r="MEF211" s="2"/>
      <c r="MEG211" s="2"/>
      <c r="MEH211" s="260"/>
      <c r="MEI211" s="260"/>
      <c r="MEJ211" s="260"/>
      <c r="MEK211" s="380"/>
      <c r="MEL211" s="380"/>
      <c r="MEM211" s="380"/>
      <c r="MEN211" s="2"/>
      <c r="MEO211" s="442"/>
      <c r="MEP211" s="442"/>
      <c r="MEQ211" s="443"/>
      <c r="MER211" s="442"/>
      <c r="MES211" s="442"/>
      <c r="MET211" s="2"/>
      <c r="MEU211" s="2"/>
      <c r="MEV211" s="2"/>
      <c r="MEW211" s="2"/>
      <c r="MEX211" s="260"/>
      <c r="MEY211" s="260"/>
      <c r="MEZ211" s="260"/>
      <c r="MFA211" s="260"/>
      <c r="MFB211" s="260"/>
      <c r="MFC211" s="260"/>
      <c r="MFD211" s="308"/>
      <c r="MFE211" s="290"/>
      <c r="MFF211" s="290"/>
      <c r="MFG211" s="260"/>
      <c r="MFH211" s="260"/>
      <c r="MFI211" s="260"/>
      <c r="MFJ211" s="260"/>
      <c r="MFK211" s="260"/>
      <c r="MFL211" s="2"/>
      <c r="MFM211" s="2"/>
      <c r="MFN211" s="2"/>
      <c r="MFO211" s="2"/>
      <c r="MFP211" s="2"/>
      <c r="MFQ211" s="2"/>
      <c r="MFR211" s="260"/>
      <c r="MFS211" s="2"/>
      <c r="MFT211" s="2"/>
      <c r="MFU211" s="2"/>
      <c r="MFV211" s="2"/>
      <c r="MFW211" s="2"/>
      <c r="MFX211" s="2"/>
      <c r="MFY211" s="2"/>
      <c r="MFZ211" s="260"/>
      <c r="MGA211" s="260"/>
      <c r="MGB211" s="260"/>
      <c r="MGC211" s="380"/>
      <c r="MGD211" s="380"/>
      <c r="MGE211" s="380"/>
      <c r="MGF211" s="2"/>
      <c r="MGG211" s="442"/>
      <c r="MGH211" s="442"/>
      <c r="MGI211" s="443"/>
      <c r="MGJ211" s="442"/>
      <c r="MGK211" s="442"/>
      <c r="MGL211" s="2"/>
      <c r="MGM211" s="2"/>
      <c r="MGN211" s="2"/>
      <c r="MGO211" s="2"/>
      <c r="MGP211" s="260"/>
      <c r="MGQ211" s="260"/>
      <c r="MGR211" s="260"/>
      <c r="MGS211" s="260"/>
      <c r="MGT211" s="260"/>
      <c r="MGU211" s="260"/>
      <c r="MGV211" s="308"/>
      <c r="MGW211" s="290"/>
      <c r="MGX211" s="290"/>
      <c r="MGY211" s="260"/>
      <c r="MGZ211" s="260"/>
      <c r="MHA211" s="260"/>
      <c r="MHB211" s="260"/>
      <c r="MHC211" s="260"/>
      <c r="MHD211" s="2"/>
      <c r="MHE211" s="2"/>
      <c r="MHF211" s="2"/>
      <c r="MHG211" s="2"/>
      <c r="MHH211" s="2"/>
      <c r="MHI211" s="2"/>
      <c r="MHJ211" s="260"/>
      <c r="MHK211" s="2"/>
      <c r="MHL211" s="2"/>
      <c r="MHM211" s="2"/>
      <c r="MHN211" s="2"/>
      <c r="MHO211" s="2"/>
      <c r="MHP211" s="2"/>
      <c r="MHQ211" s="2"/>
      <c r="MHR211" s="260"/>
      <c r="MHS211" s="260"/>
      <c r="MHT211" s="260"/>
      <c r="MHU211" s="380"/>
      <c r="MHV211" s="380"/>
      <c r="MHW211" s="380"/>
      <c r="MHX211" s="2"/>
      <c r="MHY211" s="442"/>
      <c r="MHZ211" s="442"/>
      <c r="MIA211" s="443"/>
      <c r="MIB211" s="442"/>
      <c r="MIC211" s="442"/>
      <c r="MID211" s="2"/>
      <c r="MIE211" s="2"/>
      <c r="MIF211" s="2"/>
      <c r="MIG211" s="2"/>
      <c r="MIH211" s="260"/>
      <c r="MII211" s="260"/>
      <c r="MIJ211" s="260"/>
      <c r="MIK211" s="260"/>
      <c r="MIL211" s="260"/>
      <c r="MIM211" s="260"/>
      <c r="MIN211" s="308"/>
      <c r="MIO211" s="290"/>
      <c r="MIP211" s="290"/>
      <c r="MIQ211" s="260"/>
      <c r="MIR211" s="260"/>
      <c r="MIS211" s="260"/>
      <c r="MIT211" s="260"/>
      <c r="MIU211" s="260"/>
      <c r="MIV211" s="2"/>
      <c r="MIW211" s="2"/>
      <c r="MIX211" s="2"/>
      <c r="MIY211" s="2"/>
      <c r="MIZ211" s="2"/>
      <c r="MJA211" s="2"/>
      <c r="MJB211" s="260"/>
      <c r="MJC211" s="2"/>
      <c r="MJD211" s="2"/>
      <c r="MJE211" s="2"/>
      <c r="MJF211" s="2"/>
      <c r="MJG211" s="2"/>
      <c r="MJH211" s="2"/>
      <c r="MJI211" s="2"/>
      <c r="MJJ211" s="260"/>
      <c r="MJK211" s="260"/>
      <c r="MJL211" s="260"/>
      <c r="MJM211" s="380"/>
      <c r="MJN211" s="380"/>
      <c r="MJO211" s="380"/>
      <c r="MJP211" s="2"/>
      <c r="MJQ211" s="442"/>
      <c r="MJR211" s="442"/>
      <c r="MJS211" s="443"/>
      <c r="MJT211" s="442"/>
      <c r="MJU211" s="442"/>
      <c r="MJV211" s="2"/>
      <c r="MJW211" s="2"/>
      <c r="MJX211" s="2"/>
      <c r="MJY211" s="2"/>
      <c r="MJZ211" s="260"/>
      <c r="MKA211" s="260"/>
      <c r="MKB211" s="260"/>
      <c r="MKC211" s="260"/>
      <c r="MKD211" s="260"/>
      <c r="MKE211" s="260"/>
      <c r="MKF211" s="308"/>
      <c r="MKG211" s="290"/>
      <c r="MKH211" s="290"/>
      <c r="MKI211" s="260"/>
      <c r="MKJ211" s="260"/>
      <c r="MKK211" s="260"/>
      <c r="MKL211" s="260"/>
      <c r="MKM211" s="260"/>
      <c r="MKN211" s="2"/>
      <c r="MKO211" s="2"/>
      <c r="MKP211" s="2"/>
      <c r="MKQ211" s="2"/>
      <c r="MKR211" s="2"/>
      <c r="MKS211" s="2"/>
      <c r="MKT211" s="260"/>
      <c r="MKU211" s="2"/>
      <c r="MKV211" s="2"/>
      <c r="MKW211" s="2"/>
      <c r="MKX211" s="2"/>
      <c r="MKY211" s="2"/>
      <c r="MKZ211" s="2"/>
      <c r="MLA211" s="2"/>
      <c r="MLB211" s="260"/>
      <c r="MLC211" s="260"/>
      <c r="MLD211" s="260"/>
      <c r="MLE211" s="380"/>
      <c r="MLF211" s="380"/>
      <c r="MLG211" s="380"/>
      <c r="MLH211" s="2"/>
      <c r="MLI211" s="442"/>
      <c r="MLJ211" s="442"/>
      <c r="MLK211" s="443"/>
      <c r="MLL211" s="442"/>
      <c r="MLM211" s="442"/>
      <c r="MLN211" s="2"/>
      <c r="MLO211" s="2"/>
      <c r="MLP211" s="2"/>
      <c r="MLQ211" s="2"/>
      <c r="MLR211" s="260"/>
      <c r="MLS211" s="260"/>
      <c r="MLT211" s="260"/>
      <c r="MLU211" s="260"/>
      <c r="MLV211" s="260"/>
      <c r="MLW211" s="260"/>
      <c r="MLX211" s="308"/>
      <c r="MLY211" s="290"/>
      <c r="MLZ211" s="290"/>
      <c r="MMA211" s="260"/>
      <c r="MMB211" s="260"/>
      <c r="MMC211" s="260"/>
      <c r="MMD211" s="260"/>
      <c r="MME211" s="260"/>
      <c r="MMF211" s="2"/>
      <c r="MMG211" s="2"/>
      <c r="MMH211" s="2"/>
      <c r="MMI211" s="2"/>
      <c r="MMJ211" s="2"/>
      <c r="MMK211" s="2"/>
      <c r="MML211" s="260"/>
      <c r="MMM211" s="2"/>
      <c r="MMN211" s="2"/>
      <c r="MMO211" s="2"/>
      <c r="MMP211" s="2"/>
      <c r="MMQ211" s="2"/>
      <c r="MMR211" s="2"/>
      <c r="MMS211" s="2"/>
      <c r="MMT211" s="260"/>
      <c r="MMU211" s="260"/>
      <c r="MMV211" s="260"/>
      <c r="MMW211" s="380"/>
      <c r="MMX211" s="380"/>
      <c r="MMY211" s="380"/>
      <c r="MMZ211" s="2"/>
      <c r="MNA211" s="442"/>
      <c r="MNB211" s="442"/>
      <c r="MNC211" s="443"/>
      <c r="MND211" s="442"/>
      <c r="MNE211" s="442"/>
      <c r="MNF211" s="2"/>
      <c r="MNG211" s="2"/>
      <c r="MNH211" s="2"/>
      <c r="MNI211" s="2"/>
      <c r="MNJ211" s="260"/>
      <c r="MNK211" s="260"/>
      <c r="MNL211" s="260"/>
      <c r="MNM211" s="260"/>
      <c r="MNN211" s="260"/>
      <c r="MNO211" s="260"/>
      <c r="MNP211" s="308"/>
      <c r="MNQ211" s="290"/>
      <c r="MNR211" s="290"/>
      <c r="MNS211" s="260"/>
      <c r="MNT211" s="260"/>
      <c r="MNU211" s="260"/>
      <c r="MNV211" s="260"/>
      <c r="MNW211" s="260"/>
      <c r="MNX211" s="2"/>
      <c r="MNY211" s="2"/>
      <c r="MNZ211" s="2"/>
      <c r="MOA211" s="2"/>
      <c r="MOB211" s="2"/>
      <c r="MOC211" s="2"/>
      <c r="MOD211" s="260"/>
      <c r="MOE211" s="2"/>
      <c r="MOF211" s="2"/>
      <c r="MOG211" s="2"/>
      <c r="MOH211" s="2"/>
      <c r="MOI211" s="2"/>
      <c r="MOJ211" s="2"/>
      <c r="MOK211" s="2"/>
      <c r="MOL211" s="260"/>
      <c r="MOM211" s="260"/>
      <c r="MON211" s="260"/>
      <c r="MOO211" s="380"/>
      <c r="MOP211" s="380"/>
      <c r="MOQ211" s="380"/>
      <c r="MOR211" s="2"/>
      <c r="MOS211" s="442"/>
      <c r="MOT211" s="442"/>
      <c r="MOU211" s="443"/>
      <c r="MOV211" s="442"/>
      <c r="MOW211" s="442"/>
      <c r="MOX211" s="2"/>
      <c r="MOY211" s="2"/>
      <c r="MOZ211" s="2"/>
      <c r="MPA211" s="2"/>
      <c r="MPB211" s="260"/>
      <c r="MPC211" s="260"/>
      <c r="MPD211" s="260"/>
      <c r="MPE211" s="260"/>
      <c r="MPF211" s="260"/>
      <c r="MPG211" s="260"/>
      <c r="MPH211" s="308"/>
      <c r="MPI211" s="290"/>
      <c r="MPJ211" s="290"/>
      <c r="MPK211" s="260"/>
      <c r="MPL211" s="260"/>
      <c r="MPM211" s="260"/>
      <c r="MPN211" s="260"/>
      <c r="MPO211" s="260"/>
      <c r="MPP211" s="2"/>
      <c r="MPQ211" s="2"/>
      <c r="MPR211" s="2"/>
      <c r="MPS211" s="2"/>
      <c r="MPT211" s="2"/>
      <c r="MPU211" s="2"/>
      <c r="MPV211" s="260"/>
      <c r="MPW211" s="2"/>
      <c r="MPX211" s="2"/>
      <c r="MPY211" s="2"/>
      <c r="MPZ211" s="2"/>
      <c r="MQA211" s="2"/>
      <c r="MQB211" s="2"/>
      <c r="MQC211" s="2"/>
      <c r="MQD211" s="260"/>
      <c r="MQE211" s="260"/>
      <c r="MQF211" s="260"/>
      <c r="MQG211" s="380"/>
      <c r="MQH211" s="380"/>
      <c r="MQI211" s="380"/>
      <c r="MQJ211" s="2"/>
      <c r="MQK211" s="442"/>
      <c r="MQL211" s="442"/>
      <c r="MQM211" s="443"/>
      <c r="MQN211" s="442"/>
      <c r="MQO211" s="442"/>
      <c r="MQP211" s="2"/>
      <c r="MQQ211" s="2"/>
      <c r="MQR211" s="2"/>
      <c r="MQS211" s="2"/>
      <c r="MQT211" s="260"/>
      <c r="MQU211" s="260"/>
      <c r="MQV211" s="260"/>
      <c r="MQW211" s="260"/>
      <c r="MQX211" s="260"/>
      <c r="MQY211" s="260"/>
      <c r="MQZ211" s="308"/>
      <c r="MRA211" s="290"/>
      <c r="MRB211" s="290"/>
      <c r="MRC211" s="260"/>
      <c r="MRD211" s="260"/>
      <c r="MRE211" s="260"/>
      <c r="MRF211" s="260"/>
      <c r="MRG211" s="260"/>
      <c r="MRH211" s="2"/>
      <c r="MRI211" s="2"/>
      <c r="MRJ211" s="2"/>
      <c r="MRK211" s="2"/>
      <c r="MRL211" s="2"/>
      <c r="MRM211" s="2"/>
      <c r="MRN211" s="260"/>
      <c r="MRO211" s="2"/>
      <c r="MRP211" s="2"/>
      <c r="MRQ211" s="2"/>
      <c r="MRR211" s="2"/>
      <c r="MRS211" s="2"/>
      <c r="MRT211" s="2"/>
      <c r="MRU211" s="2"/>
      <c r="MRV211" s="260"/>
      <c r="MRW211" s="260"/>
      <c r="MRX211" s="260"/>
      <c r="MRY211" s="380"/>
      <c r="MRZ211" s="380"/>
      <c r="MSA211" s="380"/>
      <c r="MSB211" s="2"/>
      <c r="MSC211" s="442"/>
      <c r="MSD211" s="442"/>
      <c r="MSE211" s="443"/>
      <c r="MSF211" s="442"/>
      <c r="MSG211" s="442"/>
      <c r="MSH211" s="2"/>
      <c r="MSI211" s="2"/>
      <c r="MSJ211" s="2"/>
      <c r="MSK211" s="2"/>
      <c r="MSL211" s="260"/>
      <c r="MSM211" s="260"/>
      <c r="MSN211" s="260"/>
      <c r="MSO211" s="260"/>
      <c r="MSP211" s="260"/>
      <c r="MSQ211" s="260"/>
      <c r="MSR211" s="308"/>
      <c r="MSS211" s="290"/>
      <c r="MST211" s="290"/>
      <c r="MSU211" s="260"/>
      <c r="MSV211" s="260"/>
      <c r="MSW211" s="260"/>
      <c r="MSX211" s="260"/>
      <c r="MSY211" s="260"/>
      <c r="MSZ211" s="2"/>
      <c r="MTA211" s="2"/>
      <c r="MTB211" s="2"/>
      <c r="MTC211" s="2"/>
      <c r="MTD211" s="2"/>
      <c r="MTE211" s="2"/>
      <c r="MTF211" s="260"/>
      <c r="MTG211" s="2"/>
      <c r="MTH211" s="2"/>
      <c r="MTI211" s="2"/>
      <c r="MTJ211" s="2"/>
      <c r="MTK211" s="2"/>
      <c r="MTL211" s="2"/>
      <c r="MTM211" s="2"/>
      <c r="MTN211" s="260"/>
      <c r="MTO211" s="260"/>
      <c r="MTP211" s="260"/>
      <c r="MTQ211" s="380"/>
      <c r="MTR211" s="380"/>
      <c r="MTS211" s="380"/>
      <c r="MTT211" s="2"/>
      <c r="MTU211" s="442"/>
      <c r="MTV211" s="442"/>
      <c r="MTW211" s="443"/>
      <c r="MTX211" s="442"/>
      <c r="MTY211" s="442"/>
      <c r="MTZ211" s="2"/>
      <c r="MUA211" s="2"/>
      <c r="MUB211" s="2"/>
      <c r="MUC211" s="2"/>
      <c r="MUD211" s="260"/>
      <c r="MUE211" s="260"/>
      <c r="MUF211" s="260"/>
      <c r="MUG211" s="260"/>
      <c r="MUH211" s="260"/>
      <c r="MUI211" s="260"/>
      <c r="MUJ211" s="308"/>
      <c r="MUK211" s="290"/>
      <c r="MUL211" s="290"/>
      <c r="MUM211" s="260"/>
      <c r="MUN211" s="260"/>
      <c r="MUO211" s="260"/>
      <c r="MUP211" s="260"/>
      <c r="MUQ211" s="260"/>
      <c r="MUR211" s="2"/>
      <c r="MUS211" s="2"/>
      <c r="MUT211" s="2"/>
      <c r="MUU211" s="2"/>
      <c r="MUV211" s="2"/>
      <c r="MUW211" s="2"/>
      <c r="MUX211" s="260"/>
      <c r="MUY211" s="2"/>
      <c r="MUZ211" s="2"/>
      <c r="MVA211" s="2"/>
      <c r="MVB211" s="2"/>
      <c r="MVC211" s="2"/>
      <c r="MVD211" s="2"/>
      <c r="MVE211" s="2"/>
      <c r="MVF211" s="260"/>
      <c r="MVG211" s="260"/>
      <c r="MVH211" s="260"/>
      <c r="MVI211" s="380"/>
      <c r="MVJ211" s="380"/>
      <c r="MVK211" s="380"/>
      <c r="MVL211" s="2"/>
      <c r="MVM211" s="442"/>
      <c r="MVN211" s="442"/>
      <c r="MVO211" s="443"/>
      <c r="MVP211" s="442"/>
      <c r="MVQ211" s="442"/>
      <c r="MVR211" s="2"/>
      <c r="MVS211" s="2"/>
      <c r="MVT211" s="2"/>
      <c r="MVU211" s="2"/>
      <c r="MVV211" s="260"/>
      <c r="MVW211" s="260"/>
      <c r="MVX211" s="260"/>
      <c r="MVY211" s="260"/>
      <c r="MVZ211" s="260"/>
      <c r="MWA211" s="260"/>
      <c r="MWB211" s="308"/>
      <c r="MWC211" s="290"/>
      <c r="MWD211" s="290"/>
      <c r="MWE211" s="260"/>
      <c r="MWF211" s="260"/>
      <c r="MWG211" s="260"/>
      <c r="MWH211" s="260"/>
      <c r="MWI211" s="260"/>
      <c r="MWJ211" s="2"/>
      <c r="MWK211" s="2"/>
      <c r="MWL211" s="2"/>
      <c r="MWM211" s="2"/>
      <c r="MWN211" s="2"/>
      <c r="MWO211" s="2"/>
      <c r="MWP211" s="260"/>
      <c r="MWQ211" s="2"/>
      <c r="MWR211" s="2"/>
      <c r="MWS211" s="2"/>
      <c r="MWT211" s="2"/>
      <c r="MWU211" s="2"/>
      <c r="MWV211" s="2"/>
      <c r="MWW211" s="2"/>
      <c r="MWX211" s="260"/>
      <c r="MWY211" s="260"/>
      <c r="MWZ211" s="260"/>
      <c r="MXA211" s="380"/>
      <c r="MXB211" s="380"/>
      <c r="MXC211" s="380"/>
      <c r="MXD211" s="2"/>
      <c r="MXE211" s="442"/>
      <c r="MXF211" s="442"/>
      <c r="MXG211" s="443"/>
      <c r="MXH211" s="442"/>
      <c r="MXI211" s="442"/>
      <c r="MXJ211" s="2"/>
      <c r="MXK211" s="2"/>
      <c r="MXL211" s="2"/>
      <c r="MXM211" s="2"/>
      <c r="MXN211" s="260"/>
      <c r="MXO211" s="260"/>
      <c r="MXP211" s="260"/>
      <c r="MXQ211" s="260"/>
      <c r="MXR211" s="260"/>
      <c r="MXS211" s="260"/>
      <c r="MXT211" s="308"/>
      <c r="MXU211" s="290"/>
      <c r="MXV211" s="290"/>
      <c r="MXW211" s="260"/>
      <c r="MXX211" s="260"/>
      <c r="MXY211" s="260"/>
      <c r="MXZ211" s="260"/>
      <c r="MYA211" s="260"/>
      <c r="MYB211" s="2"/>
      <c r="MYC211" s="2"/>
      <c r="MYD211" s="2"/>
      <c r="MYE211" s="2"/>
      <c r="MYF211" s="2"/>
      <c r="MYG211" s="2"/>
      <c r="MYH211" s="260"/>
      <c r="MYI211" s="2"/>
      <c r="MYJ211" s="2"/>
      <c r="MYK211" s="2"/>
      <c r="MYL211" s="2"/>
      <c r="MYM211" s="2"/>
      <c r="MYN211" s="2"/>
      <c r="MYO211" s="2"/>
      <c r="MYP211" s="260"/>
      <c r="MYQ211" s="260"/>
      <c r="MYR211" s="260"/>
      <c r="MYS211" s="380"/>
      <c r="MYT211" s="380"/>
      <c r="MYU211" s="380"/>
      <c r="MYV211" s="2"/>
      <c r="MYW211" s="442"/>
      <c r="MYX211" s="442"/>
      <c r="MYY211" s="443"/>
      <c r="MYZ211" s="442"/>
      <c r="MZA211" s="442"/>
      <c r="MZB211" s="2"/>
      <c r="MZC211" s="2"/>
      <c r="MZD211" s="2"/>
      <c r="MZE211" s="2"/>
      <c r="MZF211" s="260"/>
      <c r="MZG211" s="260"/>
      <c r="MZH211" s="260"/>
      <c r="MZI211" s="260"/>
      <c r="MZJ211" s="260"/>
      <c r="MZK211" s="260"/>
      <c r="MZL211" s="308"/>
      <c r="MZM211" s="290"/>
      <c r="MZN211" s="290"/>
      <c r="MZO211" s="260"/>
      <c r="MZP211" s="260"/>
      <c r="MZQ211" s="260"/>
      <c r="MZR211" s="260"/>
      <c r="MZS211" s="260"/>
      <c r="MZT211" s="2"/>
      <c r="MZU211" s="2"/>
      <c r="MZV211" s="2"/>
      <c r="MZW211" s="2"/>
      <c r="MZX211" s="2"/>
      <c r="MZY211" s="2"/>
      <c r="MZZ211" s="260"/>
      <c r="NAA211" s="2"/>
      <c r="NAB211" s="2"/>
      <c r="NAC211" s="2"/>
      <c r="NAD211" s="2"/>
      <c r="NAE211" s="2"/>
      <c r="NAF211" s="2"/>
      <c r="NAG211" s="2"/>
      <c r="NAH211" s="260"/>
      <c r="NAI211" s="260"/>
      <c r="NAJ211" s="260"/>
      <c r="NAK211" s="380"/>
      <c r="NAL211" s="380"/>
      <c r="NAM211" s="380"/>
      <c r="NAN211" s="2"/>
      <c r="NAO211" s="442"/>
      <c r="NAP211" s="442"/>
      <c r="NAQ211" s="443"/>
      <c r="NAR211" s="442"/>
      <c r="NAS211" s="442"/>
      <c r="NAT211" s="2"/>
      <c r="NAU211" s="2"/>
      <c r="NAV211" s="2"/>
      <c r="NAW211" s="2"/>
      <c r="NAX211" s="260"/>
      <c r="NAY211" s="260"/>
      <c r="NAZ211" s="260"/>
      <c r="NBA211" s="260"/>
      <c r="NBB211" s="260"/>
      <c r="NBC211" s="260"/>
      <c r="NBD211" s="308"/>
      <c r="NBE211" s="290"/>
      <c r="NBF211" s="290"/>
      <c r="NBG211" s="260"/>
      <c r="NBH211" s="260"/>
      <c r="NBI211" s="260"/>
      <c r="NBJ211" s="260"/>
      <c r="NBK211" s="260"/>
      <c r="NBL211" s="2"/>
      <c r="NBM211" s="2"/>
      <c r="NBN211" s="2"/>
      <c r="NBO211" s="2"/>
      <c r="NBP211" s="2"/>
      <c r="NBQ211" s="2"/>
      <c r="NBR211" s="260"/>
      <c r="NBS211" s="2"/>
      <c r="NBT211" s="2"/>
      <c r="NBU211" s="2"/>
      <c r="NBV211" s="2"/>
      <c r="NBW211" s="2"/>
      <c r="NBX211" s="2"/>
      <c r="NBY211" s="2"/>
      <c r="NBZ211" s="260"/>
      <c r="NCA211" s="260"/>
      <c r="NCB211" s="260"/>
      <c r="NCC211" s="380"/>
      <c r="NCD211" s="380"/>
      <c r="NCE211" s="380"/>
      <c r="NCF211" s="2"/>
      <c r="NCG211" s="442"/>
      <c r="NCH211" s="442"/>
      <c r="NCI211" s="443"/>
      <c r="NCJ211" s="442"/>
      <c r="NCK211" s="442"/>
      <c r="NCL211" s="2"/>
      <c r="NCM211" s="2"/>
      <c r="NCN211" s="2"/>
      <c r="NCO211" s="2"/>
      <c r="NCP211" s="260"/>
      <c r="NCQ211" s="260"/>
      <c r="NCR211" s="260"/>
      <c r="NCS211" s="260"/>
      <c r="NCT211" s="260"/>
      <c r="NCU211" s="260"/>
      <c r="NCV211" s="308"/>
      <c r="NCW211" s="290"/>
      <c r="NCX211" s="290"/>
      <c r="NCY211" s="260"/>
      <c r="NCZ211" s="260"/>
      <c r="NDA211" s="260"/>
      <c r="NDB211" s="260"/>
      <c r="NDC211" s="260"/>
      <c r="NDD211" s="2"/>
      <c r="NDE211" s="2"/>
      <c r="NDF211" s="2"/>
      <c r="NDG211" s="2"/>
      <c r="NDH211" s="2"/>
      <c r="NDI211" s="2"/>
      <c r="NDJ211" s="260"/>
      <c r="NDK211" s="2"/>
      <c r="NDL211" s="2"/>
      <c r="NDM211" s="2"/>
      <c r="NDN211" s="2"/>
      <c r="NDO211" s="2"/>
      <c r="NDP211" s="2"/>
      <c r="NDQ211" s="2"/>
      <c r="NDR211" s="260"/>
      <c r="NDS211" s="260"/>
      <c r="NDT211" s="260"/>
      <c r="NDU211" s="380"/>
      <c r="NDV211" s="380"/>
      <c r="NDW211" s="380"/>
      <c r="NDX211" s="2"/>
      <c r="NDY211" s="442"/>
      <c r="NDZ211" s="442"/>
      <c r="NEA211" s="443"/>
      <c r="NEB211" s="442"/>
      <c r="NEC211" s="442"/>
      <c r="NED211" s="2"/>
      <c r="NEE211" s="2"/>
      <c r="NEF211" s="2"/>
      <c r="NEG211" s="2"/>
      <c r="NEH211" s="260"/>
      <c r="NEI211" s="260"/>
      <c r="NEJ211" s="260"/>
      <c r="NEK211" s="260"/>
      <c r="NEL211" s="260"/>
      <c r="NEM211" s="260"/>
      <c r="NEN211" s="308"/>
      <c r="NEO211" s="290"/>
      <c r="NEP211" s="290"/>
      <c r="NEQ211" s="260"/>
      <c r="NER211" s="260"/>
      <c r="NES211" s="260"/>
      <c r="NET211" s="260"/>
      <c r="NEU211" s="260"/>
      <c r="NEV211" s="2"/>
      <c r="NEW211" s="2"/>
      <c r="NEX211" s="2"/>
      <c r="NEY211" s="2"/>
      <c r="NEZ211" s="2"/>
      <c r="NFA211" s="2"/>
      <c r="NFB211" s="260"/>
      <c r="NFC211" s="2"/>
      <c r="NFD211" s="2"/>
      <c r="NFE211" s="2"/>
      <c r="NFF211" s="2"/>
      <c r="NFG211" s="2"/>
      <c r="NFH211" s="2"/>
      <c r="NFI211" s="2"/>
      <c r="NFJ211" s="260"/>
      <c r="NFK211" s="260"/>
      <c r="NFL211" s="260"/>
      <c r="NFM211" s="380"/>
      <c r="NFN211" s="380"/>
      <c r="NFO211" s="380"/>
      <c r="NFP211" s="2"/>
      <c r="NFQ211" s="442"/>
      <c r="NFR211" s="442"/>
      <c r="NFS211" s="443"/>
      <c r="NFT211" s="442"/>
      <c r="NFU211" s="442"/>
      <c r="NFV211" s="2"/>
      <c r="NFW211" s="2"/>
      <c r="NFX211" s="2"/>
      <c r="NFY211" s="2"/>
      <c r="NFZ211" s="260"/>
      <c r="NGA211" s="260"/>
      <c r="NGB211" s="260"/>
      <c r="NGC211" s="260"/>
      <c r="NGD211" s="260"/>
      <c r="NGE211" s="260"/>
      <c r="NGF211" s="308"/>
      <c r="NGG211" s="290"/>
      <c r="NGH211" s="290"/>
      <c r="NGI211" s="260"/>
      <c r="NGJ211" s="260"/>
      <c r="NGK211" s="260"/>
      <c r="NGL211" s="260"/>
      <c r="NGM211" s="260"/>
      <c r="NGN211" s="2"/>
      <c r="NGO211" s="2"/>
      <c r="NGP211" s="2"/>
      <c r="NGQ211" s="2"/>
      <c r="NGR211" s="2"/>
      <c r="NGS211" s="2"/>
      <c r="NGT211" s="260"/>
      <c r="NGU211" s="2"/>
      <c r="NGV211" s="2"/>
      <c r="NGW211" s="2"/>
      <c r="NGX211" s="2"/>
      <c r="NGY211" s="2"/>
      <c r="NGZ211" s="2"/>
      <c r="NHA211" s="2"/>
      <c r="NHB211" s="260"/>
      <c r="NHC211" s="260"/>
      <c r="NHD211" s="260"/>
      <c r="NHE211" s="380"/>
      <c r="NHF211" s="380"/>
      <c r="NHG211" s="380"/>
      <c r="NHH211" s="2"/>
      <c r="NHI211" s="442"/>
      <c r="NHJ211" s="442"/>
      <c r="NHK211" s="443"/>
      <c r="NHL211" s="442"/>
      <c r="NHM211" s="442"/>
      <c r="NHN211" s="2"/>
      <c r="NHO211" s="2"/>
      <c r="NHP211" s="2"/>
      <c r="NHQ211" s="2"/>
      <c r="NHR211" s="260"/>
      <c r="NHS211" s="260"/>
      <c r="NHT211" s="260"/>
      <c r="NHU211" s="260"/>
      <c r="NHV211" s="260"/>
      <c r="NHW211" s="260"/>
      <c r="NHX211" s="308"/>
      <c r="NHY211" s="290"/>
      <c r="NHZ211" s="290"/>
      <c r="NIA211" s="260"/>
      <c r="NIB211" s="260"/>
      <c r="NIC211" s="260"/>
      <c r="NID211" s="260"/>
      <c r="NIE211" s="260"/>
      <c r="NIF211" s="2"/>
      <c r="NIG211" s="2"/>
      <c r="NIH211" s="2"/>
      <c r="NII211" s="2"/>
      <c r="NIJ211" s="2"/>
      <c r="NIK211" s="2"/>
      <c r="NIL211" s="260"/>
      <c r="NIM211" s="2"/>
      <c r="NIN211" s="2"/>
      <c r="NIO211" s="2"/>
      <c r="NIP211" s="2"/>
      <c r="NIQ211" s="2"/>
      <c r="NIR211" s="2"/>
      <c r="NIS211" s="2"/>
      <c r="NIT211" s="260"/>
      <c r="NIU211" s="260"/>
      <c r="NIV211" s="260"/>
      <c r="NIW211" s="380"/>
      <c r="NIX211" s="380"/>
      <c r="NIY211" s="380"/>
      <c r="NIZ211" s="2"/>
      <c r="NJA211" s="442"/>
      <c r="NJB211" s="442"/>
      <c r="NJC211" s="443"/>
      <c r="NJD211" s="442"/>
      <c r="NJE211" s="442"/>
      <c r="NJF211" s="2"/>
      <c r="NJG211" s="2"/>
      <c r="NJH211" s="2"/>
      <c r="NJI211" s="2"/>
      <c r="NJJ211" s="260"/>
      <c r="NJK211" s="260"/>
      <c r="NJL211" s="260"/>
      <c r="NJM211" s="260"/>
      <c r="NJN211" s="260"/>
      <c r="NJO211" s="260"/>
      <c r="NJP211" s="308"/>
      <c r="NJQ211" s="290"/>
      <c r="NJR211" s="290"/>
      <c r="NJS211" s="260"/>
      <c r="NJT211" s="260"/>
      <c r="NJU211" s="260"/>
      <c r="NJV211" s="260"/>
      <c r="NJW211" s="260"/>
      <c r="NJX211" s="2"/>
      <c r="NJY211" s="2"/>
      <c r="NJZ211" s="2"/>
      <c r="NKA211" s="2"/>
      <c r="NKB211" s="2"/>
      <c r="NKC211" s="2"/>
      <c r="NKD211" s="260"/>
      <c r="NKE211" s="2"/>
      <c r="NKF211" s="2"/>
      <c r="NKG211" s="2"/>
      <c r="NKH211" s="2"/>
      <c r="NKI211" s="2"/>
      <c r="NKJ211" s="2"/>
      <c r="NKK211" s="2"/>
      <c r="NKL211" s="260"/>
      <c r="NKM211" s="260"/>
      <c r="NKN211" s="260"/>
      <c r="NKO211" s="380"/>
      <c r="NKP211" s="380"/>
      <c r="NKQ211" s="380"/>
      <c r="NKR211" s="2"/>
      <c r="NKS211" s="442"/>
      <c r="NKT211" s="442"/>
      <c r="NKU211" s="443"/>
      <c r="NKV211" s="442"/>
      <c r="NKW211" s="442"/>
      <c r="NKX211" s="2"/>
      <c r="NKY211" s="2"/>
      <c r="NKZ211" s="2"/>
      <c r="NLA211" s="2"/>
      <c r="NLB211" s="260"/>
      <c r="NLC211" s="260"/>
      <c r="NLD211" s="260"/>
      <c r="NLE211" s="260"/>
      <c r="NLF211" s="260"/>
      <c r="NLG211" s="260"/>
      <c r="NLH211" s="308"/>
      <c r="NLI211" s="290"/>
      <c r="NLJ211" s="290"/>
      <c r="NLK211" s="260"/>
      <c r="NLL211" s="260"/>
      <c r="NLM211" s="260"/>
      <c r="NLN211" s="260"/>
      <c r="NLO211" s="260"/>
      <c r="NLP211" s="2"/>
      <c r="NLQ211" s="2"/>
      <c r="NLR211" s="2"/>
      <c r="NLS211" s="2"/>
      <c r="NLT211" s="2"/>
      <c r="NLU211" s="2"/>
      <c r="NLV211" s="260"/>
      <c r="NLW211" s="2"/>
      <c r="NLX211" s="2"/>
      <c r="NLY211" s="2"/>
      <c r="NLZ211" s="2"/>
      <c r="NMA211" s="2"/>
      <c r="NMB211" s="2"/>
      <c r="NMC211" s="2"/>
      <c r="NMD211" s="260"/>
      <c r="NME211" s="260"/>
      <c r="NMF211" s="260"/>
      <c r="NMG211" s="380"/>
      <c r="NMH211" s="380"/>
      <c r="NMI211" s="380"/>
      <c r="NMJ211" s="2"/>
      <c r="NMK211" s="442"/>
      <c r="NML211" s="442"/>
      <c r="NMM211" s="443"/>
      <c r="NMN211" s="442"/>
      <c r="NMO211" s="442"/>
      <c r="NMP211" s="2"/>
      <c r="NMQ211" s="2"/>
      <c r="NMR211" s="2"/>
      <c r="NMS211" s="2"/>
      <c r="NMT211" s="260"/>
      <c r="NMU211" s="260"/>
      <c r="NMV211" s="260"/>
      <c r="NMW211" s="260"/>
      <c r="NMX211" s="260"/>
      <c r="NMY211" s="260"/>
      <c r="NMZ211" s="308"/>
      <c r="NNA211" s="290"/>
      <c r="NNB211" s="290"/>
      <c r="NNC211" s="260"/>
      <c r="NND211" s="260"/>
      <c r="NNE211" s="260"/>
      <c r="NNF211" s="260"/>
      <c r="NNG211" s="260"/>
      <c r="NNH211" s="2"/>
      <c r="NNI211" s="2"/>
      <c r="NNJ211" s="2"/>
      <c r="NNK211" s="2"/>
      <c r="NNL211" s="2"/>
      <c r="NNM211" s="2"/>
      <c r="NNN211" s="260"/>
      <c r="NNO211" s="2"/>
      <c r="NNP211" s="2"/>
      <c r="NNQ211" s="2"/>
      <c r="NNR211" s="2"/>
      <c r="NNS211" s="2"/>
      <c r="NNT211" s="2"/>
      <c r="NNU211" s="2"/>
      <c r="NNV211" s="260"/>
      <c r="NNW211" s="260"/>
      <c r="NNX211" s="260"/>
      <c r="NNY211" s="380"/>
      <c r="NNZ211" s="380"/>
      <c r="NOA211" s="380"/>
      <c r="NOB211" s="2"/>
      <c r="NOC211" s="442"/>
      <c r="NOD211" s="442"/>
      <c r="NOE211" s="443"/>
      <c r="NOF211" s="442"/>
      <c r="NOG211" s="442"/>
      <c r="NOH211" s="2"/>
      <c r="NOI211" s="2"/>
      <c r="NOJ211" s="2"/>
      <c r="NOK211" s="2"/>
      <c r="NOL211" s="260"/>
      <c r="NOM211" s="260"/>
      <c r="NON211" s="260"/>
      <c r="NOO211" s="260"/>
      <c r="NOP211" s="260"/>
      <c r="NOQ211" s="260"/>
      <c r="NOR211" s="308"/>
      <c r="NOS211" s="290"/>
      <c r="NOT211" s="290"/>
      <c r="NOU211" s="260"/>
      <c r="NOV211" s="260"/>
      <c r="NOW211" s="260"/>
      <c r="NOX211" s="260"/>
      <c r="NOY211" s="260"/>
      <c r="NOZ211" s="2"/>
      <c r="NPA211" s="2"/>
      <c r="NPB211" s="2"/>
      <c r="NPC211" s="2"/>
      <c r="NPD211" s="2"/>
      <c r="NPE211" s="2"/>
      <c r="NPF211" s="260"/>
      <c r="NPG211" s="2"/>
      <c r="NPH211" s="2"/>
      <c r="NPI211" s="2"/>
      <c r="NPJ211" s="2"/>
      <c r="NPK211" s="2"/>
      <c r="NPL211" s="2"/>
      <c r="NPM211" s="2"/>
      <c r="NPN211" s="260"/>
      <c r="NPO211" s="260"/>
      <c r="NPP211" s="260"/>
      <c r="NPQ211" s="380"/>
      <c r="NPR211" s="380"/>
      <c r="NPS211" s="380"/>
      <c r="NPT211" s="2"/>
      <c r="NPU211" s="442"/>
      <c r="NPV211" s="442"/>
      <c r="NPW211" s="443"/>
      <c r="NPX211" s="442"/>
      <c r="NPY211" s="442"/>
      <c r="NPZ211" s="2"/>
      <c r="NQA211" s="2"/>
      <c r="NQB211" s="2"/>
      <c r="NQC211" s="2"/>
      <c r="NQD211" s="260"/>
      <c r="NQE211" s="260"/>
      <c r="NQF211" s="260"/>
      <c r="NQG211" s="260"/>
      <c r="NQH211" s="260"/>
      <c r="NQI211" s="260"/>
      <c r="NQJ211" s="308"/>
      <c r="NQK211" s="290"/>
      <c r="NQL211" s="290"/>
      <c r="NQM211" s="260"/>
      <c r="NQN211" s="260"/>
      <c r="NQO211" s="260"/>
      <c r="NQP211" s="260"/>
      <c r="NQQ211" s="260"/>
      <c r="NQR211" s="2"/>
      <c r="NQS211" s="2"/>
      <c r="NQT211" s="2"/>
      <c r="NQU211" s="2"/>
      <c r="NQV211" s="2"/>
      <c r="NQW211" s="2"/>
      <c r="NQX211" s="260"/>
      <c r="NQY211" s="2"/>
      <c r="NQZ211" s="2"/>
      <c r="NRA211" s="2"/>
      <c r="NRB211" s="2"/>
      <c r="NRC211" s="2"/>
      <c r="NRD211" s="2"/>
      <c r="NRE211" s="2"/>
      <c r="NRF211" s="260"/>
      <c r="NRG211" s="260"/>
      <c r="NRH211" s="260"/>
      <c r="NRI211" s="380"/>
      <c r="NRJ211" s="380"/>
      <c r="NRK211" s="380"/>
      <c r="NRL211" s="2"/>
      <c r="NRM211" s="442"/>
      <c r="NRN211" s="442"/>
      <c r="NRO211" s="443"/>
      <c r="NRP211" s="442"/>
      <c r="NRQ211" s="442"/>
      <c r="NRR211" s="2"/>
      <c r="NRS211" s="2"/>
      <c r="NRT211" s="2"/>
      <c r="NRU211" s="2"/>
      <c r="NRV211" s="260"/>
      <c r="NRW211" s="260"/>
      <c r="NRX211" s="260"/>
      <c r="NRY211" s="260"/>
      <c r="NRZ211" s="260"/>
      <c r="NSA211" s="260"/>
      <c r="NSB211" s="308"/>
      <c r="NSC211" s="290"/>
      <c r="NSD211" s="290"/>
      <c r="NSE211" s="260"/>
      <c r="NSF211" s="260"/>
      <c r="NSG211" s="260"/>
      <c r="NSH211" s="260"/>
      <c r="NSI211" s="260"/>
      <c r="NSJ211" s="2"/>
      <c r="NSK211" s="2"/>
      <c r="NSL211" s="2"/>
      <c r="NSM211" s="2"/>
      <c r="NSN211" s="2"/>
      <c r="NSO211" s="2"/>
      <c r="NSP211" s="260"/>
      <c r="NSQ211" s="2"/>
      <c r="NSR211" s="2"/>
      <c r="NSS211" s="2"/>
      <c r="NST211" s="2"/>
      <c r="NSU211" s="2"/>
      <c r="NSV211" s="2"/>
      <c r="NSW211" s="2"/>
      <c r="NSX211" s="260"/>
      <c r="NSY211" s="260"/>
      <c r="NSZ211" s="260"/>
      <c r="NTA211" s="380"/>
      <c r="NTB211" s="380"/>
      <c r="NTC211" s="380"/>
      <c r="NTD211" s="2"/>
      <c r="NTE211" s="442"/>
      <c r="NTF211" s="442"/>
      <c r="NTG211" s="443"/>
      <c r="NTH211" s="442"/>
      <c r="NTI211" s="442"/>
      <c r="NTJ211" s="2"/>
      <c r="NTK211" s="2"/>
      <c r="NTL211" s="2"/>
      <c r="NTM211" s="2"/>
      <c r="NTN211" s="260"/>
      <c r="NTO211" s="260"/>
      <c r="NTP211" s="260"/>
      <c r="NTQ211" s="260"/>
      <c r="NTR211" s="260"/>
      <c r="NTS211" s="260"/>
      <c r="NTT211" s="308"/>
      <c r="NTU211" s="290"/>
      <c r="NTV211" s="290"/>
      <c r="NTW211" s="260"/>
      <c r="NTX211" s="260"/>
      <c r="NTY211" s="260"/>
      <c r="NTZ211" s="260"/>
      <c r="NUA211" s="260"/>
      <c r="NUB211" s="2"/>
      <c r="NUC211" s="2"/>
      <c r="NUD211" s="2"/>
      <c r="NUE211" s="2"/>
      <c r="NUF211" s="2"/>
      <c r="NUG211" s="2"/>
      <c r="NUH211" s="260"/>
      <c r="NUI211" s="2"/>
      <c r="NUJ211" s="2"/>
      <c r="NUK211" s="2"/>
      <c r="NUL211" s="2"/>
      <c r="NUM211" s="2"/>
      <c r="NUN211" s="2"/>
      <c r="NUO211" s="2"/>
      <c r="NUP211" s="260"/>
      <c r="NUQ211" s="260"/>
      <c r="NUR211" s="260"/>
      <c r="NUS211" s="380"/>
      <c r="NUT211" s="380"/>
      <c r="NUU211" s="380"/>
      <c r="NUV211" s="2"/>
      <c r="NUW211" s="442"/>
      <c r="NUX211" s="442"/>
      <c r="NUY211" s="443"/>
      <c r="NUZ211" s="442"/>
      <c r="NVA211" s="442"/>
      <c r="NVB211" s="2"/>
      <c r="NVC211" s="2"/>
      <c r="NVD211" s="2"/>
      <c r="NVE211" s="2"/>
      <c r="NVF211" s="260"/>
      <c r="NVG211" s="260"/>
      <c r="NVH211" s="260"/>
      <c r="NVI211" s="260"/>
      <c r="NVJ211" s="260"/>
      <c r="NVK211" s="260"/>
      <c r="NVL211" s="308"/>
      <c r="NVM211" s="290"/>
      <c r="NVN211" s="290"/>
      <c r="NVO211" s="260"/>
      <c r="NVP211" s="260"/>
      <c r="NVQ211" s="260"/>
      <c r="NVR211" s="260"/>
      <c r="NVS211" s="260"/>
      <c r="NVT211" s="2"/>
      <c r="NVU211" s="2"/>
      <c r="NVV211" s="2"/>
      <c r="NVW211" s="2"/>
      <c r="NVX211" s="2"/>
      <c r="NVY211" s="2"/>
      <c r="NVZ211" s="260"/>
      <c r="NWA211" s="2"/>
      <c r="NWB211" s="2"/>
      <c r="NWC211" s="2"/>
      <c r="NWD211" s="2"/>
      <c r="NWE211" s="2"/>
      <c r="NWF211" s="2"/>
      <c r="NWG211" s="2"/>
      <c r="NWH211" s="260"/>
      <c r="NWI211" s="260"/>
      <c r="NWJ211" s="260"/>
      <c r="NWK211" s="380"/>
      <c r="NWL211" s="380"/>
      <c r="NWM211" s="380"/>
      <c r="NWN211" s="2"/>
      <c r="NWO211" s="442"/>
      <c r="NWP211" s="442"/>
      <c r="NWQ211" s="443"/>
      <c r="NWR211" s="442"/>
      <c r="NWS211" s="442"/>
      <c r="NWT211" s="2"/>
      <c r="NWU211" s="2"/>
      <c r="NWV211" s="2"/>
      <c r="NWW211" s="2"/>
      <c r="NWX211" s="260"/>
      <c r="NWY211" s="260"/>
      <c r="NWZ211" s="260"/>
      <c r="NXA211" s="260"/>
      <c r="NXB211" s="260"/>
      <c r="NXC211" s="260"/>
      <c r="NXD211" s="308"/>
      <c r="NXE211" s="290"/>
      <c r="NXF211" s="290"/>
      <c r="NXG211" s="260"/>
      <c r="NXH211" s="260"/>
      <c r="NXI211" s="260"/>
      <c r="NXJ211" s="260"/>
      <c r="NXK211" s="260"/>
      <c r="NXL211" s="2"/>
      <c r="NXM211" s="2"/>
      <c r="NXN211" s="2"/>
      <c r="NXO211" s="2"/>
      <c r="NXP211" s="2"/>
      <c r="NXQ211" s="2"/>
      <c r="NXR211" s="260"/>
      <c r="NXS211" s="2"/>
      <c r="NXT211" s="2"/>
      <c r="NXU211" s="2"/>
      <c r="NXV211" s="2"/>
      <c r="NXW211" s="2"/>
      <c r="NXX211" s="2"/>
      <c r="NXY211" s="2"/>
      <c r="NXZ211" s="260"/>
      <c r="NYA211" s="260"/>
      <c r="NYB211" s="260"/>
      <c r="NYC211" s="380"/>
      <c r="NYD211" s="380"/>
      <c r="NYE211" s="380"/>
      <c r="NYF211" s="2"/>
      <c r="NYG211" s="442"/>
      <c r="NYH211" s="442"/>
      <c r="NYI211" s="443"/>
      <c r="NYJ211" s="442"/>
      <c r="NYK211" s="442"/>
      <c r="NYL211" s="2"/>
      <c r="NYM211" s="2"/>
      <c r="NYN211" s="2"/>
      <c r="NYO211" s="2"/>
      <c r="NYP211" s="260"/>
      <c r="NYQ211" s="260"/>
      <c r="NYR211" s="260"/>
      <c r="NYS211" s="260"/>
      <c r="NYT211" s="260"/>
      <c r="NYU211" s="260"/>
      <c r="NYV211" s="308"/>
      <c r="NYW211" s="290"/>
      <c r="NYX211" s="290"/>
      <c r="NYY211" s="260"/>
      <c r="NYZ211" s="260"/>
      <c r="NZA211" s="260"/>
      <c r="NZB211" s="260"/>
      <c r="NZC211" s="260"/>
      <c r="NZD211" s="2"/>
      <c r="NZE211" s="2"/>
      <c r="NZF211" s="2"/>
      <c r="NZG211" s="2"/>
      <c r="NZH211" s="2"/>
      <c r="NZI211" s="2"/>
      <c r="NZJ211" s="260"/>
      <c r="NZK211" s="2"/>
      <c r="NZL211" s="2"/>
      <c r="NZM211" s="2"/>
      <c r="NZN211" s="2"/>
      <c r="NZO211" s="2"/>
      <c r="NZP211" s="2"/>
      <c r="NZQ211" s="2"/>
      <c r="NZR211" s="260"/>
      <c r="NZS211" s="260"/>
      <c r="NZT211" s="260"/>
      <c r="NZU211" s="380"/>
      <c r="NZV211" s="380"/>
      <c r="NZW211" s="380"/>
      <c r="NZX211" s="2"/>
      <c r="NZY211" s="442"/>
      <c r="NZZ211" s="442"/>
      <c r="OAA211" s="443"/>
      <c r="OAB211" s="442"/>
      <c r="OAC211" s="442"/>
      <c r="OAD211" s="2"/>
      <c r="OAE211" s="2"/>
      <c r="OAF211" s="2"/>
      <c r="OAG211" s="2"/>
      <c r="OAH211" s="260"/>
      <c r="OAI211" s="260"/>
      <c r="OAJ211" s="260"/>
      <c r="OAK211" s="260"/>
      <c r="OAL211" s="260"/>
      <c r="OAM211" s="260"/>
      <c r="OAN211" s="308"/>
      <c r="OAO211" s="290"/>
      <c r="OAP211" s="290"/>
      <c r="OAQ211" s="260"/>
      <c r="OAR211" s="260"/>
      <c r="OAS211" s="260"/>
      <c r="OAT211" s="260"/>
      <c r="OAU211" s="260"/>
      <c r="OAV211" s="2"/>
      <c r="OAW211" s="2"/>
      <c r="OAX211" s="2"/>
      <c r="OAY211" s="2"/>
      <c r="OAZ211" s="2"/>
      <c r="OBA211" s="2"/>
      <c r="OBB211" s="260"/>
      <c r="OBC211" s="2"/>
      <c r="OBD211" s="2"/>
      <c r="OBE211" s="2"/>
      <c r="OBF211" s="2"/>
      <c r="OBG211" s="2"/>
      <c r="OBH211" s="2"/>
      <c r="OBI211" s="2"/>
      <c r="OBJ211" s="260"/>
      <c r="OBK211" s="260"/>
      <c r="OBL211" s="260"/>
      <c r="OBM211" s="380"/>
      <c r="OBN211" s="380"/>
      <c r="OBO211" s="380"/>
      <c r="OBP211" s="2"/>
      <c r="OBQ211" s="442"/>
      <c r="OBR211" s="442"/>
      <c r="OBS211" s="443"/>
      <c r="OBT211" s="442"/>
      <c r="OBU211" s="442"/>
      <c r="OBV211" s="2"/>
      <c r="OBW211" s="2"/>
      <c r="OBX211" s="2"/>
      <c r="OBY211" s="2"/>
      <c r="OBZ211" s="260"/>
      <c r="OCA211" s="260"/>
      <c r="OCB211" s="260"/>
      <c r="OCC211" s="260"/>
      <c r="OCD211" s="260"/>
      <c r="OCE211" s="260"/>
      <c r="OCF211" s="308"/>
      <c r="OCG211" s="290"/>
      <c r="OCH211" s="290"/>
      <c r="OCI211" s="260"/>
      <c r="OCJ211" s="260"/>
      <c r="OCK211" s="260"/>
      <c r="OCL211" s="260"/>
      <c r="OCM211" s="260"/>
      <c r="OCN211" s="2"/>
      <c r="OCO211" s="2"/>
      <c r="OCP211" s="2"/>
      <c r="OCQ211" s="2"/>
      <c r="OCR211" s="2"/>
      <c r="OCS211" s="2"/>
      <c r="OCT211" s="260"/>
      <c r="OCU211" s="2"/>
      <c r="OCV211" s="2"/>
      <c r="OCW211" s="2"/>
      <c r="OCX211" s="2"/>
      <c r="OCY211" s="2"/>
      <c r="OCZ211" s="2"/>
      <c r="ODA211" s="2"/>
      <c r="ODB211" s="260"/>
      <c r="ODC211" s="260"/>
      <c r="ODD211" s="260"/>
      <c r="ODE211" s="380"/>
      <c r="ODF211" s="380"/>
      <c r="ODG211" s="380"/>
      <c r="ODH211" s="2"/>
      <c r="ODI211" s="442"/>
      <c r="ODJ211" s="442"/>
      <c r="ODK211" s="443"/>
      <c r="ODL211" s="442"/>
      <c r="ODM211" s="442"/>
      <c r="ODN211" s="2"/>
      <c r="ODO211" s="2"/>
      <c r="ODP211" s="2"/>
      <c r="ODQ211" s="2"/>
      <c r="ODR211" s="260"/>
      <c r="ODS211" s="260"/>
      <c r="ODT211" s="260"/>
      <c r="ODU211" s="260"/>
      <c r="ODV211" s="260"/>
      <c r="ODW211" s="260"/>
      <c r="ODX211" s="308"/>
      <c r="ODY211" s="290"/>
      <c r="ODZ211" s="290"/>
      <c r="OEA211" s="260"/>
      <c r="OEB211" s="260"/>
      <c r="OEC211" s="260"/>
      <c r="OED211" s="260"/>
      <c r="OEE211" s="260"/>
      <c r="OEF211" s="2"/>
      <c r="OEG211" s="2"/>
      <c r="OEH211" s="2"/>
      <c r="OEI211" s="2"/>
      <c r="OEJ211" s="2"/>
      <c r="OEK211" s="2"/>
      <c r="OEL211" s="260"/>
      <c r="OEM211" s="2"/>
      <c r="OEN211" s="2"/>
      <c r="OEO211" s="2"/>
      <c r="OEP211" s="2"/>
      <c r="OEQ211" s="2"/>
      <c r="OER211" s="2"/>
      <c r="OES211" s="2"/>
      <c r="OET211" s="260"/>
      <c r="OEU211" s="260"/>
      <c r="OEV211" s="260"/>
      <c r="OEW211" s="380"/>
      <c r="OEX211" s="380"/>
      <c r="OEY211" s="380"/>
      <c r="OEZ211" s="2"/>
      <c r="OFA211" s="442"/>
      <c r="OFB211" s="442"/>
      <c r="OFC211" s="443"/>
      <c r="OFD211" s="442"/>
      <c r="OFE211" s="442"/>
      <c r="OFF211" s="2"/>
      <c r="OFG211" s="2"/>
      <c r="OFH211" s="2"/>
      <c r="OFI211" s="2"/>
      <c r="OFJ211" s="260"/>
      <c r="OFK211" s="260"/>
      <c r="OFL211" s="260"/>
      <c r="OFM211" s="260"/>
      <c r="OFN211" s="260"/>
      <c r="OFO211" s="260"/>
      <c r="OFP211" s="308"/>
      <c r="OFQ211" s="290"/>
      <c r="OFR211" s="290"/>
      <c r="OFS211" s="260"/>
      <c r="OFT211" s="260"/>
      <c r="OFU211" s="260"/>
      <c r="OFV211" s="260"/>
      <c r="OFW211" s="260"/>
      <c r="OFX211" s="2"/>
      <c r="OFY211" s="2"/>
      <c r="OFZ211" s="2"/>
      <c r="OGA211" s="2"/>
      <c r="OGB211" s="2"/>
      <c r="OGC211" s="2"/>
      <c r="OGD211" s="260"/>
      <c r="OGE211" s="2"/>
      <c r="OGF211" s="2"/>
      <c r="OGG211" s="2"/>
      <c r="OGH211" s="2"/>
      <c r="OGI211" s="2"/>
      <c r="OGJ211" s="2"/>
      <c r="OGK211" s="2"/>
      <c r="OGL211" s="260"/>
      <c r="OGM211" s="260"/>
      <c r="OGN211" s="260"/>
      <c r="OGO211" s="380"/>
      <c r="OGP211" s="380"/>
      <c r="OGQ211" s="380"/>
      <c r="OGR211" s="2"/>
      <c r="OGS211" s="442"/>
      <c r="OGT211" s="442"/>
      <c r="OGU211" s="443"/>
      <c r="OGV211" s="442"/>
      <c r="OGW211" s="442"/>
      <c r="OGX211" s="2"/>
      <c r="OGY211" s="2"/>
      <c r="OGZ211" s="2"/>
      <c r="OHA211" s="2"/>
      <c r="OHB211" s="260"/>
      <c r="OHC211" s="260"/>
      <c r="OHD211" s="260"/>
      <c r="OHE211" s="260"/>
      <c r="OHF211" s="260"/>
      <c r="OHG211" s="260"/>
      <c r="OHH211" s="308"/>
      <c r="OHI211" s="290"/>
      <c r="OHJ211" s="290"/>
      <c r="OHK211" s="260"/>
      <c r="OHL211" s="260"/>
      <c r="OHM211" s="260"/>
      <c r="OHN211" s="260"/>
      <c r="OHO211" s="260"/>
      <c r="OHP211" s="2"/>
      <c r="OHQ211" s="2"/>
      <c r="OHR211" s="2"/>
      <c r="OHS211" s="2"/>
      <c r="OHT211" s="2"/>
      <c r="OHU211" s="2"/>
      <c r="OHV211" s="260"/>
      <c r="OHW211" s="2"/>
      <c r="OHX211" s="2"/>
      <c r="OHY211" s="2"/>
      <c r="OHZ211" s="2"/>
      <c r="OIA211" s="2"/>
      <c r="OIB211" s="2"/>
      <c r="OIC211" s="2"/>
      <c r="OID211" s="260"/>
      <c r="OIE211" s="260"/>
      <c r="OIF211" s="260"/>
      <c r="OIG211" s="380"/>
      <c r="OIH211" s="380"/>
      <c r="OII211" s="380"/>
      <c r="OIJ211" s="2"/>
      <c r="OIK211" s="442"/>
      <c r="OIL211" s="442"/>
      <c r="OIM211" s="443"/>
      <c r="OIN211" s="442"/>
      <c r="OIO211" s="442"/>
      <c r="OIP211" s="2"/>
      <c r="OIQ211" s="2"/>
      <c r="OIR211" s="2"/>
      <c r="OIS211" s="2"/>
      <c r="OIT211" s="260"/>
      <c r="OIU211" s="260"/>
      <c r="OIV211" s="260"/>
      <c r="OIW211" s="260"/>
      <c r="OIX211" s="260"/>
      <c r="OIY211" s="260"/>
      <c r="OIZ211" s="308"/>
      <c r="OJA211" s="290"/>
      <c r="OJB211" s="290"/>
      <c r="OJC211" s="260"/>
      <c r="OJD211" s="260"/>
      <c r="OJE211" s="260"/>
      <c r="OJF211" s="260"/>
      <c r="OJG211" s="260"/>
      <c r="OJH211" s="2"/>
      <c r="OJI211" s="2"/>
      <c r="OJJ211" s="2"/>
      <c r="OJK211" s="2"/>
      <c r="OJL211" s="2"/>
      <c r="OJM211" s="2"/>
      <c r="OJN211" s="260"/>
      <c r="OJO211" s="2"/>
      <c r="OJP211" s="2"/>
      <c r="OJQ211" s="2"/>
      <c r="OJR211" s="2"/>
      <c r="OJS211" s="2"/>
      <c r="OJT211" s="2"/>
      <c r="OJU211" s="2"/>
      <c r="OJV211" s="260"/>
      <c r="OJW211" s="260"/>
      <c r="OJX211" s="260"/>
      <c r="OJY211" s="380"/>
      <c r="OJZ211" s="380"/>
      <c r="OKA211" s="380"/>
      <c r="OKB211" s="2"/>
      <c r="OKC211" s="442"/>
      <c r="OKD211" s="442"/>
      <c r="OKE211" s="443"/>
      <c r="OKF211" s="442"/>
      <c r="OKG211" s="442"/>
      <c r="OKH211" s="2"/>
      <c r="OKI211" s="2"/>
      <c r="OKJ211" s="2"/>
      <c r="OKK211" s="2"/>
      <c r="OKL211" s="260"/>
      <c r="OKM211" s="260"/>
      <c r="OKN211" s="260"/>
      <c r="OKO211" s="260"/>
      <c r="OKP211" s="260"/>
      <c r="OKQ211" s="260"/>
      <c r="OKR211" s="308"/>
      <c r="OKS211" s="290"/>
      <c r="OKT211" s="290"/>
      <c r="OKU211" s="260"/>
      <c r="OKV211" s="260"/>
      <c r="OKW211" s="260"/>
      <c r="OKX211" s="260"/>
      <c r="OKY211" s="260"/>
      <c r="OKZ211" s="2"/>
      <c r="OLA211" s="2"/>
      <c r="OLB211" s="2"/>
      <c r="OLC211" s="2"/>
      <c r="OLD211" s="2"/>
      <c r="OLE211" s="2"/>
      <c r="OLF211" s="260"/>
      <c r="OLG211" s="2"/>
      <c r="OLH211" s="2"/>
      <c r="OLI211" s="2"/>
      <c r="OLJ211" s="2"/>
      <c r="OLK211" s="2"/>
      <c r="OLL211" s="2"/>
      <c r="OLM211" s="2"/>
      <c r="OLN211" s="260"/>
      <c r="OLO211" s="260"/>
      <c r="OLP211" s="260"/>
      <c r="OLQ211" s="380"/>
      <c r="OLR211" s="380"/>
      <c r="OLS211" s="380"/>
      <c r="OLT211" s="2"/>
      <c r="OLU211" s="442"/>
      <c r="OLV211" s="442"/>
      <c r="OLW211" s="443"/>
      <c r="OLX211" s="442"/>
      <c r="OLY211" s="442"/>
      <c r="OLZ211" s="2"/>
      <c r="OMA211" s="2"/>
      <c r="OMB211" s="2"/>
      <c r="OMC211" s="2"/>
      <c r="OMD211" s="260"/>
      <c r="OME211" s="260"/>
      <c r="OMF211" s="260"/>
      <c r="OMG211" s="260"/>
      <c r="OMH211" s="260"/>
      <c r="OMI211" s="260"/>
      <c r="OMJ211" s="308"/>
      <c r="OMK211" s="290"/>
      <c r="OML211" s="290"/>
      <c r="OMM211" s="260"/>
      <c r="OMN211" s="260"/>
      <c r="OMO211" s="260"/>
      <c r="OMP211" s="260"/>
      <c r="OMQ211" s="260"/>
      <c r="OMR211" s="2"/>
      <c r="OMS211" s="2"/>
      <c r="OMT211" s="2"/>
      <c r="OMU211" s="2"/>
      <c r="OMV211" s="2"/>
      <c r="OMW211" s="2"/>
      <c r="OMX211" s="260"/>
      <c r="OMY211" s="2"/>
      <c r="OMZ211" s="2"/>
      <c r="ONA211" s="2"/>
      <c r="ONB211" s="2"/>
      <c r="ONC211" s="2"/>
      <c r="OND211" s="2"/>
      <c r="ONE211" s="2"/>
      <c r="ONF211" s="260"/>
      <c r="ONG211" s="260"/>
      <c r="ONH211" s="260"/>
      <c r="ONI211" s="380"/>
      <c r="ONJ211" s="380"/>
      <c r="ONK211" s="380"/>
      <c r="ONL211" s="2"/>
      <c r="ONM211" s="442"/>
      <c r="ONN211" s="442"/>
      <c r="ONO211" s="443"/>
      <c r="ONP211" s="442"/>
      <c r="ONQ211" s="442"/>
      <c r="ONR211" s="2"/>
      <c r="ONS211" s="2"/>
      <c r="ONT211" s="2"/>
      <c r="ONU211" s="2"/>
      <c r="ONV211" s="260"/>
      <c r="ONW211" s="260"/>
      <c r="ONX211" s="260"/>
      <c r="ONY211" s="260"/>
      <c r="ONZ211" s="260"/>
      <c r="OOA211" s="260"/>
      <c r="OOB211" s="308"/>
      <c r="OOC211" s="290"/>
      <c r="OOD211" s="290"/>
      <c r="OOE211" s="260"/>
      <c r="OOF211" s="260"/>
      <c r="OOG211" s="260"/>
      <c r="OOH211" s="260"/>
      <c r="OOI211" s="260"/>
      <c r="OOJ211" s="2"/>
      <c r="OOK211" s="2"/>
      <c r="OOL211" s="2"/>
      <c r="OOM211" s="2"/>
      <c r="OON211" s="2"/>
      <c r="OOO211" s="2"/>
      <c r="OOP211" s="260"/>
      <c r="OOQ211" s="2"/>
      <c r="OOR211" s="2"/>
      <c r="OOS211" s="2"/>
      <c r="OOT211" s="2"/>
      <c r="OOU211" s="2"/>
      <c r="OOV211" s="2"/>
      <c r="OOW211" s="2"/>
      <c r="OOX211" s="260"/>
      <c r="OOY211" s="260"/>
      <c r="OOZ211" s="260"/>
      <c r="OPA211" s="380"/>
      <c r="OPB211" s="380"/>
      <c r="OPC211" s="380"/>
      <c r="OPD211" s="2"/>
      <c r="OPE211" s="442"/>
      <c r="OPF211" s="442"/>
      <c r="OPG211" s="443"/>
      <c r="OPH211" s="442"/>
      <c r="OPI211" s="442"/>
      <c r="OPJ211" s="2"/>
      <c r="OPK211" s="2"/>
      <c r="OPL211" s="2"/>
      <c r="OPM211" s="2"/>
      <c r="OPN211" s="260"/>
      <c r="OPO211" s="260"/>
      <c r="OPP211" s="260"/>
      <c r="OPQ211" s="260"/>
      <c r="OPR211" s="260"/>
      <c r="OPS211" s="260"/>
      <c r="OPT211" s="308"/>
      <c r="OPU211" s="290"/>
      <c r="OPV211" s="290"/>
      <c r="OPW211" s="260"/>
      <c r="OPX211" s="260"/>
      <c r="OPY211" s="260"/>
      <c r="OPZ211" s="260"/>
      <c r="OQA211" s="260"/>
      <c r="OQB211" s="2"/>
      <c r="OQC211" s="2"/>
      <c r="OQD211" s="2"/>
      <c r="OQE211" s="2"/>
      <c r="OQF211" s="2"/>
      <c r="OQG211" s="2"/>
      <c r="OQH211" s="260"/>
      <c r="OQI211" s="2"/>
      <c r="OQJ211" s="2"/>
      <c r="OQK211" s="2"/>
      <c r="OQL211" s="2"/>
      <c r="OQM211" s="2"/>
      <c r="OQN211" s="2"/>
      <c r="OQO211" s="2"/>
      <c r="OQP211" s="260"/>
      <c r="OQQ211" s="260"/>
      <c r="OQR211" s="260"/>
      <c r="OQS211" s="380"/>
      <c r="OQT211" s="380"/>
      <c r="OQU211" s="380"/>
      <c r="OQV211" s="2"/>
      <c r="OQW211" s="442"/>
      <c r="OQX211" s="442"/>
      <c r="OQY211" s="443"/>
      <c r="OQZ211" s="442"/>
      <c r="ORA211" s="442"/>
      <c r="ORB211" s="2"/>
      <c r="ORC211" s="2"/>
      <c r="ORD211" s="2"/>
      <c r="ORE211" s="2"/>
      <c r="ORF211" s="260"/>
      <c r="ORG211" s="260"/>
      <c r="ORH211" s="260"/>
      <c r="ORI211" s="260"/>
      <c r="ORJ211" s="260"/>
      <c r="ORK211" s="260"/>
      <c r="ORL211" s="308"/>
      <c r="ORM211" s="290"/>
      <c r="ORN211" s="290"/>
      <c r="ORO211" s="260"/>
      <c r="ORP211" s="260"/>
      <c r="ORQ211" s="260"/>
      <c r="ORR211" s="260"/>
      <c r="ORS211" s="260"/>
      <c r="ORT211" s="2"/>
      <c r="ORU211" s="2"/>
      <c r="ORV211" s="2"/>
      <c r="ORW211" s="2"/>
      <c r="ORX211" s="2"/>
      <c r="ORY211" s="2"/>
      <c r="ORZ211" s="260"/>
      <c r="OSA211" s="2"/>
      <c r="OSB211" s="2"/>
      <c r="OSC211" s="2"/>
      <c r="OSD211" s="2"/>
      <c r="OSE211" s="2"/>
      <c r="OSF211" s="2"/>
      <c r="OSG211" s="2"/>
      <c r="OSH211" s="260"/>
      <c r="OSI211" s="260"/>
      <c r="OSJ211" s="260"/>
      <c r="OSK211" s="380"/>
      <c r="OSL211" s="380"/>
      <c r="OSM211" s="380"/>
      <c r="OSN211" s="2"/>
      <c r="OSO211" s="442"/>
      <c r="OSP211" s="442"/>
      <c r="OSQ211" s="443"/>
      <c r="OSR211" s="442"/>
      <c r="OSS211" s="442"/>
      <c r="OST211" s="2"/>
      <c r="OSU211" s="2"/>
      <c r="OSV211" s="2"/>
      <c r="OSW211" s="2"/>
      <c r="OSX211" s="260"/>
      <c r="OSY211" s="260"/>
      <c r="OSZ211" s="260"/>
      <c r="OTA211" s="260"/>
      <c r="OTB211" s="260"/>
      <c r="OTC211" s="260"/>
      <c r="OTD211" s="308"/>
      <c r="OTE211" s="290"/>
      <c r="OTF211" s="290"/>
      <c r="OTG211" s="260"/>
      <c r="OTH211" s="260"/>
      <c r="OTI211" s="260"/>
      <c r="OTJ211" s="260"/>
      <c r="OTK211" s="260"/>
      <c r="OTL211" s="2"/>
      <c r="OTM211" s="2"/>
      <c r="OTN211" s="2"/>
      <c r="OTO211" s="2"/>
      <c r="OTP211" s="2"/>
      <c r="OTQ211" s="2"/>
      <c r="OTR211" s="260"/>
      <c r="OTS211" s="2"/>
      <c r="OTT211" s="2"/>
      <c r="OTU211" s="2"/>
      <c r="OTV211" s="2"/>
      <c r="OTW211" s="2"/>
      <c r="OTX211" s="2"/>
      <c r="OTY211" s="2"/>
      <c r="OTZ211" s="260"/>
      <c r="OUA211" s="260"/>
      <c r="OUB211" s="260"/>
      <c r="OUC211" s="380"/>
      <c r="OUD211" s="380"/>
      <c r="OUE211" s="380"/>
      <c r="OUF211" s="2"/>
      <c r="OUG211" s="442"/>
      <c r="OUH211" s="442"/>
      <c r="OUI211" s="443"/>
      <c r="OUJ211" s="442"/>
      <c r="OUK211" s="442"/>
      <c r="OUL211" s="2"/>
      <c r="OUM211" s="2"/>
      <c r="OUN211" s="2"/>
      <c r="OUO211" s="2"/>
      <c r="OUP211" s="260"/>
      <c r="OUQ211" s="260"/>
      <c r="OUR211" s="260"/>
      <c r="OUS211" s="260"/>
      <c r="OUT211" s="260"/>
      <c r="OUU211" s="260"/>
      <c r="OUV211" s="308"/>
      <c r="OUW211" s="290"/>
      <c r="OUX211" s="290"/>
      <c r="OUY211" s="260"/>
      <c r="OUZ211" s="260"/>
      <c r="OVA211" s="260"/>
      <c r="OVB211" s="260"/>
      <c r="OVC211" s="260"/>
      <c r="OVD211" s="2"/>
      <c r="OVE211" s="2"/>
      <c r="OVF211" s="2"/>
      <c r="OVG211" s="2"/>
      <c r="OVH211" s="2"/>
      <c r="OVI211" s="2"/>
      <c r="OVJ211" s="260"/>
      <c r="OVK211" s="2"/>
      <c r="OVL211" s="2"/>
      <c r="OVM211" s="2"/>
      <c r="OVN211" s="2"/>
      <c r="OVO211" s="2"/>
      <c r="OVP211" s="2"/>
      <c r="OVQ211" s="2"/>
      <c r="OVR211" s="260"/>
      <c r="OVS211" s="260"/>
      <c r="OVT211" s="260"/>
      <c r="OVU211" s="380"/>
      <c r="OVV211" s="380"/>
      <c r="OVW211" s="380"/>
      <c r="OVX211" s="2"/>
      <c r="OVY211" s="442"/>
      <c r="OVZ211" s="442"/>
      <c r="OWA211" s="443"/>
      <c r="OWB211" s="442"/>
      <c r="OWC211" s="442"/>
      <c r="OWD211" s="2"/>
      <c r="OWE211" s="2"/>
      <c r="OWF211" s="2"/>
      <c r="OWG211" s="2"/>
      <c r="OWH211" s="260"/>
      <c r="OWI211" s="260"/>
      <c r="OWJ211" s="260"/>
      <c r="OWK211" s="260"/>
      <c r="OWL211" s="260"/>
      <c r="OWM211" s="260"/>
      <c r="OWN211" s="308"/>
      <c r="OWO211" s="290"/>
      <c r="OWP211" s="290"/>
      <c r="OWQ211" s="260"/>
      <c r="OWR211" s="260"/>
      <c r="OWS211" s="260"/>
      <c r="OWT211" s="260"/>
      <c r="OWU211" s="260"/>
      <c r="OWV211" s="2"/>
      <c r="OWW211" s="2"/>
      <c r="OWX211" s="2"/>
      <c r="OWY211" s="2"/>
      <c r="OWZ211" s="2"/>
      <c r="OXA211" s="2"/>
      <c r="OXB211" s="260"/>
      <c r="OXC211" s="2"/>
      <c r="OXD211" s="2"/>
      <c r="OXE211" s="2"/>
      <c r="OXF211" s="2"/>
      <c r="OXG211" s="2"/>
      <c r="OXH211" s="2"/>
      <c r="OXI211" s="2"/>
      <c r="OXJ211" s="260"/>
      <c r="OXK211" s="260"/>
      <c r="OXL211" s="260"/>
      <c r="OXM211" s="380"/>
      <c r="OXN211" s="380"/>
      <c r="OXO211" s="380"/>
      <c r="OXP211" s="2"/>
      <c r="OXQ211" s="442"/>
      <c r="OXR211" s="442"/>
      <c r="OXS211" s="443"/>
      <c r="OXT211" s="442"/>
      <c r="OXU211" s="442"/>
      <c r="OXV211" s="2"/>
      <c r="OXW211" s="2"/>
      <c r="OXX211" s="2"/>
      <c r="OXY211" s="2"/>
      <c r="OXZ211" s="260"/>
      <c r="OYA211" s="260"/>
      <c r="OYB211" s="260"/>
      <c r="OYC211" s="260"/>
      <c r="OYD211" s="260"/>
      <c r="OYE211" s="260"/>
      <c r="OYF211" s="308"/>
      <c r="OYG211" s="290"/>
      <c r="OYH211" s="290"/>
      <c r="OYI211" s="260"/>
      <c r="OYJ211" s="260"/>
      <c r="OYK211" s="260"/>
      <c r="OYL211" s="260"/>
      <c r="OYM211" s="260"/>
      <c r="OYN211" s="2"/>
      <c r="OYO211" s="2"/>
      <c r="OYP211" s="2"/>
      <c r="OYQ211" s="2"/>
      <c r="OYR211" s="2"/>
      <c r="OYS211" s="2"/>
      <c r="OYT211" s="260"/>
      <c r="OYU211" s="2"/>
      <c r="OYV211" s="2"/>
      <c r="OYW211" s="2"/>
      <c r="OYX211" s="2"/>
      <c r="OYY211" s="2"/>
      <c r="OYZ211" s="2"/>
      <c r="OZA211" s="2"/>
      <c r="OZB211" s="260"/>
      <c r="OZC211" s="260"/>
      <c r="OZD211" s="260"/>
      <c r="OZE211" s="380"/>
      <c r="OZF211" s="380"/>
      <c r="OZG211" s="380"/>
      <c r="OZH211" s="2"/>
      <c r="OZI211" s="442"/>
      <c r="OZJ211" s="442"/>
      <c r="OZK211" s="443"/>
      <c r="OZL211" s="442"/>
      <c r="OZM211" s="442"/>
      <c r="OZN211" s="2"/>
      <c r="OZO211" s="2"/>
      <c r="OZP211" s="2"/>
      <c r="OZQ211" s="2"/>
      <c r="OZR211" s="260"/>
      <c r="OZS211" s="260"/>
      <c r="OZT211" s="260"/>
      <c r="OZU211" s="260"/>
      <c r="OZV211" s="260"/>
      <c r="OZW211" s="260"/>
      <c r="OZX211" s="308"/>
      <c r="OZY211" s="290"/>
      <c r="OZZ211" s="290"/>
      <c r="PAA211" s="260"/>
      <c r="PAB211" s="260"/>
      <c r="PAC211" s="260"/>
      <c r="PAD211" s="260"/>
      <c r="PAE211" s="260"/>
      <c r="PAF211" s="2"/>
      <c r="PAG211" s="2"/>
      <c r="PAH211" s="2"/>
      <c r="PAI211" s="2"/>
      <c r="PAJ211" s="2"/>
      <c r="PAK211" s="2"/>
      <c r="PAL211" s="260"/>
      <c r="PAM211" s="2"/>
      <c r="PAN211" s="2"/>
      <c r="PAO211" s="2"/>
      <c r="PAP211" s="2"/>
      <c r="PAQ211" s="2"/>
      <c r="PAR211" s="2"/>
      <c r="PAS211" s="2"/>
      <c r="PAT211" s="260"/>
      <c r="PAU211" s="260"/>
      <c r="PAV211" s="260"/>
      <c r="PAW211" s="380"/>
      <c r="PAX211" s="380"/>
      <c r="PAY211" s="380"/>
      <c r="PAZ211" s="2"/>
      <c r="PBA211" s="442"/>
      <c r="PBB211" s="442"/>
      <c r="PBC211" s="443"/>
      <c r="PBD211" s="442"/>
      <c r="PBE211" s="442"/>
      <c r="PBF211" s="2"/>
      <c r="PBG211" s="2"/>
      <c r="PBH211" s="2"/>
      <c r="PBI211" s="2"/>
      <c r="PBJ211" s="260"/>
      <c r="PBK211" s="260"/>
      <c r="PBL211" s="260"/>
      <c r="PBM211" s="260"/>
      <c r="PBN211" s="260"/>
      <c r="PBO211" s="260"/>
      <c r="PBP211" s="308"/>
      <c r="PBQ211" s="290"/>
      <c r="PBR211" s="290"/>
      <c r="PBS211" s="260"/>
      <c r="PBT211" s="260"/>
      <c r="PBU211" s="260"/>
      <c r="PBV211" s="260"/>
      <c r="PBW211" s="260"/>
      <c r="PBX211" s="2"/>
      <c r="PBY211" s="2"/>
      <c r="PBZ211" s="2"/>
      <c r="PCA211" s="2"/>
      <c r="PCB211" s="2"/>
      <c r="PCC211" s="2"/>
      <c r="PCD211" s="260"/>
      <c r="PCE211" s="2"/>
      <c r="PCF211" s="2"/>
      <c r="PCG211" s="2"/>
      <c r="PCH211" s="2"/>
      <c r="PCI211" s="2"/>
      <c r="PCJ211" s="2"/>
      <c r="PCK211" s="2"/>
      <c r="PCL211" s="260"/>
      <c r="PCM211" s="260"/>
      <c r="PCN211" s="260"/>
      <c r="PCO211" s="380"/>
      <c r="PCP211" s="380"/>
      <c r="PCQ211" s="380"/>
      <c r="PCR211" s="2"/>
      <c r="PCS211" s="442"/>
      <c r="PCT211" s="442"/>
      <c r="PCU211" s="443"/>
      <c r="PCV211" s="442"/>
      <c r="PCW211" s="442"/>
      <c r="PCX211" s="2"/>
      <c r="PCY211" s="2"/>
      <c r="PCZ211" s="2"/>
      <c r="PDA211" s="2"/>
      <c r="PDB211" s="260"/>
      <c r="PDC211" s="260"/>
      <c r="PDD211" s="260"/>
      <c r="PDE211" s="260"/>
      <c r="PDF211" s="260"/>
      <c r="PDG211" s="260"/>
      <c r="PDH211" s="308"/>
      <c r="PDI211" s="290"/>
      <c r="PDJ211" s="290"/>
      <c r="PDK211" s="260"/>
      <c r="PDL211" s="260"/>
      <c r="PDM211" s="260"/>
      <c r="PDN211" s="260"/>
      <c r="PDO211" s="260"/>
      <c r="PDP211" s="2"/>
      <c r="PDQ211" s="2"/>
      <c r="PDR211" s="2"/>
      <c r="PDS211" s="2"/>
      <c r="PDT211" s="2"/>
      <c r="PDU211" s="2"/>
      <c r="PDV211" s="260"/>
      <c r="PDW211" s="2"/>
      <c r="PDX211" s="2"/>
      <c r="PDY211" s="2"/>
      <c r="PDZ211" s="2"/>
      <c r="PEA211" s="2"/>
      <c r="PEB211" s="2"/>
      <c r="PEC211" s="2"/>
      <c r="PED211" s="260"/>
      <c r="PEE211" s="260"/>
      <c r="PEF211" s="260"/>
      <c r="PEG211" s="380"/>
      <c r="PEH211" s="380"/>
      <c r="PEI211" s="380"/>
      <c r="PEJ211" s="2"/>
      <c r="PEK211" s="442"/>
      <c r="PEL211" s="442"/>
      <c r="PEM211" s="443"/>
      <c r="PEN211" s="442"/>
      <c r="PEO211" s="442"/>
      <c r="PEP211" s="2"/>
      <c r="PEQ211" s="2"/>
      <c r="PER211" s="2"/>
      <c r="PES211" s="2"/>
      <c r="PET211" s="260"/>
      <c r="PEU211" s="260"/>
      <c r="PEV211" s="260"/>
      <c r="PEW211" s="260"/>
      <c r="PEX211" s="260"/>
      <c r="PEY211" s="260"/>
      <c r="PEZ211" s="308"/>
      <c r="PFA211" s="290"/>
      <c r="PFB211" s="290"/>
      <c r="PFC211" s="260"/>
      <c r="PFD211" s="260"/>
      <c r="PFE211" s="260"/>
      <c r="PFF211" s="260"/>
      <c r="PFG211" s="260"/>
      <c r="PFH211" s="2"/>
      <c r="PFI211" s="2"/>
      <c r="PFJ211" s="2"/>
      <c r="PFK211" s="2"/>
      <c r="PFL211" s="2"/>
      <c r="PFM211" s="2"/>
      <c r="PFN211" s="260"/>
      <c r="PFO211" s="2"/>
      <c r="PFP211" s="2"/>
      <c r="PFQ211" s="2"/>
      <c r="PFR211" s="2"/>
      <c r="PFS211" s="2"/>
      <c r="PFT211" s="2"/>
      <c r="PFU211" s="2"/>
      <c r="PFV211" s="260"/>
      <c r="PFW211" s="260"/>
      <c r="PFX211" s="260"/>
      <c r="PFY211" s="380"/>
      <c r="PFZ211" s="380"/>
      <c r="PGA211" s="380"/>
      <c r="PGB211" s="2"/>
      <c r="PGC211" s="442"/>
      <c r="PGD211" s="442"/>
      <c r="PGE211" s="443"/>
      <c r="PGF211" s="442"/>
      <c r="PGG211" s="442"/>
      <c r="PGH211" s="2"/>
      <c r="PGI211" s="2"/>
      <c r="PGJ211" s="2"/>
      <c r="PGK211" s="2"/>
      <c r="PGL211" s="260"/>
      <c r="PGM211" s="260"/>
      <c r="PGN211" s="260"/>
      <c r="PGO211" s="260"/>
      <c r="PGP211" s="260"/>
      <c r="PGQ211" s="260"/>
      <c r="PGR211" s="308"/>
      <c r="PGS211" s="290"/>
      <c r="PGT211" s="290"/>
      <c r="PGU211" s="260"/>
      <c r="PGV211" s="260"/>
      <c r="PGW211" s="260"/>
      <c r="PGX211" s="260"/>
      <c r="PGY211" s="260"/>
      <c r="PGZ211" s="2"/>
      <c r="PHA211" s="2"/>
      <c r="PHB211" s="2"/>
      <c r="PHC211" s="2"/>
      <c r="PHD211" s="2"/>
      <c r="PHE211" s="2"/>
      <c r="PHF211" s="260"/>
      <c r="PHG211" s="2"/>
      <c r="PHH211" s="2"/>
      <c r="PHI211" s="2"/>
      <c r="PHJ211" s="2"/>
      <c r="PHK211" s="2"/>
      <c r="PHL211" s="2"/>
      <c r="PHM211" s="2"/>
      <c r="PHN211" s="260"/>
      <c r="PHO211" s="260"/>
      <c r="PHP211" s="260"/>
      <c r="PHQ211" s="380"/>
      <c r="PHR211" s="380"/>
      <c r="PHS211" s="380"/>
      <c r="PHT211" s="2"/>
      <c r="PHU211" s="442"/>
      <c r="PHV211" s="442"/>
      <c r="PHW211" s="443"/>
      <c r="PHX211" s="442"/>
      <c r="PHY211" s="442"/>
      <c r="PHZ211" s="2"/>
      <c r="PIA211" s="2"/>
      <c r="PIB211" s="2"/>
      <c r="PIC211" s="2"/>
      <c r="PID211" s="260"/>
      <c r="PIE211" s="260"/>
      <c r="PIF211" s="260"/>
      <c r="PIG211" s="260"/>
      <c r="PIH211" s="260"/>
      <c r="PII211" s="260"/>
      <c r="PIJ211" s="308"/>
      <c r="PIK211" s="290"/>
      <c r="PIL211" s="290"/>
      <c r="PIM211" s="260"/>
      <c r="PIN211" s="260"/>
      <c r="PIO211" s="260"/>
      <c r="PIP211" s="260"/>
      <c r="PIQ211" s="260"/>
      <c r="PIR211" s="2"/>
      <c r="PIS211" s="2"/>
      <c r="PIT211" s="2"/>
      <c r="PIU211" s="2"/>
      <c r="PIV211" s="2"/>
      <c r="PIW211" s="2"/>
      <c r="PIX211" s="260"/>
      <c r="PIY211" s="2"/>
      <c r="PIZ211" s="2"/>
      <c r="PJA211" s="2"/>
      <c r="PJB211" s="2"/>
      <c r="PJC211" s="2"/>
      <c r="PJD211" s="2"/>
      <c r="PJE211" s="2"/>
      <c r="PJF211" s="260"/>
      <c r="PJG211" s="260"/>
      <c r="PJH211" s="260"/>
      <c r="PJI211" s="380"/>
      <c r="PJJ211" s="380"/>
      <c r="PJK211" s="380"/>
      <c r="PJL211" s="2"/>
      <c r="PJM211" s="442"/>
      <c r="PJN211" s="442"/>
      <c r="PJO211" s="443"/>
      <c r="PJP211" s="442"/>
      <c r="PJQ211" s="442"/>
      <c r="PJR211" s="2"/>
      <c r="PJS211" s="2"/>
      <c r="PJT211" s="2"/>
      <c r="PJU211" s="2"/>
      <c r="PJV211" s="260"/>
      <c r="PJW211" s="260"/>
      <c r="PJX211" s="260"/>
      <c r="PJY211" s="260"/>
      <c r="PJZ211" s="260"/>
      <c r="PKA211" s="260"/>
      <c r="PKB211" s="308"/>
      <c r="PKC211" s="290"/>
      <c r="PKD211" s="290"/>
      <c r="PKE211" s="260"/>
      <c r="PKF211" s="260"/>
      <c r="PKG211" s="260"/>
      <c r="PKH211" s="260"/>
      <c r="PKI211" s="260"/>
      <c r="PKJ211" s="2"/>
      <c r="PKK211" s="2"/>
      <c r="PKL211" s="2"/>
      <c r="PKM211" s="2"/>
      <c r="PKN211" s="2"/>
      <c r="PKO211" s="2"/>
      <c r="PKP211" s="260"/>
      <c r="PKQ211" s="2"/>
      <c r="PKR211" s="2"/>
      <c r="PKS211" s="2"/>
      <c r="PKT211" s="2"/>
      <c r="PKU211" s="2"/>
      <c r="PKV211" s="2"/>
      <c r="PKW211" s="2"/>
      <c r="PKX211" s="260"/>
      <c r="PKY211" s="260"/>
      <c r="PKZ211" s="260"/>
      <c r="PLA211" s="380"/>
      <c r="PLB211" s="380"/>
      <c r="PLC211" s="380"/>
      <c r="PLD211" s="2"/>
      <c r="PLE211" s="442"/>
      <c r="PLF211" s="442"/>
      <c r="PLG211" s="443"/>
      <c r="PLH211" s="442"/>
      <c r="PLI211" s="442"/>
      <c r="PLJ211" s="2"/>
      <c r="PLK211" s="2"/>
      <c r="PLL211" s="2"/>
      <c r="PLM211" s="2"/>
      <c r="PLN211" s="260"/>
      <c r="PLO211" s="260"/>
      <c r="PLP211" s="260"/>
      <c r="PLQ211" s="260"/>
      <c r="PLR211" s="260"/>
      <c r="PLS211" s="260"/>
      <c r="PLT211" s="308"/>
      <c r="PLU211" s="290"/>
      <c r="PLV211" s="290"/>
      <c r="PLW211" s="260"/>
      <c r="PLX211" s="260"/>
      <c r="PLY211" s="260"/>
      <c r="PLZ211" s="260"/>
      <c r="PMA211" s="260"/>
      <c r="PMB211" s="2"/>
      <c r="PMC211" s="2"/>
      <c r="PMD211" s="2"/>
      <c r="PME211" s="2"/>
      <c r="PMF211" s="2"/>
      <c r="PMG211" s="2"/>
      <c r="PMH211" s="260"/>
      <c r="PMI211" s="2"/>
      <c r="PMJ211" s="2"/>
      <c r="PMK211" s="2"/>
      <c r="PML211" s="2"/>
      <c r="PMM211" s="2"/>
      <c r="PMN211" s="2"/>
      <c r="PMO211" s="2"/>
      <c r="PMP211" s="260"/>
      <c r="PMQ211" s="260"/>
      <c r="PMR211" s="260"/>
      <c r="PMS211" s="380"/>
      <c r="PMT211" s="380"/>
      <c r="PMU211" s="380"/>
      <c r="PMV211" s="2"/>
      <c r="PMW211" s="442"/>
      <c r="PMX211" s="442"/>
      <c r="PMY211" s="443"/>
      <c r="PMZ211" s="442"/>
      <c r="PNA211" s="442"/>
      <c r="PNB211" s="2"/>
      <c r="PNC211" s="2"/>
      <c r="PND211" s="2"/>
      <c r="PNE211" s="2"/>
      <c r="PNF211" s="260"/>
      <c r="PNG211" s="260"/>
      <c r="PNH211" s="260"/>
      <c r="PNI211" s="260"/>
      <c r="PNJ211" s="260"/>
      <c r="PNK211" s="260"/>
      <c r="PNL211" s="308"/>
      <c r="PNM211" s="290"/>
      <c r="PNN211" s="290"/>
      <c r="PNO211" s="260"/>
      <c r="PNP211" s="260"/>
      <c r="PNQ211" s="260"/>
      <c r="PNR211" s="260"/>
      <c r="PNS211" s="260"/>
      <c r="PNT211" s="2"/>
      <c r="PNU211" s="2"/>
      <c r="PNV211" s="2"/>
      <c r="PNW211" s="2"/>
      <c r="PNX211" s="2"/>
      <c r="PNY211" s="2"/>
      <c r="PNZ211" s="260"/>
      <c r="POA211" s="2"/>
      <c r="POB211" s="2"/>
      <c r="POC211" s="2"/>
      <c r="POD211" s="2"/>
      <c r="POE211" s="2"/>
      <c r="POF211" s="2"/>
      <c r="POG211" s="2"/>
      <c r="POH211" s="260"/>
      <c r="POI211" s="260"/>
      <c r="POJ211" s="260"/>
      <c r="POK211" s="380"/>
      <c r="POL211" s="380"/>
      <c r="POM211" s="380"/>
      <c r="PON211" s="2"/>
      <c r="POO211" s="442"/>
      <c r="POP211" s="442"/>
      <c r="POQ211" s="443"/>
      <c r="POR211" s="442"/>
      <c r="POS211" s="442"/>
      <c r="POT211" s="2"/>
      <c r="POU211" s="2"/>
      <c r="POV211" s="2"/>
      <c r="POW211" s="2"/>
      <c r="POX211" s="260"/>
      <c r="POY211" s="260"/>
      <c r="POZ211" s="260"/>
      <c r="PPA211" s="260"/>
      <c r="PPB211" s="260"/>
      <c r="PPC211" s="260"/>
      <c r="PPD211" s="308"/>
      <c r="PPE211" s="290"/>
      <c r="PPF211" s="290"/>
      <c r="PPG211" s="260"/>
      <c r="PPH211" s="260"/>
      <c r="PPI211" s="260"/>
      <c r="PPJ211" s="260"/>
      <c r="PPK211" s="260"/>
      <c r="PPL211" s="2"/>
      <c r="PPM211" s="2"/>
      <c r="PPN211" s="2"/>
      <c r="PPO211" s="2"/>
      <c r="PPP211" s="2"/>
      <c r="PPQ211" s="2"/>
      <c r="PPR211" s="260"/>
      <c r="PPS211" s="2"/>
      <c r="PPT211" s="2"/>
      <c r="PPU211" s="2"/>
      <c r="PPV211" s="2"/>
      <c r="PPW211" s="2"/>
      <c r="PPX211" s="2"/>
      <c r="PPY211" s="2"/>
      <c r="PPZ211" s="260"/>
      <c r="PQA211" s="260"/>
      <c r="PQB211" s="260"/>
      <c r="PQC211" s="380"/>
      <c r="PQD211" s="380"/>
      <c r="PQE211" s="380"/>
      <c r="PQF211" s="2"/>
      <c r="PQG211" s="442"/>
      <c r="PQH211" s="442"/>
      <c r="PQI211" s="443"/>
      <c r="PQJ211" s="442"/>
      <c r="PQK211" s="442"/>
      <c r="PQL211" s="2"/>
      <c r="PQM211" s="2"/>
      <c r="PQN211" s="2"/>
      <c r="PQO211" s="2"/>
      <c r="PQP211" s="260"/>
      <c r="PQQ211" s="260"/>
      <c r="PQR211" s="260"/>
      <c r="PQS211" s="260"/>
      <c r="PQT211" s="260"/>
      <c r="PQU211" s="260"/>
      <c r="PQV211" s="308"/>
      <c r="PQW211" s="290"/>
      <c r="PQX211" s="290"/>
      <c r="PQY211" s="260"/>
      <c r="PQZ211" s="260"/>
      <c r="PRA211" s="260"/>
      <c r="PRB211" s="260"/>
      <c r="PRC211" s="260"/>
      <c r="PRD211" s="2"/>
      <c r="PRE211" s="2"/>
      <c r="PRF211" s="2"/>
      <c r="PRG211" s="2"/>
      <c r="PRH211" s="2"/>
      <c r="PRI211" s="2"/>
      <c r="PRJ211" s="260"/>
      <c r="PRK211" s="2"/>
      <c r="PRL211" s="2"/>
      <c r="PRM211" s="2"/>
      <c r="PRN211" s="2"/>
      <c r="PRO211" s="2"/>
      <c r="PRP211" s="2"/>
      <c r="PRQ211" s="2"/>
      <c r="PRR211" s="260"/>
      <c r="PRS211" s="260"/>
      <c r="PRT211" s="260"/>
      <c r="PRU211" s="380"/>
      <c r="PRV211" s="380"/>
      <c r="PRW211" s="380"/>
      <c r="PRX211" s="2"/>
      <c r="PRY211" s="442"/>
      <c r="PRZ211" s="442"/>
      <c r="PSA211" s="443"/>
      <c r="PSB211" s="442"/>
      <c r="PSC211" s="442"/>
      <c r="PSD211" s="2"/>
      <c r="PSE211" s="2"/>
      <c r="PSF211" s="2"/>
      <c r="PSG211" s="2"/>
      <c r="PSH211" s="260"/>
      <c r="PSI211" s="260"/>
      <c r="PSJ211" s="260"/>
      <c r="PSK211" s="260"/>
      <c r="PSL211" s="260"/>
      <c r="PSM211" s="260"/>
      <c r="PSN211" s="308"/>
      <c r="PSO211" s="290"/>
      <c r="PSP211" s="290"/>
      <c r="PSQ211" s="260"/>
      <c r="PSR211" s="260"/>
      <c r="PSS211" s="260"/>
      <c r="PST211" s="260"/>
      <c r="PSU211" s="260"/>
      <c r="PSV211" s="2"/>
      <c r="PSW211" s="2"/>
      <c r="PSX211" s="2"/>
      <c r="PSY211" s="2"/>
      <c r="PSZ211" s="2"/>
      <c r="PTA211" s="2"/>
      <c r="PTB211" s="260"/>
      <c r="PTC211" s="2"/>
      <c r="PTD211" s="2"/>
      <c r="PTE211" s="2"/>
      <c r="PTF211" s="2"/>
      <c r="PTG211" s="2"/>
      <c r="PTH211" s="2"/>
      <c r="PTI211" s="2"/>
      <c r="PTJ211" s="260"/>
      <c r="PTK211" s="260"/>
      <c r="PTL211" s="260"/>
      <c r="PTM211" s="380"/>
      <c r="PTN211" s="380"/>
      <c r="PTO211" s="380"/>
      <c r="PTP211" s="2"/>
      <c r="PTQ211" s="442"/>
      <c r="PTR211" s="442"/>
      <c r="PTS211" s="443"/>
      <c r="PTT211" s="442"/>
      <c r="PTU211" s="442"/>
      <c r="PTV211" s="2"/>
      <c r="PTW211" s="2"/>
      <c r="PTX211" s="2"/>
      <c r="PTY211" s="2"/>
      <c r="PTZ211" s="260"/>
      <c r="PUA211" s="260"/>
      <c r="PUB211" s="260"/>
      <c r="PUC211" s="260"/>
      <c r="PUD211" s="260"/>
      <c r="PUE211" s="260"/>
      <c r="PUF211" s="308"/>
      <c r="PUG211" s="290"/>
      <c r="PUH211" s="290"/>
      <c r="PUI211" s="260"/>
      <c r="PUJ211" s="260"/>
      <c r="PUK211" s="260"/>
      <c r="PUL211" s="260"/>
      <c r="PUM211" s="260"/>
      <c r="PUN211" s="2"/>
      <c r="PUO211" s="2"/>
      <c r="PUP211" s="2"/>
      <c r="PUQ211" s="2"/>
      <c r="PUR211" s="2"/>
      <c r="PUS211" s="2"/>
      <c r="PUT211" s="260"/>
      <c r="PUU211" s="2"/>
      <c r="PUV211" s="2"/>
      <c r="PUW211" s="2"/>
      <c r="PUX211" s="2"/>
      <c r="PUY211" s="2"/>
      <c r="PUZ211" s="2"/>
      <c r="PVA211" s="2"/>
      <c r="PVB211" s="260"/>
      <c r="PVC211" s="260"/>
      <c r="PVD211" s="260"/>
      <c r="PVE211" s="380"/>
      <c r="PVF211" s="380"/>
      <c r="PVG211" s="380"/>
      <c r="PVH211" s="2"/>
      <c r="PVI211" s="442"/>
      <c r="PVJ211" s="442"/>
      <c r="PVK211" s="443"/>
      <c r="PVL211" s="442"/>
      <c r="PVM211" s="442"/>
      <c r="PVN211" s="2"/>
      <c r="PVO211" s="2"/>
      <c r="PVP211" s="2"/>
      <c r="PVQ211" s="2"/>
      <c r="PVR211" s="260"/>
      <c r="PVS211" s="260"/>
      <c r="PVT211" s="260"/>
      <c r="PVU211" s="260"/>
      <c r="PVV211" s="260"/>
      <c r="PVW211" s="260"/>
      <c r="PVX211" s="308"/>
      <c r="PVY211" s="290"/>
      <c r="PVZ211" s="290"/>
      <c r="PWA211" s="260"/>
      <c r="PWB211" s="260"/>
      <c r="PWC211" s="260"/>
      <c r="PWD211" s="260"/>
      <c r="PWE211" s="260"/>
      <c r="PWF211" s="2"/>
      <c r="PWG211" s="2"/>
      <c r="PWH211" s="2"/>
      <c r="PWI211" s="2"/>
      <c r="PWJ211" s="2"/>
      <c r="PWK211" s="2"/>
      <c r="PWL211" s="260"/>
      <c r="PWM211" s="2"/>
      <c r="PWN211" s="2"/>
      <c r="PWO211" s="2"/>
      <c r="PWP211" s="2"/>
      <c r="PWQ211" s="2"/>
      <c r="PWR211" s="2"/>
      <c r="PWS211" s="2"/>
      <c r="PWT211" s="260"/>
      <c r="PWU211" s="260"/>
      <c r="PWV211" s="260"/>
      <c r="PWW211" s="380"/>
      <c r="PWX211" s="380"/>
      <c r="PWY211" s="380"/>
      <c r="PWZ211" s="2"/>
      <c r="PXA211" s="442"/>
      <c r="PXB211" s="442"/>
      <c r="PXC211" s="443"/>
      <c r="PXD211" s="442"/>
      <c r="PXE211" s="442"/>
      <c r="PXF211" s="2"/>
      <c r="PXG211" s="2"/>
      <c r="PXH211" s="2"/>
      <c r="PXI211" s="2"/>
      <c r="PXJ211" s="260"/>
      <c r="PXK211" s="260"/>
      <c r="PXL211" s="260"/>
      <c r="PXM211" s="260"/>
      <c r="PXN211" s="260"/>
      <c r="PXO211" s="260"/>
      <c r="PXP211" s="308"/>
      <c r="PXQ211" s="290"/>
      <c r="PXR211" s="290"/>
      <c r="PXS211" s="260"/>
      <c r="PXT211" s="260"/>
      <c r="PXU211" s="260"/>
      <c r="PXV211" s="260"/>
      <c r="PXW211" s="260"/>
      <c r="PXX211" s="2"/>
      <c r="PXY211" s="2"/>
      <c r="PXZ211" s="2"/>
      <c r="PYA211" s="2"/>
      <c r="PYB211" s="2"/>
      <c r="PYC211" s="2"/>
      <c r="PYD211" s="260"/>
      <c r="PYE211" s="2"/>
      <c r="PYF211" s="2"/>
      <c r="PYG211" s="2"/>
      <c r="PYH211" s="2"/>
      <c r="PYI211" s="2"/>
      <c r="PYJ211" s="2"/>
      <c r="PYK211" s="2"/>
      <c r="PYL211" s="260"/>
      <c r="PYM211" s="260"/>
      <c r="PYN211" s="260"/>
      <c r="PYO211" s="380"/>
      <c r="PYP211" s="380"/>
      <c r="PYQ211" s="380"/>
      <c r="PYR211" s="2"/>
      <c r="PYS211" s="442"/>
      <c r="PYT211" s="442"/>
      <c r="PYU211" s="443"/>
      <c r="PYV211" s="442"/>
      <c r="PYW211" s="442"/>
      <c r="PYX211" s="2"/>
      <c r="PYY211" s="2"/>
      <c r="PYZ211" s="2"/>
      <c r="PZA211" s="2"/>
      <c r="PZB211" s="260"/>
      <c r="PZC211" s="260"/>
      <c r="PZD211" s="260"/>
      <c r="PZE211" s="260"/>
      <c r="PZF211" s="260"/>
      <c r="PZG211" s="260"/>
      <c r="PZH211" s="308"/>
      <c r="PZI211" s="290"/>
      <c r="PZJ211" s="290"/>
      <c r="PZK211" s="260"/>
      <c r="PZL211" s="260"/>
      <c r="PZM211" s="260"/>
      <c r="PZN211" s="260"/>
      <c r="PZO211" s="260"/>
      <c r="PZP211" s="2"/>
      <c r="PZQ211" s="2"/>
      <c r="PZR211" s="2"/>
      <c r="PZS211" s="2"/>
      <c r="PZT211" s="2"/>
      <c r="PZU211" s="2"/>
      <c r="PZV211" s="260"/>
      <c r="PZW211" s="2"/>
      <c r="PZX211" s="2"/>
      <c r="PZY211" s="2"/>
      <c r="PZZ211" s="2"/>
      <c r="QAA211" s="2"/>
      <c r="QAB211" s="2"/>
      <c r="QAC211" s="2"/>
      <c r="QAD211" s="260"/>
      <c r="QAE211" s="260"/>
      <c r="QAF211" s="260"/>
      <c r="QAG211" s="380"/>
      <c r="QAH211" s="380"/>
      <c r="QAI211" s="380"/>
      <c r="QAJ211" s="2"/>
      <c r="QAK211" s="442"/>
      <c r="QAL211" s="442"/>
      <c r="QAM211" s="443"/>
      <c r="QAN211" s="442"/>
      <c r="QAO211" s="442"/>
      <c r="QAP211" s="2"/>
      <c r="QAQ211" s="2"/>
      <c r="QAR211" s="2"/>
      <c r="QAS211" s="2"/>
      <c r="QAT211" s="260"/>
      <c r="QAU211" s="260"/>
      <c r="QAV211" s="260"/>
      <c r="QAW211" s="260"/>
      <c r="QAX211" s="260"/>
      <c r="QAY211" s="260"/>
      <c r="QAZ211" s="308"/>
      <c r="QBA211" s="290"/>
      <c r="QBB211" s="290"/>
      <c r="QBC211" s="260"/>
      <c r="QBD211" s="260"/>
      <c r="QBE211" s="260"/>
      <c r="QBF211" s="260"/>
      <c r="QBG211" s="260"/>
      <c r="QBH211" s="2"/>
      <c r="QBI211" s="2"/>
      <c r="QBJ211" s="2"/>
      <c r="QBK211" s="2"/>
      <c r="QBL211" s="2"/>
      <c r="QBM211" s="2"/>
      <c r="QBN211" s="260"/>
      <c r="QBO211" s="2"/>
      <c r="QBP211" s="2"/>
      <c r="QBQ211" s="2"/>
      <c r="QBR211" s="2"/>
      <c r="QBS211" s="2"/>
      <c r="QBT211" s="2"/>
      <c r="QBU211" s="2"/>
      <c r="QBV211" s="260"/>
      <c r="QBW211" s="260"/>
      <c r="QBX211" s="260"/>
      <c r="QBY211" s="380"/>
      <c r="QBZ211" s="380"/>
      <c r="QCA211" s="380"/>
      <c r="QCB211" s="2"/>
      <c r="QCC211" s="442"/>
      <c r="QCD211" s="442"/>
      <c r="QCE211" s="443"/>
      <c r="QCF211" s="442"/>
      <c r="QCG211" s="442"/>
      <c r="QCH211" s="2"/>
      <c r="QCI211" s="2"/>
      <c r="QCJ211" s="2"/>
      <c r="QCK211" s="2"/>
      <c r="QCL211" s="260"/>
      <c r="QCM211" s="260"/>
      <c r="QCN211" s="260"/>
      <c r="QCO211" s="260"/>
      <c r="QCP211" s="260"/>
      <c r="QCQ211" s="260"/>
      <c r="QCR211" s="308"/>
      <c r="QCS211" s="290"/>
      <c r="QCT211" s="290"/>
      <c r="QCU211" s="260"/>
      <c r="QCV211" s="260"/>
      <c r="QCW211" s="260"/>
      <c r="QCX211" s="260"/>
      <c r="QCY211" s="260"/>
      <c r="QCZ211" s="2"/>
      <c r="QDA211" s="2"/>
      <c r="QDB211" s="2"/>
      <c r="QDC211" s="2"/>
      <c r="QDD211" s="2"/>
      <c r="QDE211" s="2"/>
      <c r="QDF211" s="260"/>
      <c r="QDG211" s="2"/>
      <c r="QDH211" s="2"/>
      <c r="QDI211" s="2"/>
      <c r="QDJ211" s="2"/>
      <c r="QDK211" s="2"/>
      <c r="QDL211" s="2"/>
      <c r="QDM211" s="2"/>
      <c r="QDN211" s="260"/>
      <c r="QDO211" s="260"/>
      <c r="QDP211" s="260"/>
      <c r="QDQ211" s="380"/>
      <c r="QDR211" s="380"/>
      <c r="QDS211" s="380"/>
      <c r="QDT211" s="2"/>
      <c r="QDU211" s="442"/>
      <c r="QDV211" s="442"/>
      <c r="QDW211" s="443"/>
      <c r="QDX211" s="442"/>
      <c r="QDY211" s="442"/>
      <c r="QDZ211" s="2"/>
      <c r="QEA211" s="2"/>
      <c r="QEB211" s="2"/>
      <c r="QEC211" s="2"/>
      <c r="QED211" s="260"/>
      <c r="QEE211" s="260"/>
      <c r="QEF211" s="260"/>
      <c r="QEG211" s="260"/>
      <c r="QEH211" s="260"/>
      <c r="QEI211" s="260"/>
      <c r="QEJ211" s="308"/>
      <c r="QEK211" s="290"/>
      <c r="QEL211" s="290"/>
      <c r="QEM211" s="260"/>
      <c r="QEN211" s="260"/>
      <c r="QEO211" s="260"/>
      <c r="QEP211" s="260"/>
      <c r="QEQ211" s="260"/>
      <c r="QER211" s="2"/>
      <c r="QES211" s="2"/>
      <c r="QET211" s="2"/>
      <c r="QEU211" s="2"/>
      <c r="QEV211" s="2"/>
      <c r="QEW211" s="2"/>
      <c r="QEX211" s="260"/>
      <c r="QEY211" s="2"/>
      <c r="QEZ211" s="2"/>
      <c r="QFA211" s="2"/>
      <c r="QFB211" s="2"/>
      <c r="QFC211" s="2"/>
      <c r="QFD211" s="2"/>
      <c r="QFE211" s="2"/>
      <c r="QFF211" s="260"/>
      <c r="QFG211" s="260"/>
      <c r="QFH211" s="260"/>
      <c r="QFI211" s="380"/>
      <c r="QFJ211" s="380"/>
      <c r="QFK211" s="380"/>
      <c r="QFL211" s="2"/>
      <c r="QFM211" s="442"/>
      <c r="QFN211" s="442"/>
      <c r="QFO211" s="443"/>
      <c r="QFP211" s="442"/>
      <c r="QFQ211" s="442"/>
      <c r="QFR211" s="2"/>
      <c r="QFS211" s="2"/>
      <c r="QFT211" s="2"/>
      <c r="QFU211" s="2"/>
      <c r="QFV211" s="260"/>
      <c r="QFW211" s="260"/>
      <c r="QFX211" s="260"/>
      <c r="QFY211" s="260"/>
      <c r="QFZ211" s="260"/>
      <c r="QGA211" s="260"/>
      <c r="QGB211" s="308"/>
      <c r="QGC211" s="290"/>
      <c r="QGD211" s="290"/>
      <c r="QGE211" s="260"/>
      <c r="QGF211" s="260"/>
      <c r="QGG211" s="260"/>
      <c r="QGH211" s="260"/>
      <c r="QGI211" s="260"/>
      <c r="QGJ211" s="2"/>
      <c r="QGK211" s="2"/>
      <c r="QGL211" s="2"/>
      <c r="QGM211" s="2"/>
      <c r="QGN211" s="2"/>
      <c r="QGO211" s="2"/>
      <c r="QGP211" s="260"/>
      <c r="QGQ211" s="2"/>
      <c r="QGR211" s="2"/>
      <c r="QGS211" s="2"/>
      <c r="QGT211" s="2"/>
      <c r="QGU211" s="2"/>
      <c r="QGV211" s="2"/>
      <c r="QGW211" s="2"/>
      <c r="QGX211" s="260"/>
      <c r="QGY211" s="260"/>
      <c r="QGZ211" s="260"/>
      <c r="QHA211" s="380"/>
      <c r="QHB211" s="380"/>
      <c r="QHC211" s="380"/>
      <c r="QHD211" s="2"/>
      <c r="QHE211" s="442"/>
      <c r="QHF211" s="442"/>
      <c r="QHG211" s="443"/>
      <c r="QHH211" s="442"/>
      <c r="QHI211" s="442"/>
      <c r="QHJ211" s="2"/>
      <c r="QHK211" s="2"/>
      <c r="QHL211" s="2"/>
      <c r="QHM211" s="2"/>
      <c r="QHN211" s="260"/>
      <c r="QHO211" s="260"/>
      <c r="QHP211" s="260"/>
      <c r="QHQ211" s="260"/>
      <c r="QHR211" s="260"/>
      <c r="QHS211" s="260"/>
      <c r="QHT211" s="308"/>
      <c r="QHU211" s="290"/>
      <c r="QHV211" s="290"/>
      <c r="QHW211" s="260"/>
      <c r="QHX211" s="260"/>
      <c r="QHY211" s="260"/>
      <c r="QHZ211" s="260"/>
      <c r="QIA211" s="260"/>
      <c r="QIB211" s="2"/>
      <c r="QIC211" s="2"/>
      <c r="QID211" s="2"/>
      <c r="QIE211" s="2"/>
      <c r="QIF211" s="2"/>
      <c r="QIG211" s="2"/>
      <c r="QIH211" s="260"/>
      <c r="QII211" s="2"/>
      <c r="QIJ211" s="2"/>
      <c r="QIK211" s="2"/>
      <c r="QIL211" s="2"/>
      <c r="QIM211" s="2"/>
      <c r="QIN211" s="2"/>
      <c r="QIO211" s="2"/>
      <c r="QIP211" s="260"/>
      <c r="QIQ211" s="260"/>
      <c r="QIR211" s="260"/>
      <c r="QIS211" s="380"/>
      <c r="QIT211" s="380"/>
      <c r="QIU211" s="380"/>
      <c r="QIV211" s="2"/>
      <c r="QIW211" s="442"/>
      <c r="QIX211" s="442"/>
      <c r="QIY211" s="443"/>
      <c r="QIZ211" s="442"/>
      <c r="QJA211" s="442"/>
      <c r="QJB211" s="2"/>
      <c r="QJC211" s="2"/>
      <c r="QJD211" s="2"/>
      <c r="QJE211" s="2"/>
      <c r="QJF211" s="260"/>
      <c r="QJG211" s="260"/>
      <c r="QJH211" s="260"/>
      <c r="QJI211" s="260"/>
      <c r="QJJ211" s="260"/>
      <c r="QJK211" s="260"/>
      <c r="QJL211" s="308"/>
      <c r="QJM211" s="290"/>
      <c r="QJN211" s="290"/>
      <c r="QJO211" s="260"/>
      <c r="QJP211" s="260"/>
      <c r="QJQ211" s="260"/>
      <c r="QJR211" s="260"/>
      <c r="QJS211" s="260"/>
      <c r="QJT211" s="2"/>
      <c r="QJU211" s="2"/>
      <c r="QJV211" s="2"/>
      <c r="QJW211" s="2"/>
      <c r="QJX211" s="2"/>
      <c r="QJY211" s="2"/>
      <c r="QJZ211" s="260"/>
      <c r="QKA211" s="2"/>
      <c r="QKB211" s="2"/>
      <c r="QKC211" s="2"/>
      <c r="QKD211" s="2"/>
      <c r="QKE211" s="2"/>
      <c r="QKF211" s="2"/>
      <c r="QKG211" s="2"/>
      <c r="QKH211" s="260"/>
      <c r="QKI211" s="260"/>
      <c r="QKJ211" s="260"/>
      <c r="QKK211" s="380"/>
      <c r="QKL211" s="380"/>
      <c r="QKM211" s="380"/>
      <c r="QKN211" s="2"/>
      <c r="QKO211" s="442"/>
      <c r="QKP211" s="442"/>
      <c r="QKQ211" s="443"/>
      <c r="QKR211" s="442"/>
      <c r="QKS211" s="442"/>
      <c r="QKT211" s="2"/>
      <c r="QKU211" s="2"/>
      <c r="QKV211" s="2"/>
      <c r="QKW211" s="2"/>
      <c r="QKX211" s="260"/>
      <c r="QKY211" s="260"/>
      <c r="QKZ211" s="260"/>
      <c r="QLA211" s="260"/>
      <c r="QLB211" s="260"/>
      <c r="QLC211" s="260"/>
      <c r="QLD211" s="308"/>
      <c r="QLE211" s="290"/>
      <c r="QLF211" s="290"/>
      <c r="QLG211" s="260"/>
      <c r="QLH211" s="260"/>
      <c r="QLI211" s="260"/>
      <c r="QLJ211" s="260"/>
      <c r="QLK211" s="260"/>
      <c r="QLL211" s="2"/>
      <c r="QLM211" s="2"/>
      <c r="QLN211" s="2"/>
      <c r="QLO211" s="2"/>
      <c r="QLP211" s="2"/>
      <c r="QLQ211" s="2"/>
      <c r="QLR211" s="260"/>
      <c r="QLS211" s="2"/>
      <c r="QLT211" s="2"/>
      <c r="QLU211" s="2"/>
      <c r="QLV211" s="2"/>
      <c r="QLW211" s="2"/>
      <c r="QLX211" s="2"/>
      <c r="QLY211" s="2"/>
      <c r="QLZ211" s="260"/>
      <c r="QMA211" s="260"/>
      <c r="QMB211" s="260"/>
      <c r="QMC211" s="380"/>
      <c r="QMD211" s="380"/>
      <c r="QME211" s="380"/>
      <c r="QMF211" s="2"/>
      <c r="QMG211" s="442"/>
      <c r="QMH211" s="442"/>
      <c r="QMI211" s="443"/>
      <c r="QMJ211" s="442"/>
      <c r="QMK211" s="442"/>
      <c r="QML211" s="2"/>
      <c r="QMM211" s="2"/>
      <c r="QMN211" s="2"/>
      <c r="QMO211" s="2"/>
      <c r="QMP211" s="260"/>
      <c r="QMQ211" s="260"/>
      <c r="QMR211" s="260"/>
      <c r="QMS211" s="260"/>
      <c r="QMT211" s="260"/>
      <c r="QMU211" s="260"/>
      <c r="QMV211" s="308"/>
      <c r="QMW211" s="290"/>
      <c r="QMX211" s="290"/>
      <c r="QMY211" s="260"/>
      <c r="QMZ211" s="260"/>
      <c r="QNA211" s="260"/>
      <c r="QNB211" s="260"/>
      <c r="QNC211" s="260"/>
      <c r="QND211" s="2"/>
      <c r="QNE211" s="2"/>
      <c r="QNF211" s="2"/>
      <c r="QNG211" s="2"/>
      <c r="QNH211" s="2"/>
      <c r="QNI211" s="2"/>
      <c r="QNJ211" s="260"/>
      <c r="QNK211" s="2"/>
      <c r="QNL211" s="2"/>
      <c r="QNM211" s="2"/>
      <c r="QNN211" s="2"/>
      <c r="QNO211" s="2"/>
      <c r="QNP211" s="2"/>
      <c r="QNQ211" s="2"/>
      <c r="QNR211" s="260"/>
      <c r="QNS211" s="260"/>
      <c r="QNT211" s="260"/>
      <c r="QNU211" s="380"/>
      <c r="QNV211" s="380"/>
      <c r="QNW211" s="380"/>
      <c r="QNX211" s="2"/>
      <c r="QNY211" s="442"/>
      <c r="QNZ211" s="442"/>
      <c r="QOA211" s="443"/>
      <c r="QOB211" s="442"/>
      <c r="QOC211" s="442"/>
      <c r="QOD211" s="2"/>
      <c r="QOE211" s="2"/>
      <c r="QOF211" s="2"/>
      <c r="QOG211" s="2"/>
      <c r="QOH211" s="260"/>
      <c r="QOI211" s="260"/>
      <c r="QOJ211" s="260"/>
      <c r="QOK211" s="260"/>
      <c r="QOL211" s="260"/>
      <c r="QOM211" s="260"/>
      <c r="QON211" s="308"/>
      <c r="QOO211" s="290"/>
      <c r="QOP211" s="290"/>
      <c r="QOQ211" s="260"/>
      <c r="QOR211" s="260"/>
      <c r="QOS211" s="260"/>
      <c r="QOT211" s="260"/>
      <c r="QOU211" s="260"/>
      <c r="QOV211" s="2"/>
      <c r="QOW211" s="2"/>
      <c r="QOX211" s="2"/>
      <c r="QOY211" s="2"/>
      <c r="QOZ211" s="2"/>
      <c r="QPA211" s="2"/>
      <c r="QPB211" s="260"/>
      <c r="QPC211" s="2"/>
      <c r="QPD211" s="2"/>
      <c r="QPE211" s="2"/>
      <c r="QPF211" s="2"/>
      <c r="QPG211" s="2"/>
      <c r="QPH211" s="2"/>
      <c r="QPI211" s="2"/>
      <c r="QPJ211" s="260"/>
      <c r="QPK211" s="260"/>
      <c r="QPL211" s="260"/>
      <c r="QPM211" s="380"/>
      <c r="QPN211" s="380"/>
      <c r="QPO211" s="380"/>
      <c r="QPP211" s="2"/>
      <c r="QPQ211" s="442"/>
      <c r="QPR211" s="442"/>
      <c r="QPS211" s="443"/>
      <c r="QPT211" s="442"/>
      <c r="QPU211" s="442"/>
      <c r="QPV211" s="2"/>
      <c r="QPW211" s="2"/>
      <c r="QPX211" s="2"/>
      <c r="QPY211" s="2"/>
      <c r="QPZ211" s="260"/>
      <c r="QQA211" s="260"/>
      <c r="QQB211" s="260"/>
      <c r="QQC211" s="260"/>
      <c r="QQD211" s="260"/>
      <c r="QQE211" s="260"/>
      <c r="QQF211" s="308"/>
      <c r="QQG211" s="290"/>
      <c r="QQH211" s="290"/>
      <c r="QQI211" s="260"/>
      <c r="QQJ211" s="260"/>
      <c r="QQK211" s="260"/>
      <c r="QQL211" s="260"/>
      <c r="QQM211" s="260"/>
      <c r="QQN211" s="2"/>
      <c r="QQO211" s="2"/>
      <c r="QQP211" s="2"/>
      <c r="QQQ211" s="2"/>
      <c r="QQR211" s="2"/>
      <c r="QQS211" s="2"/>
      <c r="QQT211" s="260"/>
      <c r="QQU211" s="2"/>
      <c r="QQV211" s="2"/>
      <c r="QQW211" s="2"/>
      <c r="QQX211" s="2"/>
      <c r="QQY211" s="2"/>
      <c r="QQZ211" s="2"/>
      <c r="QRA211" s="2"/>
      <c r="QRB211" s="260"/>
      <c r="QRC211" s="260"/>
      <c r="QRD211" s="260"/>
      <c r="QRE211" s="380"/>
      <c r="QRF211" s="380"/>
      <c r="QRG211" s="380"/>
      <c r="QRH211" s="2"/>
      <c r="QRI211" s="442"/>
      <c r="QRJ211" s="442"/>
      <c r="QRK211" s="443"/>
      <c r="QRL211" s="442"/>
      <c r="QRM211" s="442"/>
      <c r="QRN211" s="2"/>
      <c r="QRO211" s="2"/>
      <c r="QRP211" s="2"/>
      <c r="QRQ211" s="2"/>
      <c r="QRR211" s="260"/>
      <c r="QRS211" s="260"/>
      <c r="QRT211" s="260"/>
      <c r="QRU211" s="260"/>
      <c r="QRV211" s="260"/>
      <c r="QRW211" s="260"/>
      <c r="QRX211" s="308"/>
      <c r="QRY211" s="290"/>
      <c r="QRZ211" s="290"/>
      <c r="QSA211" s="260"/>
      <c r="QSB211" s="260"/>
      <c r="QSC211" s="260"/>
      <c r="QSD211" s="260"/>
      <c r="QSE211" s="260"/>
      <c r="QSF211" s="2"/>
      <c r="QSG211" s="2"/>
      <c r="QSH211" s="2"/>
      <c r="QSI211" s="2"/>
      <c r="QSJ211" s="2"/>
      <c r="QSK211" s="2"/>
      <c r="QSL211" s="260"/>
      <c r="QSM211" s="2"/>
      <c r="QSN211" s="2"/>
      <c r="QSO211" s="2"/>
      <c r="QSP211" s="2"/>
      <c r="QSQ211" s="2"/>
      <c r="QSR211" s="2"/>
      <c r="QSS211" s="2"/>
      <c r="QST211" s="260"/>
      <c r="QSU211" s="260"/>
      <c r="QSV211" s="260"/>
      <c r="QSW211" s="380"/>
      <c r="QSX211" s="380"/>
      <c r="QSY211" s="380"/>
      <c r="QSZ211" s="2"/>
      <c r="QTA211" s="442"/>
      <c r="QTB211" s="442"/>
      <c r="QTC211" s="443"/>
      <c r="QTD211" s="442"/>
      <c r="QTE211" s="442"/>
      <c r="QTF211" s="2"/>
      <c r="QTG211" s="2"/>
      <c r="QTH211" s="2"/>
      <c r="QTI211" s="2"/>
      <c r="QTJ211" s="260"/>
      <c r="QTK211" s="260"/>
      <c r="QTL211" s="260"/>
      <c r="QTM211" s="260"/>
      <c r="QTN211" s="260"/>
      <c r="QTO211" s="260"/>
      <c r="QTP211" s="308"/>
      <c r="QTQ211" s="290"/>
      <c r="QTR211" s="290"/>
      <c r="QTS211" s="260"/>
      <c r="QTT211" s="260"/>
      <c r="QTU211" s="260"/>
      <c r="QTV211" s="260"/>
      <c r="QTW211" s="260"/>
      <c r="QTX211" s="2"/>
      <c r="QTY211" s="2"/>
      <c r="QTZ211" s="2"/>
      <c r="QUA211" s="2"/>
      <c r="QUB211" s="2"/>
      <c r="QUC211" s="2"/>
      <c r="QUD211" s="260"/>
      <c r="QUE211" s="2"/>
      <c r="QUF211" s="2"/>
      <c r="QUG211" s="2"/>
      <c r="QUH211" s="2"/>
      <c r="QUI211" s="2"/>
      <c r="QUJ211" s="2"/>
      <c r="QUK211" s="2"/>
      <c r="QUL211" s="260"/>
      <c r="QUM211" s="260"/>
      <c r="QUN211" s="260"/>
      <c r="QUO211" s="380"/>
      <c r="QUP211" s="380"/>
      <c r="QUQ211" s="380"/>
      <c r="QUR211" s="2"/>
      <c r="QUS211" s="442"/>
      <c r="QUT211" s="442"/>
      <c r="QUU211" s="443"/>
      <c r="QUV211" s="442"/>
      <c r="QUW211" s="442"/>
      <c r="QUX211" s="2"/>
      <c r="QUY211" s="2"/>
      <c r="QUZ211" s="2"/>
      <c r="QVA211" s="2"/>
      <c r="QVB211" s="260"/>
      <c r="QVC211" s="260"/>
      <c r="QVD211" s="260"/>
      <c r="QVE211" s="260"/>
      <c r="QVF211" s="260"/>
      <c r="QVG211" s="260"/>
      <c r="QVH211" s="308"/>
      <c r="QVI211" s="290"/>
      <c r="QVJ211" s="290"/>
      <c r="QVK211" s="260"/>
      <c r="QVL211" s="260"/>
      <c r="QVM211" s="260"/>
      <c r="QVN211" s="260"/>
      <c r="QVO211" s="260"/>
      <c r="QVP211" s="2"/>
      <c r="QVQ211" s="2"/>
      <c r="QVR211" s="2"/>
      <c r="QVS211" s="2"/>
      <c r="QVT211" s="2"/>
      <c r="QVU211" s="2"/>
      <c r="QVV211" s="260"/>
      <c r="QVW211" s="2"/>
      <c r="QVX211" s="2"/>
      <c r="QVY211" s="2"/>
      <c r="QVZ211" s="2"/>
      <c r="QWA211" s="2"/>
      <c r="QWB211" s="2"/>
      <c r="QWC211" s="2"/>
      <c r="QWD211" s="260"/>
      <c r="QWE211" s="260"/>
      <c r="QWF211" s="260"/>
      <c r="QWG211" s="380"/>
      <c r="QWH211" s="380"/>
      <c r="QWI211" s="380"/>
      <c r="QWJ211" s="2"/>
      <c r="QWK211" s="442"/>
      <c r="QWL211" s="442"/>
      <c r="QWM211" s="443"/>
      <c r="QWN211" s="442"/>
      <c r="QWO211" s="442"/>
      <c r="QWP211" s="2"/>
      <c r="QWQ211" s="2"/>
      <c r="QWR211" s="2"/>
      <c r="QWS211" s="2"/>
      <c r="QWT211" s="260"/>
      <c r="QWU211" s="260"/>
      <c r="QWV211" s="260"/>
      <c r="QWW211" s="260"/>
      <c r="QWX211" s="260"/>
      <c r="QWY211" s="260"/>
      <c r="QWZ211" s="308"/>
      <c r="QXA211" s="290"/>
      <c r="QXB211" s="290"/>
      <c r="QXC211" s="260"/>
      <c r="QXD211" s="260"/>
      <c r="QXE211" s="260"/>
      <c r="QXF211" s="260"/>
      <c r="QXG211" s="260"/>
      <c r="QXH211" s="2"/>
      <c r="QXI211" s="2"/>
      <c r="QXJ211" s="2"/>
      <c r="QXK211" s="2"/>
      <c r="QXL211" s="2"/>
      <c r="QXM211" s="2"/>
      <c r="QXN211" s="260"/>
      <c r="QXO211" s="2"/>
      <c r="QXP211" s="2"/>
      <c r="QXQ211" s="2"/>
      <c r="QXR211" s="2"/>
      <c r="QXS211" s="2"/>
      <c r="QXT211" s="2"/>
      <c r="QXU211" s="2"/>
      <c r="QXV211" s="260"/>
      <c r="QXW211" s="260"/>
      <c r="QXX211" s="260"/>
      <c r="QXY211" s="380"/>
      <c r="QXZ211" s="380"/>
      <c r="QYA211" s="380"/>
      <c r="QYB211" s="2"/>
      <c r="QYC211" s="442"/>
      <c r="QYD211" s="442"/>
      <c r="QYE211" s="443"/>
      <c r="QYF211" s="442"/>
      <c r="QYG211" s="442"/>
      <c r="QYH211" s="2"/>
      <c r="QYI211" s="2"/>
      <c r="QYJ211" s="2"/>
      <c r="QYK211" s="2"/>
      <c r="QYL211" s="260"/>
      <c r="QYM211" s="260"/>
      <c r="QYN211" s="260"/>
      <c r="QYO211" s="260"/>
      <c r="QYP211" s="260"/>
      <c r="QYQ211" s="260"/>
      <c r="QYR211" s="308"/>
      <c r="QYS211" s="290"/>
      <c r="QYT211" s="290"/>
      <c r="QYU211" s="260"/>
      <c r="QYV211" s="260"/>
      <c r="QYW211" s="260"/>
      <c r="QYX211" s="260"/>
      <c r="QYY211" s="260"/>
      <c r="QYZ211" s="2"/>
      <c r="QZA211" s="2"/>
      <c r="QZB211" s="2"/>
      <c r="QZC211" s="2"/>
      <c r="QZD211" s="2"/>
      <c r="QZE211" s="2"/>
      <c r="QZF211" s="260"/>
      <c r="QZG211" s="2"/>
      <c r="QZH211" s="2"/>
      <c r="QZI211" s="2"/>
      <c r="QZJ211" s="2"/>
      <c r="QZK211" s="2"/>
      <c r="QZL211" s="2"/>
      <c r="QZM211" s="2"/>
      <c r="QZN211" s="260"/>
      <c r="QZO211" s="260"/>
      <c r="QZP211" s="260"/>
      <c r="QZQ211" s="380"/>
      <c r="QZR211" s="380"/>
      <c r="QZS211" s="380"/>
      <c r="QZT211" s="2"/>
      <c r="QZU211" s="442"/>
      <c r="QZV211" s="442"/>
      <c r="QZW211" s="443"/>
      <c r="QZX211" s="442"/>
      <c r="QZY211" s="442"/>
      <c r="QZZ211" s="2"/>
      <c r="RAA211" s="2"/>
      <c r="RAB211" s="2"/>
      <c r="RAC211" s="2"/>
      <c r="RAD211" s="260"/>
      <c r="RAE211" s="260"/>
      <c r="RAF211" s="260"/>
      <c r="RAG211" s="260"/>
      <c r="RAH211" s="260"/>
      <c r="RAI211" s="260"/>
      <c r="RAJ211" s="308"/>
      <c r="RAK211" s="290"/>
      <c r="RAL211" s="290"/>
      <c r="RAM211" s="260"/>
      <c r="RAN211" s="260"/>
      <c r="RAO211" s="260"/>
      <c r="RAP211" s="260"/>
      <c r="RAQ211" s="260"/>
      <c r="RAR211" s="2"/>
      <c r="RAS211" s="2"/>
      <c r="RAT211" s="2"/>
      <c r="RAU211" s="2"/>
      <c r="RAV211" s="2"/>
      <c r="RAW211" s="2"/>
      <c r="RAX211" s="260"/>
      <c r="RAY211" s="2"/>
      <c r="RAZ211" s="2"/>
      <c r="RBA211" s="2"/>
      <c r="RBB211" s="2"/>
      <c r="RBC211" s="2"/>
      <c r="RBD211" s="2"/>
      <c r="RBE211" s="2"/>
      <c r="RBF211" s="260"/>
      <c r="RBG211" s="260"/>
      <c r="RBH211" s="260"/>
      <c r="RBI211" s="380"/>
      <c r="RBJ211" s="380"/>
      <c r="RBK211" s="380"/>
      <c r="RBL211" s="2"/>
      <c r="RBM211" s="442"/>
      <c r="RBN211" s="442"/>
      <c r="RBO211" s="443"/>
      <c r="RBP211" s="442"/>
      <c r="RBQ211" s="442"/>
      <c r="RBR211" s="2"/>
      <c r="RBS211" s="2"/>
      <c r="RBT211" s="2"/>
      <c r="RBU211" s="2"/>
      <c r="RBV211" s="260"/>
      <c r="RBW211" s="260"/>
      <c r="RBX211" s="260"/>
      <c r="RBY211" s="260"/>
      <c r="RBZ211" s="260"/>
      <c r="RCA211" s="260"/>
      <c r="RCB211" s="308"/>
      <c r="RCC211" s="290"/>
      <c r="RCD211" s="290"/>
      <c r="RCE211" s="260"/>
      <c r="RCF211" s="260"/>
      <c r="RCG211" s="260"/>
      <c r="RCH211" s="260"/>
      <c r="RCI211" s="260"/>
      <c r="RCJ211" s="2"/>
      <c r="RCK211" s="2"/>
      <c r="RCL211" s="2"/>
      <c r="RCM211" s="2"/>
      <c r="RCN211" s="2"/>
      <c r="RCO211" s="2"/>
      <c r="RCP211" s="260"/>
      <c r="RCQ211" s="2"/>
      <c r="RCR211" s="2"/>
      <c r="RCS211" s="2"/>
      <c r="RCT211" s="2"/>
      <c r="RCU211" s="2"/>
      <c r="RCV211" s="2"/>
      <c r="RCW211" s="2"/>
      <c r="RCX211" s="260"/>
      <c r="RCY211" s="260"/>
      <c r="RCZ211" s="260"/>
      <c r="RDA211" s="380"/>
      <c r="RDB211" s="380"/>
      <c r="RDC211" s="380"/>
      <c r="RDD211" s="2"/>
      <c r="RDE211" s="442"/>
      <c r="RDF211" s="442"/>
      <c r="RDG211" s="443"/>
      <c r="RDH211" s="442"/>
      <c r="RDI211" s="442"/>
      <c r="RDJ211" s="2"/>
      <c r="RDK211" s="2"/>
      <c r="RDL211" s="2"/>
      <c r="RDM211" s="2"/>
      <c r="RDN211" s="260"/>
      <c r="RDO211" s="260"/>
      <c r="RDP211" s="260"/>
      <c r="RDQ211" s="260"/>
      <c r="RDR211" s="260"/>
      <c r="RDS211" s="260"/>
      <c r="RDT211" s="308"/>
      <c r="RDU211" s="290"/>
      <c r="RDV211" s="290"/>
      <c r="RDW211" s="260"/>
      <c r="RDX211" s="260"/>
      <c r="RDY211" s="260"/>
      <c r="RDZ211" s="260"/>
      <c r="REA211" s="260"/>
      <c r="REB211" s="2"/>
      <c r="REC211" s="2"/>
      <c r="RED211" s="2"/>
      <c r="REE211" s="2"/>
      <c r="REF211" s="2"/>
      <c r="REG211" s="2"/>
      <c r="REH211" s="260"/>
      <c r="REI211" s="2"/>
      <c r="REJ211" s="2"/>
      <c r="REK211" s="2"/>
      <c r="REL211" s="2"/>
      <c r="REM211" s="2"/>
      <c r="REN211" s="2"/>
      <c r="REO211" s="2"/>
      <c r="REP211" s="260"/>
      <c r="REQ211" s="260"/>
      <c r="RER211" s="260"/>
      <c r="RES211" s="380"/>
      <c r="RET211" s="380"/>
      <c r="REU211" s="380"/>
      <c r="REV211" s="2"/>
      <c r="REW211" s="442"/>
      <c r="REX211" s="442"/>
      <c r="REY211" s="443"/>
      <c r="REZ211" s="442"/>
      <c r="RFA211" s="442"/>
      <c r="RFB211" s="2"/>
      <c r="RFC211" s="2"/>
      <c r="RFD211" s="2"/>
      <c r="RFE211" s="2"/>
      <c r="RFF211" s="260"/>
      <c r="RFG211" s="260"/>
      <c r="RFH211" s="260"/>
      <c r="RFI211" s="260"/>
      <c r="RFJ211" s="260"/>
      <c r="RFK211" s="260"/>
      <c r="RFL211" s="308"/>
      <c r="RFM211" s="290"/>
      <c r="RFN211" s="290"/>
      <c r="RFO211" s="260"/>
      <c r="RFP211" s="260"/>
      <c r="RFQ211" s="260"/>
      <c r="RFR211" s="260"/>
      <c r="RFS211" s="260"/>
      <c r="RFT211" s="2"/>
      <c r="RFU211" s="2"/>
      <c r="RFV211" s="2"/>
      <c r="RFW211" s="2"/>
      <c r="RFX211" s="2"/>
      <c r="RFY211" s="2"/>
      <c r="RFZ211" s="260"/>
      <c r="RGA211" s="2"/>
      <c r="RGB211" s="2"/>
      <c r="RGC211" s="2"/>
      <c r="RGD211" s="2"/>
      <c r="RGE211" s="2"/>
      <c r="RGF211" s="2"/>
      <c r="RGG211" s="2"/>
      <c r="RGH211" s="260"/>
      <c r="RGI211" s="260"/>
      <c r="RGJ211" s="260"/>
      <c r="RGK211" s="380"/>
      <c r="RGL211" s="380"/>
      <c r="RGM211" s="380"/>
      <c r="RGN211" s="2"/>
      <c r="RGO211" s="442"/>
      <c r="RGP211" s="442"/>
      <c r="RGQ211" s="443"/>
      <c r="RGR211" s="442"/>
      <c r="RGS211" s="442"/>
      <c r="RGT211" s="2"/>
      <c r="RGU211" s="2"/>
      <c r="RGV211" s="2"/>
      <c r="RGW211" s="2"/>
      <c r="RGX211" s="260"/>
      <c r="RGY211" s="260"/>
      <c r="RGZ211" s="260"/>
      <c r="RHA211" s="260"/>
      <c r="RHB211" s="260"/>
      <c r="RHC211" s="260"/>
      <c r="RHD211" s="308"/>
      <c r="RHE211" s="290"/>
      <c r="RHF211" s="290"/>
      <c r="RHG211" s="260"/>
      <c r="RHH211" s="260"/>
      <c r="RHI211" s="260"/>
      <c r="RHJ211" s="260"/>
      <c r="RHK211" s="260"/>
      <c r="RHL211" s="2"/>
      <c r="RHM211" s="2"/>
      <c r="RHN211" s="2"/>
      <c r="RHO211" s="2"/>
      <c r="RHP211" s="2"/>
      <c r="RHQ211" s="2"/>
      <c r="RHR211" s="260"/>
      <c r="RHS211" s="2"/>
      <c r="RHT211" s="2"/>
      <c r="RHU211" s="2"/>
      <c r="RHV211" s="2"/>
      <c r="RHW211" s="2"/>
      <c r="RHX211" s="2"/>
      <c r="RHY211" s="2"/>
      <c r="RHZ211" s="260"/>
      <c r="RIA211" s="260"/>
      <c r="RIB211" s="260"/>
      <c r="RIC211" s="380"/>
      <c r="RID211" s="380"/>
      <c r="RIE211" s="380"/>
      <c r="RIF211" s="2"/>
      <c r="RIG211" s="442"/>
      <c r="RIH211" s="442"/>
      <c r="RII211" s="443"/>
      <c r="RIJ211" s="442"/>
      <c r="RIK211" s="442"/>
      <c r="RIL211" s="2"/>
      <c r="RIM211" s="2"/>
      <c r="RIN211" s="2"/>
      <c r="RIO211" s="2"/>
      <c r="RIP211" s="260"/>
      <c r="RIQ211" s="260"/>
      <c r="RIR211" s="260"/>
      <c r="RIS211" s="260"/>
      <c r="RIT211" s="260"/>
      <c r="RIU211" s="260"/>
      <c r="RIV211" s="308"/>
      <c r="RIW211" s="290"/>
      <c r="RIX211" s="290"/>
      <c r="RIY211" s="260"/>
      <c r="RIZ211" s="260"/>
      <c r="RJA211" s="260"/>
      <c r="RJB211" s="260"/>
      <c r="RJC211" s="260"/>
      <c r="RJD211" s="2"/>
      <c r="RJE211" s="2"/>
      <c r="RJF211" s="2"/>
      <c r="RJG211" s="2"/>
      <c r="RJH211" s="2"/>
      <c r="RJI211" s="2"/>
      <c r="RJJ211" s="260"/>
      <c r="RJK211" s="2"/>
      <c r="RJL211" s="2"/>
      <c r="RJM211" s="2"/>
      <c r="RJN211" s="2"/>
      <c r="RJO211" s="2"/>
      <c r="RJP211" s="2"/>
      <c r="RJQ211" s="2"/>
      <c r="RJR211" s="260"/>
      <c r="RJS211" s="260"/>
      <c r="RJT211" s="260"/>
      <c r="RJU211" s="380"/>
      <c r="RJV211" s="380"/>
      <c r="RJW211" s="380"/>
      <c r="RJX211" s="2"/>
      <c r="RJY211" s="442"/>
      <c r="RJZ211" s="442"/>
      <c r="RKA211" s="443"/>
      <c r="RKB211" s="442"/>
      <c r="RKC211" s="442"/>
      <c r="RKD211" s="2"/>
      <c r="RKE211" s="2"/>
      <c r="RKF211" s="2"/>
      <c r="RKG211" s="2"/>
      <c r="RKH211" s="260"/>
      <c r="RKI211" s="260"/>
      <c r="RKJ211" s="260"/>
      <c r="RKK211" s="260"/>
      <c r="RKL211" s="260"/>
      <c r="RKM211" s="260"/>
      <c r="RKN211" s="308"/>
      <c r="RKO211" s="290"/>
      <c r="RKP211" s="290"/>
      <c r="RKQ211" s="260"/>
      <c r="RKR211" s="260"/>
      <c r="RKS211" s="260"/>
      <c r="RKT211" s="260"/>
      <c r="RKU211" s="260"/>
      <c r="RKV211" s="2"/>
      <c r="RKW211" s="2"/>
      <c r="RKX211" s="2"/>
      <c r="RKY211" s="2"/>
      <c r="RKZ211" s="2"/>
      <c r="RLA211" s="2"/>
      <c r="RLB211" s="260"/>
      <c r="RLC211" s="2"/>
      <c r="RLD211" s="2"/>
      <c r="RLE211" s="2"/>
      <c r="RLF211" s="2"/>
      <c r="RLG211" s="2"/>
      <c r="RLH211" s="2"/>
      <c r="RLI211" s="2"/>
      <c r="RLJ211" s="260"/>
      <c r="RLK211" s="260"/>
      <c r="RLL211" s="260"/>
      <c r="RLM211" s="380"/>
      <c r="RLN211" s="380"/>
      <c r="RLO211" s="380"/>
      <c r="RLP211" s="2"/>
      <c r="RLQ211" s="442"/>
      <c r="RLR211" s="442"/>
      <c r="RLS211" s="443"/>
      <c r="RLT211" s="442"/>
      <c r="RLU211" s="442"/>
      <c r="RLV211" s="2"/>
      <c r="RLW211" s="2"/>
      <c r="RLX211" s="2"/>
      <c r="RLY211" s="2"/>
      <c r="RLZ211" s="260"/>
      <c r="RMA211" s="260"/>
      <c r="RMB211" s="260"/>
      <c r="RMC211" s="260"/>
      <c r="RMD211" s="260"/>
      <c r="RME211" s="260"/>
      <c r="RMF211" s="308"/>
      <c r="RMG211" s="290"/>
      <c r="RMH211" s="290"/>
      <c r="RMI211" s="260"/>
      <c r="RMJ211" s="260"/>
      <c r="RMK211" s="260"/>
      <c r="RML211" s="260"/>
      <c r="RMM211" s="260"/>
      <c r="RMN211" s="2"/>
      <c r="RMO211" s="2"/>
      <c r="RMP211" s="2"/>
      <c r="RMQ211" s="2"/>
      <c r="RMR211" s="2"/>
      <c r="RMS211" s="2"/>
      <c r="RMT211" s="260"/>
      <c r="RMU211" s="2"/>
      <c r="RMV211" s="2"/>
      <c r="RMW211" s="2"/>
      <c r="RMX211" s="2"/>
      <c r="RMY211" s="2"/>
      <c r="RMZ211" s="2"/>
      <c r="RNA211" s="2"/>
      <c r="RNB211" s="260"/>
      <c r="RNC211" s="260"/>
      <c r="RND211" s="260"/>
      <c r="RNE211" s="380"/>
      <c r="RNF211" s="380"/>
      <c r="RNG211" s="380"/>
      <c r="RNH211" s="2"/>
      <c r="RNI211" s="442"/>
      <c r="RNJ211" s="442"/>
      <c r="RNK211" s="443"/>
      <c r="RNL211" s="442"/>
      <c r="RNM211" s="442"/>
      <c r="RNN211" s="2"/>
      <c r="RNO211" s="2"/>
      <c r="RNP211" s="2"/>
      <c r="RNQ211" s="2"/>
      <c r="RNR211" s="260"/>
      <c r="RNS211" s="260"/>
      <c r="RNT211" s="260"/>
      <c r="RNU211" s="260"/>
      <c r="RNV211" s="260"/>
      <c r="RNW211" s="260"/>
      <c r="RNX211" s="308"/>
      <c r="RNY211" s="290"/>
      <c r="RNZ211" s="290"/>
      <c r="ROA211" s="260"/>
      <c r="ROB211" s="260"/>
      <c r="ROC211" s="260"/>
      <c r="ROD211" s="260"/>
      <c r="ROE211" s="260"/>
      <c r="ROF211" s="2"/>
      <c r="ROG211" s="2"/>
      <c r="ROH211" s="2"/>
      <c r="ROI211" s="2"/>
      <c r="ROJ211" s="2"/>
      <c r="ROK211" s="2"/>
      <c r="ROL211" s="260"/>
      <c r="ROM211" s="2"/>
      <c r="RON211" s="2"/>
      <c r="ROO211" s="2"/>
      <c r="ROP211" s="2"/>
      <c r="ROQ211" s="2"/>
      <c r="ROR211" s="2"/>
      <c r="ROS211" s="2"/>
      <c r="ROT211" s="260"/>
      <c r="ROU211" s="260"/>
      <c r="ROV211" s="260"/>
      <c r="ROW211" s="380"/>
      <c r="ROX211" s="380"/>
      <c r="ROY211" s="380"/>
      <c r="ROZ211" s="2"/>
      <c r="RPA211" s="442"/>
      <c r="RPB211" s="442"/>
      <c r="RPC211" s="443"/>
      <c r="RPD211" s="442"/>
      <c r="RPE211" s="442"/>
      <c r="RPF211" s="2"/>
      <c r="RPG211" s="2"/>
      <c r="RPH211" s="2"/>
      <c r="RPI211" s="2"/>
      <c r="RPJ211" s="260"/>
      <c r="RPK211" s="260"/>
      <c r="RPL211" s="260"/>
      <c r="RPM211" s="260"/>
      <c r="RPN211" s="260"/>
      <c r="RPO211" s="260"/>
      <c r="RPP211" s="308"/>
      <c r="RPQ211" s="290"/>
      <c r="RPR211" s="290"/>
      <c r="RPS211" s="260"/>
      <c r="RPT211" s="260"/>
      <c r="RPU211" s="260"/>
      <c r="RPV211" s="260"/>
      <c r="RPW211" s="260"/>
      <c r="RPX211" s="2"/>
      <c r="RPY211" s="2"/>
      <c r="RPZ211" s="2"/>
      <c r="RQA211" s="2"/>
      <c r="RQB211" s="2"/>
      <c r="RQC211" s="2"/>
      <c r="RQD211" s="260"/>
      <c r="RQE211" s="2"/>
      <c r="RQF211" s="2"/>
      <c r="RQG211" s="2"/>
      <c r="RQH211" s="2"/>
      <c r="RQI211" s="2"/>
      <c r="RQJ211" s="2"/>
      <c r="RQK211" s="2"/>
      <c r="RQL211" s="260"/>
      <c r="RQM211" s="260"/>
      <c r="RQN211" s="260"/>
      <c r="RQO211" s="380"/>
      <c r="RQP211" s="380"/>
      <c r="RQQ211" s="380"/>
      <c r="RQR211" s="2"/>
      <c r="RQS211" s="442"/>
      <c r="RQT211" s="442"/>
      <c r="RQU211" s="443"/>
      <c r="RQV211" s="442"/>
      <c r="RQW211" s="442"/>
      <c r="RQX211" s="2"/>
      <c r="RQY211" s="2"/>
      <c r="RQZ211" s="2"/>
      <c r="RRA211" s="2"/>
      <c r="RRB211" s="260"/>
      <c r="RRC211" s="260"/>
      <c r="RRD211" s="260"/>
      <c r="RRE211" s="260"/>
      <c r="RRF211" s="260"/>
      <c r="RRG211" s="260"/>
      <c r="RRH211" s="308"/>
      <c r="RRI211" s="290"/>
      <c r="RRJ211" s="290"/>
      <c r="RRK211" s="260"/>
      <c r="RRL211" s="260"/>
      <c r="RRM211" s="260"/>
      <c r="RRN211" s="260"/>
      <c r="RRO211" s="260"/>
      <c r="RRP211" s="2"/>
      <c r="RRQ211" s="2"/>
      <c r="RRR211" s="2"/>
      <c r="RRS211" s="2"/>
      <c r="RRT211" s="2"/>
      <c r="RRU211" s="2"/>
      <c r="RRV211" s="260"/>
      <c r="RRW211" s="2"/>
      <c r="RRX211" s="2"/>
      <c r="RRY211" s="2"/>
      <c r="RRZ211" s="2"/>
      <c r="RSA211" s="2"/>
      <c r="RSB211" s="2"/>
      <c r="RSC211" s="2"/>
      <c r="RSD211" s="260"/>
      <c r="RSE211" s="260"/>
      <c r="RSF211" s="260"/>
      <c r="RSG211" s="380"/>
      <c r="RSH211" s="380"/>
      <c r="RSI211" s="380"/>
      <c r="RSJ211" s="2"/>
      <c r="RSK211" s="442"/>
      <c r="RSL211" s="442"/>
      <c r="RSM211" s="443"/>
      <c r="RSN211" s="442"/>
      <c r="RSO211" s="442"/>
      <c r="RSP211" s="2"/>
      <c r="RSQ211" s="2"/>
      <c r="RSR211" s="2"/>
      <c r="RSS211" s="2"/>
      <c r="RST211" s="260"/>
      <c r="RSU211" s="260"/>
      <c r="RSV211" s="260"/>
      <c r="RSW211" s="260"/>
      <c r="RSX211" s="260"/>
      <c r="RSY211" s="260"/>
      <c r="RSZ211" s="308"/>
      <c r="RTA211" s="290"/>
      <c r="RTB211" s="290"/>
      <c r="RTC211" s="260"/>
      <c r="RTD211" s="260"/>
      <c r="RTE211" s="260"/>
      <c r="RTF211" s="260"/>
      <c r="RTG211" s="260"/>
      <c r="RTH211" s="2"/>
      <c r="RTI211" s="2"/>
      <c r="RTJ211" s="2"/>
      <c r="RTK211" s="2"/>
      <c r="RTL211" s="2"/>
      <c r="RTM211" s="2"/>
      <c r="RTN211" s="260"/>
      <c r="RTO211" s="2"/>
      <c r="RTP211" s="2"/>
      <c r="RTQ211" s="2"/>
      <c r="RTR211" s="2"/>
      <c r="RTS211" s="2"/>
      <c r="RTT211" s="2"/>
      <c r="RTU211" s="2"/>
      <c r="RTV211" s="260"/>
      <c r="RTW211" s="260"/>
      <c r="RTX211" s="260"/>
      <c r="RTY211" s="380"/>
      <c r="RTZ211" s="380"/>
      <c r="RUA211" s="380"/>
      <c r="RUB211" s="2"/>
      <c r="RUC211" s="442"/>
      <c r="RUD211" s="442"/>
      <c r="RUE211" s="443"/>
      <c r="RUF211" s="442"/>
      <c r="RUG211" s="442"/>
      <c r="RUH211" s="2"/>
      <c r="RUI211" s="2"/>
      <c r="RUJ211" s="2"/>
      <c r="RUK211" s="2"/>
      <c r="RUL211" s="260"/>
      <c r="RUM211" s="260"/>
      <c r="RUN211" s="260"/>
      <c r="RUO211" s="260"/>
      <c r="RUP211" s="260"/>
      <c r="RUQ211" s="260"/>
      <c r="RUR211" s="308"/>
      <c r="RUS211" s="290"/>
      <c r="RUT211" s="290"/>
      <c r="RUU211" s="260"/>
      <c r="RUV211" s="260"/>
      <c r="RUW211" s="260"/>
      <c r="RUX211" s="260"/>
      <c r="RUY211" s="260"/>
      <c r="RUZ211" s="2"/>
      <c r="RVA211" s="2"/>
      <c r="RVB211" s="2"/>
      <c r="RVC211" s="2"/>
      <c r="RVD211" s="2"/>
      <c r="RVE211" s="2"/>
      <c r="RVF211" s="260"/>
      <c r="RVG211" s="2"/>
      <c r="RVH211" s="2"/>
      <c r="RVI211" s="2"/>
      <c r="RVJ211" s="2"/>
      <c r="RVK211" s="2"/>
      <c r="RVL211" s="2"/>
      <c r="RVM211" s="2"/>
      <c r="RVN211" s="260"/>
      <c r="RVO211" s="260"/>
      <c r="RVP211" s="260"/>
      <c r="RVQ211" s="380"/>
      <c r="RVR211" s="380"/>
      <c r="RVS211" s="380"/>
      <c r="RVT211" s="2"/>
      <c r="RVU211" s="442"/>
      <c r="RVV211" s="442"/>
      <c r="RVW211" s="443"/>
      <c r="RVX211" s="442"/>
      <c r="RVY211" s="442"/>
      <c r="RVZ211" s="2"/>
      <c r="RWA211" s="2"/>
      <c r="RWB211" s="2"/>
      <c r="RWC211" s="2"/>
      <c r="RWD211" s="260"/>
      <c r="RWE211" s="260"/>
      <c r="RWF211" s="260"/>
      <c r="RWG211" s="260"/>
      <c r="RWH211" s="260"/>
      <c r="RWI211" s="260"/>
      <c r="RWJ211" s="308"/>
      <c r="RWK211" s="290"/>
      <c r="RWL211" s="290"/>
      <c r="RWM211" s="260"/>
      <c r="RWN211" s="260"/>
      <c r="RWO211" s="260"/>
      <c r="RWP211" s="260"/>
      <c r="RWQ211" s="260"/>
      <c r="RWR211" s="2"/>
      <c r="RWS211" s="2"/>
      <c r="RWT211" s="2"/>
      <c r="RWU211" s="2"/>
      <c r="RWV211" s="2"/>
      <c r="RWW211" s="2"/>
      <c r="RWX211" s="260"/>
      <c r="RWY211" s="2"/>
      <c r="RWZ211" s="2"/>
      <c r="RXA211" s="2"/>
      <c r="RXB211" s="2"/>
      <c r="RXC211" s="2"/>
      <c r="RXD211" s="2"/>
      <c r="RXE211" s="2"/>
      <c r="RXF211" s="260"/>
      <c r="RXG211" s="260"/>
      <c r="RXH211" s="260"/>
      <c r="RXI211" s="380"/>
      <c r="RXJ211" s="380"/>
      <c r="RXK211" s="380"/>
      <c r="RXL211" s="2"/>
      <c r="RXM211" s="442"/>
      <c r="RXN211" s="442"/>
      <c r="RXO211" s="443"/>
      <c r="RXP211" s="442"/>
      <c r="RXQ211" s="442"/>
      <c r="RXR211" s="2"/>
      <c r="RXS211" s="2"/>
      <c r="RXT211" s="2"/>
      <c r="RXU211" s="2"/>
      <c r="RXV211" s="260"/>
      <c r="RXW211" s="260"/>
      <c r="RXX211" s="260"/>
      <c r="RXY211" s="260"/>
      <c r="RXZ211" s="260"/>
      <c r="RYA211" s="260"/>
      <c r="RYB211" s="308"/>
      <c r="RYC211" s="290"/>
      <c r="RYD211" s="290"/>
      <c r="RYE211" s="260"/>
      <c r="RYF211" s="260"/>
      <c r="RYG211" s="260"/>
      <c r="RYH211" s="260"/>
      <c r="RYI211" s="260"/>
      <c r="RYJ211" s="2"/>
      <c r="RYK211" s="2"/>
      <c r="RYL211" s="2"/>
      <c r="RYM211" s="2"/>
      <c r="RYN211" s="2"/>
      <c r="RYO211" s="2"/>
      <c r="RYP211" s="260"/>
      <c r="RYQ211" s="2"/>
      <c r="RYR211" s="2"/>
      <c r="RYS211" s="2"/>
      <c r="RYT211" s="2"/>
      <c r="RYU211" s="2"/>
      <c r="RYV211" s="2"/>
      <c r="RYW211" s="2"/>
      <c r="RYX211" s="260"/>
      <c r="RYY211" s="260"/>
      <c r="RYZ211" s="260"/>
      <c r="RZA211" s="380"/>
      <c r="RZB211" s="380"/>
      <c r="RZC211" s="380"/>
      <c r="RZD211" s="2"/>
      <c r="RZE211" s="442"/>
      <c r="RZF211" s="442"/>
      <c r="RZG211" s="443"/>
      <c r="RZH211" s="442"/>
      <c r="RZI211" s="442"/>
      <c r="RZJ211" s="2"/>
      <c r="RZK211" s="2"/>
      <c r="RZL211" s="2"/>
      <c r="RZM211" s="2"/>
      <c r="RZN211" s="260"/>
      <c r="RZO211" s="260"/>
      <c r="RZP211" s="260"/>
      <c r="RZQ211" s="260"/>
      <c r="RZR211" s="260"/>
      <c r="RZS211" s="260"/>
      <c r="RZT211" s="308"/>
      <c r="RZU211" s="290"/>
      <c r="RZV211" s="290"/>
      <c r="RZW211" s="260"/>
      <c r="RZX211" s="260"/>
      <c r="RZY211" s="260"/>
      <c r="RZZ211" s="260"/>
      <c r="SAA211" s="260"/>
      <c r="SAB211" s="2"/>
      <c r="SAC211" s="2"/>
      <c r="SAD211" s="2"/>
      <c r="SAE211" s="2"/>
      <c r="SAF211" s="2"/>
      <c r="SAG211" s="2"/>
      <c r="SAH211" s="260"/>
      <c r="SAI211" s="2"/>
      <c r="SAJ211" s="2"/>
      <c r="SAK211" s="2"/>
      <c r="SAL211" s="2"/>
      <c r="SAM211" s="2"/>
      <c r="SAN211" s="2"/>
      <c r="SAO211" s="2"/>
      <c r="SAP211" s="260"/>
      <c r="SAQ211" s="260"/>
      <c r="SAR211" s="260"/>
      <c r="SAS211" s="380"/>
      <c r="SAT211" s="380"/>
      <c r="SAU211" s="380"/>
      <c r="SAV211" s="2"/>
      <c r="SAW211" s="442"/>
      <c r="SAX211" s="442"/>
      <c r="SAY211" s="443"/>
      <c r="SAZ211" s="442"/>
      <c r="SBA211" s="442"/>
      <c r="SBB211" s="2"/>
      <c r="SBC211" s="2"/>
      <c r="SBD211" s="2"/>
      <c r="SBE211" s="2"/>
      <c r="SBF211" s="260"/>
      <c r="SBG211" s="260"/>
      <c r="SBH211" s="260"/>
      <c r="SBI211" s="260"/>
      <c r="SBJ211" s="260"/>
      <c r="SBK211" s="260"/>
      <c r="SBL211" s="308"/>
      <c r="SBM211" s="290"/>
      <c r="SBN211" s="290"/>
      <c r="SBO211" s="260"/>
      <c r="SBP211" s="260"/>
      <c r="SBQ211" s="260"/>
      <c r="SBR211" s="260"/>
      <c r="SBS211" s="260"/>
      <c r="SBT211" s="2"/>
      <c r="SBU211" s="2"/>
      <c r="SBV211" s="2"/>
      <c r="SBW211" s="2"/>
      <c r="SBX211" s="2"/>
      <c r="SBY211" s="2"/>
      <c r="SBZ211" s="260"/>
      <c r="SCA211" s="2"/>
      <c r="SCB211" s="2"/>
      <c r="SCC211" s="2"/>
      <c r="SCD211" s="2"/>
      <c r="SCE211" s="2"/>
      <c r="SCF211" s="2"/>
      <c r="SCG211" s="2"/>
      <c r="SCH211" s="260"/>
      <c r="SCI211" s="260"/>
      <c r="SCJ211" s="260"/>
      <c r="SCK211" s="380"/>
      <c r="SCL211" s="380"/>
      <c r="SCM211" s="380"/>
      <c r="SCN211" s="2"/>
      <c r="SCO211" s="442"/>
      <c r="SCP211" s="442"/>
      <c r="SCQ211" s="443"/>
      <c r="SCR211" s="442"/>
      <c r="SCS211" s="442"/>
      <c r="SCT211" s="2"/>
      <c r="SCU211" s="2"/>
      <c r="SCV211" s="2"/>
      <c r="SCW211" s="2"/>
      <c r="SCX211" s="260"/>
      <c r="SCY211" s="260"/>
      <c r="SCZ211" s="260"/>
      <c r="SDA211" s="260"/>
      <c r="SDB211" s="260"/>
      <c r="SDC211" s="260"/>
      <c r="SDD211" s="308"/>
      <c r="SDE211" s="290"/>
      <c r="SDF211" s="290"/>
      <c r="SDG211" s="260"/>
      <c r="SDH211" s="260"/>
      <c r="SDI211" s="260"/>
      <c r="SDJ211" s="260"/>
      <c r="SDK211" s="260"/>
      <c r="SDL211" s="2"/>
      <c r="SDM211" s="2"/>
      <c r="SDN211" s="2"/>
      <c r="SDO211" s="2"/>
      <c r="SDP211" s="2"/>
      <c r="SDQ211" s="2"/>
      <c r="SDR211" s="260"/>
      <c r="SDS211" s="2"/>
      <c r="SDT211" s="2"/>
      <c r="SDU211" s="2"/>
      <c r="SDV211" s="2"/>
      <c r="SDW211" s="2"/>
      <c r="SDX211" s="2"/>
      <c r="SDY211" s="2"/>
      <c r="SDZ211" s="260"/>
      <c r="SEA211" s="260"/>
      <c r="SEB211" s="260"/>
      <c r="SEC211" s="380"/>
      <c r="SED211" s="380"/>
      <c r="SEE211" s="380"/>
      <c r="SEF211" s="2"/>
      <c r="SEG211" s="442"/>
      <c r="SEH211" s="442"/>
      <c r="SEI211" s="443"/>
      <c r="SEJ211" s="442"/>
      <c r="SEK211" s="442"/>
      <c r="SEL211" s="2"/>
      <c r="SEM211" s="2"/>
      <c r="SEN211" s="2"/>
      <c r="SEO211" s="2"/>
      <c r="SEP211" s="260"/>
      <c r="SEQ211" s="260"/>
      <c r="SER211" s="260"/>
      <c r="SES211" s="260"/>
      <c r="SET211" s="260"/>
      <c r="SEU211" s="260"/>
      <c r="SEV211" s="308"/>
      <c r="SEW211" s="290"/>
      <c r="SEX211" s="290"/>
      <c r="SEY211" s="260"/>
      <c r="SEZ211" s="260"/>
      <c r="SFA211" s="260"/>
      <c r="SFB211" s="260"/>
      <c r="SFC211" s="260"/>
      <c r="SFD211" s="2"/>
      <c r="SFE211" s="2"/>
      <c r="SFF211" s="2"/>
      <c r="SFG211" s="2"/>
      <c r="SFH211" s="2"/>
      <c r="SFI211" s="2"/>
      <c r="SFJ211" s="260"/>
      <c r="SFK211" s="2"/>
      <c r="SFL211" s="2"/>
      <c r="SFM211" s="2"/>
      <c r="SFN211" s="2"/>
      <c r="SFO211" s="2"/>
      <c r="SFP211" s="2"/>
      <c r="SFQ211" s="2"/>
      <c r="SFR211" s="260"/>
      <c r="SFS211" s="260"/>
      <c r="SFT211" s="260"/>
      <c r="SFU211" s="380"/>
      <c r="SFV211" s="380"/>
      <c r="SFW211" s="380"/>
      <c r="SFX211" s="2"/>
      <c r="SFY211" s="442"/>
      <c r="SFZ211" s="442"/>
      <c r="SGA211" s="443"/>
      <c r="SGB211" s="442"/>
      <c r="SGC211" s="442"/>
      <c r="SGD211" s="2"/>
      <c r="SGE211" s="2"/>
      <c r="SGF211" s="2"/>
      <c r="SGG211" s="2"/>
      <c r="SGH211" s="260"/>
      <c r="SGI211" s="260"/>
      <c r="SGJ211" s="260"/>
      <c r="SGK211" s="260"/>
      <c r="SGL211" s="260"/>
      <c r="SGM211" s="260"/>
      <c r="SGN211" s="308"/>
      <c r="SGO211" s="290"/>
      <c r="SGP211" s="290"/>
      <c r="SGQ211" s="260"/>
      <c r="SGR211" s="260"/>
      <c r="SGS211" s="260"/>
      <c r="SGT211" s="260"/>
      <c r="SGU211" s="260"/>
      <c r="SGV211" s="2"/>
      <c r="SGW211" s="2"/>
      <c r="SGX211" s="2"/>
      <c r="SGY211" s="2"/>
      <c r="SGZ211" s="2"/>
      <c r="SHA211" s="2"/>
      <c r="SHB211" s="260"/>
      <c r="SHC211" s="2"/>
      <c r="SHD211" s="2"/>
      <c r="SHE211" s="2"/>
      <c r="SHF211" s="2"/>
      <c r="SHG211" s="2"/>
      <c r="SHH211" s="2"/>
      <c r="SHI211" s="2"/>
      <c r="SHJ211" s="260"/>
      <c r="SHK211" s="260"/>
      <c r="SHL211" s="260"/>
      <c r="SHM211" s="380"/>
      <c r="SHN211" s="380"/>
      <c r="SHO211" s="380"/>
      <c r="SHP211" s="2"/>
      <c r="SHQ211" s="442"/>
      <c r="SHR211" s="442"/>
      <c r="SHS211" s="443"/>
      <c r="SHT211" s="442"/>
      <c r="SHU211" s="442"/>
      <c r="SHV211" s="2"/>
      <c r="SHW211" s="2"/>
      <c r="SHX211" s="2"/>
      <c r="SHY211" s="2"/>
      <c r="SHZ211" s="260"/>
      <c r="SIA211" s="260"/>
      <c r="SIB211" s="260"/>
      <c r="SIC211" s="260"/>
      <c r="SID211" s="260"/>
      <c r="SIE211" s="260"/>
      <c r="SIF211" s="308"/>
      <c r="SIG211" s="290"/>
      <c r="SIH211" s="290"/>
      <c r="SII211" s="260"/>
      <c r="SIJ211" s="260"/>
      <c r="SIK211" s="260"/>
      <c r="SIL211" s="260"/>
      <c r="SIM211" s="260"/>
      <c r="SIN211" s="2"/>
      <c r="SIO211" s="2"/>
      <c r="SIP211" s="2"/>
      <c r="SIQ211" s="2"/>
      <c r="SIR211" s="2"/>
      <c r="SIS211" s="2"/>
      <c r="SIT211" s="260"/>
      <c r="SIU211" s="2"/>
      <c r="SIV211" s="2"/>
      <c r="SIW211" s="2"/>
      <c r="SIX211" s="2"/>
      <c r="SIY211" s="2"/>
      <c r="SIZ211" s="2"/>
      <c r="SJA211" s="2"/>
      <c r="SJB211" s="260"/>
      <c r="SJC211" s="260"/>
      <c r="SJD211" s="260"/>
      <c r="SJE211" s="380"/>
      <c r="SJF211" s="380"/>
      <c r="SJG211" s="380"/>
      <c r="SJH211" s="2"/>
      <c r="SJI211" s="442"/>
      <c r="SJJ211" s="442"/>
      <c r="SJK211" s="443"/>
      <c r="SJL211" s="442"/>
      <c r="SJM211" s="442"/>
      <c r="SJN211" s="2"/>
      <c r="SJO211" s="2"/>
      <c r="SJP211" s="2"/>
      <c r="SJQ211" s="2"/>
      <c r="SJR211" s="260"/>
      <c r="SJS211" s="260"/>
      <c r="SJT211" s="260"/>
      <c r="SJU211" s="260"/>
      <c r="SJV211" s="260"/>
      <c r="SJW211" s="260"/>
      <c r="SJX211" s="308"/>
      <c r="SJY211" s="290"/>
      <c r="SJZ211" s="290"/>
      <c r="SKA211" s="260"/>
      <c r="SKB211" s="260"/>
      <c r="SKC211" s="260"/>
      <c r="SKD211" s="260"/>
      <c r="SKE211" s="260"/>
      <c r="SKF211" s="2"/>
      <c r="SKG211" s="2"/>
      <c r="SKH211" s="2"/>
      <c r="SKI211" s="2"/>
      <c r="SKJ211" s="2"/>
      <c r="SKK211" s="2"/>
      <c r="SKL211" s="260"/>
      <c r="SKM211" s="2"/>
      <c r="SKN211" s="2"/>
      <c r="SKO211" s="2"/>
      <c r="SKP211" s="2"/>
      <c r="SKQ211" s="2"/>
      <c r="SKR211" s="2"/>
      <c r="SKS211" s="2"/>
      <c r="SKT211" s="260"/>
      <c r="SKU211" s="260"/>
      <c r="SKV211" s="260"/>
      <c r="SKW211" s="380"/>
      <c r="SKX211" s="380"/>
      <c r="SKY211" s="380"/>
      <c r="SKZ211" s="2"/>
      <c r="SLA211" s="442"/>
      <c r="SLB211" s="442"/>
      <c r="SLC211" s="443"/>
      <c r="SLD211" s="442"/>
      <c r="SLE211" s="442"/>
      <c r="SLF211" s="2"/>
      <c r="SLG211" s="2"/>
      <c r="SLH211" s="2"/>
      <c r="SLI211" s="2"/>
      <c r="SLJ211" s="260"/>
      <c r="SLK211" s="260"/>
      <c r="SLL211" s="260"/>
      <c r="SLM211" s="260"/>
      <c r="SLN211" s="260"/>
      <c r="SLO211" s="260"/>
      <c r="SLP211" s="308"/>
      <c r="SLQ211" s="290"/>
      <c r="SLR211" s="290"/>
      <c r="SLS211" s="260"/>
      <c r="SLT211" s="260"/>
      <c r="SLU211" s="260"/>
      <c r="SLV211" s="260"/>
      <c r="SLW211" s="260"/>
      <c r="SLX211" s="2"/>
      <c r="SLY211" s="2"/>
      <c r="SLZ211" s="2"/>
      <c r="SMA211" s="2"/>
      <c r="SMB211" s="2"/>
      <c r="SMC211" s="2"/>
      <c r="SMD211" s="260"/>
      <c r="SME211" s="2"/>
      <c r="SMF211" s="2"/>
      <c r="SMG211" s="2"/>
      <c r="SMH211" s="2"/>
      <c r="SMI211" s="2"/>
      <c r="SMJ211" s="2"/>
      <c r="SMK211" s="2"/>
      <c r="SML211" s="260"/>
      <c r="SMM211" s="260"/>
      <c r="SMN211" s="260"/>
      <c r="SMO211" s="380"/>
      <c r="SMP211" s="380"/>
      <c r="SMQ211" s="380"/>
      <c r="SMR211" s="2"/>
      <c r="SMS211" s="442"/>
      <c r="SMT211" s="442"/>
      <c r="SMU211" s="443"/>
      <c r="SMV211" s="442"/>
      <c r="SMW211" s="442"/>
      <c r="SMX211" s="2"/>
      <c r="SMY211" s="2"/>
      <c r="SMZ211" s="2"/>
      <c r="SNA211" s="2"/>
      <c r="SNB211" s="260"/>
      <c r="SNC211" s="260"/>
      <c r="SND211" s="260"/>
      <c r="SNE211" s="260"/>
      <c r="SNF211" s="260"/>
      <c r="SNG211" s="260"/>
      <c r="SNH211" s="308"/>
      <c r="SNI211" s="290"/>
      <c r="SNJ211" s="290"/>
      <c r="SNK211" s="260"/>
      <c r="SNL211" s="260"/>
      <c r="SNM211" s="260"/>
      <c r="SNN211" s="260"/>
      <c r="SNO211" s="260"/>
      <c r="SNP211" s="2"/>
      <c r="SNQ211" s="2"/>
      <c r="SNR211" s="2"/>
      <c r="SNS211" s="2"/>
      <c r="SNT211" s="2"/>
      <c r="SNU211" s="2"/>
      <c r="SNV211" s="260"/>
      <c r="SNW211" s="2"/>
      <c r="SNX211" s="2"/>
      <c r="SNY211" s="2"/>
      <c r="SNZ211" s="2"/>
      <c r="SOA211" s="2"/>
      <c r="SOB211" s="2"/>
      <c r="SOC211" s="2"/>
      <c r="SOD211" s="260"/>
      <c r="SOE211" s="260"/>
      <c r="SOF211" s="260"/>
      <c r="SOG211" s="380"/>
      <c r="SOH211" s="380"/>
      <c r="SOI211" s="380"/>
      <c r="SOJ211" s="2"/>
      <c r="SOK211" s="442"/>
      <c r="SOL211" s="442"/>
      <c r="SOM211" s="443"/>
      <c r="SON211" s="442"/>
      <c r="SOO211" s="442"/>
      <c r="SOP211" s="2"/>
      <c r="SOQ211" s="2"/>
      <c r="SOR211" s="2"/>
      <c r="SOS211" s="2"/>
      <c r="SOT211" s="260"/>
      <c r="SOU211" s="260"/>
      <c r="SOV211" s="260"/>
      <c r="SOW211" s="260"/>
      <c r="SOX211" s="260"/>
      <c r="SOY211" s="260"/>
      <c r="SOZ211" s="308"/>
      <c r="SPA211" s="290"/>
      <c r="SPB211" s="290"/>
      <c r="SPC211" s="260"/>
      <c r="SPD211" s="260"/>
      <c r="SPE211" s="260"/>
      <c r="SPF211" s="260"/>
      <c r="SPG211" s="260"/>
      <c r="SPH211" s="2"/>
      <c r="SPI211" s="2"/>
      <c r="SPJ211" s="2"/>
      <c r="SPK211" s="2"/>
      <c r="SPL211" s="2"/>
      <c r="SPM211" s="2"/>
      <c r="SPN211" s="260"/>
      <c r="SPO211" s="2"/>
      <c r="SPP211" s="2"/>
      <c r="SPQ211" s="2"/>
      <c r="SPR211" s="2"/>
      <c r="SPS211" s="2"/>
      <c r="SPT211" s="2"/>
      <c r="SPU211" s="2"/>
      <c r="SPV211" s="260"/>
      <c r="SPW211" s="260"/>
      <c r="SPX211" s="260"/>
      <c r="SPY211" s="380"/>
      <c r="SPZ211" s="380"/>
      <c r="SQA211" s="380"/>
      <c r="SQB211" s="2"/>
      <c r="SQC211" s="442"/>
      <c r="SQD211" s="442"/>
      <c r="SQE211" s="443"/>
      <c r="SQF211" s="442"/>
      <c r="SQG211" s="442"/>
      <c r="SQH211" s="2"/>
      <c r="SQI211" s="2"/>
      <c r="SQJ211" s="2"/>
      <c r="SQK211" s="2"/>
      <c r="SQL211" s="260"/>
      <c r="SQM211" s="260"/>
      <c r="SQN211" s="260"/>
      <c r="SQO211" s="260"/>
      <c r="SQP211" s="260"/>
      <c r="SQQ211" s="260"/>
      <c r="SQR211" s="308"/>
      <c r="SQS211" s="290"/>
      <c r="SQT211" s="290"/>
      <c r="SQU211" s="260"/>
      <c r="SQV211" s="260"/>
      <c r="SQW211" s="260"/>
      <c r="SQX211" s="260"/>
      <c r="SQY211" s="260"/>
      <c r="SQZ211" s="2"/>
      <c r="SRA211" s="2"/>
      <c r="SRB211" s="2"/>
      <c r="SRC211" s="2"/>
      <c r="SRD211" s="2"/>
      <c r="SRE211" s="2"/>
      <c r="SRF211" s="260"/>
      <c r="SRG211" s="2"/>
      <c r="SRH211" s="2"/>
      <c r="SRI211" s="2"/>
      <c r="SRJ211" s="2"/>
      <c r="SRK211" s="2"/>
      <c r="SRL211" s="2"/>
      <c r="SRM211" s="2"/>
      <c r="SRN211" s="260"/>
      <c r="SRO211" s="260"/>
      <c r="SRP211" s="260"/>
      <c r="SRQ211" s="380"/>
      <c r="SRR211" s="380"/>
      <c r="SRS211" s="380"/>
      <c r="SRT211" s="2"/>
      <c r="SRU211" s="442"/>
      <c r="SRV211" s="442"/>
      <c r="SRW211" s="443"/>
      <c r="SRX211" s="442"/>
      <c r="SRY211" s="442"/>
      <c r="SRZ211" s="2"/>
      <c r="SSA211" s="2"/>
      <c r="SSB211" s="2"/>
      <c r="SSC211" s="2"/>
      <c r="SSD211" s="260"/>
      <c r="SSE211" s="260"/>
      <c r="SSF211" s="260"/>
      <c r="SSG211" s="260"/>
      <c r="SSH211" s="260"/>
      <c r="SSI211" s="260"/>
      <c r="SSJ211" s="308"/>
      <c r="SSK211" s="290"/>
      <c r="SSL211" s="290"/>
      <c r="SSM211" s="260"/>
      <c r="SSN211" s="260"/>
      <c r="SSO211" s="260"/>
      <c r="SSP211" s="260"/>
      <c r="SSQ211" s="260"/>
      <c r="SSR211" s="2"/>
      <c r="SSS211" s="2"/>
      <c r="SST211" s="2"/>
      <c r="SSU211" s="2"/>
      <c r="SSV211" s="2"/>
      <c r="SSW211" s="2"/>
      <c r="SSX211" s="260"/>
      <c r="SSY211" s="2"/>
      <c r="SSZ211" s="2"/>
      <c r="STA211" s="2"/>
      <c r="STB211" s="2"/>
      <c r="STC211" s="2"/>
      <c r="STD211" s="2"/>
      <c r="STE211" s="2"/>
      <c r="STF211" s="260"/>
      <c r="STG211" s="260"/>
      <c r="STH211" s="260"/>
      <c r="STI211" s="380"/>
      <c r="STJ211" s="380"/>
      <c r="STK211" s="380"/>
      <c r="STL211" s="2"/>
      <c r="STM211" s="442"/>
      <c r="STN211" s="442"/>
      <c r="STO211" s="443"/>
      <c r="STP211" s="442"/>
      <c r="STQ211" s="442"/>
      <c r="STR211" s="2"/>
      <c r="STS211" s="2"/>
      <c r="STT211" s="2"/>
      <c r="STU211" s="2"/>
      <c r="STV211" s="260"/>
      <c r="STW211" s="260"/>
      <c r="STX211" s="260"/>
      <c r="STY211" s="260"/>
      <c r="STZ211" s="260"/>
      <c r="SUA211" s="260"/>
      <c r="SUB211" s="308"/>
      <c r="SUC211" s="290"/>
      <c r="SUD211" s="290"/>
      <c r="SUE211" s="260"/>
      <c r="SUF211" s="260"/>
      <c r="SUG211" s="260"/>
      <c r="SUH211" s="260"/>
      <c r="SUI211" s="260"/>
      <c r="SUJ211" s="2"/>
      <c r="SUK211" s="2"/>
      <c r="SUL211" s="2"/>
      <c r="SUM211" s="2"/>
      <c r="SUN211" s="2"/>
      <c r="SUO211" s="2"/>
      <c r="SUP211" s="260"/>
      <c r="SUQ211" s="2"/>
      <c r="SUR211" s="2"/>
      <c r="SUS211" s="2"/>
      <c r="SUT211" s="2"/>
      <c r="SUU211" s="2"/>
      <c r="SUV211" s="2"/>
      <c r="SUW211" s="2"/>
      <c r="SUX211" s="260"/>
      <c r="SUY211" s="260"/>
      <c r="SUZ211" s="260"/>
      <c r="SVA211" s="380"/>
      <c r="SVB211" s="380"/>
      <c r="SVC211" s="380"/>
      <c r="SVD211" s="2"/>
      <c r="SVE211" s="442"/>
      <c r="SVF211" s="442"/>
      <c r="SVG211" s="443"/>
      <c r="SVH211" s="442"/>
      <c r="SVI211" s="442"/>
      <c r="SVJ211" s="2"/>
      <c r="SVK211" s="2"/>
      <c r="SVL211" s="2"/>
      <c r="SVM211" s="2"/>
      <c r="SVN211" s="260"/>
      <c r="SVO211" s="260"/>
      <c r="SVP211" s="260"/>
      <c r="SVQ211" s="260"/>
      <c r="SVR211" s="260"/>
      <c r="SVS211" s="260"/>
      <c r="SVT211" s="308"/>
      <c r="SVU211" s="290"/>
      <c r="SVV211" s="290"/>
      <c r="SVW211" s="260"/>
      <c r="SVX211" s="260"/>
      <c r="SVY211" s="260"/>
      <c r="SVZ211" s="260"/>
      <c r="SWA211" s="260"/>
      <c r="SWB211" s="2"/>
      <c r="SWC211" s="2"/>
      <c r="SWD211" s="2"/>
      <c r="SWE211" s="2"/>
      <c r="SWF211" s="2"/>
      <c r="SWG211" s="2"/>
      <c r="SWH211" s="260"/>
      <c r="SWI211" s="2"/>
      <c r="SWJ211" s="2"/>
      <c r="SWK211" s="2"/>
      <c r="SWL211" s="2"/>
      <c r="SWM211" s="2"/>
      <c r="SWN211" s="2"/>
      <c r="SWO211" s="2"/>
      <c r="SWP211" s="260"/>
      <c r="SWQ211" s="260"/>
      <c r="SWR211" s="260"/>
      <c r="SWS211" s="380"/>
      <c r="SWT211" s="380"/>
      <c r="SWU211" s="380"/>
      <c r="SWV211" s="2"/>
      <c r="SWW211" s="442"/>
      <c r="SWX211" s="442"/>
      <c r="SWY211" s="443"/>
      <c r="SWZ211" s="442"/>
      <c r="SXA211" s="442"/>
      <c r="SXB211" s="2"/>
      <c r="SXC211" s="2"/>
      <c r="SXD211" s="2"/>
      <c r="SXE211" s="2"/>
      <c r="SXF211" s="260"/>
      <c r="SXG211" s="260"/>
      <c r="SXH211" s="260"/>
      <c r="SXI211" s="260"/>
      <c r="SXJ211" s="260"/>
      <c r="SXK211" s="260"/>
      <c r="SXL211" s="308"/>
      <c r="SXM211" s="290"/>
      <c r="SXN211" s="290"/>
      <c r="SXO211" s="260"/>
      <c r="SXP211" s="260"/>
      <c r="SXQ211" s="260"/>
      <c r="SXR211" s="260"/>
      <c r="SXS211" s="260"/>
      <c r="SXT211" s="2"/>
      <c r="SXU211" s="2"/>
      <c r="SXV211" s="2"/>
      <c r="SXW211" s="2"/>
      <c r="SXX211" s="2"/>
      <c r="SXY211" s="2"/>
      <c r="SXZ211" s="260"/>
      <c r="SYA211" s="2"/>
      <c r="SYB211" s="2"/>
      <c r="SYC211" s="2"/>
      <c r="SYD211" s="2"/>
      <c r="SYE211" s="2"/>
      <c r="SYF211" s="2"/>
      <c r="SYG211" s="2"/>
      <c r="SYH211" s="260"/>
      <c r="SYI211" s="260"/>
      <c r="SYJ211" s="260"/>
      <c r="SYK211" s="380"/>
      <c r="SYL211" s="380"/>
      <c r="SYM211" s="380"/>
      <c r="SYN211" s="2"/>
      <c r="SYO211" s="442"/>
      <c r="SYP211" s="442"/>
      <c r="SYQ211" s="443"/>
      <c r="SYR211" s="442"/>
      <c r="SYS211" s="442"/>
      <c r="SYT211" s="2"/>
      <c r="SYU211" s="2"/>
      <c r="SYV211" s="2"/>
      <c r="SYW211" s="2"/>
      <c r="SYX211" s="260"/>
      <c r="SYY211" s="260"/>
      <c r="SYZ211" s="260"/>
      <c r="SZA211" s="260"/>
      <c r="SZB211" s="260"/>
      <c r="SZC211" s="260"/>
      <c r="SZD211" s="308"/>
      <c r="SZE211" s="290"/>
      <c r="SZF211" s="290"/>
      <c r="SZG211" s="260"/>
      <c r="SZH211" s="260"/>
      <c r="SZI211" s="260"/>
      <c r="SZJ211" s="260"/>
      <c r="SZK211" s="260"/>
      <c r="SZL211" s="2"/>
      <c r="SZM211" s="2"/>
      <c r="SZN211" s="2"/>
      <c r="SZO211" s="2"/>
      <c r="SZP211" s="2"/>
      <c r="SZQ211" s="2"/>
      <c r="SZR211" s="260"/>
      <c r="SZS211" s="2"/>
      <c r="SZT211" s="2"/>
      <c r="SZU211" s="2"/>
      <c r="SZV211" s="2"/>
      <c r="SZW211" s="2"/>
      <c r="SZX211" s="2"/>
      <c r="SZY211" s="2"/>
      <c r="SZZ211" s="260"/>
      <c r="TAA211" s="260"/>
      <c r="TAB211" s="260"/>
      <c r="TAC211" s="380"/>
      <c r="TAD211" s="380"/>
      <c r="TAE211" s="380"/>
      <c r="TAF211" s="2"/>
      <c r="TAG211" s="442"/>
      <c r="TAH211" s="442"/>
      <c r="TAI211" s="443"/>
      <c r="TAJ211" s="442"/>
      <c r="TAK211" s="442"/>
      <c r="TAL211" s="2"/>
      <c r="TAM211" s="2"/>
      <c r="TAN211" s="2"/>
      <c r="TAO211" s="2"/>
      <c r="TAP211" s="260"/>
      <c r="TAQ211" s="260"/>
      <c r="TAR211" s="260"/>
      <c r="TAS211" s="260"/>
      <c r="TAT211" s="260"/>
      <c r="TAU211" s="260"/>
      <c r="TAV211" s="308"/>
      <c r="TAW211" s="290"/>
      <c r="TAX211" s="290"/>
      <c r="TAY211" s="260"/>
      <c r="TAZ211" s="260"/>
      <c r="TBA211" s="260"/>
      <c r="TBB211" s="260"/>
      <c r="TBC211" s="260"/>
      <c r="TBD211" s="2"/>
      <c r="TBE211" s="2"/>
      <c r="TBF211" s="2"/>
      <c r="TBG211" s="2"/>
      <c r="TBH211" s="2"/>
      <c r="TBI211" s="2"/>
      <c r="TBJ211" s="260"/>
      <c r="TBK211" s="2"/>
      <c r="TBL211" s="2"/>
      <c r="TBM211" s="2"/>
      <c r="TBN211" s="2"/>
      <c r="TBO211" s="2"/>
      <c r="TBP211" s="2"/>
      <c r="TBQ211" s="2"/>
      <c r="TBR211" s="260"/>
      <c r="TBS211" s="260"/>
      <c r="TBT211" s="260"/>
      <c r="TBU211" s="380"/>
      <c r="TBV211" s="380"/>
      <c r="TBW211" s="380"/>
      <c r="TBX211" s="2"/>
      <c r="TBY211" s="442"/>
      <c r="TBZ211" s="442"/>
      <c r="TCA211" s="443"/>
      <c r="TCB211" s="442"/>
      <c r="TCC211" s="442"/>
      <c r="TCD211" s="2"/>
      <c r="TCE211" s="2"/>
      <c r="TCF211" s="2"/>
      <c r="TCG211" s="2"/>
      <c r="TCH211" s="260"/>
      <c r="TCI211" s="260"/>
      <c r="TCJ211" s="260"/>
      <c r="TCK211" s="260"/>
      <c r="TCL211" s="260"/>
      <c r="TCM211" s="260"/>
      <c r="TCN211" s="308"/>
      <c r="TCO211" s="290"/>
      <c r="TCP211" s="290"/>
      <c r="TCQ211" s="260"/>
      <c r="TCR211" s="260"/>
      <c r="TCS211" s="260"/>
      <c r="TCT211" s="260"/>
      <c r="TCU211" s="260"/>
      <c r="TCV211" s="2"/>
      <c r="TCW211" s="2"/>
      <c r="TCX211" s="2"/>
      <c r="TCY211" s="2"/>
      <c r="TCZ211" s="2"/>
      <c r="TDA211" s="2"/>
      <c r="TDB211" s="260"/>
      <c r="TDC211" s="2"/>
      <c r="TDD211" s="2"/>
      <c r="TDE211" s="2"/>
      <c r="TDF211" s="2"/>
      <c r="TDG211" s="2"/>
      <c r="TDH211" s="2"/>
      <c r="TDI211" s="2"/>
      <c r="TDJ211" s="260"/>
      <c r="TDK211" s="260"/>
      <c r="TDL211" s="260"/>
      <c r="TDM211" s="380"/>
      <c r="TDN211" s="380"/>
      <c r="TDO211" s="380"/>
      <c r="TDP211" s="2"/>
      <c r="TDQ211" s="442"/>
      <c r="TDR211" s="442"/>
      <c r="TDS211" s="443"/>
      <c r="TDT211" s="442"/>
      <c r="TDU211" s="442"/>
      <c r="TDV211" s="2"/>
      <c r="TDW211" s="2"/>
      <c r="TDX211" s="2"/>
      <c r="TDY211" s="2"/>
      <c r="TDZ211" s="260"/>
      <c r="TEA211" s="260"/>
      <c r="TEB211" s="260"/>
      <c r="TEC211" s="260"/>
      <c r="TED211" s="260"/>
      <c r="TEE211" s="260"/>
      <c r="TEF211" s="308"/>
      <c r="TEG211" s="290"/>
      <c r="TEH211" s="290"/>
      <c r="TEI211" s="260"/>
      <c r="TEJ211" s="260"/>
      <c r="TEK211" s="260"/>
      <c r="TEL211" s="260"/>
      <c r="TEM211" s="260"/>
      <c r="TEN211" s="2"/>
      <c r="TEO211" s="2"/>
      <c r="TEP211" s="2"/>
      <c r="TEQ211" s="2"/>
      <c r="TER211" s="2"/>
      <c r="TES211" s="2"/>
      <c r="TET211" s="260"/>
      <c r="TEU211" s="2"/>
      <c r="TEV211" s="2"/>
      <c r="TEW211" s="2"/>
      <c r="TEX211" s="2"/>
      <c r="TEY211" s="2"/>
      <c r="TEZ211" s="2"/>
      <c r="TFA211" s="2"/>
      <c r="TFB211" s="260"/>
      <c r="TFC211" s="260"/>
      <c r="TFD211" s="260"/>
      <c r="TFE211" s="380"/>
      <c r="TFF211" s="380"/>
      <c r="TFG211" s="380"/>
      <c r="TFH211" s="2"/>
      <c r="TFI211" s="442"/>
      <c r="TFJ211" s="442"/>
      <c r="TFK211" s="443"/>
      <c r="TFL211" s="442"/>
      <c r="TFM211" s="442"/>
      <c r="TFN211" s="2"/>
      <c r="TFO211" s="2"/>
      <c r="TFP211" s="2"/>
      <c r="TFQ211" s="2"/>
      <c r="TFR211" s="260"/>
      <c r="TFS211" s="260"/>
      <c r="TFT211" s="260"/>
      <c r="TFU211" s="260"/>
      <c r="TFV211" s="260"/>
      <c r="TFW211" s="260"/>
      <c r="TFX211" s="308"/>
      <c r="TFY211" s="290"/>
      <c r="TFZ211" s="290"/>
      <c r="TGA211" s="260"/>
      <c r="TGB211" s="260"/>
      <c r="TGC211" s="260"/>
      <c r="TGD211" s="260"/>
      <c r="TGE211" s="260"/>
      <c r="TGF211" s="2"/>
      <c r="TGG211" s="2"/>
      <c r="TGH211" s="2"/>
      <c r="TGI211" s="2"/>
      <c r="TGJ211" s="2"/>
      <c r="TGK211" s="2"/>
      <c r="TGL211" s="260"/>
      <c r="TGM211" s="2"/>
      <c r="TGN211" s="2"/>
      <c r="TGO211" s="2"/>
      <c r="TGP211" s="2"/>
      <c r="TGQ211" s="2"/>
      <c r="TGR211" s="2"/>
      <c r="TGS211" s="2"/>
      <c r="TGT211" s="260"/>
      <c r="TGU211" s="260"/>
      <c r="TGV211" s="260"/>
      <c r="TGW211" s="380"/>
      <c r="TGX211" s="380"/>
      <c r="TGY211" s="380"/>
      <c r="TGZ211" s="2"/>
      <c r="THA211" s="442"/>
      <c r="THB211" s="442"/>
      <c r="THC211" s="443"/>
      <c r="THD211" s="442"/>
      <c r="THE211" s="442"/>
      <c r="THF211" s="2"/>
      <c r="THG211" s="2"/>
      <c r="THH211" s="2"/>
      <c r="THI211" s="2"/>
      <c r="THJ211" s="260"/>
      <c r="THK211" s="260"/>
      <c r="THL211" s="260"/>
      <c r="THM211" s="260"/>
      <c r="THN211" s="260"/>
      <c r="THO211" s="260"/>
      <c r="THP211" s="308"/>
      <c r="THQ211" s="290"/>
      <c r="THR211" s="290"/>
      <c r="THS211" s="260"/>
      <c r="THT211" s="260"/>
      <c r="THU211" s="260"/>
      <c r="THV211" s="260"/>
      <c r="THW211" s="260"/>
      <c r="THX211" s="2"/>
      <c r="THY211" s="2"/>
      <c r="THZ211" s="2"/>
      <c r="TIA211" s="2"/>
      <c r="TIB211" s="2"/>
      <c r="TIC211" s="2"/>
      <c r="TID211" s="260"/>
      <c r="TIE211" s="2"/>
      <c r="TIF211" s="2"/>
      <c r="TIG211" s="2"/>
      <c r="TIH211" s="2"/>
      <c r="TII211" s="2"/>
      <c r="TIJ211" s="2"/>
      <c r="TIK211" s="2"/>
      <c r="TIL211" s="260"/>
      <c r="TIM211" s="260"/>
      <c r="TIN211" s="260"/>
      <c r="TIO211" s="380"/>
      <c r="TIP211" s="380"/>
      <c r="TIQ211" s="380"/>
      <c r="TIR211" s="2"/>
      <c r="TIS211" s="442"/>
      <c r="TIT211" s="442"/>
      <c r="TIU211" s="443"/>
      <c r="TIV211" s="442"/>
      <c r="TIW211" s="442"/>
      <c r="TIX211" s="2"/>
      <c r="TIY211" s="2"/>
      <c r="TIZ211" s="2"/>
      <c r="TJA211" s="2"/>
      <c r="TJB211" s="260"/>
      <c r="TJC211" s="260"/>
      <c r="TJD211" s="260"/>
      <c r="TJE211" s="260"/>
      <c r="TJF211" s="260"/>
      <c r="TJG211" s="260"/>
      <c r="TJH211" s="308"/>
      <c r="TJI211" s="290"/>
      <c r="TJJ211" s="290"/>
      <c r="TJK211" s="260"/>
      <c r="TJL211" s="260"/>
      <c r="TJM211" s="260"/>
      <c r="TJN211" s="260"/>
      <c r="TJO211" s="260"/>
      <c r="TJP211" s="2"/>
      <c r="TJQ211" s="2"/>
      <c r="TJR211" s="2"/>
      <c r="TJS211" s="2"/>
      <c r="TJT211" s="2"/>
      <c r="TJU211" s="2"/>
      <c r="TJV211" s="260"/>
      <c r="TJW211" s="2"/>
      <c r="TJX211" s="2"/>
      <c r="TJY211" s="2"/>
      <c r="TJZ211" s="2"/>
      <c r="TKA211" s="2"/>
      <c r="TKB211" s="2"/>
      <c r="TKC211" s="2"/>
      <c r="TKD211" s="260"/>
      <c r="TKE211" s="260"/>
      <c r="TKF211" s="260"/>
      <c r="TKG211" s="380"/>
      <c r="TKH211" s="380"/>
      <c r="TKI211" s="380"/>
      <c r="TKJ211" s="2"/>
      <c r="TKK211" s="442"/>
      <c r="TKL211" s="442"/>
      <c r="TKM211" s="443"/>
      <c r="TKN211" s="442"/>
      <c r="TKO211" s="442"/>
      <c r="TKP211" s="2"/>
      <c r="TKQ211" s="2"/>
      <c r="TKR211" s="2"/>
      <c r="TKS211" s="2"/>
      <c r="TKT211" s="260"/>
      <c r="TKU211" s="260"/>
      <c r="TKV211" s="260"/>
      <c r="TKW211" s="260"/>
      <c r="TKX211" s="260"/>
      <c r="TKY211" s="260"/>
      <c r="TKZ211" s="308"/>
      <c r="TLA211" s="290"/>
      <c r="TLB211" s="290"/>
      <c r="TLC211" s="260"/>
      <c r="TLD211" s="260"/>
      <c r="TLE211" s="260"/>
      <c r="TLF211" s="260"/>
      <c r="TLG211" s="260"/>
      <c r="TLH211" s="2"/>
      <c r="TLI211" s="2"/>
      <c r="TLJ211" s="2"/>
      <c r="TLK211" s="2"/>
      <c r="TLL211" s="2"/>
      <c r="TLM211" s="2"/>
      <c r="TLN211" s="260"/>
      <c r="TLO211" s="2"/>
      <c r="TLP211" s="2"/>
      <c r="TLQ211" s="2"/>
      <c r="TLR211" s="2"/>
      <c r="TLS211" s="2"/>
      <c r="TLT211" s="2"/>
      <c r="TLU211" s="2"/>
      <c r="TLV211" s="260"/>
      <c r="TLW211" s="260"/>
      <c r="TLX211" s="260"/>
      <c r="TLY211" s="380"/>
      <c r="TLZ211" s="380"/>
      <c r="TMA211" s="380"/>
      <c r="TMB211" s="2"/>
      <c r="TMC211" s="442"/>
      <c r="TMD211" s="442"/>
      <c r="TME211" s="443"/>
      <c r="TMF211" s="442"/>
      <c r="TMG211" s="442"/>
      <c r="TMH211" s="2"/>
      <c r="TMI211" s="2"/>
      <c r="TMJ211" s="2"/>
      <c r="TMK211" s="2"/>
      <c r="TML211" s="260"/>
      <c r="TMM211" s="260"/>
      <c r="TMN211" s="260"/>
      <c r="TMO211" s="260"/>
      <c r="TMP211" s="260"/>
      <c r="TMQ211" s="260"/>
      <c r="TMR211" s="308"/>
      <c r="TMS211" s="290"/>
      <c r="TMT211" s="290"/>
      <c r="TMU211" s="260"/>
      <c r="TMV211" s="260"/>
      <c r="TMW211" s="260"/>
      <c r="TMX211" s="260"/>
      <c r="TMY211" s="260"/>
      <c r="TMZ211" s="2"/>
      <c r="TNA211" s="2"/>
      <c r="TNB211" s="2"/>
      <c r="TNC211" s="2"/>
      <c r="TND211" s="2"/>
      <c r="TNE211" s="2"/>
      <c r="TNF211" s="260"/>
      <c r="TNG211" s="2"/>
      <c r="TNH211" s="2"/>
      <c r="TNI211" s="2"/>
      <c r="TNJ211" s="2"/>
      <c r="TNK211" s="2"/>
      <c r="TNL211" s="2"/>
      <c r="TNM211" s="2"/>
      <c r="TNN211" s="260"/>
      <c r="TNO211" s="260"/>
      <c r="TNP211" s="260"/>
      <c r="TNQ211" s="380"/>
      <c r="TNR211" s="380"/>
      <c r="TNS211" s="380"/>
      <c r="TNT211" s="2"/>
      <c r="TNU211" s="442"/>
      <c r="TNV211" s="442"/>
      <c r="TNW211" s="443"/>
      <c r="TNX211" s="442"/>
      <c r="TNY211" s="442"/>
      <c r="TNZ211" s="2"/>
      <c r="TOA211" s="2"/>
      <c r="TOB211" s="2"/>
      <c r="TOC211" s="2"/>
      <c r="TOD211" s="260"/>
      <c r="TOE211" s="260"/>
      <c r="TOF211" s="260"/>
      <c r="TOG211" s="260"/>
      <c r="TOH211" s="260"/>
      <c r="TOI211" s="260"/>
      <c r="TOJ211" s="308"/>
      <c r="TOK211" s="290"/>
      <c r="TOL211" s="290"/>
      <c r="TOM211" s="260"/>
      <c r="TON211" s="260"/>
      <c r="TOO211" s="260"/>
      <c r="TOP211" s="260"/>
      <c r="TOQ211" s="260"/>
      <c r="TOR211" s="2"/>
      <c r="TOS211" s="2"/>
      <c r="TOT211" s="2"/>
      <c r="TOU211" s="2"/>
      <c r="TOV211" s="2"/>
      <c r="TOW211" s="2"/>
      <c r="TOX211" s="260"/>
      <c r="TOY211" s="2"/>
      <c r="TOZ211" s="2"/>
      <c r="TPA211" s="2"/>
      <c r="TPB211" s="2"/>
      <c r="TPC211" s="2"/>
      <c r="TPD211" s="2"/>
      <c r="TPE211" s="2"/>
      <c r="TPF211" s="260"/>
      <c r="TPG211" s="260"/>
      <c r="TPH211" s="260"/>
      <c r="TPI211" s="380"/>
      <c r="TPJ211" s="380"/>
      <c r="TPK211" s="380"/>
      <c r="TPL211" s="2"/>
      <c r="TPM211" s="442"/>
      <c r="TPN211" s="442"/>
      <c r="TPO211" s="443"/>
      <c r="TPP211" s="442"/>
      <c r="TPQ211" s="442"/>
      <c r="TPR211" s="2"/>
      <c r="TPS211" s="2"/>
      <c r="TPT211" s="2"/>
      <c r="TPU211" s="2"/>
      <c r="TPV211" s="260"/>
      <c r="TPW211" s="260"/>
      <c r="TPX211" s="260"/>
      <c r="TPY211" s="260"/>
      <c r="TPZ211" s="260"/>
      <c r="TQA211" s="260"/>
      <c r="TQB211" s="308"/>
      <c r="TQC211" s="290"/>
      <c r="TQD211" s="290"/>
      <c r="TQE211" s="260"/>
      <c r="TQF211" s="260"/>
      <c r="TQG211" s="260"/>
      <c r="TQH211" s="260"/>
      <c r="TQI211" s="260"/>
      <c r="TQJ211" s="2"/>
      <c r="TQK211" s="2"/>
      <c r="TQL211" s="2"/>
      <c r="TQM211" s="2"/>
      <c r="TQN211" s="2"/>
      <c r="TQO211" s="2"/>
      <c r="TQP211" s="260"/>
      <c r="TQQ211" s="2"/>
      <c r="TQR211" s="2"/>
      <c r="TQS211" s="2"/>
      <c r="TQT211" s="2"/>
      <c r="TQU211" s="2"/>
      <c r="TQV211" s="2"/>
      <c r="TQW211" s="2"/>
      <c r="TQX211" s="260"/>
      <c r="TQY211" s="260"/>
      <c r="TQZ211" s="260"/>
      <c r="TRA211" s="380"/>
      <c r="TRB211" s="380"/>
      <c r="TRC211" s="380"/>
      <c r="TRD211" s="2"/>
      <c r="TRE211" s="442"/>
      <c r="TRF211" s="442"/>
      <c r="TRG211" s="443"/>
      <c r="TRH211" s="442"/>
      <c r="TRI211" s="442"/>
      <c r="TRJ211" s="2"/>
      <c r="TRK211" s="2"/>
      <c r="TRL211" s="2"/>
      <c r="TRM211" s="2"/>
      <c r="TRN211" s="260"/>
      <c r="TRO211" s="260"/>
      <c r="TRP211" s="260"/>
      <c r="TRQ211" s="260"/>
      <c r="TRR211" s="260"/>
      <c r="TRS211" s="260"/>
      <c r="TRT211" s="308"/>
      <c r="TRU211" s="290"/>
      <c r="TRV211" s="290"/>
      <c r="TRW211" s="260"/>
      <c r="TRX211" s="260"/>
      <c r="TRY211" s="260"/>
      <c r="TRZ211" s="260"/>
      <c r="TSA211" s="260"/>
      <c r="TSB211" s="2"/>
      <c r="TSC211" s="2"/>
      <c r="TSD211" s="2"/>
      <c r="TSE211" s="2"/>
      <c r="TSF211" s="2"/>
      <c r="TSG211" s="2"/>
      <c r="TSH211" s="260"/>
      <c r="TSI211" s="2"/>
      <c r="TSJ211" s="2"/>
      <c r="TSK211" s="2"/>
      <c r="TSL211" s="2"/>
      <c r="TSM211" s="2"/>
      <c r="TSN211" s="2"/>
      <c r="TSO211" s="2"/>
      <c r="TSP211" s="260"/>
      <c r="TSQ211" s="260"/>
      <c r="TSR211" s="260"/>
      <c r="TSS211" s="380"/>
      <c r="TST211" s="380"/>
      <c r="TSU211" s="380"/>
      <c r="TSV211" s="2"/>
      <c r="TSW211" s="442"/>
      <c r="TSX211" s="442"/>
      <c r="TSY211" s="443"/>
      <c r="TSZ211" s="442"/>
      <c r="TTA211" s="442"/>
      <c r="TTB211" s="2"/>
      <c r="TTC211" s="2"/>
      <c r="TTD211" s="2"/>
      <c r="TTE211" s="2"/>
      <c r="TTF211" s="260"/>
      <c r="TTG211" s="260"/>
      <c r="TTH211" s="260"/>
      <c r="TTI211" s="260"/>
      <c r="TTJ211" s="260"/>
      <c r="TTK211" s="260"/>
      <c r="TTL211" s="308"/>
      <c r="TTM211" s="290"/>
      <c r="TTN211" s="290"/>
      <c r="TTO211" s="260"/>
      <c r="TTP211" s="260"/>
      <c r="TTQ211" s="260"/>
      <c r="TTR211" s="260"/>
      <c r="TTS211" s="260"/>
      <c r="TTT211" s="2"/>
      <c r="TTU211" s="2"/>
      <c r="TTV211" s="2"/>
      <c r="TTW211" s="2"/>
      <c r="TTX211" s="2"/>
      <c r="TTY211" s="2"/>
      <c r="TTZ211" s="260"/>
      <c r="TUA211" s="2"/>
      <c r="TUB211" s="2"/>
      <c r="TUC211" s="2"/>
      <c r="TUD211" s="2"/>
      <c r="TUE211" s="2"/>
      <c r="TUF211" s="2"/>
      <c r="TUG211" s="2"/>
      <c r="TUH211" s="260"/>
      <c r="TUI211" s="260"/>
      <c r="TUJ211" s="260"/>
      <c r="TUK211" s="380"/>
      <c r="TUL211" s="380"/>
      <c r="TUM211" s="380"/>
      <c r="TUN211" s="2"/>
      <c r="TUO211" s="442"/>
      <c r="TUP211" s="442"/>
      <c r="TUQ211" s="443"/>
      <c r="TUR211" s="442"/>
      <c r="TUS211" s="442"/>
      <c r="TUT211" s="2"/>
      <c r="TUU211" s="2"/>
      <c r="TUV211" s="2"/>
      <c r="TUW211" s="2"/>
      <c r="TUX211" s="260"/>
      <c r="TUY211" s="260"/>
      <c r="TUZ211" s="260"/>
      <c r="TVA211" s="260"/>
      <c r="TVB211" s="260"/>
      <c r="TVC211" s="260"/>
      <c r="TVD211" s="308"/>
      <c r="TVE211" s="290"/>
      <c r="TVF211" s="290"/>
      <c r="TVG211" s="260"/>
      <c r="TVH211" s="260"/>
      <c r="TVI211" s="260"/>
      <c r="TVJ211" s="260"/>
      <c r="TVK211" s="260"/>
      <c r="TVL211" s="2"/>
      <c r="TVM211" s="2"/>
      <c r="TVN211" s="2"/>
      <c r="TVO211" s="2"/>
      <c r="TVP211" s="2"/>
      <c r="TVQ211" s="2"/>
      <c r="TVR211" s="260"/>
      <c r="TVS211" s="2"/>
      <c r="TVT211" s="2"/>
      <c r="TVU211" s="2"/>
      <c r="TVV211" s="2"/>
      <c r="TVW211" s="2"/>
      <c r="TVX211" s="2"/>
      <c r="TVY211" s="2"/>
      <c r="TVZ211" s="260"/>
      <c r="TWA211" s="260"/>
      <c r="TWB211" s="260"/>
      <c r="TWC211" s="380"/>
      <c r="TWD211" s="380"/>
      <c r="TWE211" s="380"/>
      <c r="TWF211" s="2"/>
      <c r="TWG211" s="442"/>
      <c r="TWH211" s="442"/>
      <c r="TWI211" s="443"/>
      <c r="TWJ211" s="442"/>
      <c r="TWK211" s="442"/>
      <c r="TWL211" s="2"/>
      <c r="TWM211" s="2"/>
      <c r="TWN211" s="2"/>
      <c r="TWO211" s="2"/>
      <c r="TWP211" s="260"/>
      <c r="TWQ211" s="260"/>
      <c r="TWR211" s="260"/>
      <c r="TWS211" s="260"/>
      <c r="TWT211" s="260"/>
      <c r="TWU211" s="260"/>
      <c r="TWV211" s="308"/>
      <c r="TWW211" s="290"/>
      <c r="TWX211" s="290"/>
      <c r="TWY211" s="260"/>
      <c r="TWZ211" s="260"/>
      <c r="TXA211" s="260"/>
      <c r="TXB211" s="260"/>
      <c r="TXC211" s="260"/>
      <c r="TXD211" s="2"/>
      <c r="TXE211" s="2"/>
      <c r="TXF211" s="2"/>
      <c r="TXG211" s="2"/>
      <c r="TXH211" s="2"/>
      <c r="TXI211" s="2"/>
      <c r="TXJ211" s="260"/>
      <c r="TXK211" s="2"/>
      <c r="TXL211" s="2"/>
      <c r="TXM211" s="2"/>
      <c r="TXN211" s="2"/>
      <c r="TXO211" s="2"/>
      <c r="TXP211" s="2"/>
      <c r="TXQ211" s="2"/>
      <c r="TXR211" s="260"/>
      <c r="TXS211" s="260"/>
      <c r="TXT211" s="260"/>
      <c r="TXU211" s="380"/>
      <c r="TXV211" s="380"/>
      <c r="TXW211" s="380"/>
      <c r="TXX211" s="2"/>
      <c r="TXY211" s="442"/>
      <c r="TXZ211" s="442"/>
      <c r="TYA211" s="443"/>
      <c r="TYB211" s="442"/>
      <c r="TYC211" s="442"/>
      <c r="TYD211" s="2"/>
      <c r="TYE211" s="2"/>
      <c r="TYF211" s="2"/>
      <c r="TYG211" s="2"/>
      <c r="TYH211" s="260"/>
      <c r="TYI211" s="260"/>
      <c r="TYJ211" s="260"/>
      <c r="TYK211" s="260"/>
      <c r="TYL211" s="260"/>
      <c r="TYM211" s="260"/>
      <c r="TYN211" s="308"/>
      <c r="TYO211" s="290"/>
      <c r="TYP211" s="290"/>
      <c r="TYQ211" s="260"/>
      <c r="TYR211" s="260"/>
      <c r="TYS211" s="260"/>
      <c r="TYT211" s="260"/>
      <c r="TYU211" s="260"/>
      <c r="TYV211" s="2"/>
      <c r="TYW211" s="2"/>
      <c r="TYX211" s="2"/>
      <c r="TYY211" s="2"/>
      <c r="TYZ211" s="2"/>
      <c r="TZA211" s="2"/>
      <c r="TZB211" s="260"/>
      <c r="TZC211" s="2"/>
      <c r="TZD211" s="2"/>
      <c r="TZE211" s="2"/>
      <c r="TZF211" s="2"/>
      <c r="TZG211" s="2"/>
      <c r="TZH211" s="2"/>
      <c r="TZI211" s="2"/>
      <c r="TZJ211" s="260"/>
      <c r="TZK211" s="260"/>
      <c r="TZL211" s="260"/>
      <c r="TZM211" s="380"/>
      <c r="TZN211" s="380"/>
      <c r="TZO211" s="380"/>
      <c r="TZP211" s="2"/>
      <c r="TZQ211" s="442"/>
      <c r="TZR211" s="442"/>
      <c r="TZS211" s="443"/>
      <c r="TZT211" s="442"/>
      <c r="TZU211" s="442"/>
      <c r="TZV211" s="2"/>
      <c r="TZW211" s="2"/>
      <c r="TZX211" s="2"/>
      <c r="TZY211" s="2"/>
      <c r="TZZ211" s="260"/>
      <c r="UAA211" s="260"/>
      <c r="UAB211" s="260"/>
      <c r="UAC211" s="260"/>
      <c r="UAD211" s="260"/>
      <c r="UAE211" s="260"/>
      <c r="UAF211" s="308"/>
      <c r="UAG211" s="290"/>
      <c r="UAH211" s="290"/>
      <c r="UAI211" s="260"/>
      <c r="UAJ211" s="260"/>
      <c r="UAK211" s="260"/>
      <c r="UAL211" s="260"/>
      <c r="UAM211" s="260"/>
      <c r="UAN211" s="2"/>
      <c r="UAO211" s="2"/>
      <c r="UAP211" s="2"/>
      <c r="UAQ211" s="2"/>
      <c r="UAR211" s="2"/>
      <c r="UAS211" s="2"/>
      <c r="UAT211" s="260"/>
      <c r="UAU211" s="2"/>
      <c r="UAV211" s="2"/>
      <c r="UAW211" s="2"/>
      <c r="UAX211" s="2"/>
      <c r="UAY211" s="2"/>
      <c r="UAZ211" s="2"/>
      <c r="UBA211" s="2"/>
      <c r="UBB211" s="260"/>
      <c r="UBC211" s="260"/>
      <c r="UBD211" s="260"/>
      <c r="UBE211" s="380"/>
      <c r="UBF211" s="380"/>
      <c r="UBG211" s="380"/>
      <c r="UBH211" s="2"/>
      <c r="UBI211" s="442"/>
      <c r="UBJ211" s="442"/>
      <c r="UBK211" s="443"/>
      <c r="UBL211" s="442"/>
      <c r="UBM211" s="442"/>
      <c r="UBN211" s="2"/>
      <c r="UBO211" s="2"/>
      <c r="UBP211" s="2"/>
      <c r="UBQ211" s="2"/>
      <c r="UBR211" s="260"/>
      <c r="UBS211" s="260"/>
      <c r="UBT211" s="260"/>
      <c r="UBU211" s="260"/>
      <c r="UBV211" s="260"/>
      <c r="UBW211" s="260"/>
      <c r="UBX211" s="308"/>
      <c r="UBY211" s="290"/>
      <c r="UBZ211" s="290"/>
      <c r="UCA211" s="260"/>
      <c r="UCB211" s="260"/>
      <c r="UCC211" s="260"/>
      <c r="UCD211" s="260"/>
      <c r="UCE211" s="260"/>
      <c r="UCF211" s="2"/>
      <c r="UCG211" s="2"/>
      <c r="UCH211" s="2"/>
      <c r="UCI211" s="2"/>
      <c r="UCJ211" s="2"/>
      <c r="UCK211" s="2"/>
      <c r="UCL211" s="260"/>
      <c r="UCM211" s="2"/>
      <c r="UCN211" s="2"/>
      <c r="UCO211" s="2"/>
      <c r="UCP211" s="2"/>
      <c r="UCQ211" s="2"/>
      <c r="UCR211" s="2"/>
      <c r="UCS211" s="2"/>
      <c r="UCT211" s="260"/>
      <c r="UCU211" s="260"/>
      <c r="UCV211" s="260"/>
      <c r="UCW211" s="380"/>
      <c r="UCX211" s="380"/>
      <c r="UCY211" s="380"/>
      <c r="UCZ211" s="2"/>
      <c r="UDA211" s="442"/>
      <c r="UDB211" s="442"/>
      <c r="UDC211" s="443"/>
      <c r="UDD211" s="442"/>
      <c r="UDE211" s="442"/>
      <c r="UDF211" s="2"/>
      <c r="UDG211" s="2"/>
      <c r="UDH211" s="2"/>
      <c r="UDI211" s="2"/>
      <c r="UDJ211" s="260"/>
      <c r="UDK211" s="260"/>
      <c r="UDL211" s="260"/>
      <c r="UDM211" s="260"/>
      <c r="UDN211" s="260"/>
      <c r="UDO211" s="260"/>
      <c r="UDP211" s="308"/>
      <c r="UDQ211" s="290"/>
      <c r="UDR211" s="290"/>
      <c r="UDS211" s="260"/>
      <c r="UDT211" s="260"/>
      <c r="UDU211" s="260"/>
      <c r="UDV211" s="260"/>
      <c r="UDW211" s="260"/>
      <c r="UDX211" s="2"/>
      <c r="UDY211" s="2"/>
      <c r="UDZ211" s="2"/>
      <c r="UEA211" s="2"/>
      <c r="UEB211" s="2"/>
      <c r="UEC211" s="2"/>
      <c r="UED211" s="260"/>
      <c r="UEE211" s="2"/>
      <c r="UEF211" s="2"/>
      <c r="UEG211" s="2"/>
      <c r="UEH211" s="2"/>
      <c r="UEI211" s="2"/>
      <c r="UEJ211" s="2"/>
      <c r="UEK211" s="2"/>
      <c r="UEL211" s="260"/>
      <c r="UEM211" s="260"/>
      <c r="UEN211" s="260"/>
      <c r="UEO211" s="380"/>
      <c r="UEP211" s="380"/>
      <c r="UEQ211" s="380"/>
      <c r="UER211" s="2"/>
      <c r="UES211" s="442"/>
      <c r="UET211" s="442"/>
      <c r="UEU211" s="443"/>
      <c r="UEV211" s="442"/>
      <c r="UEW211" s="442"/>
      <c r="UEX211" s="2"/>
      <c r="UEY211" s="2"/>
      <c r="UEZ211" s="2"/>
      <c r="UFA211" s="2"/>
      <c r="UFB211" s="260"/>
      <c r="UFC211" s="260"/>
      <c r="UFD211" s="260"/>
      <c r="UFE211" s="260"/>
      <c r="UFF211" s="260"/>
      <c r="UFG211" s="260"/>
      <c r="UFH211" s="308"/>
      <c r="UFI211" s="290"/>
      <c r="UFJ211" s="290"/>
      <c r="UFK211" s="260"/>
      <c r="UFL211" s="260"/>
      <c r="UFM211" s="260"/>
      <c r="UFN211" s="260"/>
      <c r="UFO211" s="260"/>
      <c r="UFP211" s="2"/>
      <c r="UFQ211" s="2"/>
      <c r="UFR211" s="2"/>
      <c r="UFS211" s="2"/>
      <c r="UFT211" s="2"/>
      <c r="UFU211" s="2"/>
      <c r="UFV211" s="260"/>
      <c r="UFW211" s="2"/>
      <c r="UFX211" s="2"/>
      <c r="UFY211" s="2"/>
      <c r="UFZ211" s="2"/>
      <c r="UGA211" s="2"/>
      <c r="UGB211" s="2"/>
      <c r="UGC211" s="2"/>
      <c r="UGD211" s="260"/>
      <c r="UGE211" s="260"/>
      <c r="UGF211" s="260"/>
      <c r="UGG211" s="380"/>
      <c r="UGH211" s="380"/>
      <c r="UGI211" s="380"/>
      <c r="UGJ211" s="2"/>
      <c r="UGK211" s="442"/>
      <c r="UGL211" s="442"/>
      <c r="UGM211" s="443"/>
      <c r="UGN211" s="442"/>
      <c r="UGO211" s="442"/>
      <c r="UGP211" s="2"/>
      <c r="UGQ211" s="2"/>
      <c r="UGR211" s="2"/>
      <c r="UGS211" s="2"/>
      <c r="UGT211" s="260"/>
      <c r="UGU211" s="260"/>
      <c r="UGV211" s="260"/>
      <c r="UGW211" s="260"/>
      <c r="UGX211" s="260"/>
      <c r="UGY211" s="260"/>
      <c r="UGZ211" s="308"/>
      <c r="UHA211" s="290"/>
      <c r="UHB211" s="290"/>
      <c r="UHC211" s="260"/>
      <c r="UHD211" s="260"/>
      <c r="UHE211" s="260"/>
      <c r="UHF211" s="260"/>
      <c r="UHG211" s="260"/>
      <c r="UHH211" s="2"/>
      <c r="UHI211" s="2"/>
      <c r="UHJ211" s="2"/>
      <c r="UHK211" s="2"/>
      <c r="UHL211" s="2"/>
      <c r="UHM211" s="2"/>
      <c r="UHN211" s="260"/>
      <c r="UHO211" s="2"/>
      <c r="UHP211" s="2"/>
      <c r="UHQ211" s="2"/>
      <c r="UHR211" s="2"/>
      <c r="UHS211" s="2"/>
      <c r="UHT211" s="2"/>
      <c r="UHU211" s="2"/>
      <c r="UHV211" s="260"/>
      <c r="UHW211" s="260"/>
      <c r="UHX211" s="260"/>
      <c r="UHY211" s="380"/>
      <c r="UHZ211" s="380"/>
      <c r="UIA211" s="380"/>
      <c r="UIB211" s="2"/>
      <c r="UIC211" s="442"/>
      <c r="UID211" s="442"/>
      <c r="UIE211" s="443"/>
      <c r="UIF211" s="442"/>
      <c r="UIG211" s="442"/>
      <c r="UIH211" s="2"/>
      <c r="UII211" s="2"/>
      <c r="UIJ211" s="2"/>
      <c r="UIK211" s="2"/>
      <c r="UIL211" s="260"/>
      <c r="UIM211" s="260"/>
      <c r="UIN211" s="260"/>
      <c r="UIO211" s="260"/>
      <c r="UIP211" s="260"/>
      <c r="UIQ211" s="260"/>
      <c r="UIR211" s="308"/>
      <c r="UIS211" s="290"/>
      <c r="UIT211" s="290"/>
      <c r="UIU211" s="260"/>
      <c r="UIV211" s="260"/>
      <c r="UIW211" s="260"/>
      <c r="UIX211" s="260"/>
      <c r="UIY211" s="260"/>
      <c r="UIZ211" s="2"/>
      <c r="UJA211" s="2"/>
      <c r="UJB211" s="2"/>
      <c r="UJC211" s="2"/>
      <c r="UJD211" s="2"/>
      <c r="UJE211" s="2"/>
      <c r="UJF211" s="260"/>
      <c r="UJG211" s="2"/>
      <c r="UJH211" s="2"/>
      <c r="UJI211" s="2"/>
      <c r="UJJ211" s="2"/>
      <c r="UJK211" s="2"/>
      <c r="UJL211" s="2"/>
      <c r="UJM211" s="2"/>
      <c r="UJN211" s="260"/>
      <c r="UJO211" s="260"/>
      <c r="UJP211" s="260"/>
      <c r="UJQ211" s="380"/>
      <c r="UJR211" s="380"/>
      <c r="UJS211" s="380"/>
      <c r="UJT211" s="2"/>
      <c r="UJU211" s="442"/>
      <c r="UJV211" s="442"/>
      <c r="UJW211" s="443"/>
      <c r="UJX211" s="442"/>
      <c r="UJY211" s="442"/>
      <c r="UJZ211" s="2"/>
      <c r="UKA211" s="2"/>
      <c r="UKB211" s="2"/>
      <c r="UKC211" s="2"/>
      <c r="UKD211" s="260"/>
      <c r="UKE211" s="260"/>
      <c r="UKF211" s="260"/>
      <c r="UKG211" s="260"/>
      <c r="UKH211" s="260"/>
      <c r="UKI211" s="260"/>
      <c r="UKJ211" s="308"/>
      <c r="UKK211" s="290"/>
      <c r="UKL211" s="290"/>
      <c r="UKM211" s="260"/>
      <c r="UKN211" s="260"/>
      <c r="UKO211" s="260"/>
      <c r="UKP211" s="260"/>
      <c r="UKQ211" s="260"/>
      <c r="UKR211" s="2"/>
      <c r="UKS211" s="2"/>
      <c r="UKT211" s="2"/>
      <c r="UKU211" s="2"/>
      <c r="UKV211" s="2"/>
      <c r="UKW211" s="2"/>
      <c r="UKX211" s="260"/>
      <c r="UKY211" s="2"/>
      <c r="UKZ211" s="2"/>
      <c r="ULA211" s="2"/>
      <c r="ULB211" s="2"/>
      <c r="ULC211" s="2"/>
      <c r="ULD211" s="2"/>
      <c r="ULE211" s="2"/>
      <c r="ULF211" s="260"/>
      <c r="ULG211" s="260"/>
      <c r="ULH211" s="260"/>
      <c r="ULI211" s="380"/>
      <c r="ULJ211" s="380"/>
      <c r="ULK211" s="380"/>
      <c r="ULL211" s="2"/>
      <c r="ULM211" s="442"/>
      <c r="ULN211" s="442"/>
      <c r="ULO211" s="443"/>
      <c r="ULP211" s="442"/>
      <c r="ULQ211" s="442"/>
      <c r="ULR211" s="2"/>
      <c r="ULS211" s="2"/>
      <c r="ULT211" s="2"/>
      <c r="ULU211" s="2"/>
      <c r="ULV211" s="260"/>
      <c r="ULW211" s="260"/>
      <c r="ULX211" s="260"/>
      <c r="ULY211" s="260"/>
      <c r="ULZ211" s="260"/>
      <c r="UMA211" s="260"/>
      <c r="UMB211" s="308"/>
      <c r="UMC211" s="290"/>
      <c r="UMD211" s="290"/>
      <c r="UME211" s="260"/>
      <c r="UMF211" s="260"/>
      <c r="UMG211" s="260"/>
      <c r="UMH211" s="260"/>
      <c r="UMI211" s="260"/>
      <c r="UMJ211" s="2"/>
      <c r="UMK211" s="2"/>
      <c r="UML211" s="2"/>
      <c r="UMM211" s="2"/>
      <c r="UMN211" s="2"/>
      <c r="UMO211" s="2"/>
      <c r="UMP211" s="260"/>
      <c r="UMQ211" s="2"/>
      <c r="UMR211" s="2"/>
      <c r="UMS211" s="2"/>
      <c r="UMT211" s="2"/>
      <c r="UMU211" s="2"/>
      <c r="UMV211" s="2"/>
      <c r="UMW211" s="2"/>
      <c r="UMX211" s="260"/>
      <c r="UMY211" s="260"/>
      <c r="UMZ211" s="260"/>
      <c r="UNA211" s="380"/>
      <c r="UNB211" s="380"/>
      <c r="UNC211" s="380"/>
      <c r="UND211" s="2"/>
      <c r="UNE211" s="442"/>
      <c r="UNF211" s="442"/>
      <c r="UNG211" s="443"/>
      <c r="UNH211" s="442"/>
      <c r="UNI211" s="442"/>
      <c r="UNJ211" s="2"/>
      <c r="UNK211" s="2"/>
      <c r="UNL211" s="2"/>
      <c r="UNM211" s="2"/>
      <c r="UNN211" s="260"/>
      <c r="UNO211" s="260"/>
      <c r="UNP211" s="260"/>
      <c r="UNQ211" s="260"/>
      <c r="UNR211" s="260"/>
      <c r="UNS211" s="260"/>
      <c r="UNT211" s="308"/>
      <c r="UNU211" s="290"/>
      <c r="UNV211" s="290"/>
      <c r="UNW211" s="260"/>
      <c r="UNX211" s="260"/>
      <c r="UNY211" s="260"/>
      <c r="UNZ211" s="260"/>
      <c r="UOA211" s="260"/>
      <c r="UOB211" s="2"/>
      <c r="UOC211" s="2"/>
      <c r="UOD211" s="2"/>
      <c r="UOE211" s="2"/>
      <c r="UOF211" s="2"/>
      <c r="UOG211" s="2"/>
      <c r="UOH211" s="260"/>
      <c r="UOI211" s="2"/>
      <c r="UOJ211" s="2"/>
      <c r="UOK211" s="2"/>
      <c r="UOL211" s="2"/>
      <c r="UOM211" s="2"/>
      <c r="UON211" s="2"/>
      <c r="UOO211" s="2"/>
      <c r="UOP211" s="260"/>
      <c r="UOQ211" s="260"/>
      <c r="UOR211" s="260"/>
      <c r="UOS211" s="380"/>
      <c r="UOT211" s="380"/>
      <c r="UOU211" s="380"/>
      <c r="UOV211" s="2"/>
      <c r="UOW211" s="442"/>
      <c r="UOX211" s="442"/>
      <c r="UOY211" s="443"/>
      <c r="UOZ211" s="442"/>
      <c r="UPA211" s="442"/>
      <c r="UPB211" s="2"/>
      <c r="UPC211" s="2"/>
      <c r="UPD211" s="2"/>
      <c r="UPE211" s="2"/>
      <c r="UPF211" s="260"/>
      <c r="UPG211" s="260"/>
      <c r="UPH211" s="260"/>
      <c r="UPI211" s="260"/>
      <c r="UPJ211" s="260"/>
      <c r="UPK211" s="260"/>
      <c r="UPL211" s="308"/>
      <c r="UPM211" s="290"/>
      <c r="UPN211" s="290"/>
      <c r="UPO211" s="260"/>
      <c r="UPP211" s="260"/>
      <c r="UPQ211" s="260"/>
      <c r="UPR211" s="260"/>
      <c r="UPS211" s="260"/>
      <c r="UPT211" s="2"/>
      <c r="UPU211" s="2"/>
      <c r="UPV211" s="2"/>
      <c r="UPW211" s="2"/>
      <c r="UPX211" s="2"/>
      <c r="UPY211" s="2"/>
      <c r="UPZ211" s="260"/>
      <c r="UQA211" s="2"/>
      <c r="UQB211" s="2"/>
      <c r="UQC211" s="2"/>
      <c r="UQD211" s="2"/>
      <c r="UQE211" s="2"/>
      <c r="UQF211" s="2"/>
      <c r="UQG211" s="2"/>
      <c r="UQH211" s="260"/>
      <c r="UQI211" s="260"/>
      <c r="UQJ211" s="260"/>
      <c r="UQK211" s="380"/>
      <c r="UQL211" s="380"/>
      <c r="UQM211" s="380"/>
      <c r="UQN211" s="2"/>
      <c r="UQO211" s="442"/>
      <c r="UQP211" s="442"/>
      <c r="UQQ211" s="443"/>
      <c r="UQR211" s="442"/>
      <c r="UQS211" s="442"/>
      <c r="UQT211" s="2"/>
      <c r="UQU211" s="2"/>
      <c r="UQV211" s="2"/>
      <c r="UQW211" s="2"/>
      <c r="UQX211" s="260"/>
      <c r="UQY211" s="260"/>
      <c r="UQZ211" s="260"/>
      <c r="URA211" s="260"/>
      <c r="URB211" s="260"/>
      <c r="URC211" s="260"/>
      <c r="URD211" s="308"/>
      <c r="URE211" s="290"/>
      <c r="URF211" s="290"/>
      <c r="URG211" s="260"/>
      <c r="URH211" s="260"/>
      <c r="URI211" s="260"/>
      <c r="URJ211" s="260"/>
      <c r="URK211" s="260"/>
      <c r="URL211" s="2"/>
      <c r="URM211" s="2"/>
      <c r="URN211" s="2"/>
      <c r="URO211" s="2"/>
      <c r="URP211" s="2"/>
      <c r="URQ211" s="2"/>
      <c r="URR211" s="260"/>
      <c r="URS211" s="2"/>
      <c r="URT211" s="2"/>
      <c r="URU211" s="2"/>
      <c r="URV211" s="2"/>
      <c r="URW211" s="2"/>
      <c r="URX211" s="2"/>
      <c r="URY211" s="2"/>
      <c r="URZ211" s="260"/>
      <c r="USA211" s="260"/>
      <c r="USB211" s="260"/>
      <c r="USC211" s="380"/>
      <c r="USD211" s="380"/>
      <c r="USE211" s="380"/>
      <c r="USF211" s="2"/>
      <c r="USG211" s="442"/>
      <c r="USH211" s="442"/>
      <c r="USI211" s="443"/>
      <c r="USJ211" s="442"/>
      <c r="USK211" s="442"/>
      <c r="USL211" s="2"/>
      <c r="USM211" s="2"/>
      <c r="USN211" s="2"/>
      <c r="USO211" s="2"/>
      <c r="USP211" s="260"/>
      <c r="USQ211" s="260"/>
      <c r="USR211" s="260"/>
      <c r="USS211" s="260"/>
      <c r="UST211" s="260"/>
      <c r="USU211" s="260"/>
      <c r="USV211" s="308"/>
      <c r="USW211" s="290"/>
      <c r="USX211" s="290"/>
      <c r="USY211" s="260"/>
      <c r="USZ211" s="260"/>
      <c r="UTA211" s="260"/>
      <c r="UTB211" s="260"/>
      <c r="UTC211" s="260"/>
      <c r="UTD211" s="2"/>
      <c r="UTE211" s="2"/>
      <c r="UTF211" s="2"/>
      <c r="UTG211" s="2"/>
      <c r="UTH211" s="2"/>
      <c r="UTI211" s="2"/>
      <c r="UTJ211" s="260"/>
      <c r="UTK211" s="2"/>
      <c r="UTL211" s="2"/>
      <c r="UTM211" s="2"/>
      <c r="UTN211" s="2"/>
      <c r="UTO211" s="2"/>
      <c r="UTP211" s="2"/>
      <c r="UTQ211" s="2"/>
      <c r="UTR211" s="260"/>
      <c r="UTS211" s="260"/>
      <c r="UTT211" s="260"/>
      <c r="UTU211" s="380"/>
      <c r="UTV211" s="380"/>
      <c r="UTW211" s="380"/>
      <c r="UTX211" s="2"/>
      <c r="UTY211" s="442"/>
      <c r="UTZ211" s="442"/>
      <c r="UUA211" s="443"/>
      <c r="UUB211" s="442"/>
      <c r="UUC211" s="442"/>
      <c r="UUD211" s="2"/>
      <c r="UUE211" s="2"/>
      <c r="UUF211" s="2"/>
      <c r="UUG211" s="2"/>
      <c r="UUH211" s="260"/>
      <c r="UUI211" s="260"/>
      <c r="UUJ211" s="260"/>
      <c r="UUK211" s="260"/>
      <c r="UUL211" s="260"/>
      <c r="UUM211" s="260"/>
      <c r="UUN211" s="308"/>
      <c r="UUO211" s="290"/>
      <c r="UUP211" s="290"/>
      <c r="UUQ211" s="260"/>
      <c r="UUR211" s="260"/>
      <c r="UUS211" s="260"/>
      <c r="UUT211" s="260"/>
      <c r="UUU211" s="260"/>
      <c r="UUV211" s="2"/>
      <c r="UUW211" s="2"/>
      <c r="UUX211" s="2"/>
      <c r="UUY211" s="2"/>
      <c r="UUZ211" s="2"/>
      <c r="UVA211" s="2"/>
      <c r="UVB211" s="260"/>
      <c r="UVC211" s="2"/>
      <c r="UVD211" s="2"/>
      <c r="UVE211" s="2"/>
      <c r="UVF211" s="2"/>
      <c r="UVG211" s="2"/>
      <c r="UVH211" s="2"/>
      <c r="UVI211" s="2"/>
      <c r="UVJ211" s="260"/>
      <c r="UVK211" s="260"/>
      <c r="UVL211" s="260"/>
      <c r="UVM211" s="380"/>
      <c r="UVN211" s="380"/>
      <c r="UVO211" s="380"/>
      <c r="UVP211" s="2"/>
      <c r="UVQ211" s="442"/>
      <c r="UVR211" s="442"/>
      <c r="UVS211" s="443"/>
      <c r="UVT211" s="442"/>
      <c r="UVU211" s="442"/>
      <c r="UVV211" s="2"/>
      <c r="UVW211" s="2"/>
      <c r="UVX211" s="2"/>
      <c r="UVY211" s="2"/>
      <c r="UVZ211" s="260"/>
      <c r="UWA211" s="260"/>
      <c r="UWB211" s="260"/>
      <c r="UWC211" s="260"/>
      <c r="UWD211" s="260"/>
      <c r="UWE211" s="260"/>
      <c r="UWF211" s="308"/>
      <c r="UWG211" s="290"/>
      <c r="UWH211" s="290"/>
      <c r="UWI211" s="260"/>
      <c r="UWJ211" s="260"/>
      <c r="UWK211" s="260"/>
      <c r="UWL211" s="260"/>
      <c r="UWM211" s="260"/>
      <c r="UWN211" s="2"/>
      <c r="UWO211" s="2"/>
      <c r="UWP211" s="2"/>
      <c r="UWQ211" s="2"/>
      <c r="UWR211" s="2"/>
      <c r="UWS211" s="2"/>
      <c r="UWT211" s="260"/>
      <c r="UWU211" s="2"/>
      <c r="UWV211" s="2"/>
      <c r="UWW211" s="2"/>
      <c r="UWX211" s="2"/>
      <c r="UWY211" s="2"/>
      <c r="UWZ211" s="2"/>
      <c r="UXA211" s="2"/>
      <c r="UXB211" s="260"/>
      <c r="UXC211" s="260"/>
      <c r="UXD211" s="260"/>
      <c r="UXE211" s="380"/>
      <c r="UXF211" s="380"/>
      <c r="UXG211" s="380"/>
      <c r="UXH211" s="2"/>
      <c r="UXI211" s="442"/>
      <c r="UXJ211" s="442"/>
      <c r="UXK211" s="443"/>
      <c r="UXL211" s="442"/>
      <c r="UXM211" s="442"/>
      <c r="UXN211" s="2"/>
      <c r="UXO211" s="2"/>
      <c r="UXP211" s="2"/>
      <c r="UXQ211" s="2"/>
      <c r="UXR211" s="260"/>
      <c r="UXS211" s="260"/>
      <c r="UXT211" s="260"/>
      <c r="UXU211" s="260"/>
      <c r="UXV211" s="260"/>
      <c r="UXW211" s="260"/>
      <c r="UXX211" s="308"/>
      <c r="UXY211" s="290"/>
      <c r="UXZ211" s="290"/>
      <c r="UYA211" s="260"/>
      <c r="UYB211" s="260"/>
      <c r="UYC211" s="260"/>
      <c r="UYD211" s="260"/>
      <c r="UYE211" s="260"/>
      <c r="UYF211" s="2"/>
      <c r="UYG211" s="2"/>
      <c r="UYH211" s="2"/>
      <c r="UYI211" s="2"/>
      <c r="UYJ211" s="2"/>
      <c r="UYK211" s="2"/>
      <c r="UYL211" s="260"/>
      <c r="UYM211" s="2"/>
      <c r="UYN211" s="2"/>
      <c r="UYO211" s="2"/>
      <c r="UYP211" s="2"/>
      <c r="UYQ211" s="2"/>
      <c r="UYR211" s="2"/>
      <c r="UYS211" s="2"/>
      <c r="UYT211" s="260"/>
      <c r="UYU211" s="260"/>
      <c r="UYV211" s="260"/>
      <c r="UYW211" s="380"/>
      <c r="UYX211" s="380"/>
      <c r="UYY211" s="380"/>
      <c r="UYZ211" s="2"/>
      <c r="UZA211" s="442"/>
      <c r="UZB211" s="442"/>
      <c r="UZC211" s="443"/>
      <c r="UZD211" s="442"/>
      <c r="UZE211" s="442"/>
      <c r="UZF211" s="2"/>
      <c r="UZG211" s="2"/>
      <c r="UZH211" s="2"/>
      <c r="UZI211" s="2"/>
      <c r="UZJ211" s="260"/>
      <c r="UZK211" s="260"/>
      <c r="UZL211" s="260"/>
      <c r="UZM211" s="260"/>
      <c r="UZN211" s="260"/>
      <c r="UZO211" s="260"/>
      <c r="UZP211" s="308"/>
      <c r="UZQ211" s="290"/>
      <c r="UZR211" s="290"/>
      <c r="UZS211" s="260"/>
      <c r="UZT211" s="260"/>
      <c r="UZU211" s="260"/>
      <c r="UZV211" s="260"/>
      <c r="UZW211" s="260"/>
      <c r="UZX211" s="2"/>
      <c r="UZY211" s="2"/>
      <c r="UZZ211" s="2"/>
      <c r="VAA211" s="2"/>
      <c r="VAB211" s="2"/>
      <c r="VAC211" s="2"/>
      <c r="VAD211" s="260"/>
      <c r="VAE211" s="2"/>
      <c r="VAF211" s="2"/>
      <c r="VAG211" s="2"/>
      <c r="VAH211" s="2"/>
      <c r="VAI211" s="2"/>
      <c r="VAJ211" s="2"/>
      <c r="VAK211" s="2"/>
      <c r="VAL211" s="260"/>
      <c r="VAM211" s="260"/>
      <c r="VAN211" s="260"/>
      <c r="VAO211" s="380"/>
      <c r="VAP211" s="380"/>
      <c r="VAQ211" s="380"/>
      <c r="VAR211" s="2"/>
      <c r="VAS211" s="442"/>
      <c r="VAT211" s="442"/>
      <c r="VAU211" s="443"/>
      <c r="VAV211" s="442"/>
      <c r="VAW211" s="442"/>
      <c r="VAX211" s="2"/>
      <c r="VAY211" s="2"/>
      <c r="VAZ211" s="2"/>
      <c r="VBA211" s="2"/>
      <c r="VBB211" s="260"/>
      <c r="VBC211" s="260"/>
      <c r="VBD211" s="260"/>
      <c r="VBE211" s="260"/>
      <c r="VBF211" s="260"/>
      <c r="VBG211" s="260"/>
      <c r="VBH211" s="308"/>
      <c r="VBI211" s="290"/>
      <c r="VBJ211" s="290"/>
      <c r="VBK211" s="260"/>
      <c r="VBL211" s="260"/>
      <c r="VBM211" s="260"/>
      <c r="VBN211" s="260"/>
      <c r="VBO211" s="260"/>
      <c r="VBP211" s="2"/>
      <c r="VBQ211" s="2"/>
      <c r="VBR211" s="2"/>
      <c r="VBS211" s="2"/>
      <c r="VBT211" s="2"/>
      <c r="VBU211" s="2"/>
      <c r="VBV211" s="260"/>
      <c r="VBW211" s="2"/>
      <c r="VBX211" s="2"/>
      <c r="VBY211" s="2"/>
      <c r="VBZ211" s="2"/>
      <c r="VCA211" s="2"/>
      <c r="VCB211" s="2"/>
      <c r="VCC211" s="2"/>
      <c r="VCD211" s="260"/>
      <c r="VCE211" s="260"/>
      <c r="VCF211" s="260"/>
      <c r="VCG211" s="380"/>
      <c r="VCH211" s="380"/>
      <c r="VCI211" s="380"/>
      <c r="VCJ211" s="2"/>
      <c r="VCK211" s="442"/>
      <c r="VCL211" s="442"/>
      <c r="VCM211" s="443"/>
      <c r="VCN211" s="442"/>
      <c r="VCO211" s="442"/>
      <c r="VCP211" s="2"/>
      <c r="VCQ211" s="2"/>
      <c r="VCR211" s="2"/>
      <c r="VCS211" s="2"/>
      <c r="VCT211" s="260"/>
      <c r="VCU211" s="260"/>
      <c r="VCV211" s="260"/>
      <c r="VCW211" s="260"/>
      <c r="VCX211" s="260"/>
      <c r="VCY211" s="260"/>
      <c r="VCZ211" s="308"/>
      <c r="VDA211" s="290"/>
      <c r="VDB211" s="290"/>
      <c r="VDC211" s="260"/>
      <c r="VDD211" s="260"/>
      <c r="VDE211" s="260"/>
      <c r="VDF211" s="260"/>
      <c r="VDG211" s="260"/>
      <c r="VDH211" s="2"/>
      <c r="VDI211" s="2"/>
      <c r="VDJ211" s="2"/>
      <c r="VDK211" s="2"/>
      <c r="VDL211" s="2"/>
      <c r="VDM211" s="2"/>
      <c r="VDN211" s="260"/>
      <c r="VDO211" s="2"/>
      <c r="VDP211" s="2"/>
      <c r="VDQ211" s="2"/>
      <c r="VDR211" s="2"/>
      <c r="VDS211" s="2"/>
      <c r="VDT211" s="2"/>
      <c r="VDU211" s="2"/>
      <c r="VDV211" s="260"/>
      <c r="VDW211" s="260"/>
      <c r="VDX211" s="260"/>
      <c r="VDY211" s="380"/>
      <c r="VDZ211" s="380"/>
      <c r="VEA211" s="380"/>
      <c r="VEB211" s="2"/>
      <c r="VEC211" s="442"/>
      <c r="VED211" s="442"/>
      <c r="VEE211" s="443"/>
      <c r="VEF211" s="442"/>
      <c r="VEG211" s="442"/>
      <c r="VEH211" s="2"/>
      <c r="VEI211" s="2"/>
      <c r="VEJ211" s="2"/>
      <c r="VEK211" s="2"/>
      <c r="VEL211" s="260"/>
      <c r="VEM211" s="260"/>
      <c r="VEN211" s="260"/>
      <c r="VEO211" s="260"/>
      <c r="VEP211" s="260"/>
      <c r="VEQ211" s="260"/>
      <c r="VER211" s="308"/>
      <c r="VES211" s="290"/>
      <c r="VET211" s="290"/>
      <c r="VEU211" s="260"/>
      <c r="VEV211" s="260"/>
      <c r="VEW211" s="260"/>
      <c r="VEX211" s="260"/>
      <c r="VEY211" s="260"/>
      <c r="VEZ211" s="2"/>
      <c r="VFA211" s="2"/>
      <c r="VFB211" s="2"/>
      <c r="VFC211" s="2"/>
      <c r="VFD211" s="2"/>
      <c r="VFE211" s="2"/>
      <c r="VFF211" s="260"/>
      <c r="VFG211" s="2"/>
      <c r="VFH211" s="2"/>
      <c r="VFI211" s="2"/>
      <c r="VFJ211" s="2"/>
      <c r="VFK211" s="2"/>
      <c r="VFL211" s="2"/>
      <c r="VFM211" s="2"/>
      <c r="VFN211" s="260"/>
      <c r="VFO211" s="260"/>
      <c r="VFP211" s="260"/>
      <c r="VFQ211" s="380"/>
      <c r="VFR211" s="380"/>
      <c r="VFS211" s="380"/>
      <c r="VFT211" s="2"/>
      <c r="VFU211" s="442"/>
      <c r="VFV211" s="442"/>
      <c r="VFW211" s="443"/>
      <c r="VFX211" s="442"/>
      <c r="VFY211" s="442"/>
      <c r="VFZ211" s="2"/>
      <c r="VGA211" s="2"/>
      <c r="VGB211" s="2"/>
      <c r="VGC211" s="2"/>
      <c r="VGD211" s="260"/>
      <c r="VGE211" s="260"/>
      <c r="VGF211" s="260"/>
      <c r="VGG211" s="260"/>
      <c r="VGH211" s="260"/>
      <c r="VGI211" s="260"/>
      <c r="VGJ211" s="308"/>
      <c r="VGK211" s="290"/>
      <c r="VGL211" s="290"/>
      <c r="VGM211" s="260"/>
      <c r="VGN211" s="260"/>
      <c r="VGO211" s="260"/>
      <c r="VGP211" s="260"/>
      <c r="VGQ211" s="260"/>
      <c r="VGR211" s="2"/>
      <c r="VGS211" s="2"/>
      <c r="VGT211" s="2"/>
      <c r="VGU211" s="2"/>
      <c r="VGV211" s="2"/>
      <c r="VGW211" s="2"/>
      <c r="VGX211" s="260"/>
      <c r="VGY211" s="2"/>
      <c r="VGZ211" s="2"/>
      <c r="VHA211" s="2"/>
      <c r="VHB211" s="2"/>
      <c r="VHC211" s="2"/>
      <c r="VHD211" s="2"/>
      <c r="VHE211" s="2"/>
      <c r="VHF211" s="260"/>
      <c r="VHG211" s="260"/>
      <c r="VHH211" s="260"/>
      <c r="VHI211" s="380"/>
      <c r="VHJ211" s="380"/>
      <c r="VHK211" s="380"/>
      <c r="VHL211" s="2"/>
      <c r="VHM211" s="442"/>
      <c r="VHN211" s="442"/>
      <c r="VHO211" s="443"/>
      <c r="VHP211" s="442"/>
      <c r="VHQ211" s="442"/>
      <c r="VHR211" s="2"/>
      <c r="VHS211" s="2"/>
      <c r="VHT211" s="2"/>
      <c r="VHU211" s="2"/>
      <c r="VHV211" s="260"/>
      <c r="VHW211" s="260"/>
      <c r="VHX211" s="260"/>
      <c r="VHY211" s="260"/>
      <c r="VHZ211" s="260"/>
      <c r="VIA211" s="260"/>
      <c r="VIB211" s="308"/>
      <c r="VIC211" s="290"/>
      <c r="VID211" s="290"/>
      <c r="VIE211" s="260"/>
      <c r="VIF211" s="260"/>
      <c r="VIG211" s="260"/>
      <c r="VIH211" s="260"/>
      <c r="VII211" s="260"/>
      <c r="VIJ211" s="2"/>
      <c r="VIK211" s="2"/>
      <c r="VIL211" s="2"/>
      <c r="VIM211" s="2"/>
      <c r="VIN211" s="2"/>
      <c r="VIO211" s="2"/>
      <c r="VIP211" s="260"/>
      <c r="VIQ211" s="2"/>
      <c r="VIR211" s="2"/>
      <c r="VIS211" s="2"/>
      <c r="VIT211" s="2"/>
      <c r="VIU211" s="2"/>
      <c r="VIV211" s="2"/>
      <c r="VIW211" s="2"/>
      <c r="VIX211" s="260"/>
      <c r="VIY211" s="260"/>
      <c r="VIZ211" s="260"/>
      <c r="VJA211" s="380"/>
      <c r="VJB211" s="380"/>
      <c r="VJC211" s="380"/>
      <c r="VJD211" s="2"/>
      <c r="VJE211" s="442"/>
      <c r="VJF211" s="442"/>
      <c r="VJG211" s="443"/>
      <c r="VJH211" s="442"/>
      <c r="VJI211" s="442"/>
      <c r="VJJ211" s="2"/>
      <c r="VJK211" s="2"/>
      <c r="VJL211" s="2"/>
      <c r="VJM211" s="2"/>
      <c r="VJN211" s="260"/>
      <c r="VJO211" s="260"/>
      <c r="VJP211" s="260"/>
      <c r="VJQ211" s="260"/>
      <c r="VJR211" s="260"/>
      <c r="VJS211" s="260"/>
      <c r="VJT211" s="308"/>
      <c r="VJU211" s="290"/>
      <c r="VJV211" s="290"/>
      <c r="VJW211" s="260"/>
      <c r="VJX211" s="260"/>
      <c r="VJY211" s="260"/>
      <c r="VJZ211" s="260"/>
      <c r="VKA211" s="260"/>
      <c r="VKB211" s="2"/>
      <c r="VKC211" s="2"/>
      <c r="VKD211" s="2"/>
      <c r="VKE211" s="2"/>
      <c r="VKF211" s="2"/>
      <c r="VKG211" s="2"/>
      <c r="VKH211" s="260"/>
      <c r="VKI211" s="2"/>
      <c r="VKJ211" s="2"/>
      <c r="VKK211" s="2"/>
      <c r="VKL211" s="2"/>
      <c r="VKM211" s="2"/>
      <c r="VKN211" s="2"/>
      <c r="VKO211" s="2"/>
      <c r="VKP211" s="260"/>
      <c r="VKQ211" s="260"/>
      <c r="VKR211" s="260"/>
      <c r="VKS211" s="380"/>
      <c r="VKT211" s="380"/>
      <c r="VKU211" s="380"/>
      <c r="VKV211" s="2"/>
      <c r="VKW211" s="442"/>
      <c r="VKX211" s="442"/>
      <c r="VKY211" s="443"/>
      <c r="VKZ211" s="442"/>
      <c r="VLA211" s="442"/>
      <c r="VLB211" s="2"/>
      <c r="VLC211" s="2"/>
      <c r="VLD211" s="2"/>
      <c r="VLE211" s="2"/>
      <c r="VLF211" s="260"/>
      <c r="VLG211" s="260"/>
      <c r="VLH211" s="260"/>
      <c r="VLI211" s="260"/>
      <c r="VLJ211" s="260"/>
      <c r="VLK211" s="260"/>
      <c r="VLL211" s="308"/>
      <c r="VLM211" s="290"/>
      <c r="VLN211" s="290"/>
      <c r="VLO211" s="260"/>
      <c r="VLP211" s="260"/>
      <c r="VLQ211" s="260"/>
      <c r="VLR211" s="260"/>
      <c r="VLS211" s="260"/>
      <c r="VLT211" s="2"/>
      <c r="VLU211" s="2"/>
      <c r="VLV211" s="2"/>
      <c r="VLW211" s="2"/>
      <c r="VLX211" s="2"/>
      <c r="VLY211" s="2"/>
      <c r="VLZ211" s="260"/>
      <c r="VMA211" s="2"/>
      <c r="VMB211" s="2"/>
      <c r="VMC211" s="2"/>
      <c r="VMD211" s="2"/>
      <c r="VME211" s="2"/>
      <c r="VMF211" s="2"/>
      <c r="VMG211" s="2"/>
      <c r="VMH211" s="260"/>
      <c r="VMI211" s="260"/>
      <c r="VMJ211" s="260"/>
      <c r="VMK211" s="380"/>
      <c r="VML211" s="380"/>
      <c r="VMM211" s="380"/>
      <c r="VMN211" s="2"/>
      <c r="VMO211" s="442"/>
      <c r="VMP211" s="442"/>
      <c r="VMQ211" s="443"/>
      <c r="VMR211" s="442"/>
      <c r="VMS211" s="442"/>
      <c r="VMT211" s="2"/>
      <c r="VMU211" s="2"/>
      <c r="VMV211" s="2"/>
      <c r="VMW211" s="2"/>
      <c r="VMX211" s="260"/>
      <c r="VMY211" s="260"/>
      <c r="VMZ211" s="260"/>
      <c r="VNA211" s="260"/>
      <c r="VNB211" s="260"/>
      <c r="VNC211" s="260"/>
      <c r="VND211" s="308"/>
      <c r="VNE211" s="290"/>
      <c r="VNF211" s="290"/>
      <c r="VNG211" s="260"/>
      <c r="VNH211" s="260"/>
      <c r="VNI211" s="260"/>
      <c r="VNJ211" s="260"/>
      <c r="VNK211" s="260"/>
      <c r="VNL211" s="2"/>
      <c r="VNM211" s="2"/>
      <c r="VNN211" s="2"/>
      <c r="VNO211" s="2"/>
      <c r="VNP211" s="2"/>
      <c r="VNQ211" s="2"/>
      <c r="VNR211" s="260"/>
      <c r="VNS211" s="2"/>
      <c r="VNT211" s="2"/>
      <c r="VNU211" s="2"/>
      <c r="VNV211" s="2"/>
      <c r="VNW211" s="2"/>
      <c r="VNX211" s="2"/>
      <c r="VNY211" s="2"/>
      <c r="VNZ211" s="260"/>
      <c r="VOA211" s="260"/>
      <c r="VOB211" s="260"/>
      <c r="VOC211" s="380"/>
      <c r="VOD211" s="380"/>
      <c r="VOE211" s="380"/>
      <c r="VOF211" s="2"/>
      <c r="VOG211" s="442"/>
      <c r="VOH211" s="442"/>
      <c r="VOI211" s="443"/>
      <c r="VOJ211" s="442"/>
      <c r="VOK211" s="442"/>
      <c r="VOL211" s="2"/>
      <c r="VOM211" s="2"/>
      <c r="VON211" s="2"/>
      <c r="VOO211" s="2"/>
      <c r="VOP211" s="260"/>
      <c r="VOQ211" s="260"/>
      <c r="VOR211" s="260"/>
      <c r="VOS211" s="260"/>
      <c r="VOT211" s="260"/>
      <c r="VOU211" s="260"/>
      <c r="VOV211" s="308"/>
      <c r="VOW211" s="290"/>
      <c r="VOX211" s="290"/>
      <c r="VOY211" s="260"/>
      <c r="VOZ211" s="260"/>
      <c r="VPA211" s="260"/>
      <c r="VPB211" s="260"/>
      <c r="VPC211" s="260"/>
      <c r="VPD211" s="2"/>
      <c r="VPE211" s="2"/>
      <c r="VPF211" s="2"/>
      <c r="VPG211" s="2"/>
      <c r="VPH211" s="2"/>
      <c r="VPI211" s="2"/>
      <c r="VPJ211" s="260"/>
      <c r="VPK211" s="2"/>
      <c r="VPL211" s="2"/>
      <c r="VPM211" s="2"/>
      <c r="VPN211" s="2"/>
      <c r="VPO211" s="2"/>
      <c r="VPP211" s="2"/>
      <c r="VPQ211" s="2"/>
      <c r="VPR211" s="260"/>
      <c r="VPS211" s="260"/>
      <c r="VPT211" s="260"/>
      <c r="VPU211" s="380"/>
      <c r="VPV211" s="380"/>
      <c r="VPW211" s="380"/>
      <c r="VPX211" s="2"/>
      <c r="VPY211" s="442"/>
      <c r="VPZ211" s="442"/>
      <c r="VQA211" s="443"/>
      <c r="VQB211" s="442"/>
      <c r="VQC211" s="442"/>
      <c r="VQD211" s="2"/>
      <c r="VQE211" s="2"/>
      <c r="VQF211" s="2"/>
      <c r="VQG211" s="2"/>
      <c r="VQH211" s="260"/>
      <c r="VQI211" s="260"/>
      <c r="VQJ211" s="260"/>
      <c r="VQK211" s="260"/>
      <c r="VQL211" s="260"/>
      <c r="VQM211" s="260"/>
      <c r="VQN211" s="308"/>
      <c r="VQO211" s="290"/>
      <c r="VQP211" s="290"/>
      <c r="VQQ211" s="260"/>
      <c r="VQR211" s="260"/>
      <c r="VQS211" s="260"/>
      <c r="VQT211" s="260"/>
      <c r="VQU211" s="260"/>
      <c r="VQV211" s="2"/>
      <c r="VQW211" s="2"/>
      <c r="VQX211" s="2"/>
      <c r="VQY211" s="2"/>
      <c r="VQZ211" s="2"/>
      <c r="VRA211" s="2"/>
      <c r="VRB211" s="260"/>
      <c r="VRC211" s="2"/>
      <c r="VRD211" s="2"/>
      <c r="VRE211" s="2"/>
      <c r="VRF211" s="2"/>
      <c r="VRG211" s="2"/>
      <c r="VRH211" s="2"/>
      <c r="VRI211" s="2"/>
      <c r="VRJ211" s="260"/>
      <c r="VRK211" s="260"/>
      <c r="VRL211" s="260"/>
      <c r="VRM211" s="380"/>
      <c r="VRN211" s="380"/>
      <c r="VRO211" s="380"/>
      <c r="VRP211" s="2"/>
      <c r="VRQ211" s="442"/>
      <c r="VRR211" s="442"/>
      <c r="VRS211" s="443"/>
      <c r="VRT211" s="442"/>
      <c r="VRU211" s="442"/>
      <c r="VRV211" s="2"/>
      <c r="VRW211" s="2"/>
      <c r="VRX211" s="2"/>
      <c r="VRY211" s="2"/>
      <c r="VRZ211" s="260"/>
      <c r="VSA211" s="260"/>
      <c r="VSB211" s="260"/>
      <c r="VSC211" s="260"/>
      <c r="VSD211" s="260"/>
      <c r="VSE211" s="260"/>
      <c r="VSF211" s="308"/>
      <c r="VSG211" s="290"/>
      <c r="VSH211" s="290"/>
      <c r="VSI211" s="260"/>
      <c r="VSJ211" s="260"/>
      <c r="VSK211" s="260"/>
      <c r="VSL211" s="260"/>
      <c r="VSM211" s="260"/>
      <c r="VSN211" s="2"/>
      <c r="VSO211" s="2"/>
      <c r="VSP211" s="2"/>
      <c r="VSQ211" s="2"/>
      <c r="VSR211" s="2"/>
      <c r="VSS211" s="2"/>
      <c r="VST211" s="260"/>
      <c r="VSU211" s="2"/>
      <c r="VSV211" s="2"/>
      <c r="VSW211" s="2"/>
      <c r="VSX211" s="2"/>
      <c r="VSY211" s="2"/>
      <c r="VSZ211" s="2"/>
      <c r="VTA211" s="2"/>
      <c r="VTB211" s="260"/>
      <c r="VTC211" s="260"/>
      <c r="VTD211" s="260"/>
      <c r="VTE211" s="380"/>
      <c r="VTF211" s="380"/>
      <c r="VTG211" s="380"/>
      <c r="VTH211" s="2"/>
      <c r="VTI211" s="442"/>
      <c r="VTJ211" s="442"/>
      <c r="VTK211" s="443"/>
      <c r="VTL211" s="442"/>
      <c r="VTM211" s="442"/>
      <c r="VTN211" s="2"/>
      <c r="VTO211" s="2"/>
      <c r="VTP211" s="2"/>
      <c r="VTQ211" s="2"/>
      <c r="VTR211" s="260"/>
      <c r="VTS211" s="260"/>
      <c r="VTT211" s="260"/>
      <c r="VTU211" s="260"/>
      <c r="VTV211" s="260"/>
      <c r="VTW211" s="260"/>
      <c r="VTX211" s="308"/>
      <c r="VTY211" s="290"/>
      <c r="VTZ211" s="290"/>
      <c r="VUA211" s="260"/>
      <c r="VUB211" s="260"/>
      <c r="VUC211" s="260"/>
      <c r="VUD211" s="260"/>
      <c r="VUE211" s="260"/>
      <c r="VUF211" s="2"/>
      <c r="VUG211" s="2"/>
      <c r="VUH211" s="2"/>
      <c r="VUI211" s="2"/>
      <c r="VUJ211" s="2"/>
      <c r="VUK211" s="2"/>
      <c r="VUL211" s="260"/>
      <c r="VUM211" s="2"/>
      <c r="VUN211" s="2"/>
      <c r="VUO211" s="2"/>
      <c r="VUP211" s="2"/>
      <c r="VUQ211" s="2"/>
      <c r="VUR211" s="2"/>
      <c r="VUS211" s="2"/>
      <c r="VUT211" s="260"/>
      <c r="VUU211" s="260"/>
      <c r="VUV211" s="260"/>
      <c r="VUW211" s="380"/>
      <c r="VUX211" s="380"/>
      <c r="VUY211" s="380"/>
      <c r="VUZ211" s="2"/>
      <c r="VVA211" s="442"/>
      <c r="VVB211" s="442"/>
      <c r="VVC211" s="443"/>
      <c r="VVD211" s="442"/>
      <c r="VVE211" s="442"/>
      <c r="VVF211" s="2"/>
      <c r="VVG211" s="2"/>
      <c r="VVH211" s="2"/>
      <c r="VVI211" s="2"/>
      <c r="VVJ211" s="260"/>
      <c r="VVK211" s="260"/>
      <c r="VVL211" s="260"/>
      <c r="VVM211" s="260"/>
      <c r="VVN211" s="260"/>
      <c r="VVO211" s="260"/>
      <c r="VVP211" s="308"/>
      <c r="VVQ211" s="290"/>
      <c r="VVR211" s="290"/>
      <c r="VVS211" s="260"/>
      <c r="VVT211" s="260"/>
      <c r="VVU211" s="260"/>
      <c r="VVV211" s="260"/>
      <c r="VVW211" s="260"/>
      <c r="VVX211" s="2"/>
      <c r="VVY211" s="2"/>
      <c r="VVZ211" s="2"/>
      <c r="VWA211" s="2"/>
      <c r="VWB211" s="2"/>
      <c r="VWC211" s="2"/>
      <c r="VWD211" s="260"/>
      <c r="VWE211" s="2"/>
      <c r="VWF211" s="2"/>
      <c r="VWG211" s="2"/>
      <c r="VWH211" s="2"/>
      <c r="VWI211" s="2"/>
      <c r="VWJ211" s="2"/>
      <c r="VWK211" s="2"/>
      <c r="VWL211" s="260"/>
      <c r="VWM211" s="260"/>
      <c r="VWN211" s="260"/>
      <c r="VWO211" s="380"/>
      <c r="VWP211" s="380"/>
      <c r="VWQ211" s="380"/>
      <c r="VWR211" s="2"/>
      <c r="VWS211" s="442"/>
      <c r="VWT211" s="442"/>
      <c r="VWU211" s="443"/>
      <c r="VWV211" s="442"/>
      <c r="VWW211" s="442"/>
      <c r="VWX211" s="2"/>
      <c r="VWY211" s="2"/>
      <c r="VWZ211" s="2"/>
      <c r="VXA211" s="2"/>
      <c r="VXB211" s="260"/>
      <c r="VXC211" s="260"/>
      <c r="VXD211" s="260"/>
      <c r="VXE211" s="260"/>
      <c r="VXF211" s="260"/>
      <c r="VXG211" s="260"/>
      <c r="VXH211" s="308"/>
      <c r="VXI211" s="290"/>
      <c r="VXJ211" s="290"/>
      <c r="VXK211" s="260"/>
      <c r="VXL211" s="260"/>
      <c r="VXM211" s="260"/>
      <c r="VXN211" s="260"/>
      <c r="VXO211" s="260"/>
      <c r="VXP211" s="2"/>
      <c r="VXQ211" s="2"/>
      <c r="VXR211" s="2"/>
      <c r="VXS211" s="2"/>
      <c r="VXT211" s="2"/>
      <c r="VXU211" s="2"/>
      <c r="VXV211" s="260"/>
      <c r="VXW211" s="2"/>
      <c r="VXX211" s="2"/>
      <c r="VXY211" s="2"/>
      <c r="VXZ211" s="2"/>
      <c r="VYA211" s="2"/>
      <c r="VYB211" s="2"/>
      <c r="VYC211" s="2"/>
      <c r="VYD211" s="260"/>
      <c r="VYE211" s="260"/>
      <c r="VYF211" s="260"/>
      <c r="VYG211" s="380"/>
      <c r="VYH211" s="380"/>
      <c r="VYI211" s="380"/>
      <c r="VYJ211" s="2"/>
      <c r="VYK211" s="442"/>
      <c r="VYL211" s="442"/>
      <c r="VYM211" s="443"/>
      <c r="VYN211" s="442"/>
      <c r="VYO211" s="442"/>
      <c r="VYP211" s="2"/>
      <c r="VYQ211" s="2"/>
      <c r="VYR211" s="2"/>
      <c r="VYS211" s="2"/>
      <c r="VYT211" s="260"/>
      <c r="VYU211" s="260"/>
      <c r="VYV211" s="260"/>
      <c r="VYW211" s="260"/>
      <c r="VYX211" s="260"/>
      <c r="VYY211" s="260"/>
      <c r="VYZ211" s="308"/>
      <c r="VZA211" s="290"/>
      <c r="VZB211" s="290"/>
      <c r="VZC211" s="260"/>
      <c r="VZD211" s="260"/>
      <c r="VZE211" s="260"/>
      <c r="VZF211" s="260"/>
      <c r="VZG211" s="260"/>
      <c r="VZH211" s="2"/>
      <c r="VZI211" s="2"/>
      <c r="VZJ211" s="2"/>
      <c r="VZK211" s="2"/>
      <c r="VZL211" s="2"/>
      <c r="VZM211" s="2"/>
      <c r="VZN211" s="260"/>
      <c r="VZO211" s="2"/>
      <c r="VZP211" s="2"/>
      <c r="VZQ211" s="2"/>
      <c r="VZR211" s="2"/>
      <c r="VZS211" s="2"/>
      <c r="VZT211" s="2"/>
      <c r="VZU211" s="2"/>
      <c r="VZV211" s="260"/>
      <c r="VZW211" s="260"/>
      <c r="VZX211" s="260"/>
      <c r="VZY211" s="380"/>
      <c r="VZZ211" s="380"/>
      <c r="WAA211" s="380"/>
      <c r="WAB211" s="2"/>
      <c r="WAC211" s="442"/>
      <c r="WAD211" s="442"/>
      <c r="WAE211" s="443"/>
      <c r="WAF211" s="442"/>
      <c r="WAG211" s="442"/>
      <c r="WAH211" s="2"/>
      <c r="WAI211" s="2"/>
      <c r="WAJ211" s="2"/>
      <c r="WAK211" s="2"/>
      <c r="WAL211" s="260"/>
      <c r="WAM211" s="260"/>
      <c r="WAN211" s="260"/>
      <c r="WAO211" s="260"/>
      <c r="WAP211" s="260"/>
      <c r="WAQ211" s="260"/>
      <c r="WAR211" s="308"/>
      <c r="WAS211" s="290"/>
      <c r="WAT211" s="290"/>
      <c r="WAU211" s="260"/>
      <c r="WAV211" s="260"/>
      <c r="WAW211" s="260"/>
      <c r="WAX211" s="260"/>
      <c r="WAY211" s="260"/>
      <c r="WAZ211" s="2"/>
      <c r="WBA211" s="2"/>
      <c r="WBB211" s="2"/>
      <c r="WBC211" s="2"/>
      <c r="WBD211" s="2"/>
      <c r="WBE211" s="2"/>
      <c r="WBF211" s="260"/>
      <c r="WBG211" s="2"/>
      <c r="WBH211" s="2"/>
      <c r="WBI211" s="2"/>
      <c r="WBJ211" s="2"/>
      <c r="WBK211" s="2"/>
      <c r="WBL211" s="2"/>
      <c r="WBM211" s="2"/>
      <c r="WBN211" s="260"/>
      <c r="WBO211" s="260"/>
      <c r="WBP211" s="260"/>
      <c r="WBQ211" s="380"/>
      <c r="WBR211" s="380"/>
      <c r="WBS211" s="380"/>
      <c r="WBT211" s="2"/>
      <c r="WBU211" s="442"/>
      <c r="WBV211" s="442"/>
      <c r="WBW211" s="443"/>
      <c r="WBX211" s="442"/>
      <c r="WBY211" s="442"/>
      <c r="WBZ211" s="2"/>
      <c r="WCA211" s="2"/>
      <c r="WCB211" s="2"/>
      <c r="WCC211" s="2"/>
      <c r="WCD211" s="260"/>
      <c r="WCE211" s="260"/>
      <c r="WCF211" s="260"/>
      <c r="WCG211" s="260"/>
      <c r="WCH211" s="260"/>
      <c r="WCI211" s="260"/>
      <c r="WCJ211" s="308"/>
      <c r="WCK211" s="290"/>
      <c r="WCL211" s="290"/>
      <c r="WCM211" s="260"/>
      <c r="WCN211" s="260"/>
      <c r="WCO211" s="260"/>
      <c r="WCP211" s="260"/>
      <c r="WCQ211" s="260"/>
      <c r="WCR211" s="2"/>
      <c r="WCS211" s="2"/>
      <c r="WCT211" s="2"/>
      <c r="WCU211" s="2"/>
      <c r="WCV211" s="2"/>
      <c r="WCW211" s="2"/>
      <c r="WCX211" s="260"/>
      <c r="WCY211" s="2"/>
      <c r="WCZ211" s="2"/>
      <c r="WDA211" s="2"/>
      <c r="WDB211" s="2"/>
      <c r="WDC211" s="2"/>
      <c r="WDD211" s="2"/>
      <c r="WDE211" s="2"/>
      <c r="WDF211" s="260"/>
      <c r="WDG211" s="260"/>
      <c r="WDH211" s="260"/>
      <c r="WDI211" s="380"/>
      <c r="WDJ211" s="380"/>
      <c r="WDK211" s="380"/>
      <c r="WDL211" s="2"/>
      <c r="WDM211" s="442"/>
      <c r="WDN211" s="442"/>
      <c r="WDO211" s="443"/>
      <c r="WDP211" s="442"/>
      <c r="WDQ211" s="442"/>
      <c r="WDR211" s="2"/>
      <c r="WDS211" s="2"/>
      <c r="WDT211" s="2"/>
      <c r="WDU211" s="2"/>
      <c r="WDV211" s="260"/>
      <c r="WDW211" s="260"/>
      <c r="WDX211" s="260"/>
      <c r="WDY211" s="260"/>
      <c r="WDZ211" s="260"/>
      <c r="WEA211" s="260"/>
      <c r="WEB211" s="308"/>
      <c r="WEC211" s="290"/>
      <c r="WED211" s="290"/>
      <c r="WEE211" s="260"/>
      <c r="WEF211" s="260"/>
      <c r="WEG211" s="260"/>
      <c r="WEH211" s="260"/>
      <c r="WEI211" s="260"/>
      <c r="WEJ211" s="2"/>
      <c r="WEK211" s="2"/>
      <c r="WEL211" s="2"/>
      <c r="WEM211" s="2"/>
      <c r="WEN211" s="2"/>
      <c r="WEO211" s="2"/>
      <c r="WEP211" s="260"/>
      <c r="WEQ211" s="2"/>
      <c r="WER211" s="2"/>
      <c r="WES211" s="2"/>
      <c r="WET211" s="2"/>
      <c r="WEU211" s="2"/>
      <c r="WEV211" s="2"/>
      <c r="WEW211" s="2"/>
      <c r="WEX211" s="260"/>
      <c r="WEY211" s="260"/>
      <c r="WEZ211" s="260"/>
      <c r="WFA211" s="380"/>
      <c r="WFB211" s="380"/>
      <c r="WFC211" s="380"/>
      <c r="WFD211" s="2"/>
      <c r="WFE211" s="442"/>
      <c r="WFF211" s="442"/>
      <c r="WFG211" s="443"/>
      <c r="WFH211" s="442"/>
      <c r="WFI211" s="442"/>
      <c r="WFJ211" s="2"/>
      <c r="WFK211" s="2"/>
      <c r="WFL211" s="2"/>
      <c r="WFM211" s="2"/>
      <c r="WFN211" s="260"/>
      <c r="WFO211" s="260"/>
      <c r="WFP211" s="260"/>
      <c r="WFQ211" s="260"/>
      <c r="WFR211" s="260"/>
      <c r="WFS211" s="260"/>
      <c r="WFT211" s="308"/>
      <c r="WFU211" s="290"/>
      <c r="WFV211" s="290"/>
      <c r="WFW211" s="260"/>
      <c r="WFX211" s="260"/>
      <c r="WFY211" s="260"/>
      <c r="WFZ211" s="260"/>
      <c r="WGA211" s="260"/>
      <c r="WGB211" s="2"/>
      <c r="WGC211" s="2"/>
      <c r="WGD211" s="2"/>
      <c r="WGE211" s="2"/>
      <c r="WGF211" s="2"/>
      <c r="WGG211" s="2"/>
      <c r="WGH211" s="260"/>
      <c r="WGI211" s="2"/>
      <c r="WGJ211" s="2"/>
      <c r="WGK211" s="2"/>
      <c r="WGL211" s="2"/>
      <c r="WGM211" s="2"/>
      <c r="WGN211" s="2"/>
      <c r="WGO211" s="2"/>
      <c r="WGP211" s="260"/>
      <c r="WGQ211" s="260"/>
      <c r="WGR211" s="260"/>
      <c r="WGS211" s="380"/>
      <c r="WGT211" s="380"/>
      <c r="WGU211" s="380"/>
      <c r="WGV211" s="2"/>
      <c r="WGW211" s="442"/>
      <c r="WGX211" s="442"/>
      <c r="WGY211" s="443"/>
      <c r="WGZ211" s="442"/>
      <c r="WHA211" s="442"/>
      <c r="WHB211" s="2"/>
      <c r="WHC211" s="2"/>
      <c r="WHD211" s="2"/>
      <c r="WHE211" s="2"/>
      <c r="WHF211" s="260"/>
      <c r="WHG211" s="260"/>
      <c r="WHH211" s="260"/>
      <c r="WHI211" s="260"/>
      <c r="WHJ211" s="260"/>
      <c r="WHK211" s="260"/>
      <c r="WHL211" s="308"/>
      <c r="WHM211" s="290"/>
      <c r="WHN211" s="290"/>
      <c r="WHO211" s="260"/>
      <c r="WHP211" s="260"/>
      <c r="WHQ211" s="260"/>
      <c r="WHR211" s="260"/>
      <c r="WHS211" s="260"/>
      <c r="WHT211" s="2"/>
      <c r="WHU211" s="2"/>
      <c r="WHV211" s="2"/>
      <c r="WHW211" s="2"/>
      <c r="WHX211" s="2"/>
      <c r="WHY211" s="2"/>
      <c r="WHZ211" s="260"/>
      <c r="WIA211" s="2"/>
      <c r="WIB211" s="2"/>
      <c r="WIC211" s="2"/>
      <c r="WID211" s="2"/>
      <c r="WIE211" s="2"/>
      <c r="WIF211" s="2"/>
      <c r="WIG211" s="2"/>
      <c r="WIH211" s="260"/>
      <c r="WII211" s="260"/>
      <c r="WIJ211" s="260"/>
      <c r="WIK211" s="380"/>
      <c r="WIL211" s="380"/>
      <c r="WIM211" s="380"/>
      <c r="WIN211" s="2"/>
      <c r="WIO211" s="442"/>
      <c r="WIP211" s="442"/>
      <c r="WIQ211" s="443"/>
      <c r="WIR211" s="442"/>
      <c r="WIS211" s="442"/>
      <c r="WIT211" s="2"/>
      <c r="WIU211" s="2"/>
      <c r="WIV211" s="2"/>
      <c r="WIW211" s="2"/>
      <c r="WIX211" s="260"/>
      <c r="WIY211" s="260"/>
      <c r="WIZ211" s="260"/>
      <c r="WJA211" s="260"/>
      <c r="WJB211" s="260"/>
      <c r="WJC211" s="260"/>
      <c r="WJD211" s="308"/>
      <c r="WJE211" s="290"/>
      <c r="WJF211" s="290"/>
      <c r="WJG211" s="260"/>
      <c r="WJH211" s="260"/>
      <c r="WJI211" s="260"/>
      <c r="WJJ211" s="260"/>
      <c r="WJK211" s="260"/>
      <c r="WJL211" s="2"/>
      <c r="WJM211" s="2"/>
      <c r="WJN211" s="2"/>
      <c r="WJO211" s="2"/>
      <c r="WJP211" s="2"/>
      <c r="WJQ211" s="2"/>
      <c r="WJR211" s="260"/>
      <c r="WJS211" s="2"/>
      <c r="WJT211" s="2"/>
      <c r="WJU211" s="2"/>
      <c r="WJV211" s="2"/>
      <c r="WJW211" s="2"/>
      <c r="WJX211" s="2"/>
      <c r="WJY211" s="2"/>
      <c r="WJZ211" s="260"/>
      <c r="WKA211" s="260"/>
      <c r="WKB211" s="260"/>
      <c r="WKC211" s="380"/>
      <c r="WKD211" s="380"/>
      <c r="WKE211" s="380"/>
      <c r="WKF211" s="2"/>
      <c r="WKG211" s="442"/>
      <c r="WKH211" s="442"/>
      <c r="WKI211" s="443"/>
      <c r="WKJ211" s="442"/>
      <c r="WKK211" s="442"/>
      <c r="WKL211" s="2"/>
      <c r="WKM211" s="2"/>
      <c r="WKN211" s="2"/>
      <c r="WKO211" s="2"/>
      <c r="WKP211" s="260"/>
      <c r="WKQ211" s="260"/>
      <c r="WKR211" s="260"/>
      <c r="WKS211" s="260"/>
      <c r="WKT211" s="260"/>
      <c r="WKU211" s="260"/>
      <c r="WKV211" s="308"/>
      <c r="WKW211" s="290"/>
      <c r="WKX211" s="290"/>
      <c r="WKY211" s="260"/>
      <c r="WKZ211" s="260"/>
      <c r="WLA211" s="260"/>
      <c r="WLB211" s="260"/>
      <c r="WLC211" s="260"/>
      <c r="WLD211" s="2"/>
      <c r="WLE211" s="2"/>
      <c r="WLF211" s="2"/>
      <c r="WLG211" s="2"/>
      <c r="WLH211" s="2"/>
      <c r="WLI211" s="2"/>
      <c r="WLJ211" s="260"/>
      <c r="WLK211" s="2"/>
      <c r="WLL211" s="2"/>
      <c r="WLM211" s="2"/>
      <c r="WLN211" s="2"/>
      <c r="WLO211" s="2"/>
      <c r="WLP211" s="2"/>
      <c r="WLQ211" s="2"/>
      <c r="WLR211" s="260"/>
      <c r="WLS211" s="260"/>
      <c r="WLT211" s="260"/>
      <c r="WLU211" s="380"/>
      <c r="WLV211" s="380"/>
      <c r="WLW211" s="380"/>
      <c r="WLX211" s="2"/>
      <c r="WLY211" s="442"/>
      <c r="WLZ211" s="442"/>
      <c r="WMA211" s="443"/>
      <c r="WMB211" s="442"/>
      <c r="WMC211" s="442"/>
      <c r="WMD211" s="2"/>
      <c r="WME211" s="2"/>
      <c r="WMF211" s="2"/>
      <c r="WMG211" s="2"/>
      <c r="WMH211" s="260"/>
      <c r="WMI211" s="260"/>
      <c r="WMJ211" s="260"/>
      <c r="WMK211" s="260"/>
      <c r="WML211" s="260"/>
      <c r="WMM211" s="260"/>
      <c r="WMN211" s="308"/>
      <c r="WMO211" s="290"/>
      <c r="WMP211" s="290"/>
      <c r="WMQ211" s="260"/>
      <c r="WMR211" s="260"/>
      <c r="WMS211" s="260"/>
      <c r="WMT211" s="260"/>
      <c r="WMU211" s="260"/>
      <c r="WMV211" s="2"/>
      <c r="WMW211" s="2"/>
      <c r="WMX211" s="2"/>
      <c r="WMY211" s="2"/>
      <c r="WMZ211" s="2"/>
      <c r="WNA211" s="2"/>
      <c r="WNB211" s="260"/>
      <c r="WNC211" s="2"/>
      <c r="WND211" s="2"/>
      <c r="WNE211" s="2"/>
      <c r="WNF211" s="2"/>
      <c r="WNG211" s="2"/>
      <c r="WNH211" s="2"/>
      <c r="WNI211" s="2"/>
      <c r="WNJ211" s="260"/>
      <c r="WNK211" s="260"/>
      <c r="WNL211" s="260"/>
      <c r="WNM211" s="380"/>
      <c r="WNN211" s="380"/>
      <c r="WNO211" s="380"/>
      <c r="WNP211" s="2"/>
      <c r="WNQ211" s="442"/>
      <c r="WNR211" s="442"/>
      <c r="WNS211" s="443"/>
      <c r="WNT211" s="442"/>
      <c r="WNU211" s="442"/>
      <c r="WNV211" s="2"/>
      <c r="WNW211" s="2"/>
      <c r="WNX211" s="2"/>
      <c r="WNY211" s="2"/>
      <c r="WNZ211" s="260"/>
      <c r="WOA211" s="260"/>
      <c r="WOB211" s="260"/>
      <c r="WOC211" s="260"/>
      <c r="WOD211" s="260"/>
      <c r="WOE211" s="260"/>
      <c r="WOF211" s="308"/>
      <c r="WOG211" s="290"/>
      <c r="WOH211" s="290"/>
      <c r="WOI211" s="260"/>
      <c r="WOJ211" s="260"/>
      <c r="WOK211" s="260"/>
      <c r="WOL211" s="260"/>
      <c r="WOM211" s="260"/>
      <c r="WON211" s="2"/>
      <c r="WOO211" s="2"/>
      <c r="WOP211" s="2"/>
      <c r="WOQ211" s="2"/>
      <c r="WOR211" s="2"/>
      <c r="WOS211" s="2"/>
      <c r="WOT211" s="260"/>
      <c r="WOU211" s="2"/>
      <c r="WOV211" s="2"/>
      <c r="WOW211" s="2"/>
      <c r="WOX211" s="2"/>
      <c r="WOY211" s="2"/>
      <c r="WOZ211" s="2"/>
      <c r="WPA211" s="2"/>
      <c r="WPB211" s="260"/>
      <c r="WPC211" s="260"/>
      <c r="WPD211" s="260"/>
      <c r="WPE211" s="380"/>
      <c r="WPF211" s="380"/>
      <c r="WPG211" s="380"/>
      <c r="WPH211" s="2"/>
      <c r="WPI211" s="442"/>
      <c r="WPJ211" s="442"/>
      <c r="WPK211" s="443"/>
      <c r="WPL211" s="442"/>
      <c r="WPM211" s="442"/>
      <c r="WPN211" s="2"/>
      <c r="WPO211" s="2"/>
      <c r="WPP211" s="2"/>
      <c r="WPQ211" s="2"/>
      <c r="WPR211" s="260"/>
      <c r="WPS211" s="260"/>
      <c r="WPT211" s="260"/>
      <c r="WPU211" s="260"/>
      <c r="WPV211" s="260"/>
      <c r="WPW211" s="260"/>
      <c r="WPX211" s="308"/>
      <c r="WPY211" s="290"/>
      <c r="WPZ211" s="290"/>
      <c r="WQA211" s="260"/>
      <c r="WQB211" s="260"/>
      <c r="WQC211" s="260"/>
      <c r="WQD211" s="260"/>
      <c r="WQE211" s="260"/>
      <c r="WQF211" s="2"/>
      <c r="WQG211" s="2"/>
      <c r="WQH211" s="2"/>
      <c r="WQI211" s="2"/>
      <c r="WQJ211" s="2"/>
      <c r="WQK211" s="2"/>
      <c r="WQL211" s="260"/>
      <c r="WQM211" s="2"/>
      <c r="WQN211" s="2"/>
      <c r="WQO211" s="2"/>
      <c r="WQP211" s="2"/>
      <c r="WQQ211" s="2"/>
      <c r="WQR211" s="2"/>
      <c r="WQS211" s="2"/>
      <c r="WQT211" s="260"/>
      <c r="WQU211" s="260"/>
      <c r="WQV211" s="260"/>
      <c r="WQW211" s="380"/>
      <c r="WQX211" s="380"/>
      <c r="WQY211" s="380"/>
      <c r="WQZ211" s="2"/>
      <c r="WRA211" s="442"/>
      <c r="WRB211" s="442"/>
      <c r="WRC211" s="443"/>
      <c r="WRD211" s="442"/>
      <c r="WRE211" s="442"/>
      <c r="WRF211" s="2"/>
      <c r="WRG211" s="2"/>
      <c r="WRH211" s="2"/>
      <c r="WRI211" s="2"/>
      <c r="WRJ211" s="260"/>
      <c r="WRK211" s="260"/>
      <c r="WRL211" s="260"/>
      <c r="WRM211" s="260"/>
      <c r="WRN211" s="260"/>
      <c r="WRO211" s="260"/>
      <c r="WRP211" s="308"/>
      <c r="WRQ211" s="290"/>
      <c r="WRR211" s="290"/>
      <c r="WRS211" s="260"/>
      <c r="WRT211" s="260"/>
      <c r="WRU211" s="260"/>
      <c r="WRV211" s="260"/>
      <c r="WRW211" s="260"/>
      <c r="WRX211" s="2"/>
      <c r="WRY211" s="2"/>
      <c r="WRZ211" s="2"/>
      <c r="WSA211" s="2"/>
      <c r="WSB211" s="2"/>
      <c r="WSC211" s="2"/>
      <c r="WSD211" s="260"/>
      <c r="WSE211" s="2"/>
      <c r="WSF211" s="2"/>
      <c r="WSG211" s="2"/>
      <c r="WSH211" s="2"/>
      <c r="WSI211" s="2"/>
      <c r="WSJ211" s="2"/>
      <c r="WSK211" s="2"/>
      <c r="WSL211" s="260"/>
      <c r="WSM211" s="260"/>
      <c r="WSN211" s="260"/>
      <c r="WSO211" s="380"/>
      <c r="WSP211" s="380"/>
      <c r="WSQ211" s="380"/>
      <c r="WSR211" s="2"/>
      <c r="WSS211" s="442"/>
      <c r="WST211" s="442"/>
      <c r="WSU211" s="443"/>
      <c r="WSV211" s="442"/>
      <c r="WSW211" s="442"/>
      <c r="WSX211" s="2"/>
      <c r="WSY211" s="2"/>
      <c r="WSZ211" s="2"/>
      <c r="WTA211" s="2"/>
      <c r="WTB211" s="260"/>
      <c r="WTC211" s="260"/>
      <c r="WTD211" s="260"/>
      <c r="WTE211" s="260"/>
      <c r="WTF211" s="260"/>
      <c r="WTG211" s="260"/>
      <c r="WTH211" s="308"/>
      <c r="WTI211" s="290"/>
      <c r="WTJ211" s="290"/>
      <c r="WTK211" s="260"/>
      <c r="WTL211" s="260"/>
      <c r="WTM211" s="260"/>
      <c r="WTN211" s="260"/>
      <c r="WTO211" s="260"/>
      <c r="WTP211" s="2"/>
      <c r="WTQ211" s="2"/>
      <c r="WTR211" s="2"/>
      <c r="WTS211" s="2"/>
      <c r="WTT211" s="2"/>
      <c r="WTU211" s="2"/>
      <c r="WTV211" s="260"/>
      <c r="WTW211" s="2"/>
      <c r="WTX211" s="2"/>
      <c r="WTY211" s="2"/>
      <c r="WTZ211" s="2"/>
      <c r="WUA211" s="2"/>
      <c r="WUB211" s="2"/>
      <c r="WUC211" s="2"/>
      <c r="WUD211" s="260"/>
      <c r="WUE211" s="260"/>
      <c r="WUF211" s="260"/>
      <c r="WUG211" s="380"/>
      <c r="WUH211" s="380"/>
      <c r="WUI211" s="380"/>
      <c r="WUJ211" s="2"/>
      <c r="WUK211" s="442"/>
      <c r="WUL211" s="442"/>
      <c r="WUM211" s="443"/>
      <c r="WUN211" s="442"/>
      <c r="WUO211" s="442"/>
      <c r="WUP211" s="2"/>
      <c r="WUQ211" s="2"/>
      <c r="WUR211" s="2"/>
      <c r="WUS211" s="2"/>
      <c r="WUT211" s="260"/>
      <c r="WUU211" s="260"/>
      <c r="WUV211" s="260"/>
      <c r="WUW211" s="260"/>
      <c r="WUX211" s="260"/>
      <c r="WUY211" s="260"/>
      <c r="WUZ211" s="308"/>
      <c r="WVA211" s="290"/>
      <c r="WVB211" s="290"/>
      <c r="WVC211" s="260"/>
      <c r="WVD211" s="260"/>
      <c r="WVE211" s="260"/>
      <c r="WVF211" s="260"/>
      <c r="WVG211" s="260"/>
      <c r="WVH211" s="2"/>
      <c r="WVI211" s="2"/>
      <c r="WVJ211" s="2"/>
      <c r="WVK211" s="2"/>
      <c r="WVL211" s="2"/>
      <c r="WVM211" s="2"/>
      <c r="WVN211" s="260"/>
      <c r="WVO211" s="2"/>
      <c r="WVP211" s="2"/>
      <c r="WVQ211" s="2"/>
      <c r="WVR211" s="2"/>
      <c r="WVS211" s="2"/>
      <c r="WVT211" s="2"/>
      <c r="WVU211" s="2"/>
      <c r="WVV211" s="260"/>
      <c r="WVW211" s="260"/>
      <c r="WVX211" s="260"/>
      <c r="WVY211" s="380"/>
      <c r="WVZ211" s="380"/>
      <c r="WWA211" s="380"/>
      <c r="WWB211" s="2"/>
      <c r="WWC211" s="442"/>
      <c r="WWD211" s="442"/>
      <c r="WWE211" s="443"/>
      <c r="WWF211" s="442"/>
      <c r="WWG211" s="442"/>
      <c r="WWH211" s="2"/>
      <c r="WWI211" s="2"/>
      <c r="WWJ211" s="2"/>
      <c r="WWK211" s="2"/>
      <c r="WWL211" s="260"/>
      <c r="WWM211" s="260"/>
      <c r="WWN211" s="260"/>
      <c r="WWO211" s="260"/>
      <c r="WWP211" s="260"/>
      <c r="WWQ211" s="260"/>
      <c r="WWR211" s="308"/>
      <c r="WWS211" s="290"/>
      <c r="WWT211" s="290"/>
      <c r="WWU211" s="260"/>
      <c r="WWV211" s="260"/>
      <c r="WWW211" s="260"/>
      <c r="WWX211" s="260"/>
      <c r="WWY211" s="260"/>
      <c r="WWZ211" s="2"/>
      <c r="WXA211" s="2"/>
      <c r="WXB211" s="2"/>
      <c r="WXC211" s="2"/>
      <c r="WXD211" s="2"/>
      <c r="WXE211" s="2"/>
      <c r="WXF211" s="260"/>
      <c r="WXG211" s="2"/>
      <c r="WXH211" s="2"/>
      <c r="WXI211" s="2"/>
      <c r="WXJ211" s="2"/>
      <c r="WXK211" s="2"/>
      <c r="WXL211" s="2"/>
      <c r="WXM211" s="2"/>
      <c r="WXN211" s="260"/>
      <c r="WXO211" s="260"/>
      <c r="WXP211" s="260"/>
      <c r="WXQ211" s="380"/>
      <c r="WXR211" s="380"/>
      <c r="WXS211" s="380"/>
      <c r="WXT211" s="2"/>
      <c r="WXU211" s="442"/>
      <c r="WXV211" s="442"/>
      <c r="WXW211" s="443"/>
      <c r="WXX211" s="442"/>
      <c r="WXY211" s="442"/>
      <c r="WXZ211" s="2"/>
      <c r="WYA211" s="2"/>
      <c r="WYB211" s="2"/>
      <c r="WYC211" s="2"/>
      <c r="WYD211" s="260"/>
      <c r="WYE211" s="260"/>
      <c r="WYF211" s="260"/>
      <c r="WYG211" s="260"/>
      <c r="WYH211" s="260"/>
      <c r="WYI211" s="260"/>
      <c r="WYJ211" s="308"/>
      <c r="WYK211" s="290"/>
      <c r="WYL211" s="290"/>
      <c r="WYM211" s="260"/>
      <c r="WYN211" s="260"/>
      <c r="WYO211" s="260"/>
      <c r="WYP211" s="260"/>
      <c r="WYQ211" s="260"/>
      <c r="WYR211" s="2"/>
      <c r="WYS211" s="2"/>
      <c r="WYT211" s="2"/>
      <c r="WYU211" s="2"/>
      <c r="WYV211" s="2"/>
      <c r="WYW211" s="2"/>
      <c r="WYX211" s="260"/>
      <c r="WYY211" s="2"/>
      <c r="WYZ211" s="2"/>
      <c r="WZA211" s="2"/>
      <c r="WZB211" s="2"/>
      <c r="WZC211" s="2"/>
      <c r="WZD211" s="2"/>
      <c r="WZE211" s="2"/>
      <c r="WZF211" s="260"/>
      <c r="WZG211" s="260"/>
      <c r="WZH211" s="260"/>
      <c r="WZI211" s="380"/>
      <c r="WZJ211" s="380"/>
      <c r="WZK211" s="380"/>
      <c r="WZL211" s="2"/>
      <c r="WZM211" s="442"/>
      <c r="WZN211" s="442"/>
      <c r="WZO211" s="443"/>
      <c r="WZP211" s="442"/>
      <c r="WZQ211" s="442"/>
      <c r="WZR211" s="2"/>
      <c r="WZS211" s="2"/>
      <c r="WZT211" s="2"/>
      <c r="WZU211" s="2"/>
      <c r="WZV211" s="260"/>
      <c r="WZW211" s="260"/>
      <c r="WZX211" s="260"/>
      <c r="WZY211" s="260"/>
      <c r="WZZ211" s="260"/>
      <c r="XAA211" s="260"/>
      <c r="XAB211" s="308"/>
      <c r="XAC211" s="290"/>
      <c r="XAD211" s="290"/>
      <c r="XAE211" s="260"/>
      <c r="XAF211" s="260"/>
      <c r="XAG211" s="260"/>
      <c r="XAH211" s="260"/>
      <c r="XAI211" s="260"/>
      <c r="XAJ211" s="2"/>
      <c r="XAK211" s="2"/>
      <c r="XAL211" s="2"/>
      <c r="XAM211" s="2"/>
      <c r="XAN211" s="2"/>
      <c r="XAO211" s="2"/>
      <c r="XAP211" s="260"/>
      <c r="XAQ211" s="2"/>
      <c r="XAR211" s="2"/>
      <c r="XAS211" s="2"/>
      <c r="XAT211" s="2"/>
      <c r="XAU211" s="2"/>
      <c r="XAV211" s="2"/>
      <c r="XAW211" s="2"/>
      <c r="XAX211" s="260"/>
      <c r="XAY211" s="260"/>
      <c r="XAZ211" s="260"/>
      <c r="XBA211" s="380"/>
      <c r="XBB211" s="380"/>
      <c r="XBC211" s="380"/>
      <c r="XBD211" s="2"/>
      <c r="XBE211" s="442"/>
      <c r="XBF211" s="442"/>
      <c r="XBG211" s="443"/>
      <c r="XBH211" s="442"/>
      <c r="XBI211" s="442"/>
      <c r="XBJ211" s="2"/>
      <c r="XBK211" s="2"/>
      <c r="XBL211" s="2"/>
      <c r="XBM211" s="2"/>
      <c r="XBN211" s="260"/>
      <c r="XBO211" s="260"/>
      <c r="XBP211" s="260"/>
      <c r="XBQ211" s="260"/>
      <c r="XBR211" s="260"/>
      <c r="XBS211" s="260"/>
      <c r="XBT211" s="308"/>
      <c r="XBU211" s="290"/>
      <c r="XBV211" s="290"/>
      <c r="XBW211" s="260"/>
      <c r="XBX211" s="260"/>
      <c r="XBY211" s="260"/>
      <c r="XBZ211" s="260"/>
      <c r="XCA211" s="260"/>
      <c r="XCB211" s="2"/>
      <c r="XCC211" s="2"/>
      <c r="XCD211" s="2"/>
      <c r="XCE211" s="2"/>
      <c r="XCF211" s="2"/>
      <c r="XCG211" s="2"/>
      <c r="XCH211" s="260"/>
      <c r="XCI211" s="2"/>
      <c r="XCJ211" s="2"/>
      <c r="XCK211" s="2"/>
      <c r="XCL211" s="2"/>
      <c r="XCM211" s="2"/>
      <c r="XCN211" s="2"/>
      <c r="XCO211" s="2"/>
      <c r="XCP211" s="260"/>
      <c r="XCQ211" s="260"/>
      <c r="XCR211" s="260"/>
      <c r="XCS211" s="380"/>
      <c r="XCT211" s="380"/>
      <c r="XCU211" s="380"/>
      <c r="XCV211" s="2"/>
      <c r="XCW211" s="442"/>
      <c r="XCX211" s="442"/>
      <c r="XCY211" s="443"/>
      <c r="XCZ211" s="442"/>
      <c r="XDA211" s="442"/>
      <c r="XDB211" s="2"/>
      <c r="XDC211" s="2"/>
      <c r="XDD211" s="2"/>
      <c r="XDE211" s="2"/>
      <c r="XDF211" s="260"/>
      <c r="XDG211" s="260"/>
      <c r="XDH211" s="260"/>
      <c r="XDI211" s="260"/>
      <c r="XDJ211" s="260"/>
      <c r="XDK211" s="260"/>
      <c r="XDL211" s="308"/>
      <c r="XDM211" s="290"/>
      <c r="XDN211" s="290"/>
      <c r="XDO211" s="260"/>
      <c r="XDP211" s="260"/>
      <c r="XDQ211" s="260"/>
      <c r="XDR211" s="260"/>
      <c r="XDS211" s="260"/>
      <c r="XDT211" s="2"/>
      <c r="XDU211" s="2"/>
      <c r="XDV211" s="2"/>
      <c r="XDW211" s="2"/>
      <c r="XDX211" s="2"/>
      <c r="XDY211" s="2"/>
      <c r="XDZ211" s="260"/>
      <c r="XEA211" s="2"/>
      <c r="XEB211" s="2"/>
      <c r="XEC211" s="2"/>
      <c r="XED211" s="2"/>
      <c r="XEE211" s="2"/>
      <c r="XEF211" s="2"/>
      <c r="XEG211" s="2"/>
      <c r="XEH211" s="260"/>
      <c r="XEI211" s="260"/>
      <c r="XEJ211" s="260"/>
      <c r="XEK211" s="380"/>
      <c r="XEL211" s="380"/>
      <c r="XEM211" s="380"/>
      <c r="XEN211" s="2"/>
      <c r="XEO211" s="442"/>
      <c r="XEP211" s="442"/>
      <c r="XEQ211" s="443"/>
      <c r="XER211" s="442"/>
      <c r="XES211" s="442"/>
      <c r="XET211" s="2"/>
      <c r="XEU211" s="2"/>
      <c r="XEV211" s="2"/>
      <c r="XEW211" s="2"/>
      <c r="XEX211" s="260"/>
      <c r="XEY211" s="260"/>
      <c r="XEZ211" s="260"/>
      <c r="XFA211" s="260"/>
      <c r="XFB211" s="260"/>
      <c r="XFC211" s="260"/>
      <c r="XFD211" s="308"/>
    </row>
    <row r="212" spans="1:16384" customFormat="1" ht="18" hidden="1" customHeight="1" x14ac:dyDescent="0.25">
      <c r="A212" s="448" t="s">
        <v>501</v>
      </c>
      <c r="B212" s="254"/>
      <c r="C212" s="496">
        <v>502004989</v>
      </c>
      <c r="D212" s="254" t="s">
        <v>1561</v>
      </c>
      <c r="E212" s="450">
        <v>2</v>
      </c>
      <c r="F212" s="2" t="s">
        <v>1562</v>
      </c>
      <c r="G212" s="2" t="s">
        <v>1563</v>
      </c>
      <c r="H212" s="2" t="s">
        <v>1564</v>
      </c>
      <c r="I212" s="2" t="s">
        <v>1565</v>
      </c>
      <c r="J212" s="260">
        <v>111674</v>
      </c>
      <c r="K212" s="260">
        <v>127480</v>
      </c>
      <c r="L212" s="260"/>
      <c r="M212" s="260"/>
      <c r="N212" s="260"/>
      <c r="O212" s="260"/>
      <c r="P212" s="260"/>
      <c r="Q212" s="290"/>
      <c r="R212" s="260"/>
      <c r="S212" s="260"/>
      <c r="T212" s="260"/>
      <c r="U212" s="260"/>
      <c r="V212" s="260"/>
      <c r="W212" s="2"/>
      <c r="X212" s="2"/>
      <c r="Y212" s="2">
        <f t="shared" si="94"/>
        <v>15806</v>
      </c>
      <c r="Z212" s="2" t="str">
        <f t="shared" si="95"/>
        <v/>
      </c>
      <c r="AA212" s="2" t="str">
        <f t="shared" si="96"/>
        <v/>
      </c>
      <c r="AB212" s="2" t="str">
        <f t="shared" si="97"/>
        <v/>
      </c>
      <c r="AC212" s="2" t="str">
        <f t="shared" si="98"/>
        <v/>
      </c>
      <c r="AD212" s="260" t="str">
        <f t="shared" si="99"/>
        <v/>
      </c>
      <c r="AE212" s="2" t="str">
        <f t="shared" si="100"/>
        <v/>
      </c>
      <c r="AF212" s="2" t="str">
        <f t="shared" si="101"/>
        <v/>
      </c>
      <c r="AG212" s="2" t="str">
        <f t="shared" si="102"/>
        <v/>
      </c>
      <c r="AH212" s="2" t="str">
        <f t="shared" si="103"/>
        <v/>
      </c>
      <c r="AI212" s="2" t="str">
        <f t="shared" si="104"/>
        <v/>
      </c>
      <c r="AJ212" s="2" t="str">
        <f t="shared" si="105"/>
        <v/>
      </c>
      <c r="AK212" s="2">
        <v>1</v>
      </c>
      <c r="AL212" s="260">
        <f t="shared" ca="1" si="106"/>
        <v>0</v>
      </c>
      <c r="AM212" s="260">
        <f t="shared" ca="1" si="107"/>
        <v>0</v>
      </c>
      <c r="AN212" s="260" t="str">
        <f ca="1">IF(AND(Tabla7[[#This Row],[UltLec]]&lt;&gt;0,Tabla7[[#This Row],[PenLect]]&lt;&gt;0),(AM212-AL212)*Tabla7[[#This Row],[RT]],"N/A")</f>
        <v>N/A</v>
      </c>
      <c r="AO212" s="380" t="s">
        <v>1020</v>
      </c>
      <c r="AP212" s="380" t="s">
        <v>1075</v>
      </c>
      <c r="AQ212" s="380" t="s">
        <v>1074</v>
      </c>
      <c r="AR212" s="2">
        <f t="shared" si="108"/>
        <v>0</v>
      </c>
      <c r="AS212" s="442"/>
      <c r="AT212" s="2" t="e">
        <f t="shared" ca="1" si="109"/>
        <v>#VALUE!</v>
      </c>
      <c r="AU212" s="443"/>
      <c r="AV212" s="442"/>
      <c r="AW212" s="442"/>
      <c r="AX212" s="2"/>
      <c r="AY212" s="2"/>
      <c r="AZ212" s="2"/>
      <c r="BA212" s="2"/>
      <c r="BB212" s="260"/>
      <c r="BC212" s="260"/>
      <c r="BD212" s="260"/>
      <c r="BE212" s="260"/>
      <c r="BF212" s="260"/>
      <c r="BG212" s="260"/>
      <c r="BH212" s="308"/>
      <c r="BI212" s="290"/>
      <c r="BJ212" s="290"/>
      <c r="BK212" s="260"/>
      <c r="BL212" s="260"/>
      <c r="BM212" s="260"/>
      <c r="BN212" s="260"/>
      <c r="BO212" s="260"/>
      <c r="BP212" s="2"/>
      <c r="BQ212" s="2"/>
      <c r="BR212" s="2"/>
      <c r="BS212" s="2"/>
      <c r="BT212" s="2"/>
      <c r="BU212" s="2"/>
      <c r="BV212" s="260"/>
      <c r="BW212" s="2"/>
      <c r="BX212" s="2"/>
      <c r="BY212" s="2"/>
      <c r="BZ212" s="2"/>
      <c r="CA212" s="2"/>
      <c r="CB212" s="2"/>
      <c r="CC212" s="2"/>
      <c r="CD212" s="260"/>
      <c r="CE212" s="260"/>
      <c r="CF212" s="260"/>
      <c r="CG212" s="380"/>
      <c r="CH212" s="380"/>
      <c r="CI212" s="380"/>
      <c r="CJ212" s="2"/>
      <c r="CK212" s="442"/>
      <c r="CL212" s="442"/>
      <c r="CM212" s="443"/>
      <c r="CN212" s="442"/>
      <c r="CO212" s="442"/>
      <c r="CP212" s="2"/>
      <c r="CQ212" s="2"/>
      <c r="CR212" s="2"/>
      <c r="CS212" s="2"/>
      <c r="CT212" s="260"/>
      <c r="CU212" s="260"/>
      <c r="CV212" s="260"/>
      <c r="CW212" s="260"/>
      <c r="CX212" s="260"/>
      <c r="CY212" s="260"/>
      <c r="CZ212" s="308"/>
      <c r="DA212" s="290"/>
      <c r="DB212" s="290"/>
      <c r="DC212" s="260"/>
      <c r="DD212" s="260"/>
      <c r="DE212" s="260"/>
      <c r="DF212" s="260"/>
      <c r="DG212" s="260"/>
      <c r="DH212" s="2"/>
      <c r="DI212" s="2"/>
      <c r="DJ212" s="2"/>
      <c r="DK212" s="2"/>
      <c r="DL212" s="2"/>
      <c r="DM212" s="2"/>
      <c r="DN212" s="260"/>
      <c r="DO212" s="2"/>
      <c r="DP212" s="2"/>
      <c r="DQ212" s="2"/>
      <c r="DR212" s="2"/>
      <c r="DS212" s="2"/>
      <c r="DT212" s="2"/>
      <c r="DU212" s="2"/>
      <c r="DV212" s="260"/>
      <c r="DW212" s="260"/>
      <c r="DX212" s="260"/>
      <c r="DY212" s="380"/>
      <c r="DZ212" s="380"/>
      <c r="EA212" s="380"/>
      <c r="EB212" s="2"/>
      <c r="EC212" s="442"/>
      <c r="ED212" s="442"/>
      <c r="EE212" s="443"/>
      <c r="EF212" s="442"/>
      <c r="EG212" s="442"/>
      <c r="EH212" s="2"/>
      <c r="EI212" s="2"/>
      <c r="EJ212" s="2"/>
      <c r="EK212" s="2"/>
      <c r="EL212" s="260"/>
      <c r="EM212" s="260"/>
      <c r="EN212" s="260"/>
      <c r="EO212" s="260"/>
      <c r="EP212" s="260"/>
      <c r="EQ212" s="260"/>
      <c r="ER212" s="308"/>
      <c r="ES212" s="290"/>
      <c r="ET212" s="290"/>
      <c r="EU212" s="260"/>
      <c r="EV212" s="260"/>
      <c r="EW212" s="260"/>
      <c r="EX212" s="260"/>
      <c r="EY212" s="260"/>
      <c r="EZ212" s="2"/>
      <c r="FA212" s="2"/>
      <c r="FB212" s="2"/>
      <c r="FC212" s="2"/>
      <c r="FD212" s="2"/>
      <c r="FE212" s="2"/>
      <c r="FF212" s="260"/>
      <c r="FG212" s="2"/>
      <c r="FH212" s="2"/>
      <c r="FI212" s="2"/>
      <c r="FJ212" s="2"/>
      <c r="FK212" s="2"/>
      <c r="FL212" s="2"/>
      <c r="FM212" s="2"/>
      <c r="FN212" s="260"/>
      <c r="FO212" s="260"/>
      <c r="FP212" s="260"/>
      <c r="FQ212" s="380"/>
      <c r="FR212" s="380"/>
      <c r="FS212" s="380"/>
      <c r="FT212" s="2"/>
      <c r="FU212" s="442"/>
      <c r="FV212" s="442"/>
      <c r="FW212" s="443"/>
      <c r="FX212" s="442"/>
      <c r="FY212" s="442"/>
      <c r="FZ212" s="2"/>
      <c r="GA212" s="2"/>
      <c r="GB212" s="2"/>
      <c r="GC212" s="2"/>
      <c r="GD212" s="260"/>
      <c r="GE212" s="260"/>
      <c r="GF212" s="260"/>
      <c r="GG212" s="260"/>
      <c r="GH212" s="260"/>
      <c r="GI212" s="260"/>
      <c r="GJ212" s="308"/>
      <c r="GK212" s="290"/>
      <c r="GL212" s="290"/>
      <c r="GM212" s="260"/>
      <c r="GN212" s="260"/>
      <c r="GO212" s="260"/>
      <c r="GP212" s="260"/>
      <c r="GQ212" s="260"/>
      <c r="GR212" s="2"/>
      <c r="GS212" s="2"/>
      <c r="GT212" s="2"/>
      <c r="GU212" s="2"/>
      <c r="GV212" s="2"/>
      <c r="GW212" s="2"/>
      <c r="GX212" s="260"/>
      <c r="GY212" s="2"/>
      <c r="GZ212" s="2"/>
      <c r="HA212" s="2"/>
      <c r="HB212" s="2"/>
      <c r="HC212" s="2"/>
      <c r="HD212" s="2"/>
      <c r="HE212" s="2"/>
      <c r="HF212" s="260"/>
      <c r="HG212" s="260"/>
      <c r="HH212" s="260"/>
      <c r="HI212" s="380"/>
      <c r="HJ212" s="380"/>
      <c r="HK212" s="380"/>
      <c r="HL212" s="2"/>
      <c r="HM212" s="442"/>
      <c r="HN212" s="442"/>
      <c r="HO212" s="443"/>
      <c r="HP212" s="442"/>
      <c r="HQ212" s="442"/>
      <c r="HR212" s="2"/>
      <c r="HS212" s="2"/>
      <c r="HT212" s="2"/>
      <c r="HU212" s="2"/>
      <c r="HV212" s="260"/>
      <c r="HW212" s="260"/>
      <c r="HX212" s="260"/>
      <c r="HY212" s="260"/>
      <c r="HZ212" s="260"/>
      <c r="IA212" s="260"/>
      <c r="IB212" s="308"/>
      <c r="IC212" s="290"/>
      <c r="ID212" s="290"/>
      <c r="IE212" s="260"/>
      <c r="IF212" s="260"/>
      <c r="IG212" s="260"/>
      <c r="IH212" s="260"/>
      <c r="II212" s="260"/>
      <c r="IJ212" s="2"/>
      <c r="IK212" s="2"/>
      <c r="IL212" s="2"/>
      <c r="IM212" s="2"/>
      <c r="IN212" s="2"/>
      <c r="IO212" s="2"/>
      <c r="IP212" s="260"/>
      <c r="IQ212" s="2"/>
      <c r="IR212" s="2"/>
      <c r="IS212" s="2"/>
      <c r="IT212" s="2"/>
      <c r="IU212" s="2"/>
      <c r="IV212" s="2"/>
      <c r="IW212" s="2"/>
      <c r="IX212" s="260"/>
      <c r="IY212" s="260"/>
      <c r="IZ212" s="260"/>
      <c r="JA212" s="380"/>
      <c r="JB212" s="380"/>
      <c r="JC212" s="380"/>
      <c r="JD212" s="2"/>
      <c r="JE212" s="442"/>
      <c r="JF212" s="442"/>
      <c r="JG212" s="443"/>
      <c r="JH212" s="442"/>
      <c r="JI212" s="442"/>
      <c r="JJ212" s="2"/>
      <c r="JK212" s="2"/>
      <c r="JL212" s="2"/>
      <c r="JM212" s="2"/>
      <c r="JN212" s="260"/>
      <c r="JO212" s="260"/>
      <c r="JP212" s="260"/>
      <c r="JQ212" s="260"/>
      <c r="JR212" s="260"/>
      <c r="JS212" s="260"/>
      <c r="JT212" s="308"/>
      <c r="JU212" s="290"/>
      <c r="JV212" s="290"/>
      <c r="JW212" s="260"/>
      <c r="JX212" s="260"/>
      <c r="JY212" s="260"/>
      <c r="JZ212" s="260"/>
      <c r="KA212" s="260"/>
      <c r="KB212" s="2"/>
      <c r="KC212" s="2"/>
      <c r="KD212" s="2"/>
      <c r="KE212" s="2"/>
      <c r="KF212" s="2"/>
      <c r="KG212" s="2"/>
      <c r="KH212" s="260"/>
      <c r="KI212" s="2"/>
      <c r="KJ212" s="2"/>
      <c r="KK212" s="2"/>
      <c r="KL212" s="2"/>
      <c r="KM212" s="2"/>
      <c r="KN212" s="2"/>
      <c r="KO212" s="2"/>
      <c r="KP212" s="260"/>
      <c r="KQ212" s="260"/>
      <c r="KR212" s="260"/>
      <c r="KS212" s="380"/>
      <c r="KT212" s="380"/>
      <c r="KU212" s="380"/>
      <c r="KV212" s="2"/>
      <c r="KW212" s="442"/>
      <c r="KX212" s="442"/>
      <c r="KY212" s="443"/>
      <c r="KZ212" s="442"/>
      <c r="LA212" s="442"/>
      <c r="LB212" s="2"/>
      <c r="LC212" s="2"/>
      <c r="LD212" s="2"/>
      <c r="LE212" s="2"/>
      <c r="LF212" s="260"/>
      <c r="LG212" s="260"/>
      <c r="LH212" s="260"/>
      <c r="LI212" s="260"/>
      <c r="LJ212" s="260"/>
      <c r="LK212" s="260"/>
      <c r="LL212" s="308"/>
      <c r="LM212" s="290"/>
      <c r="LN212" s="290"/>
      <c r="LO212" s="260"/>
      <c r="LP212" s="260"/>
      <c r="LQ212" s="260"/>
      <c r="LR212" s="260"/>
      <c r="LS212" s="260"/>
      <c r="LT212" s="2"/>
      <c r="LU212" s="2"/>
      <c r="LV212" s="2"/>
      <c r="LW212" s="2"/>
      <c r="LX212" s="2"/>
      <c r="LY212" s="2"/>
      <c r="LZ212" s="260"/>
      <c r="MA212" s="2"/>
      <c r="MB212" s="2"/>
      <c r="MC212" s="2"/>
      <c r="MD212" s="2"/>
      <c r="ME212" s="2"/>
      <c r="MF212" s="2"/>
      <c r="MG212" s="2"/>
      <c r="MH212" s="260"/>
      <c r="MI212" s="260"/>
      <c r="MJ212" s="260"/>
      <c r="MK212" s="380"/>
      <c r="ML212" s="380"/>
      <c r="MM212" s="380"/>
      <c r="MN212" s="2"/>
      <c r="MO212" s="442"/>
      <c r="MP212" s="442"/>
      <c r="MQ212" s="443"/>
      <c r="MR212" s="442"/>
      <c r="MS212" s="442"/>
      <c r="MT212" s="2"/>
      <c r="MU212" s="2"/>
      <c r="MV212" s="2"/>
      <c r="MW212" s="2"/>
      <c r="MX212" s="260"/>
      <c r="MY212" s="260"/>
      <c r="MZ212" s="260"/>
      <c r="NA212" s="260"/>
      <c r="NB212" s="260"/>
      <c r="NC212" s="260"/>
      <c r="ND212" s="308"/>
      <c r="NE212" s="290"/>
      <c r="NF212" s="290"/>
      <c r="NG212" s="260"/>
      <c r="NH212" s="260"/>
      <c r="NI212" s="260"/>
      <c r="NJ212" s="260"/>
      <c r="NK212" s="260"/>
      <c r="NL212" s="2"/>
      <c r="NM212" s="2"/>
      <c r="NN212" s="2"/>
      <c r="NO212" s="2"/>
      <c r="NP212" s="2"/>
      <c r="NQ212" s="2"/>
      <c r="NR212" s="260"/>
      <c r="NS212" s="2"/>
      <c r="NT212" s="2"/>
      <c r="NU212" s="2"/>
      <c r="NV212" s="2"/>
      <c r="NW212" s="2"/>
      <c r="NX212" s="2"/>
      <c r="NY212" s="2"/>
      <c r="NZ212" s="260"/>
      <c r="OA212" s="260"/>
      <c r="OB212" s="260"/>
      <c r="OC212" s="380"/>
      <c r="OD212" s="380"/>
      <c r="OE212" s="380"/>
      <c r="OF212" s="2"/>
      <c r="OG212" s="442"/>
      <c r="OH212" s="442"/>
      <c r="OI212" s="443"/>
      <c r="OJ212" s="442"/>
      <c r="OK212" s="442"/>
      <c r="OL212" s="2"/>
      <c r="OM212" s="2"/>
      <c r="ON212" s="2"/>
      <c r="OO212" s="2"/>
      <c r="OP212" s="260"/>
      <c r="OQ212" s="260"/>
      <c r="OR212" s="260"/>
      <c r="OS212" s="260"/>
      <c r="OT212" s="260"/>
      <c r="OU212" s="260"/>
      <c r="OV212" s="308"/>
      <c r="OW212" s="290"/>
      <c r="OX212" s="290"/>
      <c r="OY212" s="260"/>
      <c r="OZ212" s="260"/>
      <c r="PA212" s="260"/>
      <c r="PB212" s="260"/>
      <c r="PC212" s="260"/>
      <c r="PD212" s="2"/>
      <c r="PE212" s="2"/>
      <c r="PF212" s="2"/>
      <c r="PG212" s="2"/>
      <c r="PH212" s="2"/>
      <c r="PI212" s="2"/>
      <c r="PJ212" s="260"/>
      <c r="PK212" s="2"/>
      <c r="PL212" s="2"/>
      <c r="PM212" s="2"/>
      <c r="PN212" s="2"/>
      <c r="PO212" s="2"/>
      <c r="PP212" s="2"/>
      <c r="PQ212" s="2"/>
      <c r="PR212" s="260"/>
      <c r="PS212" s="260"/>
      <c r="PT212" s="260"/>
      <c r="PU212" s="380"/>
      <c r="PV212" s="380"/>
      <c r="PW212" s="380"/>
      <c r="PX212" s="2"/>
      <c r="PY212" s="442"/>
      <c r="PZ212" s="442"/>
      <c r="QA212" s="443"/>
      <c r="QB212" s="442"/>
      <c r="QC212" s="442"/>
      <c r="QD212" s="2"/>
      <c r="QE212" s="2"/>
      <c r="QF212" s="2"/>
      <c r="QG212" s="2"/>
      <c r="QH212" s="260"/>
      <c r="QI212" s="260"/>
      <c r="QJ212" s="260"/>
      <c r="QK212" s="260"/>
      <c r="QL212" s="260"/>
      <c r="QM212" s="260"/>
      <c r="QN212" s="308"/>
      <c r="QO212" s="290"/>
      <c r="QP212" s="290"/>
      <c r="QQ212" s="260"/>
      <c r="QR212" s="260"/>
      <c r="QS212" s="260"/>
      <c r="QT212" s="260"/>
      <c r="QU212" s="260"/>
      <c r="QV212" s="2"/>
      <c r="QW212" s="2"/>
      <c r="QX212" s="2"/>
      <c r="QY212" s="2"/>
      <c r="QZ212" s="2"/>
      <c r="RA212" s="2"/>
      <c r="RB212" s="260"/>
      <c r="RC212" s="2"/>
      <c r="RD212" s="2"/>
      <c r="RE212" s="2"/>
      <c r="RF212" s="2"/>
      <c r="RG212" s="2"/>
      <c r="RH212" s="2"/>
      <c r="RI212" s="2"/>
      <c r="RJ212" s="260"/>
      <c r="RK212" s="260"/>
      <c r="RL212" s="260"/>
      <c r="RM212" s="380"/>
      <c r="RN212" s="380"/>
      <c r="RO212" s="380"/>
      <c r="RP212" s="2"/>
      <c r="RQ212" s="442"/>
      <c r="RR212" s="442"/>
      <c r="RS212" s="443"/>
      <c r="RT212" s="442"/>
      <c r="RU212" s="442"/>
      <c r="RV212" s="2"/>
      <c r="RW212" s="2"/>
      <c r="RX212" s="2"/>
      <c r="RY212" s="2"/>
      <c r="RZ212" s="260"/>
      <c r="SA212" s="260"/>
      <c r="SB212" s="260"/>
      <c r="SC212" s="260"/>
      <c r="SD212" s="260"/>
      <c r="SE212" s="260"/>
      <c r="SF212" s="308"/>
      <c r="SG212" s="290"/>
      <c r="SH212" s="290"/>
      <c r="SI212" s="260"/>
      <c r="SJ212" s="260"/>
      <c r="SK212" s="260"/>
      <c r="SL212" s="260"/>
      <c r="SM212" s="260"/>
      <c r="SN212" s="2"/>
      <c r="SO212" s="2"/>
      <c r="SP212" s="2"/>
      <c r="SQ212" s="2"/>
      <c r="SR212" s="2"/>
      <c r="SS212" s="2"/>
      <c r="ST212" s="260"/>
      <c r="SU212" s="2"/>
      <c r="SV212" s="2"/>
      <c r="SW212" s="2"/>
      <c r="SX212" s="2"/>
      <c r="SY212" s="2"/>
      <c r="SZ212" s="2"/>
      <c r="TA212" s="2"/>
      <c r="TB212" s="260"/>
      <c r="TC212" s="260"/>
      <c r="TD212" s="260"/>
      <c r="TE212" s="380"/>
      <c r="TF212" s="380"/>
      <c r="TG212" s="380"/>
      <c r="TH212" s="2"/>
      <c r="TI212" s="442"/>
      <c r="TJ212" s="442"/>
      <c r="TK212" s="443"/>
      <c r="TL212" s="442"/>
      <c r="TM212" s="442"/>
      <c r="TN212" s="2"/>
      <c r="TO212" s="2"/>
      <c r="TP212" s="2"/>
      <c r="TQ212" s="2"/>
      <c r="TR212" s="260"/>
      <c r="TS212" s="260"/>
      <c r="TT212" s="260"/>
      <c r="TU212" s="260"/>
      <c r="TV212" s="260"/>
      <c r="TW212" s="260"/>
      <c r="TX212" s="308"/>
      <c r="TY212" s="290"/>
      <c r="TZ212" s="290"/>
      <c r="UA212" s="260"/>
      <c r="UB212" s="260"/>
      <c r="UC212" s="260"/>
      <c r="UD212" s="260"/>
      <c r="UE212" s="260"/>
      <c r="UF212" s="2"/>
      <c r="UG212" s="2"/>
      <c r="UH212" s="2"/>
      <c r="UI212" s="2"/>
      <c r="UJ212" s="2"/>
      <c r="UK212" s="2"/>
      <c r="UL212" s="260"/>
      <c r="UM212" s="2"/>
      <c r="UN212" s="2"/>
      <c r="UO212" s="2"/>
      <c r="UP212" s="2"/>
      <c r="UQ212" s="2"/>
      <c r="UR212" s="2"/>
      <c r="US212" s="2"/>
      <c r="UT212" s="260"/>
      <c r="UU212" s="260"/>
      <c r="UV212" s="260"/>
      <c r="UW212" s="380"/>
      <c r="UX212" s="380"/>
      <c r="UY212" s="380"/>
      <c r="UZ212" s="2"/>
      <c r="VA212" s="442"/>
      <c r="VB212" s="442"/>
      <c r="VC212" s="443"/>
      <c r="VD212" s="442"/>
      <c r="VE212" s="442"/>
      <c r="VF212" s="2"/>
      <c r="VG212" s="2"/>
      <c r="VH212" s="2"/>
      <c r="VI212" s="2"/>
      <c r="VJ212" s="260"/>
      <c r="VK212" s="260"/>
      <c r="VL212" s="260"/>
      <c r="VM212" s="260"/>
      <c r="VN212" s="260"/>
      <c r="VO212" s="260"/>
      <c r="VP212" s="308"/>
      <c r="VQ212" s="290"/>
      <c r="VR212" s="290"/>
      <c r="VS212" s="260"/>
      <c r="VT212" s="260"/>
      <c r="VU212" s="260"/>
      <c r="VV212" s="260"/>
      <c r="VW212" s="260"/>
      <c r="VX212" s="2"/>
      <c r="VY212" s="2"/>
      <c r="VZ212" s="2"/>
      <c r="WA212" s="2"/>
      <c r="WB212" s="2"/>
      <c r="WC212" s="2"/>
      <c r="WD212" s="260"/>
      <c r="WE212" s="2"/>
      <c r="WF212" s="2"/>
      <c r="WG212" s="2"/>
      <c r="WH212" s="2"/>
      <c r="WI212" s="2"/>
      <c r="WJ212" s="2"/>
      <c r="WK212" s="2"/>
      <c r="WL212" s="260"/>
      <c r="WM212" s="260"/>
      <c r="WN212" s="260"/>
      <c r="WO212" s="380"/>
      <c r="WP212" s="380"/>
      <c r="WQ212" s="380"/>
      <c r="WR212" s="2"/>
      <c r="WS212" s="442"/>
      <c r="WT212" s="442"/>
      <c r="WU212" s="443"/>
      <c r="WV212" s="442"/>
      <c r="WW212" s="442"/>
      <c r="WX212" s="2"/>
      <c r="WY212" s="2"/>
      <c r="WZ212" s="2"/>
      <c r="XA212" s="2"/>
      <c r="XB212" s="260"/>
      <c r="XC212" s="260"/>
      <c r="XD212" s="260"/>
      <c r="XE212" s="260"/>
      <c r="XF212" s="260"/>
      <c r="XG212" s="260"/>
      <c r="XH212" s="308"/>
      <c r="XI212" s="290"/>
      <c r="XJ212" s="290"/>
      <c r="XK212" s="260"/>
      <c r="XL212" s="260"/>
      <c r="XM212" s="260"/>
      <c r="XN212" s="260"/>
      <c r="XO212" s="260"/>
      <c r="XP212" s="2"/>
      <c r="XQ212" s="2"/>
      <c r="XR212" s="2"/>
      <c r="XS212" s="2"/>
      <c r="XT212" s="2"/>
      <c r="XU212" s="2"/>
      <c r="XV212" s="260"/>
      <c r="XW212" s="2"/>
      <c r="XX212" s="2"/>
      <c r="XY212" s="2"/>
      <c r="XZ212" s="2"/>
      <c r="YA212" s="2"/>
      <c r="YB212" s="2"/>
      <c r="YC212" s="2"/>
      <c r="YD212" s="260"/>
      <c r="YE212" s="260"/>
      <c r="YF212" s="260"/>
      <c r="YG212" s="380"/>
      <c r="YH212" s="380"/>
      <c r="YI212" s="380"/>
      <c r="YJ212" s="2"/>
      <c r="YK212" s="442"/>
      <c r="YL212" s="442"/>
      <c r="YM212" s="443"/>
      <c r="YN212" s="442"/>
      <c r="YO212" s="442"/>
      <c r="YP212" s="2"/>
      <c r="YQ212" s="2"/>
      <c r="YR212" s="2"/>
      <c r="YS212" s="2"/>
      <c r="YT212" s="260"/>
      <c r="YU212" s="260"/>
      <c r="YV212" s="260"/>
      <c r="YW212" s="260"/>
      <c r="YX212" s="260"/>
      <c r="YY212" s="260"/>
      <c r="YZ212" s="308"/>
      <c r="ZA212" s="290"/>
      <c r="ZB212" s="290"/>
      <c r="ZC212" s="260"/>
      <c r="ZD212" s="260"/>
      <c r="ZE212" s="260"/>
      <c r="ZF212" s="260"/>
      <c r="ZG212" s="260"/>
      <c r="ZH212" s="2"/>
      <c r="ZI212" s="2"/>
      <c r="ZJ212" s="2"/>
      <c r="ZK212" s="2"/>
      <c r="ZL212" s="2"/>
      <c r="ZM212" s="2"/>
      <c r="ZN212" s="260"/>
      <c r="ZO212" s="2"/>
      <c r="ZP212" s="2"/>
      <c r="ZQ212" s="2"/>
      <c r="ZR212" s="2"/>
      <c r="ZS212" s="2"/>
      <c r="ZT212" s="2"/>
      <c r="ZU212" s="2"/>
      <c r="ZV212" s="260"/>
      <c r="ZW212" s="260"/>
      <c r="ZX212" s="260"/>
      <c r="ZY212" s="380"/>
      <c r="ZZ212" s="380"/>
      <c r="AAA212" s="380"/>
      <c r="AAB212" s="2"/>
      <c r="AAC212" s="442"/>
      <c r="AAD212" s="442"/>
      <c r="AAE212" s="443"/>
      <c r="AAF212" s="442"/>
      <c r="AAG212" s="442"/>
      <c r="AAH212" s="2"/>
      <c r="AAI212" s="2"/>
      <c r="AAJ212" s="2"/>
      <c r="AAK212" s="2"/>
      <c r="AAL212" s="260"/>
      <c r="AAM212" s="260"/>
      <c r="AAN212" s="260"/>
      <c r="AAO212" s="260"/>
      <c r="AAP212" s="260"/>
      <c r="AAQ212" s="260"/>
      <c r="AAR212" s="308"/>
      <c r="AAS212" s="290"/>
      <c r="AAT212" s="290"/>
      <c r="AAU212" s="260"/>
      <c r="AAV212" s="260"/>
      <c r="AAW212" s="260"/>
      <c r="AAX212" s="260"/>
      <c r="AAY212" s="260"/>
      <c r="AAZ212" s="2"/>
      <c r="ABA212" s="2"/>
      <c r="ABB212" s="2"/>
      <c r="ABC212" s="2"/>
      <c r="ABD212" s="2"/>
      <c r="ABE212" s="2"/>
      <c r="ABF212" s="260"/>
      <c r="ABG212" s="2"/>
      <c r="ABH212" s="2"/>
      <c r="ABI212" s="2"/>
      <c r="ABJ212" s="2"/>
      <c r="ABK212" s="2"/>
      <c r="ABL212" s="2"/>
      <c r="ABM212" s="2"/>
      <c r="ABN212" s="260"/>
      <c r="ABO212" s="260"/>
      <c r="ABP212" s="260"/>
      <c r="ABQ212" s="380"/>
      <c r="ABR212" s="380"/>
      <c r="ABS212" s="380"/>
      <c r="ABT212" s="2"/>
      <c r="ABU212" s="442"/>
      <c r="ABV212" s="442"/>
      <c r="ABW212" s="443"/>
      <c r="ABX212" s="442"/>
      <c r="ABY212" s="442"/>
      <c r="ABZ212" s="2"/>
      <c r="ACA212" s="2"/>
      <c r="ACB212" s="2"/>
      <c r="ACC212" s="2"/>
      <c r="ACD212" s="260"/>
      <c r="ACE212" s="260"/>
      <c r="ACF212" s="260"/>
      <c r="ACG212" s="260"/>
      <c r="ACH212" s="260"/>
      <c r="ACI212" s="260"/>
      <c r="ACJ212" s="308"/>
      <c r="ACK212" s="290"/>
      <c r="ACL212" s="290"/>
      <c r="ACM212" s="260"/>
      <c r="ACN212" s="260"/>
      <c r="ACO212" s="260"/>
      <c r="ACP212" s="260"/>
      <c r="ACQ212" s="260"/>
      <c r="ACR212" s="2"/>
      <c r="ACS212" s="2"/>
      <c r="ACT212" s="2"/>
      <c r="ACU212" s="2"/>
      <c r="ACV212" s="2"/>
      <c r="ACW212" s="2"/>
      <c r="ACX212" s="260"/>
      <c r="ACY212" s="2"/>
      <c r="ACZ212" s="2"/>
      <c r="ADA212" s="2"/>
      <c r="ADB212" s="2"/>
      <c r="ADC212" s="2"/>
      <c r="ADD212" s="2"/>
      <c r="ADE212" s="2"/>
      <c r="ADF212" s="260"/>
      <c r="ADG212" s="260"/>
      <c r="ADH212" s="260"/>
      <c r="ADI212" s="380"/>
      <c r="ADJ212" s="380"/>
      <c r="ADK212" s="380"/>
      <c r="ADL212" s="2"/>
      <c r="ADM212" s="442"/>
      <c r="ADN212" s="442"/>
      <c r="ADO212" s="443"/>
      <c r="ADP212" s="442"/>
      <c r="ADQ212" s="442"/>
      <c r="ADR212" s="2"/>
      <c r="ADS212" s="2"/>
      <c r="ADT212" s="2"/>
      <c r="ADU212" s="2"/>
      <c r="ADV212" s="260"/>
      <c r="ADW212" s="260"/>
      <c r="ADX212" s="260"/>
      <c r="ADY212" s="260"/>
      <c r="ADZ212" s="260"/>
      <c r="AEA212" s="260"/>
      <c r="AEB212" s="308"/>
      <c r="AEC212" s="290"/>
      <c r="AED212" s="290"/>
      <c r="AEE212" s="260"/>
      <c r="AEF212" s="260"/>
      <c r="AEG212" s="260"/>
      <c r="AEH212" s="260"/>
      <c r="AEI212" s="260"/>
      <c r="AEJ212" s="2"/>
      <c r="AEK212" s="2"/>
      <c r="AEL212" s="2"/>
      <c r="AEM212" s="2"/>
      <c r="AEN212" s="2"/>
      <c r="AEO212" s="2"/>
      <c r="AEP212" s="260"/>
      <c r="AEQ212" s="2"/>
      <c r="AER212" s="2"/>
      <c r="AES212" s="2"/>
      <c r="AET212" s="2"/>
      <c r="AEU212" s="2"/>
      <c r="AEV212" s="2"/>
      <c r="AEW212" s="2"/>
      <c r="AEX212" s="260"/>
      <c r="AEY212" s="260"/>
      <c r="AEZ212" s="260"/>
      <c r="AFA212" s="380"/>
      <c r="AFB212" s="380"/>
      <c r="AFC212" s="380"/>
      <c r="AFD212" s="2"/>
      <c r="AFE212" s="442"/>
      <c r="AFF212" s="442"/>
      <c r="AFG212" s="443"/>
      <c r="AFH212" s="442"/>
      <c r="AFI212" s="442"/>
      <c r="AFJ212" s="2"/>
      <c r="AFK212" s="2"/>
      <c r="AFL212" s="2"/>
      <c r="AFM212" s="2"/>
      <c r="AFN212" s="260"/>
      <c r="AFO212" s="260"/>
      <c r="AFP212" s="260"/>
      <c r="AFQ212" s="260"/>
      <c r="AFR212" s="260"/>
      <c r="AFS212" s="260"/>
      <c r="AFT212" s="308"/>
      <c r="AFU212" s="290"/>
      <c r="AFV212" s="290"/>
      <c r="AFW212" s="260"/>
      <c r="AFX212" s="260"/>
      <c r="AFY212" s="260"/>
      <c r="AFZ212" s="260"/>
      <c r="AGA212" s="260"/>
      <c r="AGB212" s="2"/>
      <c r="AGC212" s="2"/>
      <c r="AGD212" s="2"/>
      <c r="AGE212" s="2"/>
      <c r="AGF212" s="2"/>
      <c r="AGG212" s="2"/>
      <c r="AGH212" s="260"/>
      <c r="AGI212" s="2"/>
      <c r="AGJ212" s="2"/>
      <c r="AGK212" s="2"/>
      <c r="AGL212" s="2"/>
      <c r="AGM212" s="2"/>
      <c r="AGN212" s="2"/>
      <c r="AGO212" s="2"/>
      <c r="AGP212" s="260"/>
      <c r="AGQ212" s="260"/>
      <c r="AGR212" s="260"/>
      <c r="AGS212" s="380"/>
      <c r="AGT212" s="380"/>
      <c r="AGU212" s="380"/>
      <c r="AGV212" s="2"/>
      <c r="AGW212" s="442"/>
      <c r="AGX212" s="442"/>
      <c r="AGY212" s="443"/>
      <c r="AGZ212" s="442"/>
      <c r="AHA212" s="442"/>
      <c r="AHB212" s="2"/>
      <c r="AHC212" s="2"/>
      <c r="AHD212" s="2"/>
      <c r="AHE212" s="2"/>
      <c r="AHF212" s="260"/>
      <c r="AHG212" s="260"/>
      <c r="AHH212" s="260"/>
      <c r="AHI212" s="260"/>
      <c r="AHJ212" s="260"/>
      <c r="AHK212" s="260"/>
      <c r="AHL212" s="308"/>
      <c r="AHM212" s="290"/>
      <c r="AHN212" s="290"/>
      <c r="AHO212" s="260"/>
      <c r="AHP212" s="260"/>
      <c r="AHQ212" s="260"/>
      <c r="AHR212" s="260"/>
      <c r="AHS212" s="260"/>
      <c r="AHT212" s="2"/>
      <c r="AHU212" s="2"/>
      <c r="AHV212" s="2"/>
      <c r="AHW212" s="2"/>
      <c r="AHX212" s="2"/>
      <c r="AHY212" s="2"/>
      <c r="AHZ212" s="260"/>
      <c r="AIA212" s="2"/>
      <c r="AIB212" s="2"/>
      <c r="AIC212" s="2"/>
      <c r="AID212" s="2"/>
      <c r="AIE212" s="2"/>
      <c r="AIF212" s="2"/>
      <c r="AIG212" s="2"/>
      <c r="AIH212" s="260"/>
      <c r="AII212" s="260"/>
      <c r="AIJ212" s="260"/>
      <c r="AIK212" s="380"/>
      <c r="AIL212" s="380"/>
      <c r="AIM212" s="380"/>
      <c r="AIN212" s="2"/>
      <c r="AIO212" s="442"/>
      <c r="AIP212" s="442"/>
      <c r="AIQ212" s="443"/>
      <c r="AIR212" s="442"/>
      <c r="AIS212" s="442"/>
      <c r="AIT212" s="2"/>
      <c r="AIU212" s="2"/>
      <c r="AIV212" s="2"/>
      <c r="AIW212" s="2"/>
      <c r="AIX212" s="260"/>
      <c r="AIY212" s="260"/>
      <c r="AIZ212" s="260"/>
      <c r="AJA212" s="260"/>
      <c r="AJB212" s="260"/>
      <c r="AJC212" s="260"/>
      <c r="AJD212" s="308"/>
      <c r="AJE212" s="290"/>
      <c r="AJF212" s="290"/>
      <c r="AJG212" s="260"/>
      <c r="AJH212" s="260"/>
      <c r="AJI212" s="260"/>
      <c r="AJJ212" s="260"/>
      <c r="AJK212" s="260"/>
      <c r="AJL212" s="2"/>
      <c r="AJM212" s="2"/>
      <c r="AJN212" s="2"/>
      <c r="AJO212" s="2"/>
      <c r="AJP212" s="2"/>
      <c r="AJQ212" s="2"/>
      <c r="AJR212" s="260"/>
      <c r="AJS212" s="2"/>
      <c r="AJT212" s="2"/>
      <c r="AJU212" s="2"/>
      <c r="AJV212" s="2"/>
      <c r="AJW212" s="2"/>
      <c r="AJX212" s="2"/>
      <c r="AJY212" s="2"/>
      <c r="AJZ212" s="260"/>
      <c r="AKA212" s="260"/>
      <c r="AKB212" s="260"/>
      <c r="AKC212" s="380"/>
      <c r="AKD212" s="380"/>
      <c r="AKE212" s="380"/>
      <c r="AKF212" s="2"/>
      <c r="AKG212" s="442"/>
      <c r="AKH212" s="442"/>
      <c r="AKI212" s="443"/>
      <c r="AKJ212" s="442"/>
      <c r="AKK212" s="442"/>
      <c r="AKL212" s="2"/>
      <c r="AKM212" s="2"/>
      <c r="AKN212" s="2"/>
      <c r="AKO212" s="2"/>
      <c r="AKP212" s="260"/>
      <c r="AKQ212" s="260"/>
      <c r="AKR212" s="260"/>
      <c r="AKS212" s="260"/>
      <c r="AKT212" s="260"/>
      <c r="AKU212" s="260"/>
      <c r="AKV212" s="308"/>
      <c r="AKW212" s="290"/>
      <c r="AKX212" s="290"/>
      <c r="AKY212" s="260"/>
      <c r="AKZ212" s="260"/>
      <c r="ALA212" s="260"/>
      <c r="ALB212" s="260"/>
      <c r="ALC212" s="260"/>
      <c r="ALD212" s="2"/>
      <c r="ALE212" s="2"/>
      <c r="ALF212" s="2"/>
      <c r="ALG212" s="2"/>
      <c r="ALH212" s="2"/>
      <c r="ALI212" s="2"/>
      <c r="ALJ212" s="260"/>
      <c r="ALK212" s="2"/>
      <c r="ALL212" s="2"/>
      <c r="ALM212" s="2"/>
      <c r="ALN212" s="2"/>
      <c r="ALO212" s="2"/>
      <c r="ALP212" s="2"/>
      <c r="ALQ212" s="2"/>
      <c r="ALR212" s="260"/>
      <c r="ALS212" s="260"/>
      <c r="ALT212" s="260"/>
      <c r="ALU212" s="380"/>
      <c r="ALV212" s="380"/>
      <c r="ALW212" s="380"/>
      <c r="ALX212" s="2"/>
      <c r="ALY212" s="442"/>
      <c r="ALZ212" s="442"/>
      <c r="AMA212" s="443"/>
      <c r="AMB212" s="442"/>
      <c r="AMC212" s="442"/>
      <c r="AMD212" s="2"/>
      <c r="AME212" s="2"/>
      <c r="AMF212" s="2"/>
      <c r="AMG212" s="2"/>
      <c r="AMH212" s="260"/>
      <c r="AMI212" s="260"/>
      <c r="AMJ212" s="260"/>
      <c r="AMK212" s="260"/>
      <c r="AML212" s="260"/>
      <c r="AMM212" s="260"/>
      <c r="AMN212" s="308"/>
      <c r="AMO212" s="290"/>
      <c r="AMP212" s="290"/>
      <c r="AMQ212" s="260"/>
      <c r="AMR212" s="260"/>
      <c r="AMS212" s="260"/>
      <c r="AMT212" s="260"/>
      <c r="AMU212" s="260"/>
      <c r="AMV212" s="2"/>
      <c r="AMW212" s="2"/>
      <c r="AMX212" s="2"/>
      <c r="AMY212" s="2"/>
      <c r="AMZ212" s="2"/>
      <c r="ANA212" s="2"/>
      <c r="ANB212" s="260"/>
      <c r="ANC212" s="2"/>
      <c r="AND212" s="2"/>
      <c r="ANE212" s="2"/>
      <c r="ANF212" s="2"/>
      <c r="ANG212" s="2"/>
      <c r="ANH212" s="2"/>
      <c r="ANI212" s="2"/>
      <c r="ANJ212" s="260"/>
      <c r="ANK212" s="260"/>
      <c r="ANL212" s="260"/>
      <c r="ANM212" s="380"/>
      <c r="ANN212" s="380"/>
      <c r="ANO212" s="380"/>
      <c r="ANP212" s="2"/>
      <c r="ANQ212" s="442"/>
      <c r="ANR212" s="442"/>
      <c r="ANS212" s="443"/>
      <c r="ANT212" s="442"/>
      <c r="ANU212" s="442"/>
      <c r="ANV212" s="2"/>
      <c r="ANW212" s="2"/>
      <c r="ANX212" s="2"/>
      <c r="ANY212" s="2"/>
      <c r="ANZ212" s="260"/>
      <c r="AOA212" s="260"/>
      <c r="AOB212" s="260"/>
      <c r="AOC212" s="260"/>
      <c r="AOD212" s="260"/>
      <c r="AOE212" s="260"/>
      <c r="AOF212" s="308"/>
      <c r="AOG212" s="290"/>
      <c r="AOH212" s="290"/>
      <c r="AOI212" s="260"/>
      <c r="AOJ212" s="260"/>
      <c r="AOK212" s="260"/>
      <c r="AOL212" s="260"/>
      <c r="AOM212" s="260"/>
      <c r="AON212" s="2"/>
      <c r="AOO212" s="2"/>
      <c r="AOP212" s="2"/>
      <c r="AOQ212" s="2"/>
      <c r="AOR212" s="2"/>
      <c r="AOS212" s="2"/>
      <c r="AOT212" s="260"/>
      <c r="AOU212" s="2"/>
      <c r="AOV212" s="2"/>
      <c r="AOW212" s="2"/>
      <c r="AOX212" s="2"/>
      <c r="AOY212" s="2"/>
      <c r="AOZ212" s="2"/>
      <c r="APA212" s="2"/>
      <c r="APB212" s="260"/>
      <c r="APC212" s="260"/>
      <c r="APD212" s="260"/>
      <c r="APE212" s="380"/>
      <c r="APF212" s="380"/>
      <c r="APG212" s="380"/>
      <c r="APH212" s="2"/>
      <c r="API212" s="442"/>
      <c r="APJ212" s="442"/>
      <c r="APK212" s="443"/>
      <c r="APL212" s="442"/>
      <c r="APM212" s="442"/>
      <c r="APN212" s="2"/>
      <c r="APO212" s="2"/>
      <c r="APP212" s="2"/>
      <c r="APQ212" s="2"/>
      <c r="APR212" s="260"/>
      <c r="APS212" s="260"/>
      <c r="APT212" s="260"/>
      <c r="APU212" s="260"/>
      <c r="APV212" s="260"/>
      <c r="APW212" s="260"/>
      <c r="APX212" s="308"/>
      <c r="APY212" s="290"/>
      <c r="APZ212" s="290"/>
      <c r="AQA212" s="260"/>
      <c r="AQB212" s="260"/>
      <c r="AQC212" s="260"/>
      <c r="AQD212" s="260"/>
      <c r="AQE212" s="260"/>
      <c r="AQF212" s="2"/>
      <c r="AQG212" s="2"/>
      <c r="AQH212" s="2"/>
      <c r="AQI212" s="2"/>
      <c r="AQJ212" s="2"/>
      <c r="AQK212" s="2"/>
      <c r="AQL212" s="260"/>
      <c r="AQM212" s="2"/>
      <c r="AQN212" s="2"/>
      <c r="AQO212" s="2"/>
      <c r="AQP212" s="2"/>
      <c r="AQQ212" s="2"/>
      <c r="AQR212" s="2"/>
      <c r="AQS212" s="2"/>
      <c r="AQT212" s="260"/>
      <c r="AQU212" s="260"/>
      <c r="AQV212" s="260"/>
      <c r="AQW212" s="380"/>
      <c r="AQX212" s="380"/>
      <c r="AQY212" s="380"/>
      <c r="AQZ212" s="2"/>
      <c r="ARA212" s="442"/>
      <c r="ARB212" s="442"/>
      <c r="ARC212" s="443"/>
      <c r="ARD212" s="442"/>
      <c r="ARE212" s="442"/>
      <c r="ARF212" s="2"/>
      <c r="ARG212" s="2"/>
      <c r="ARH212" s="2"/>
      <c r="ARI212" s="2"/>
      <c r="ARJ212" s="260"/>
      <c r="ARK212" s="260"/>
      <c r="ARL212" s="260"/>
      <c r="ARM212" s="260"/>
      <c r="ARN212" s="260"/>
      <c r="ARO212" s="260"/>
      <c r="ARP212" s="308"/>
      <c r="ARQ212" s="290"/>
      <c r="ARR212" s="290"/>
      <c r="ARS212" s="260"/>
      <c r="ART212" s="260"/>
      <c r="ARU212" s="260"/>
      <c r="ARV212" s="260"/>
      <c r="ARW212" s="260"/>
      <c r="ARX212" s="2"/>
      <c r="ARY212" s="2"/>
      <c r="ARZ212" s="2"/>
      <c r="ASA212" s="2"/>
      <c r="ASB212" s="2"/>
      <c r="ASC212" s="2"/>
      <c r="ASD212" s="260"/>
      <c r="ASE212" s="2"/>
      <c r="ASF212" s="2"/>
      <c r="ASG212" s="2"/>
      <c r="ASH212" s="2"/>
      <c r="ASI212" s="2"/>
      <c r="ASJ212" s="2"/>
      <c r="ASK212" s="2"/>
      <c r="ASL212" s="260"/>
      <c r="ASM212" s="260"/>
      <c r="ASN212" s="260"/>
      <c r="ASO212" s="380"/>
      <c r="ASP212" s="380"/>
      <c r="ASQ212" s="380"/>
      <c r="ASR212" s="2"/>
      <c r="ASS212" s="442"/>
      <c r="AST212" s="442"/>
      <c r="ASU212" s="443"/>
      <c r="ASV212" s="442"/>
      <c r="ASW212" s="442"/>
      <c r="ASX212" s="2"/>
      <c r="ASY212" s="2"/>
      <c r="ASZ212" s="2"/>
      <c r="ATA212" s="2"/>
      <c r="ATB212" s="260"/>
      <c r="ATC212" s="260"/>
      <c r="ATD212" s="260"/>
      <c r="ATE212" s="260"/>
      <c r="ATF212" s="260"/>
      <c r="ATG212" s="260"/>
      <c r="ATH212" s="308"/>
      <c r="ATI212" s="290"/>
      <c r="ATJ212" s="290"/>
      <c r="ATK212" s="260"/>
      <c r="ATL212" s="260"/>
      <c r="ATM212" s="260"/>
      <c r="ATN212" s="260"/>
      <c r="ATO212" s="260"/>
      <c r="ATP212" s="2"/>
      <c r="ATQ212" s="2"/>
      <c r="ATR212" s="2"/>
      <c r="ATS212" s="2"/>
      <c r="ATT212" s="2"/>
      <c r="ATU212" s="2"/>
      <c r="ATV212" s="260"/>
      <c r="ATW212" s="2"/>
      <c r="ATX212" s="2"/>
      <c r="ATY212" s="2"/>
      <c r="ATZ212" s="2"/>
      <c r="AUA212" s="2"/>
      <c r="AUB212" s="2"/>
      <c r="AUC212" s="2"/>
      <c r="AUD212" s="260"/>
      <c r="AUE212" s="260"/>
      <c r="AUF212" s="260"/>
      <c r="AUG212" s="380"/>
      <c r="AUH212" s="380"/>
      <c r="AUI212" s="380"/>
      <c r="AUJ212" s="2"/>
      <c r="AUK212" s="442"/>
      <c r="AUL212" s="442"/>
      <c r="AUM212" s="443"/>
      <c r="AUN212" s="442"/>
      <c r="AUO212" s="442"/>
      <c r="AUP212" s="2"/>
      <c r="AUQ212" s="2"/>
      <c r="AUR212" s="2"/>
      <c r="AUS212" s="2"/>
      <c r="AUT212" s="260"/>
      <c r="AUU212" s="260"/>
      <c r="AUV212" s="260"/>
      <c r="AUW212" s="260"/>
      <c r="AUX212" s="260"/>
      <c r="AUY212" s="260"/>
      <c r="AUZ212" s="308"/>
      <c r="AVA212" s="290"/>
      <c r="AVB212" s="290"/>
      <c r="AVC212" s="260"/>
      <c r="AVD212" s="260"/>
      <c r="AVE212" s="260"/>
      <c r="AVF212" s="260"/>
      <c r="AVG212" s="260"/>
      <c r="AVH212" s="2"/>
      <c r="AVI212" s="2"/>
      <c r="AVJ212" s="2"/>
      <c r="AVK212" s="2"/>
      <c r="AVL212" s="2"/>
      <c r="AVM212" s="2"/>
      <c r="AVN212" s="260"/>
      <c r="AVO212" s="2"/>
      <c r="AVP212" s="2"/>
      <c r="AVQ212" s="2"/>
      <c r="AVR212" s="2"/>
      <c r="AVS212" s="2"/>
      <c r="AVT212" s="2"/>
      <c r="AVU212" s="2"/>
      <c r="AVV212" s="260"/>
      <c r="AVW212" s="260"/>
      <c r="AVX212" s="260"/>
      <c r="AVY212" s="380"/>
      <c r="AVZ212" s="380"/>
      <c r="AWA212" s="380"/>
      <c r="AWB212" s="2"/>
      <c r="AWC212" s="442"/>
      <c r="AWD212" s="442"/>
      <c r="AWE212" s="443"/>
      <c r="AWF212" s="442"/>
      <c r="AWG212" s="442"/>
      <c r="AWH212" s="2"/>
      <c r="AWI212" s="2"/>
      <c r="AWJ212" s="2"/>
      <c r="AWK212" s="2"/>
      <c r="AWL212" s="260"/>
      <c r="AWM212" s="260"/>
      <c r="AWN212" s="260"/>
      <c r="AWO212" s="260"/>
      <c r="AWP212" s="260"/>
      <c r="AWQ212" s="260"/>
      <c r="AWR212" s="308"/>
      <c r="AWS212" s="290"/>
      <c r="AWT212" s="290"/>
      <c r="AWU212" s="260"/>
      <c r="AWV212" s="260"/>
      <c r="AWW212" s="260"/>
      <c r="AWX212" s="260"/>
      <c r="AWY212" s="260"/>
      <c r="AWZ212" s="2"/>
      <c r="AXA212" s="2"/>
      <c r="AXB212" s="2"/>
      <c r="AXC212" s="2"/>
      <c r="AXD212" s="2"/>
      <c r="AXE212" s="2"/>
      <c r="AXF212" s="260"/>
      <c r="AXG212" s="2"/>
      <c r="AXH212" s="2"/>
      <c r="AXI212" s="2"/>
      <c r="AXJ212" s="2"/>
      <c r="AXK212" s="2"/>
      <c r="AXL212" s="2"/>
      <c r="AXM212" s="2"/>
      <c r="AXN212" s="260"/>
      <c r="AXO212" s="260"/>
      <c r="AXP212" s="260"/>
      <c r="AXQ212" s="380"/>
      <c r="AXR212" s="380"/>
      <c r="AXS212" s="380"/>
      <c r="AXT212" s="2"/>
      <c r="AXU212" s="442"/>
      <c r="AXV212" s="442"/>
      <c r="AXW212" s="443"/>
      <c r="AXX212" s="442"/>
      <c r="AXY212" s="442"/>
      <c r="AXZ212" s="2"/>
      <c r="AYA212" s="2"/>
      <c r="AYB212" s="2"/>
      <c r="AYC212" s="2"/>
      <c r="AYD212" s="260"/>
      <c r="AYE212" s="260"/>
      <c r="AYF212" s="260"/>
      <c r="AYG212" s="260"/>
      <c r="AYH212" s="260"/>
      <c r="AYI212" s="260"/>
      <c r="AYJ212" s="308"/>
      <c r="AYK212" s="290"/>
      <c r="AYL212" s="290"/>
      <c r="AYM212" s="260"/>
      <c r="AYN212" s="260"/>
      <c r="AYO212" s="260"/>
      <c r="AYP212" s="260"/>
      <c r="AYQ212" s="260"/>
      <c r="AYR212" s="2"/>
      <c r="AYS212" s="2"/>
      <c r="AYT212" s="2"/>
      <c r="AYU212" s="2"/>
      <c r="AYV212" s="2"/>
      <c r="AYW212" s="2"/>
      <c r="AYX212" s="260"/>
      <c r="AYY212" s="2"/>
      <c r="AYZ212" s="2"/>
      <c r="AZA212" s="2"/>
      <c r="AZB212" s="2"/>
      <c r="AZC212" s="2"/>
      <c r="AZD212" s="2"/>
      <c r="AZE212" s="2"/>
      <c r="AZF212" s="260"/>
      <c r="AZG212" s="260"/>
      <c r="AZH212" s="260"/>
      <c r="AZI212" s="380"/>
      <c r="AZJ212" s="380"/>
      <c r="AZK212" s="380"/>
      <c r="AZL212" s="2"/>
      <c r="AZM212" s="442"/>
      <c r="AZN212" s="442"/>
      <c r="AZO212" s="443"/>
      <c r="AZP212" s="442"/>
      <c r="AZQ212" s="442"/>
      <c r="AZR212" s="2"/>
      <c r="AZS212" s="2"/>
      <c r="AZT212" s="2"/>
      <c r="AZU212" s="2"/>
      <c r="AZV212" s="260"/>
      <c r="AZW212" s="260"/>
      <c r="AZX212" s="260"/>
      <c r="AZY212" s="260"/>
      <c r="AZZ212" s="260"/>
      <c r="BAA212" s="260"/>
      <c r="BAB212" s="308"/>
      <c r="BAC212" s="290"/>
      <c r="BAD212" s="290"/>
      <c r="BAE212" s="260"/>
      <c r="BAF212" s="260"/>
      <c r="BAG212" s="260"/>
      <c r="BAH212" s="260"/>
      <c r="BAI212" s="260"/>
      <c r="BAJ212" s="2"/>
      <c r="BAK212" s="2"/>
      <c r="BAL212" s="2"/>
      <c r="BAM212" s="2"/>
      <c r="BAN212" s="2"/>
      <c r="BAO212" s="2"/>
      <c r="BAP212" s="260"/>
      <c r="BAQ212" s="2"/>
      <c r="BAR212" s="2"/>
      <c r="BAS212" s="2"/>
      <c r="BAT212" s="2"/>
      <c r="BAU212" s="2"/>
      <c r="BAV212" s="2"/>
      <c r="BAW212" s="2"/>
      <c r="BAX212" s="260"/>
      <c r="BAY212" s="260"/>
      <c r="BAZ212" s="260"/>
      <c r="BBA212" s="380"/>
      <c r="BBB212" s="380"/>
      <c r="BBC212" s="380"/>
      <c r="BBD212" s="2"/>
      <c r="BBE212" s="442"/>
      <c r="BBF212" s="442"/>
      <c r="BBG212" s="443"/>
      <c r="BBH212" s="442"/>
      <c r="BBI212" s="442"/>
      <c r="BBJ212" s="2"/>
      <c r="BBK212" s="2"/>
      <c r="BBL212" s="2"/>
      <c r="BBM212" s="2"/>
      <c r="BBN212" s="260"/>
      <c r="BBO212" s="260"/>
      <c r="BBP212" s="260"/>
      <c r="BBQ212" s="260"/>
      <c r="BBR212" s="260"/>
      <c r="BBS212" s="260"/>
      <c r="BBT212" s="308"/>
      <c r="BBU212" s="290"/>
      <c r="BBV212" s="290"/>
      <c r="BBW212" s="260"/>
      <c r="BBX212" s="260"/>
      <c r="BBY212" s="260"/>
      <c r="BBZ212" s="260"/>
      <c r="BCA212" s="260"/>
      <c r="BCB212" s="2"/>
      <c r="BCC212" s="2"/>
      <c r="BCD212" s="2"/>
      <c r="BCE212" s="2"/>
      <c r="BCF212" s="2"/>
      <c r="BCG212" s="2"/>
      <c r="BCH212" s="260"/>
      <c r="BCI212" s="2"/>
      <c r="BCJ212" s="2"/>
      <c r="BCK212" s="2"/>
      <c r="BCL212" s="2"/>
      <c r="BCM212" s="2"/>
      <c r="BCN212" s="2"/>
      <c r="BCO212" s="2"/>
      <c r="BCP212" s="260"/>
      <c r="BCQ212" s="260"/>
      <c r="BCR212" s="260"/>
      <c r="BCS212" s="380"/>
      <c r="BCT212" s="380"/>
      <c r="BCU212" s="380"/>
      <c r="BCV212" s="2"/>
      <c r="BCW212" s="442"/>
      <c r="BCX212" s="442"/>
      <c r="BCY212" s="443"/>
      <c r="BCZ212" s="442"/>
      <c r="BDA212" s="442"/>
      <c r="BDB212" s="2"/>
      <c r="BDC212" s="2"/>
      <c r="BDD212" s="2"/>
      <c r="BDE212" s="2"/>
      <c r="BDF212" s="260"/>
      <c r="BDG212" s="260"/>
      <c r="BDH212" s="260"/>
      <c r="BDI212" s="260"/>
      <c r="BDJ212" s="260"/>
      <c r="BDK212" s="260"/>
      <c r="BDL212" s="308"/>
      <c r="BDM212" s="290"/>
      <c r="BDN212" s="290"/>
      <c r="BDO212" s="260"/>
      <c r="BDP212" s="260"/>
      <c r="BDQ212" s="260"/>
      <c r="BDR212" s="260"/>
      <c r="BDS212" s="260"/>
      <c r="BDT212" s="2"/>
      <c r="BDU212" s="2"/>
      <c r="BDV212" s="2"/>
      <c r="BDW212" s="2"/>
      <c r="BDX212" s="2"/>
      <c r="BDY212" s="2"/>
      <c r="BDZ212" s="260"/>
      <c r="BEA212" s="2"/>
      <c r="BEB212" s="2"/>
      <c r="BEC212" s="2"/>
      <c r="BED212" s="2"/>
      <c r="BEE212" s="2"/>
      <c r="BEF212" s="2"/>
      <c r="BEG212" s="2"/>
      <c r="BEH212" s="260"/>
      <c r="BEI212" s="260"/>
      <c r="BEJ212" s="260"/>
      <c r="BEK212" s="380"/>
      <c r="BEL212" s="380"/>
      <c r="BEM212" s="380"/>
      <c r="BEN212" s="2"/>
      <c r="BEO212" s="442"/>
      <c r="BEP212" s="442"/>
      <c r="BEQ212" s="443"/>
      <c r="BER212" s="442"/>
      <c r="BES212" s="442"/>
      <c r="BET212" s="2"/>
      <c r="BEU212" s="2"/>
      <c r="BEV212" s="2"/>
      <c r="BEW212" s="2"/>
      <c r="BEX212" s="260"/>
      <c r="BEY212" s="260"/>
      <c r="BEZ212" s="260"/>
      <c r="BFA212" s="260"/>
      <c r="BFB212" s="260"/>
      <c r="BFC212" s="260"/>
      <c r="BFD212" s="308"/>
      <c r="BFE212" s="290"/>
      <c r="BFF212" s="290"/>
      <c r="BFG212" s="260"/>
      <c r="BFH212" s="260"/>
      <c r="BFI212" s="260"/>
      <c r="BFJ212" s="260"/>
      <c r="BFK212" s="260"/>
      <c r="BFL212" s="2"/>
      <c r="BFM212" s="2"/>
      <c r="BFN212" s="2"/>
      <c r="BFO212" s="2"/>
      <c r="BFP212" s="2"/>
      <c r="BFQ212" s="2"/>
      <c r="BFR212" s="260"/>
      <c r="BFS212" s="2"/>
      <c r="BFT212" s="2"/>
      <c r="BFU212" s="2"/>
      <c r="BFV212" s="2"/>
      <c r="BFW212" s="2"/>
      <c r="BFX212" s="2"/>
      <c r="BFY212" s="2"/>
      <c r="BFZ212" s="260"/>
      <c r="BGA212" s="260"/>
      <c r="BGB212" s="260"/>
      <c r="BGC212" s="380"/>
      <c r="BGD212" s="380"/>
      <c r="BGE212" s="380"/>
      <c r="BGF212" s="2"/>
      <c r="BGG212" s="442"/>
      <c r="BGH212" s="442"/>
      <c r="BGI212" s="443"/>
      <c r="BGJ212" s="442"/>
      <c r="BGK212" s="442"/>
      <c r="BGL212" s="2"/>
      <c r="BGM212" s="2"/>
      <c r="BGN212" s="2"/>
      <c r="BGO212" s="2"/>
      <c r="BGP212" s="260"/>
      <c r="BGQ212" s="260"/>
      <c r="BGR212" s="260"/>
      <c r="BGS212" s="260"/>
      <c r="BGT212" s="260"/>
      <c r="BGU212" s="260"/>
      <c r="BGV212" s="308"/>
      <c r="BGW212" s="290"/>
      <c r="BGX212" s="290"/>
      <c r="BGY212" s="260"/>
      <c r="BGZ212" s="260"/>
      <c r="BHA212" s="260"/>
      <c r="BHB212" s="260"/>
      <c r="BHC212" s="260"/>
      <c r="BHD212" s="2"/>
      <c r="BHE212" s="2"/>
      <c r="BHF212" s="2"/>
      <c r="BHG212" s="2"/>
      <c r="BHH212" s="2"/>
      <c r="BHI212" s="2"/>
      <c r="BHJ212" s="260"/>
      <c r="BHK212" s="2"/>
      <c r="BHL212" s="2"/>
      <c r="BHM212" s="2"/>
      <c r="BHN212" s="2"/>
      <c r="BHO212" s="2"/>
      <c r="BHP212" s="2"/>
      <c r="BHQ212" s="2"/>
      <c r="BHR212" s="260"/>
      <c r="BHS212" s="260"/>
      <c r="BHT212" s="260"/>
      <c r="BHU212" s="380"/>
      <c r="BHV212" s="380"/>
      <c r="BHW212" s="380"/>
      <c r="BHX212" s="2"/>
      <c r="BHY212" s="442"/>
      <c r="BHZ212" s="442"/>
      <c r="BIA212" s="443"/>
      <c r="BIB212" s="442"/>
      <c r="BIC212" s="442"/>
      <c r="BID212" s="2"/>
      <c r="BIE212" s="2"/>
      <c r="BIF212" s="2"/>
      <c r="BIG212" s="2"/>
      <c r="BIH212" s="260"/>
      <c r="BII212" s="260"/>
      <c r="BIJ212" s="260"/>
      <c r="BIK212" s="260"/>
      <c r="BIL212" s="260"/>
      <c r="BIM212" s="260"/>
      <c r="BIN212" s="308"/>
      <c r="BIO212" s="290"/>
      <c r="BIP212" s="290"/>
      <c r="BIQ212" s="260"/>
      <c r="BIR212" s="260"/>
      <c r="BIS212" s="260"/>
      <c r="BIT212" s="260"/>
      <c r="BIU212" s="260"/>
      <c r="BIV212" s="2"/>
      <c r="BIW212" s="2"/>
      <c r="BIX212" s="2"/>
      <c r="BIY212" s="2"/>
      <c r="BIZ212" s="2"/>
      <c r="BJA212" s="2"/>
      <c r="BJB212" s="260"/>
      <c r="BJC212" s="2"/>
      <c r="BJD212" s="2"/>
      <c r="BJE212" s="2"/>
      <c r="BJF212" s="2"/>
      <c r="BJG212" s="2"/>
      <c r="BJH212" s="2"/>
      <c r="BJI212" s="2"/>
      <c r="BJJ212" s="260"/>
      <c r="BJK212" s="260"/>
      <c r="BJL212" s="260"/>
      <c r="BJM212" s="380"/>
      <c r="BJN212" s="380"/>
      <c r="BJO212" s="380"/>
      <c r="BJP212" s="2"/>
      <c r="BJQ212" s="442"/>
      <c r="BJR212" s="442"/>
      <c r="BJS212" s="443"/>
      <c r="BJT212" s="442"/>
      <c r="BJU212" s="442"/>
      <c r="BJV212" s="2"/>
      <c r="BJW212" s="2"/>
      <c r="BJX212" s="2"/>
      <c r="BJY212" s="2"/>
      <c r="BJZ212" s="260"/>
      <c r="BKA212" s="260"/>
      <c r="BKB212" s="260"/>
      <c r="BKC212" s="260"/>
      <c r="BKD212" s="260"/>
      <c r="BKE212" s="260"/>
      <c r="BKF212" s="308"/>
      <c r="BKG212" s="290"/>
      <c r="BKH212" s="290"/>
      <c r="BKI212" s="260"/>
      <c r="BKJ212" s="260"/>
      <c r="BKK212" s="260"/>
      <c r="BKL212" s="260"/>
      <c r="BKM212" s="260"/>
      <c r="BKN212" s="2"/>
      <c r="BKO212" s="2"/>
      <c r="BKP212" s="2"/>
      <c r="BKQ212" s="2"/>
      <c r="BKR212" s="2"/>
      <c r="BKS212" s="2"/>
      <c r="BKT212" s="260"/>
      <c r="BKU212" s="2"/>
      <c r="BKV212" s="2"/>
      <c r="BKW212" s="2"/>
      <c r="BKX212" s="2"/>
      <c r="BKY212" s="2"/>
      <c r="BKZ212" s="2"/>
      <c r="BLA212" s="2"/>
      <c r="BLB212" s="260"/>
      <c r="BLC212" s="260"/>
      <c r="BLD212" s="260"/>
      <c r="BLE212" s="380"/>
      <c r="BLF212" s="380"/>
      <c r="BLG212" s="380"/>
      <c r="BLH212" s="2"/>
      <c r="BLI212" s="442"/>
      <c r="BLJ212" s="442"/>
      <c r="BLK212" s="443"/>
      <c r="BLL212" s="442"/>
      <c r="BLM212" s="442"/>
      <c r="BLN212" s="2"/>
      <c r="BLO212" s="2"/>
      <c r="BLP212" s="2"/>
      <c r="BLQ212" s="2"/>
      <c r="BLR212" s="260"/>
      <c r="BLS212" s="260"/>
      <c r="BLT212" s="260"/>
      <c r="BLU212" s="260"/>
      <c r="BLV212" s="260"/>
      <c r="BLW212" s="260"/>
      <c r="BLX212" s="308"/>
      <c r="BLY212" s="290"/>
      <c r="BLZ212" s="290"/>
      <c r="BMA212" s="260"/>
      <c r="BMB212" s="260"/>
      <c r="BMC212" s="260"/>
      <c r="BMD212" s="260"/>
      <c r="BME212" s="260"/>
      <c r="BMF212" s="2"/>
      <c r="BMG212" s="2"/>
      <c r="BMH212" s="2"/>
      <c r="BMI212" s="2"/>
      <c r="BMJ212" s="2"/>
      <c r="BMK212" s="2"/>
      <c r="BML212" s="260"/>
      <c r="BMM212" s="2"/>
      <c r="BMN212" s="2"/>
      <c r="BMO212" s="2"/>
      <c r="BMP212" s="2"/>
      <c r="BMQ212" s="2"/>
      <c r="BMR212" s="2"/>
      <c r="BMS212" s="2"/>
      <c r="BMT212" s="260"/>
      <c r="BMU212" s="260"/>
      <c r="BMV212" s="260"/>
      <c r="BMW212" s="380"/>
      <c r="BMX212" s="380"/>
      <c r="BMY212" s="380"/>
      <c r="BMZ212" s="2"/>
      <c r="BNA212" s="442"/>
      <c r="BNB212" s="442"/>
      <c r="BNC212" s="443"/>
      <c r="BND212" s="442"/>
      <c r="BNE212" s="442"/>
      <c r="BNF212" s="2"/>
      <c r="BNG212" s="2"/>
      <c r="BNH212" s="2"/>
      <c r="BNI212" s="2"/>
      <c r="BNJ212" s="260"/>
      <c r="BNK212" s="260"/>
      <c r="BNL212" s="260"/>
      <c r="BNM212" s="260"/>
      <c r="BNN212" s="260"/>
      <c r="BNO212" s="260"/>
      <c r="BNP212" s="308"/>
      <c r="BNQ212" s="290"/>
      <c r="BNR212" s="290"/>
      <c r="BNS212" s="260"/>
      <c r="BNT212" s="260"/>
      <c r="BNU212" s="260"/>
      <c r="BNV212" s="260"/>
      <c r="BNW212" s="260"/>
      <c r="BNX212" s="2"/>
      <c r="BNY212" s="2"/>
      <c r="BNZ212" s="2"/>
      <c r="BOA212" s="2"/>
      <c r="BOB212" s="2"/>
      <c r="BOC212" s="2"/>
      <c r="BOD212" s="260"/>
      <c r="BOE212" s="2"/>
      <c r="BOF212" s="2"/>
      <c r="BOG212" s="2"/>
      <c r="BOH212" s="2"/>
      <c r="BOI212" s="2"/>
      <c r="BOJ212" s="2"/>
      <c r="BOK212" s="2"/>
      <c r="BOL212" s="260"/>
      <c r="BOM212" s="260"/>
      <c r="BON212" s="260"/>
      <c r="BOO212" s="380"/>
      <c r="BOP212" s="380"/>
      <c r="BOQ212" s="380"/>
      <c r="BOR212" s="2"/>
      <c r="BOS212" s="442"/>
      <c r="BOT212" s="442"/>
      <c r="BOU212" s="443"/>
      <c r="BOV212" s="442"/>
      <c r="BOW212" s="442"/>
      <c r="BOX212" s="2"/>
      <c r="BOY212" s="2"/>
      <c r="BOZ212" s="2"/>
      <c r="BPA212" s="2"/>
      <c r="BPB212" s="260"/>
      <c r="BPC212" s="260"/>
      <c r="BPD212" s="260"/>
      <c r="BPE212" s="260"/>
      <c r="BPF212" s="260"/>
      <c r="BPG212" s="260"/>
      <c r="BPH212" s="308"/>
      <c r="BPI212" s="290"/>
      <c r="BPJ212" s="290"/>
      <c r="BPK212" s="260"/>
      <c r="BPL212" s="260"/>
      <c r="BPM212" s="260"/>
      <c r="BPN212" s="260"/>
      <c r="BPO212" s="260"/>
      <c r="BPP212" s="2"/>
      <c r="BPQ212" s="2"/>
      <c r="BPR212" s="2"/>
      <c r="BPS212" s="2"/>
      <c r="BPT212" s="2"/>
      <c r="BPU212" s="2"/>
      <c r="BPV212" s="260"/>
      <c r="BPW212" s="2"/>
      <c r="BPX212" s="2"/>
      <c r="BPY212" s="2"/>
      <c r="BPZ212" s="2"/>
      <c r="BQA212" s="2"/>
      <c r="BQB212" s="2"/>
      <c r="BQC212" s="2"/>
      <c r="BQD212" s="260"/>
      <c r="BQE212" s="260"/>
      <c r="BQF212" s="260"/>
      <c r="BQG212" s="380"/>
      <c r="BQH212" s="380"/>
      <c r="BQI212" s="380"/>
      <c r="BQJ212" s="2"/>
      <c r="BQK212" s="442"/>
      <c r="BQL212" s="442"/>
      <c r="BQM212" s="443"/>
      <c r="BQN212" s="442"/>
      <c r="BQO212" s="442"/>
      <c r="BQP212" s="2"/>
      <c r="BQQ212" s="2"/>
      <c r="BQR212" s="2"/>
      <c r="BQS212" s="2"/>
      <c r="BQT212" s="260"/>
      <c r="BQU212" s="260"/>
      <c r="BQV212" s="260"/>
      <c r="BQW212" s="260"/>
      <c r="BQX212" s="260"/>
      <c r="BQY212" s="260"/>
      <c r="BQZ212" s="308"/>
      <c r="BRA212" s="290"/>
      <c r="BRB212" s="290"/>
      <c r="BRC212" s="260"/>
      <c r="BRD212" s="260"/>
      <c r="BRE212" s="260"/>
      <c r="BRF212" s="260"/>
      <c r="BRG212" s="260"/>
      <c r="BRH212" s="2"/>
      <c r="BRI212" s="2"/>
      <c r="BRJ212" s="2"/>
      <c r="BRK212" s="2"/>
      <c r="BRL212" s="2"/>
      <c r="BRM212" s="2"/>
      <c r="BRN212" s="260"/>
      <c r="BRO212" s="2"/>
      <c r="BRP212" s="2"/>
      <c r="BRQ212" s="2"/>
      <c r="BRR212" s="2"/>
      <c r="BRS212" s="2"/>
      <c r="BRT212" s="2"/>
      <c r="BRU212" s="2"/>
      <c r="BRV212" s="260"/>
      <c r="BRW212" s="260"/>
      <c r="BRX212" s="260"/>
      <c r="BRY212" s="380"/>
      <c r="BRZ212" s="380"/>
      <c r="BSA212" s="380"/>
      <c r="BSB212" s="2"/>
      <c r="BSC212" s="442"/>
      <c r="BSD212" s="442"/>
      <c r="BSE212" s="443"/>
      <c r="BSF212" s="442"/>
      <c r="BSG212" s="442"/>
      <c r="BSH212" s="2"/>
      <c r="BSI212" s="2"/>
      <c r="BSJ212" s="2"/>
      <c r="BSK212" s="2"/>
      <c r="BSL212" s="260"/>
      <c r="BSM212" s="260"/>
      <c r="BSN212" s="260"/>
      <c r="BSO212" s="260"/>
      <c r="BSP212" s="260"/>
      <c r="BSQ212" s="260"/>
      <c r="BSR212" s="308"/>
      <c r="BSS212" s="290"/>
      <c r="BST212" s="290"/>
      <c r="BSU212" s="260"/>
      <c r="BSV212" s="260"/>
      <c r="BSW212" s="260"/>
      <c r="BSX212" s="260"/>
      <c r="BSY212" s="260"/>
      <c r="BSZ212" s="2"/>
      <c r="BTA212" s="2"/>
      <c r="BTB212" s="2"/>
      <c r="BTC212" s="2"/>
      <c r="BTD212" s="2"/>
      <c r="BTE212" s="2"/>
      <c r="BTF212" s="260"/>
      <c r="BTG212" s="2"/>
      <c r="BTH212" s="2"/>
      <c r="BTI212" s="2"/>
      <c r="BTJ212" s="2"/>
      <c r="BTK212" s="2"/>
      <c r="BTL212" s="2"/>
      <c r="BTM212" s="2"/>
      <c r="BTN212" s="260"/>
      <c r="BTO212" s="260"/>
      <c r="BTP212" s="260"/>
      <c r="BTQ212" s="380"/>
      <c r="BTR212" s="380"/>
      <c r="BTS212" s="380"/>
      <c r="BTT212" s="2"/>
      <c r="BTU212" s="442"/>
      <c r="BTV212" s="442"/>
      <c r="BTW212" s="443"/>
      <c r="BTX212" s="442"/>
      <c r="BTY212" s="442"/>
      <c r="BTZ212" s="2"/>
      <c r="BUA212" s="2"/>
      <c r="BUB212" s="2"/>
      <c r="BUC212" s="2"/>
      <c r="BUD212" s="260"/>
      <c r="BUE212" s="260"/>
      <c r="BUF212" s="260"/>
      <c r="BUG212" s="260"/>
      <c r="BUH212" s="260"/>
      <c r="BUI212" s="260"/>
      <c r="BUJ212" s="308"/>
      <c r="BUK212" s="290"/>
      <c r="BUL212" s="290"/>
      <c r="BUM212" s="260"/>
      <c r="BUN212" s="260"/>
      <c r="BUO212" s="260"/>
      <c r="BUP212" s="260"/>
      <c r="BUQ212" s="260"/>
      <c r="BUR212" s="2"/>
      <c r="BUS212" s="2"/>
      <c r="BUT212" s="2"/>
      <c r="BUU212" s="2"/>
      <c r="BUV212" s="2"/>
      <c r="BUW212" s="2"/>
      <c r="BUX212" s="260"/>
      <c r="BUY212" s="2"/>
      <c r="BUZ212" s="2"/>
      <c r="BVA212" s="2"/>
      <c r="BVB212" s="2"/>
      <c r="BVC212" s="2"/>
      <c r="BVD212" s="2"/>
      <c r="BVE212" s="2"/>
      <c r="BVF212" s="260"/>
      <c r="BVG212" s="260"/>
      <c r="BVH212" s="260"/>
      <c r="BVI212" s="380"/>
      <c r="BVJ212" s="380"/>
      <c r="BVK212" s="380"/>
      <c r="BVL212" s="2"/>
      <c r="BVM212" s="442"/>
      <c r="BVN212" s="442"/>
      <c r="BVO212" s="443"/>
      <c r="BVP212" s="442"/>
      <c r="BVQ212" s="442"/>
      <c r="BVR212" s="2"/>
      <c r="BVS212" s="2"/>
      <c r="BVT212" s="2"/>
      <c r="BVU212" s="2"/>
      <c r="BVV212" s="260"/>
      <c r="BVW212" s="260"/>
      <c r="BVX212" s="260"/>
      <c r="BVY212" s="260"/>
      <c r="BVZ212" s="260"/>
      <c r="BWA212" s="260"/>
      <c r="BWB212" s="308"/>
      <c r="BWC212" s="290"/>
      <c r="BWD212" s="290"/>
      <c r="BWE212" s="260"/>
      <c r="BWF212" s="260"/>
      <c r="BWG212" s="260"/>
      <c r="BWH212" s="260"/>
      <c r="BWI212" s="260"/>
      <c r="BWJ212" s="2"/>
      <c r="BWK212" s="2"/>
      <c r="BWL212" s="2"/>
      <c r="BWM212" s="2"/>
      <c r="BWN212" s="2"/>
      <c r="BWO212" s="2"/>
      <c r="BWP212" s="260"/>
      <c r="BWQ212" s="2"/>
      <c r="BWR212" s="2"/>
      <c r="BWS212" s="2"/>
      <c r="BWT212" s="2"/>
      <c r="BWU212" s="2"/>
      <c r="BWV212" s="2"/>
      <c r="BWW212" s="2"/>
      <c r="BWX212" s="260"/>
      <c r="BWY212" s="260"/>
      <c r="BWZ212" s="260"/>
      <c r="BXA212" s="380"/>
      <c r="BXB212" s="380"/>
      <c r="BXC212" s="380"/>
      <c r="BXD212" s="2"/>
      <c r="BXE212" s="442"/>
      <c r="BXF212" s="442"/>
      <c r="BXG212" s="443"/>
      <c r="BXH212" s="442"/>
      <c r="BXI212" s="442"/>
      <c r="BXJ212" s="2"/>
      <c r="BXK212" s="2"/>
      <c r="BXL212" s="2"/>
      <c r="BXM212" s="2"/>
      <c r="BXN212" s="260"/>
      <c r="BXO212" s="260"/>
      <c r="BXP212" s="260"/>
      <c r="BXQ212" s="260"/>
      <c r="BXR212" s="260"/>
      <c r="BXS212" s="260"/>
      <c r="BXT212" s="308"/>
      <c r="BXU212" s="290"/>
      <c r="BXV212" s="290"/>
      <c r="BXW212" s="260"/>
      <c r="BXX212" s="260"/>
      <c r="BXY212" s="260"/>
      <c r="BXZ212" s="260"/>
      <c r="BYA212" s="260"/>
      <c r="BYB212" s="2"/>
      <c r="BYC212" s="2"/>
      <c r="BYD212" s="2"/>
      <c r="BYE212" s="2"/>
      <c r="BYF212" s="2"/>
      <c r="BYG212" s="2"/>
      <c r="BYH212" s="260"/>
      <c r="BYI212" s="2"/>
      <c r="BYJ212" s="2"/>
      <c r="BYK212" s="2"/>
      <c r="BYL212" s="2"/>
      <c r="BYM212" s="2"/>
      <c r="BYN212" s="2"/>
      <c r="BYO212" s="2"/>
      <c r="BYP212" s="260"/>
      <c r="BYQ212" s="260"/>
      <c r="BYR212" s="260"/>
      <c r="BYS212" s="380"/>
      <c r="BYT212" s="380"/>
      <c r="BYU212" s="380"/>
      <c r="BYV212" s="2"/>
      <c r="BYW212" s="442"/>
      <c r="BYX212" s="442"/>
      <c r="BYY212" s="443"/>
      <c r="BYZ212" s="442"/>
      <c r="BZA212" s="442"/>
      <c r="BZB212" s="2"/>
      <c r="BZC212" s="2"/>
      <c r="BZD212" s="2"/>
      <c r="BZE212" s="2"/>
      <c r="BZF212" s="260"/>
      <c r="BZG212" s="260"/>
      <c r="BZH212" s="260"/>
      <c r="BZI212" s="260"/>
      <c r="BZJ212" s="260"/>
      <c r="BZK212" s="260"/>
      <c r="BZL212" s="308"/>
      <c r="BZM212" s="290"/>
      <c r="BZN212" s="290"/>
      <c r="BZO212" s="260"/>
      <c r="BZP212" s="260"/>
      <c r="BZQ212" s="260"/>
      <c r="BZR212" s="260"/>
      <c r="BZS212" s="260"/>
      <c r="BZT212" s="2"/>
      <c r="BZU212" s="2"/>
      <c r="BZV212" s="2"/>
      <c r="BZW212" s="2"/>
      <c r="BZX212" s="2"/>
      <c r="BZY212" s="2"/>
      <c r="BZZ212" s="260"/>
      <c r="CAA212" s="2"/>
      <c r="CAB212" s="2"/>
      <c r="CAC212" s="2"/>
      <c r="CAD212" s="2"/>
      <c r="CAE212" s="2"/>
      <c r="CAF212" s="2"/>
      <c r="CAG212" s="2"/>
      <c r="CAH212" s="260"/>
      <c r="CAI212" s="260"/>
      <c r="CAJ212" s="260"/>
      <c r="CAK212" s="380"/>
      <c r="CAL212" s="380"/>
      <c r="CAM212" s="380"/>
      <c r="CAN212" s="2"/>
      <c r="CAO212" s="442"/>
      <c r="CAP212" s="442"/>
      <c r="CAQ212" s="443"/>
      <c r="CAR212" s="442"/>
      <c r="CAS212" s="442"/>
      <c r="CAT212" s="2"/>
      <c r="CAU212" s="2"/>
      <c r="CAV212" s="2"/>
      <c r="CAW212" s="2"/>
      <c r="CAX212" s="260"/>
      <c r="CAY212" s="260"/>
      <c r="CAZ212" s="260"/>
      <c r="CBA212" s="260"/>
      <c r="CBB212" s="260"/>
      <c r="CBC212" s="260"/>
      <c r="CBD212" s="308"/>
      <c r="CBE212" s="290"/>
      <c r="CBF212" s="290"/>
      <c r="CBG212" s="260"/>
      <c r="CBH212" s="260"/>
      <c r="CBI212" s="260"/>
      <c r="CBJ212" s="260"/>
      <c r="CBK212" s="260"/>
      <c r="CBL212" s="2"/>
      <c r="CBM212" s="2"/>
      <c r="CBN212" s="2"/>
      <c r="CBO212" s="2"/>
      <c r="CBP212" s="2"/>
      <c r="CBQ212" s="2"/>
      <c r="CBR212" s="260"/>
      <c r="CBS212" s="2"/>
      <c r="CBT212" s="2"/>
      <c r="CBU212" s="2"/>
      <c r="CBV212" s="2"/>
      <c r="CBW212" s="2"/>
      <c r="CBX212" s="2"/>
      <c r="CBY212" s="2"/>
      <c r="CBZ212" s="260"/>
      <c r="CCA212" s="260"/>
      <c r="CCB212" s="260"/>
      <c r="CCC212" s="380"/>
      <c r="CCD212" s="380"/>
      <c r="CCE212" s="380"/>
      <c r="CCF212" s="2"/>
      <c r="CCG212" s="442"/>
      <c r="CCH212" s="442"/>
      <c r="CCI212" s="443"/>
      <c r="CCJ212" s="442"/>
      <c r="CCK212" s="442"/>
      <c r="CCL212" s="2"/>
      <c r="CCM212" s="2"/>
      <c r="CCN212" s="2"/>
      <c r="CCO212" s="2"/>
      <c r="CCP212" s="260"/>
      <c r="CCQ212" s="260"/>
      <c r="CCR212" s="260"/>
      <c r="CCS212" s="260"/>
      <c r="CCT212" s="260"/>
      <c r="CCU212" s="260"/>
      <c r="CCV212" s="308"/>
      <c r="CCW212" s="290"/>
      <c r="CCX212" s="290"/>
      <c r="CCY212" s="260"/>
      <c r="CCZ212" s="260"/>
      <c r="CDA212" s="260"/>
      <c r="CDB212" s="260"/>
      <c r="CDC212" s="260"/>
      <c r="CDD212" s="2"/>
      <c r="CDE212" s="2"/>
      <c r="CDF212" s="2"/>
      <c r="CDG212" s="2"/>
      <c r="CDH212" s="2"/>
      <c r="CDI212" s="2"/>
      <c r="CDJ212" s="260"/>
      <c r="CDK212" s="2"/>
      <c r="CDL212" s="2"/>
      <c r="CDM212" s="2"/>
      <c r="CDN212" s="2"/>
      <c r="CDO212" s="2"/>
      <c r="CDP212" s="2"/>
      <c r="CDQ212" s="2"/>
      <c r="CDR212" s="260"/>
      <c r="CDS212" s="260"/>
      <c r="CDT212" s="260"/>
      <c r="CDU212" s="380"/>
      <c r="CDV212" s="380"/>
      <c r="CDW212" s="380"/>
      <c r="CDX212" s="2"/>
      <c r="CDY212" s="442"/>
      <c r="CDZ212" s="442"/>
      <c r="CEA212" s="443"/>
      <c r="CEB212" s="442"/>
      <c r="CEC212" s="442"/>
      <c r="CED212" s="2"/>
      <c r="CEE212" s="2"/>
      <c r="CEF212" s="2"/>
      <c r="CEG212" s="2"/>
      <c r="CEH212" s="260"/>
      <c r="CEI212" s="260"/>
      <c r="CEJ212" s="260"/>
      <c r="CEK212" s="260"/>
      <c r="CEL212" s="260"/>
      <c r="CEM212" s="260"/>
      <c r="CEN212" s="308"/>
      <c r="CEO212" s="290"/>
      <c r="CEP212" s="290"/>
      <c r="CEQ212" s="260"/>
      <c r="CER212" s="260"/>
      <c r="CES212" s="260"/>
      <c r="CET212" s="260"/>
      <c r="CEU212" s="260"/>
      <c r="CEV212" s="2"/>
      <c r="CEW212" s="2"/>
      <c r="CEX212" s="2"/>
      <c r="CEY212" s="2"/>
      <c r="CEZ212" s="2"/>
      <c r="CFA212" s="2"/>
      <c r="CFB212" s="260"/>
      <c r="CFC212" s="2"/>
      <c r="CFD212" s="2"/>
      <c r="CFE212" s="2"/>
      <c r="CFF212" s="2"/>
      <c r="CFG212" s="2"/>
      <c r="CFH212" s="2"/>
      <c r="CFI212" s="2"/>
      <c r="CFJ212" s="260"/>
      <c r="CFK212" s="260"/>
      <c r="CFL212" s="260"/>
      <c r="CFM212" s="380"/>
      <c r="CFN212" s="380"/>
      <c r="CFO212" s="380"/>
      <c r="CFP212" s="2"/>
      <c r="CFQ212" s="442"/>
      <c r="CFR212" s="442"/>
      <c r="CFS212" s="443"/>
      <c r="CFT212" s="442"/>
      <c r="CFU212" s="442"/>
      <c r="CFV212" s="2"/>
      <c r="CFW212" s="2"/>
      <c r="CFX212" s="2"/>
      <c r="CFY212" s="2"/>
      <c r="CFZ212" s="260"/>
      <c r="CGA212" s="260"/>
      <c r="CGB212" s="260"/>
      <c r="CGC212" s="260"/>
      <c r="CGD212" s="260"/>
      <c r="CGE212" s="260"/>
      <c r="CGF212" s="308"/>
      <c r="CGG212" s="290"/>
      <c r="CGH212" s="290"/>
      <c r="CGI212" s="260"/>
      <c r="CGJ212" s="260"/>
      <c r="CGK212" s="260"/>
      <c r="CGL212" s="260"/>
      <c r="CGM212" s="260"/>
      <c r="CGN212" s="2"/>
      <c r="CGO212" s="2"/>
      <c r="CGP212" s="2"/>
      <c r="CGQ212" s="2"/>
      <c r="CGR212" s="2"/>
      <c r="CGS212" s="2"/>
      <c r="CGT212" s="260"/>
      <c r="CGU212" s="2"/>
      <c r="CGV212" s="2"/>
      <c r="CGW212" s="2"/>
      <c r="CGX212" s="2"/>
      <c r="CGY212" s="2"/>
      <c r="CGZ212" s="2"/>
      <c r="CHA212" s="2"/>
      <c r="CHB212" s="260"/>
      <c r="CHC212" s="260"/>
      <c r="CHD212" s="260"/>
      <c r="CHE212" s="380"/>
      <c r="CHF212" s="380"/>
      <c r="CHG212" s="380"/>
      <c r="CHH212" s="2"/>
      <c r="CHI212" s="442"/>
      <c r="CHJ212" s="442"/>
      <c r="CHK212" s="443"/>
      <c r="CHL212" s="442"/>
      <c r="CHM212" s="442"/>
      <c r="CHN212" s="2"/>
      <c r="CHO212" s="2"/>
      <c r="CHP212" s="2"/>
      <c r="CHQ212" s="2"/>
      <c r="CHR212" s="260"/>
      <c r="CHS212" s="260"/>
      <c r="CHT212" s="260"/>
      <c r="CHU212" s="260"/>
      <c r="CHV212" s="260"/>
      <c r="CHW212" s="260"/>
      <c r="CHX212" s="308"/>
      <c r="CHY212" s="290"/>
      <c r="CHZ212" s="290"/>
      <c r="CIA212" s="260"/>
      <c r="CIB212" s="260"/>
      <c r="CIC212" s="260"/>
      <c r="CID212" s="260"/>
      <c r="CIE212" s="260"/>
      <c r="CIF212" s="2"/>
      <c r="CIG212" s="2"/>
      <c r="CIH212" s="2"/>
      <c r="CII212" s="2"/>
      <c r="CIJ212" s="2"/>
      <c r="CIK212" s="2"/>
      <c r="CIL212" s="260"/>
      <c r="CIM212" s="2"/>
      <c r="CIN212" s="2"/>
      <c r="CIO212" s="2"/>
      <c r="CIP212" s="2"/>
      <c r="CIQ212" s="2"/>
      <c r="CIR212" s="2"/>
      <c r="CIS212" s="2"/>
      <c r="CIT212" s="260"/>
      <c r="CIU212" s="260"/>
      <c r="CIV212" s="260"/>
      <c r="CIW212" s="380"/>
      <c r="CIX212" s="380"/>
      <c r="CIY212" s="380"/>
      <c r="CIZ212" s="2"/>
      <c r="CJA212" s="442"/>
      <c r="CJB212" s="442"/>
      <c r="CJC212" s="443"/>
      <c r="CJD212" s="442"/>
      <c r="CJE212" s="442"/>
      <c r="CJF212" s="2"/>
      <c r="CJG212" s="2"/>
      <c r="CJH212" s="2"/>
      <c r="CJI212" s="2"/>
      <c r="CJJ212" s="260"/>
      <c r="CJK212" s="260"/>
      <c r="CJL212" s="260"/>
      <c r="CJM212" s="260"/>
      <c r="CJN212" s="260"/>
      <c r="CJO212" s="260"/>
      <c r="CJP212" s="308"/>
      <c r="CJQ212" s="290"/>
      <c r="CJR212" s="290"/>
      <c r="CJS212" s="260"/>
      <c r="CJT212" s="260"/>
      <c r="CJU212" s="260"/>
      <c r="CJV212" s="260"/>
      <c r="CJW212" s="260"/>
      <c r="CJX212" s="2"/>
      <c r="CJY212" s="2"/>
      <c r="CJZ212" s="2"/>
      <c r="CKA212" s="2"/>
      <c r="CKB212" s="2"/>
      <c r="CKC212" s="2"/>
      <c r="CKD212" s="260"/>
      <c r="CKE212" s="2"/>
      <c r="CKF212" s="2"/>
      <c r="CKG212" s="2"/>
      <c r="CKH212" s="2"/>
      <c r="CKI212" s="2"/>
      <c r="CKJ212" s="2"/>
      <c r="CKK212" s="2"/>
      <c r="CKL212" s="260"/>
      <c r="CKM212" s="260"/>
      <c r="CKN212" s="260"/>
      <c r="CKO212" s="380"/>
      <c r="CKP212" s="380"/>
      <c r="CKQ212" s="380"/>
      <c r="CKR212" s="2"/>
      <c r="CKS212" s="442"/>
      <c r="CKT212" s="442"/>
      <c r="CKU212" s="443"/>
      <c r="CKV212" s="442"/>
      <c r="CKW212" s="442"/>
      <c r="CKX212" s="2"/>
      <c r="CKY212" s="2"/>
      <c r="CKZ212" s="2"/>
      <c r="CLA212" s="2"/>
      <c r="CLB212" s="260"/>
      <c r="CLC212" s="260"/>
      <c r="CLD212" s="260"/>
      <c r="CLE212" s="260"/>
      <c r="CLF212" s="260"/>
      <c r="CLG212" s="260"/>
      <c r="CLH212" s="308"/>
      <c r="CLI212" s="290"/>
      <c r="CLJ212" s="290"/>
      <c r="CLK212" s="260"/>
      <c r="CLL212" s="260"/>
      <c r="CLM212" s="260"/>
      <c r="CLN212" s="260"/>
      <c r="CLO212" s="260"/>
      <c r="CLP212" s="2"/>
      <c r="CLQ212" s="2"/>
      <c r="CLR212" s="2"/>
      <c r="CLS212" s="2"/>
      <c r="CLT212" s="2"/>
      <c r="CLU212" s="2"/>
      <c r="CLV212" s="260"/>
      <c r="CLW212" s="2"/>
      <c r="CLX212" s="2"/>
      <c r="CLY212" s="2"/>
      <c r="CLZ212" s="2"/>
      <c r="CMA212" s="2"/>
      <c r="CMB212" s="2"/>
      <c r="CMC212" s="2"/>
      <c r="CMD212" s="260"/>
      <c r="CME212" s="260"/>
      <c r="CMF212" s="260"/>
      <c r="CMG212" s="380"/>
      <c r="CMH212" s="380"/>
      <c r="CMI212" s="380"/>
      <c r="CMJ212" s="2"/>
      <c r="CMK212" s="442"/>
      <c r="CML212" s="442"/>
      <c r="CMM212" s="443"/>
      <c r="CMN212" s="442"/>
      <c r="CMO212" s="442"/>
      <c r="CMP212" s="2"/>
      <c r="CMQ212" s="2"/>
      <c r="CMR212" s="2"/>
      <c r="CMS212" s="2"/>
      <c r="CMT212" s="260"/>
      <c r="CMU212" s="260"/>
      <c r="CMV212" s="260"/>
      <c r="CMW212" s="260"/>
      <c r="CMX212" s="260"/>
      <c r="CMY212" s="260"/>
      <c r="CMZ212" s="308"/>
      <c r="CNA212" s="290"/>
      <c r="CNB212" s="290"/>
      <c r="CNC212" s="260"/>
      <c r="CND212" s="260"/>
      <c r="CNE212" s="260"/>
      <c r="CNF212" s="260"/>
      <c r="CNG212" s="260"/>
      <c r="CNH212" s="2"/>
      <c r="CNI212" s="2"/>
      <c r="CNJ212" s="2"/>
      <c r="CNK212" s="2"/>
      <c r="CNL212" s="2"/>
      <c r="CNM212" s="2"/>
      <c r="CNN212" s="260"/>
      <c r="CNO212" s="2"/>
      <c r="CNP212" s="2"/>
      <c r="CNQ212" s="2"/>
      <c r="CNR212" s="2"/>
      <c r="CNS212" s="2"/>
      <c r="CNT212" s="2"/>
      <c r="CNU212" s="2"/>
      <c r="CNV212" s="260"/>
      <c r="CNW212" s="260"/>
      <c r="CNX212" s="260"/>
      <c r="CNY212" s="380"/>
      <c r="CNZ212" s="380"/>
      <c r="COA212" s="380"/>
      <c r="COB212" s="2"/>
      <c r="COC212" s="442"/>
      <c r="COD212" s="442"/>
      <c r="COE212" s="443"/>
      <c r="COF212" s="442"/>
      <c r="COG212" s="442"/>
      <c r="COH212" s="2"/>
      <c r="COI212" s="2"/>
      <c r="COJ212" s="2"/>
      <c r="COK212" s="2"/>
      <c r="COL212" s="260"/>
      <c r="COM212" s="260"/>
      <c r="CON212" s="260"/>
      <c r="COO212" s="260"/>
      <c r="COP212" s="260"/>
      <c r="COQ212" s="260"/>
      <c r="COR212" s="308"/>
      <c r="COS212" s="290"/>
      <c r="COT212" s="290"/>
      <c r="COU212" s="260"/>
      <c r="COV212" s="260"/>
      <c r="COW212" s="260"/>
      <c r="COX212" s="260"/>
      <c r="COY212" s="260"/>
      <c r="COZ212" s="2"/>
      <c r="CPA212" s="2"/>
      <c r="CPB212" s="2"/>
      <c r="CPC212" s="2"/>
      <c r="CPD212" s="2"/>
      <c r="CPE212" s="2"/>
      <c r="CPF212" s="260"/>
      <c r="CPG212" s="2"/>
      <c r="CPH212" s="2"/>
      <c r="CPI212" s="2"/>
      <c r="CPJ212" s="2"/>
      <c r="CPK212" s="2"/>
      <c r="CPL212" s="2"/>
      <c r="CPM212" s="2"/>
      <c r="CPN212" s="260"/>
      <c r="CPO212" s="260"/>
      <c r="CPP212" s="260"/>
      <c r="CPQ212" s="380"/>
      <c r="CPR212" s="380"/>
      <c r="CPS212" s="380"/>
      <c r="CPT212" s="2"/>
      <c r="CPU212" s="442"/>
      <c r="CPV212" s="442"/>
      <c r="CPW212" s="443"/>
      <c r="CPX212" s="442"/>
      <c r="CPY212" s="442"/>
      <c r="CPZ212" s="2"/>
      <c r="CQA212" s="2"/>
      <c r="CQB212" s="2"/>
      <c r="CQC212" s="2"/>
      <c r="CQD212" s="260"/>
      <c r="CQE212" s="260"/>
      <c r="CQF212" s="260"/>
      <c r="CQG212" s="260"/>
      <c r="CQH212" s="260"/>
      <c r="CQI212" s="260"/>
      <c r="CQJ212" s="308"/>
      <c r="CQK212" s="290"/>
      <c r="CQL212" s="290"/>
      <c r="CQM212" s="260"/>
      <c r="CQN212" s="260"/>
      <c r="CQO212" s="260"/>
      <c r="CQP212" s="260"/>
      <c r="CQQ212" s="260"/>
      <c r="CQR212" s="2"/>
      <c r="CQS212" s="2"/>
      <c r="CQT212" s="2"/>
      <c r="CQU212" s="2"/>
      <c r="CQV212" s="2"/>
      <c r="CQW212" s="2"/>
      <c r="CQX212" s="260"/>
      <c r="CQY212" s="2"/>
      <c r="CQZ212" s="2"/>
      <c r="CRA212" s="2"/>
      <c r="CRB212" s="2"/>
      <c r="CRC212" s="2"/>
      <c r="CRD212" s="2"/>
      <c r="CRE212" s="2"/>
      <c r="CRF212" s="260"/>
      <c r="CRG212" s="260"/>
      <c r="CRH212" s="260"/>
      <c r="CRI212" s="380"/>
      <c r="CRJ212" s="380"/>
      <c r="CRK212" s="380"/>
      <c r="CRL212" s="2"/>
      <c r="CRM212" s="442"/>
      <c r="CRN212" s="442"/>
      <c r="CRO212" s="443"/>
      <c r="CRP212" s="442"/>
      <c r="CRQ212" s="442"/>
      <c r="CRR212" s="2"/>
      <c r="CRS212" s="2"/>
      <c r="CRT212" s="2"/>
      <c r="CRU212" s="2"/>
      <c r="CRV212" s="260"/>
      <c r="CRW212" s="260"/>
      <c r="CRX212" s="260"/>
      <c r="CRY212" s="260"/>
      <c r="CRZ212" s="260"/>
      <c r="CSA212" s="260"/>
      <c r="CSB212" s="308"/>
      <c r="CSC212" s="290"/>
      <c r="CSD212" s="290"/>
      <c r="CSE212" s="260"/>
      <c r="CSF212" s="260"/>
      <c r="CSG212" s="260"/>
      <c r="CSH212" s="260"/>
      <c r="CSI212" s="260"/>
      <c r="CSJ212" s="2"/>
      <c r="CSK212" s="2"/>
      <c r="CSL212" s="2"/>
      <c r="CSM212" s="2"/>
      <c r="CSN212" s="2"/>
      <c r="CSO212" s="2"/>
      <c r="CSP212" s="260"/>
      <c r="CSQ212" s="2"/>
      <c r="CSR212" s="2"/>
      <c r="CSS212" s="2"/>
      <c r="CST212" s="2"/>
      <c r="CSU212" s="2"/>
      <c r="CSV212" s="2"/>
      <c r="CSW212" s="2"/>
      <c r="CSX212" s="260"/>
      <c r="CSY212" s="260"/>
      <c r="CSZ212" s="260"/>
      <c r="CTA212" s="380"/>
      <c r="CTB212" s="380"/>
      <c r="CTC212" s="380"/>
      <c r="CTD212" s="2"/>
      <c r="CTE212" s="442"/>
      <c r="CTF212" s="442"/>
      <c r="CTG212" s="443"/>
      <c r="CTH212" s="442"/>
      <c r="CTI212" s="442"/>
      <c r="CTJ212" s="2"/>
      <c r="CTK212" s="2"/>
      <c r="CTL212" s="2"/>
      <c r="CTM212" s="2"/>
      <c r="CTN212" s="260"/>
      <c r="CTO212" s="260"/>
      <c r="CTP212" s="260"/>
      <c r="CTQ212" s="260"/>
      <c r="CTR212" s="260"/>
      <c r="CTS212" s="260"/>
      <c r="CTT212" s="308"/>
      <c r="CTU212" s="290"/>
      <c r="CTV212" s="290"/>
      <c r="CTW212" s="260"/>
      <c r="CTX212" s="260"/>
      <c r="CTY212" s="260"/>
      <c r="CTZ212" s="260"/>
      <c r="CUA212" s="260"/>
      <c r="CUB212" s="2"/>
      <c r="CUC212" s="2"/>
      <c r="CUD212" s="2"/>
      <c r="CUE212" s="2"/>
      <c r="CUF212" s="2"/>
      <c r="CUG212" s="2"/>
      <c r="CUH212" s="260"/>
      <c r="CUI212" s="2"/>
      <c r="CUJ212" s="2"/>
      <c r="CUK212" s="2"/>
      <c r="CUL212" s="2"/>
      <c r="CUM212" s="2"/>
      <c r="CUN212" s="2"/>
      <c r="CUO212" s="2"/>
      <c r="CUP212" s="260"/>
      <c r="CUQ212" s="260"/>
      <c r="CUR212" s="260"/>
      <c r="CUS212" s="380"/>
      <c r="CUT212" s="380"/>
      <c r="CUU212" s="380"/>
      <c r="CUV212" s="2"/>
      <c r="CUW212" s="442"/>
      <c r="CUX212" s="442"/>
      <c r="CUY212" s="443"/>
      <c r="CUZ212" s="442"/>
      <c r="CVA212" s="442"/>
      <c r="CVB212" s="2"/>
      <c r="CVC212" s="2"/>
      <c r="CVD212" s="2"/>
      <c r="CVE212" s="2"/>
      <c r="CVF212" s="260"/>
      <c r="CVG212" s="260"/>
      <c r="CVH212" s="260"/>
      <c r="CVI212" s="260"/>
      <c r="CVJ212" s="260"/>
      <c r="CVK212" s="260"/>
      <c r="CVL212" s="308"/>
      <c r="CVM212" s="290"/>
      <c r="CVN212" s="290"/>
      <c r="CVO212" s="260"/>
      <c r="CVP212" s="260"/>
      <c r="CVQ212" s="260"/>
      <c r="CVR212" s="260"/>
      <c r="CVS212" s="260"/>
      <c r="CVT212" s="2"/>
      <c r="CVU212" s="2"/>
      <c r="CVV212" s="2"/>
      <c r="CVW212" s="2"/>
      <c r="CVX212" s="2"/>
      <c r="CVY212" s="2"/>
      <c r="CVZ212" s="260"/>
      <c r="CWA212" s="2"/>
      <c r="CWB212" s="2"/>
      <c r="CWC212" s="2"/>
      <c r="CWD212" s="2"/>
      <c r="CWE212" s="2"/>
      <c r="CWF212" s="2"/>
      <c r="CWG212" s="2"/>
      <c r="CWH212" s="260"/>
      <c r="CWI212" s="260"/>
      <c r="CWJ212" s="260"/>
      <c r="CWK212" s="380"/>
      <c r="CWL212" s="380"/>
      <c r="CWM212" s="380"/>
      <c r="CWN212" s="2"/>
      <c r="CWO212" s="442"/>
      <c r="CWP212" s="442"/>
      <c r="CWQ212" s="443"/>
      <c r="CWR212" s="442"/>
      <c r="CWS212" s="442"/>
      <c r="CWT212" s="2"/>
      <c r="CWU212" s="2"/>
      <c r="CWV212" s="2"/>
      <c r="CWW212" s="2"/>
      <c r="CWX212" s="260"/>
      <c r="CWY212" s="260"/>
      <c r="CWZ212" s="260"/>
      <c r="CXA212" s="260"/>
      <c r="CXB212" s="260"/>
      <c r="CXC212" s="260"/>
      <c r="CXD212" s="308"/>
      <c r="CXE212" s="290"/>
      <c r="CXF212" s="290"/>
      <c r="CXG212" s="260"/>
      <c r="CXH212" s="260"/>
      <c r="CXI212" s="260"/>
      <c r="CXJ212" s="260"/>
      <c r="CXK212" s="260"/>
      <c r="CXL212" s="2"/>
      <c r="CXM212" s="2"/>
      <c r="CXN212" s="2"/>
      <c r="CXO212" s="2"/>
      <c r="CXP212" s="2"/>
      <c r="CXQ212" s="2"/>
      <c r="CXR212" s="260"/>
      <c r="CXS212" s="2"/>
      <c r="CXT212" s="2"/>
      <c r="CXU212" s="2"/>
      <c r="CXV212" s="2"/>
      <c r="CXW212" s="2"/>
      <c r="CXX212" s="2"/>
      <c r="CXY212" s="2"/>
      <c r="CXZ212" s="260"/>
      <c r="CYA212" s="260"/>
      <c r="CYB212" s="260"/>
      <c r="CYC212" s="380"/>
      <c r="CYD212" s="380"/>
      <c r="CYE212" s="380"/>
      <c r="CYF212" s="2"/>
      <c r="CYG212" s="442"/>
      <c r="CYH212" s="442"/>
      <c r="CYI212" s="443"/>
      <c r="CYJ212" s="442"/>
      <c r="CYK212" s="442"/>
      <c r="CYL212" s="2"/>
      <c r="CYM212" s="2"/>
      <c r="CYN212" s="2"/>
      <c r="CYO212" s="2"/>
      <c r="CYP212" s="260"/>
      <c r="CYQ212" s="260"/>
      <c r="CYR212" s="260"/>
      <c r="CYS212" s="260"/>
      <c r="CYT212" s="260"/>
      <c r="CYU212" s="260"/>
      <c r="CYV212" s="308"/>
      <c r="CYW212" s="290"/>
      <c r="CYX212" s="290"/>
      <c r="CYY212" s="260"/>
      <c r="CYZ212" s="260"/>
      <c r="CZA212" s="260"/>
      <c r="CZB212" s="260"/>
      <c r="CZC212" s="260"/>
      <c r="CZD212" s="2"/>
      <c r="CZE212" s="2"/>
      <c r="CZF212" s="2"/>
      <c r="CZG212" s="2"/>
      <c r="CZH212" s="2"/>
      <c r="CZI212" s="2"/>
      <c r="CZJ212" s="260"/>
      <c r="CZK212" s="2"/>
      <c r="CZL212" s="2"/>
      <c r="CZM212" s="2"/>
      <c r="CZN212" s="2"/>
      <c r="CZO212" s="2"/>
      <c r="CZP212" s="2"/>
      <c r="CZQ212" s="2"/>
      <c r="CZR212" s="260"/>
      <c r="CZS212" s="260"/>
      <c r="CZT212" s="260"/>
      <c r="CZU212" s="380"/>
      <c r="CZV212" s="380"/>
      <c r="CZW212" s="380"/>
      <c r="CZX212" s="2"/>
      <c r="CZY212" s="442"/>
      <c r="CZZ212" s="442"/>
      <c r="DAA212" s="443"/>
      <c r="DAB212" s="442"/>
      <c r="DAC212" s="442"/>
      <c r="DAD212" s="2"/>
      <c r="DAE212" s="2"/>
      <c r="DAF212" s="2"/>
      <c r="DAG212" s="2"/>
      <c r="DAH212" s="260"/>
      <c r="DAI212" s="260"/>
      <c r="DAJ212" s="260"/>
      <c r="DAK212" s="260"/>
      <c r="DAL212" s="260"/>
      <c r="DAM212" s="260"/>
      <c r="DAN212" s="308"/>
      <c r="DAO212" s="290"/>
      <c r="DAP212" s="290"/>
      <c r="DAQ212" s="260"/>
      <c r="DAR212" s="260"/>
      <c r="DAS212" s="260"/>
      <c r="DAT212" s="260"/>
      <c r="DAU212" s="260"/>
      <c r="DAV212" s="2"/>
      <c r="DAW212" s="2"/>
      <c r="DAX212" s="2"/>
      <c r="DAY212" s="2"/>
      <c r="DAZ212" s="2"/>
      <c r="DBA212" s="2"/>
      <c r="DBB212" s="260"/>
      <c r="DBC212" s="2"/>
      <c r="DBD212" s="2"/>
      <c r="DBE212" s="2"/>
      <c r="DBF212" s="2"/>
      <c r="DBG212" s="2"/>
      <c r="DBH212" s="2"/>
      <c r="DBI212" s="2"/>
      <c r="DBJ212" s="260"/>
      <c r="DBK212" s="260"/>
      <c r="DBL212" s="260"/>
      <c r="DBM212" s="380"/>
      <c r="DBN212" s="380"/>
      <c r="DBO212" s="380"/>
      <c r="DBP212" s="2"/>
      <c r="DBQ212" s="442"/>
      <c r="DBR212" s="442"/>
      <c r="DBS212" s="443"/>
      <c r="DBT212" s="442"/>
      <c r="DBU212" s="442"/>
      <c r="DBV212" s="2"/>
      <c r="DBW212" s="2"/>
      <c r="DBX212" s="2"/>
      <c r="DBY212" s="2"/>
      <c r="DBZ212" s="260"/>
      <c r="DCA212" s="260"/>
      <c r="DCB212" s="260"/>
      <c r="DCC212" s="260"/>
      <c r="DCD212" s="260"/>
      <c r="DCE212" s="260"/>
      <c r="DCF212" s="308"/>
      <c r="DCG212" s="290"/>
      <c r="DCH212" s="290"/>
      <c r="DCI212" s="260"/>
      <c r="DCJ212" s="260"/>
      <c r="DCK212" s="260"/>
      <c r="DCL212" s="260"/>
      <c r="DCM212" s="260"/>
      <c r="DCN212" s="2"/>
      <c r="DCO212" s="2"/>
      <c r="DCP212" s="2"/>
      <c r="DCQ212" s="2"/>
      <c r="DCR212" s="2"/>
      <c r="DCS212" s="2"/>
      <c r="DCT212" s="260"/>
      <c r="DCU212" s="2"/>
      <c r="DCV212" s="2"/>
      <c r="DCW212" s="2"/>
      <c r="DCX212" s="2"/>
      <c r="DCY212" s="2"/>
      <c r="DCZ212" s="2"/>
      <c r="DDA212" s="2"/>
      <c r="DDB212" s="260"/>
      <c r="DDC212" s="260"/>
      <c r="DDD212" s="260"/>
      <c r="DDE212" s="380"/>
      <c r="DDF212" s="380"/>
      <c r="DDG212" s="380"/>
      <c r="DDH212" s="2"/>
      <c r="DDI212" s="442"/>
      <c r="DDJ212" s="442"/>
      <c r="DDK212" s="443"/>
      <c r="DDL212" s="442"/>
      <c r="DDM212" s="442"/>
      <c r="DDN212" s="2"/>
      <c r="DDO212" s="2"/>
      <c r="DDP212" s="2"/>
      <c r="DDQ212" s="2"/>
      <c r="DDR212" s="260"/>
      <c r="DDS212" s="260"/>
      <c r="DDT212" s="260"/>
      <c r="DDU212" s="260"/>
      <c r="DDV212" s="260"/>
      <c r="DDW212" s="260"/>
      <c r="DDX212" s="308"/>
      <c r="DDY212" s="290"/>
      <c r="DDZ212" s="290"/>
      <c r="DEA212" s="260"/>
      <c r="DEB212" s="260"/>
      <c r="DEC212" s="260"/>
      <c r="DED212" s="260"/>
      <c r="DEE212" s="260"/>
      <c r="DEF212" s="2"/>
      <c r="DEG212" s="2"/>
      <c r="DEH212" s="2"/>
      <c r="DEI212" s="2"/>
      <c r="DEJ212" s="2"/>
      <c r="DEK212" s="2"/>
      <c r="DEL212" s="260"/>
      <c r="DEM212" s="2"/>
      <c r="DEN212" s="2"/>
      <c r="DEO212" s="2"/>
      <c r="DEP212" s="2"/>
      <c r="DEQ212" s="2"/>
      <c r="DER212" s="2"/>
      <c r="DES212" s="2"/>
      <c r="DET212" s="260"/>
      <c r="DEU212" s="260"/>
      <c r="DEV212" s="260"/>
      <c r="DEW212" s="380"/>
      <c r="DEX212" s="380"/>
      <c r="DEY212" s="380"/>
      <c r="DEZ212" s="2"/>
      <c r="DFA212" s="442"/>
      <c r="DFB212" s="442"/>
      <c r="DFC212" s="443"/>
      <c r="DFD212" s="442"/>
      <c r="DFE212" s="442"/>
      <c r="DFF212" s="2"/>
      <c r="DFG212" s="2"/>
      <c r="DFH212" s="2"/>
      <c r="DFI212" s="2"/>
      <c r="DFJ212" s="260"/>
      <c r="DFK212" s="260"/>
      <c r="DFL212" s="260"/>
      <c r="DFM212" s="260"/>
      <c r="DFN212" s="260"/>
      <c r="DFO212" s="260"/>
      <c r="DFP212" s="308"/>
      <c r="DFQ212" s="290"/>
      <c r="DFR212" s="290"/>
      <c r="DFS212" s="260"/>
      <c r="DFT212" s="260"/>
      <c r="DFU212" s="260"/>
      <c r="DFV212" s="260"/>
      <c r="DFW212" s="260"/>
      <c r="DFX212" s="2"/>
      <c r="DFY212" s="2"/>
      <c r="DFZ212" s="2"/>
      <c r="DGA212" s="2"/>
      <c r="DGB212" s="2"/>
      <c r="DGC212" s="2"/>
      <c r="DGD212" s="260"/>
      <c r="DGE212" s="2"/>
      <c r="DGF212" s="2"/>
      <c r="DGG212" s="2"/>
      <c r="DGH212" s="2"/>
      <c r="DGI212" s="2"/>
      <c r="DGJ212" s="2"/>
      <c r="DGK212" s="2"/>
      <c r="DGL212" s="260"/>
      <c r="DGM212" s="260"/>
      <c r="DGN212" s="260"/>
      <c r="DGO212" s="380"/>
      <c r="DGP212" s="380"/>
      <c r="DGQ212" s="380"/>
      <c r="DGR212" s="2"/>
      <c r="DGS212" s="442"/>
      <c r="DGT212" s="442"/>
      <c r="DGU212" s="443"/>
      <c r="DGV212" s="442"/>
      <c r="DGW212" s="442"/>
      <c r="DGX212" s="2"/>
      <c r="DGY212" s="2"/>
      <c r="DGZ212" s="2"/>
      <c r="DHA212" s="2"/>
      <c r="DHB212" s="260"/>
      <c r="DHC212" s="260"/>
      <c r="DHD212" s="260"/>
      <c r="DHE212" s="260"/>
      <c r="DHF212" s="260"/>
      <c r="DHG212" s="260"/>
      <c r="DHH212" s="308"/>
      <c r="DHI212" s="290"/>
      <c r="DHJ212" s="290"/>
      <c r="DHK212" s="260"/>
      <c r="DHL212" s="260"/>
      <c r="DHM212" s="260"/>
      <c r="DHN212" s="260"/>
      <c r="DHO212" s="260"/>
      <c r="DHP212" s="2"/>
      <c r="DHQ212" s="2"/>
      <c r="DHR212" s="2"/>
      <c r="DHS212" s="2"/>
      <c r="DHT212" s="2"/>
      <c r="DHU212" s="2"/>
      <c r="DHV212" s="260"/>
      <c r="DHW212" s="2"/>
      <c r="DHX212" s="2"/>
      <c r="DHY212" s="2"/>
      <c r="DHZ212" s="2"/>
      <c r="DIA212" s="2"/>
      <c r="DIB212" s="2"/>
      <c r="DIC212" s="2"/>
      <c r="DID212" s="260"/>
      <c r="DIE212" s="260"/>
      <c r="DIF212" s="260"/>
      <c r="DIG212" s="380"/>
      <c r="DIH212" s="380"/>
      <c r="DII212" s="380"/>
      <c r="DIJ212" s="2"/>
      <c r="DIK212" s="442"/>
      <c r="DIL212" s="442"/>
      <c r="DIM212" s="443"/>
      <c r="DIN212" s="442"/>
      <c r="DIO212" s="442"/>
      <c r="DIP212" s="2"/>
      <c r="DIQ212" s="2"/>
      <c r="DIR212" s="2"/>
      <c r="DIS212" s="2"/>
      <c r="DIT212" s="260"/>
      <c r="DIU212" s="260"/>
      <c r="DIV212" s="260"/>
      <c r="DIW212" s="260"/>
      <c r="DIX212" s="260"/>
      <c r="DIY212" s="260"/>
      <c r="DIZ212" s="308"/>
      <c r="DJA212" s="290"/>
      <c r="DJB212" s="290"/>
      <c r="DJC212" s="260"/>
      <c r="DJD212" s="260"/>
      <c r="DJE212" s="260"/>
      <c r="DJF212" s="260"/>
      <c r="DJG212" s="260"/>
      <c r="DJH212" s="2"/>
      <c r="DJI212" s="2"/>
      <c r="DJJ212" s="2"/>
      <c r="DJK212" s="2"/>
      <c r="DJL212" s="2"/>
      <c r="DJM212" s="2"/>
      <c r="DJN212" s="260"/>
      <c r="DJO212" s="2"/>
      <c r="DJP212" s="2"/>
      <c r="DJQ212" s="2"/>
      <c r="DJR212" s="2"/>
      <c r="DJS212" s="2"/>
      <c r="DJT212" s="2"/>
      <c r="DJU212" s="2"/>
      <c r="DJV212" s="260"/>
      <c r="DJW212" s="260"/>
      <c r="DJX212" s="260"/>
      <c r="DJY212" s="380"/>
      <c r="DJZ212" s="380"/>
      <c r="DKA212" s="380"/>
      <c r="DKB212" s="2"/>
      <c r="DKC212" s="442"/>
      <c r="DKD212" s="442"/>
      <c r="DKE212" s="443"/>
      <c r="DKF212" s="442"/>
      <c r="DKG212" s="442"/>
      <c r="DKH212" s="2"/>
      <c r="DKI212" s="2"/>
      <c r="DKJ212" s="2"/>
      <c r="DKK212" s="2"/>
      <c r="DKL212" s="260"/>
      <c r="DKM212" s="260"/>
      <c r="DKN212" s="260"/>
      <c r="DKO212" s="260"/>
      <c r="DKP212" s="260"/>
      <c r="DKQ212" s="260"/>
      <c r="DKR212" s="308"/>
      <c r="DKS212" s="290"/>
      <c r="DKT212" s="290"/>
      <c r="DKU212" s="260"/>
      <c r="DKV212" s="260"/>
      <c r="DKW212" s="260"/>
      <c r="DKX212" s="260"/>
      <c r="DKY212" s="260"/>
      <c r="DKZ212" s="2"/>
      <c r="DLA212" s="2"/>
      <c r="DLB212" s="2"/>
      <c r="DLC212" s="2"/>
      <c r="DLD212" s="2"/>
      <c r="DLE212" s="2"/>
      <c r="DLF212" s="260"/>
      <c r="DLG212" s="2"/>
      <c r="DLH212" s="2"/>
      <c r="DLI212" s="2"/>
      <c r="DLJ212" s="2"/>
      <c r="DLK212" s="2"/>
      <c r="DLL212" s="2"/>
      <c r="DLM212" s="2"/>
      <c r="DLN212" s="260"/>
      <c r="DLO212" s="260"/>
      <c r="DLP212" s="260"/>
      <c r="DLQ212" s="380"/>
      <c r="DLR212" s="380"/>
      <c r="DLS212" s="380"/>
      <c r="DLT212" s="2"/>
      <c r="DLU212" s="442"/>
      <c r="DLV212" s="442"/>
      <c r="DLW212" s="443"/>
      <c r="DLX212" s="442"/>
      <c r="DLY212" s="442"/>
      <c r="DLZ212" s="2"/>
      <c r="DMA212" s="2"/>
      <c r="DMB212" s="2"/>
      <c r="DMC212" s="2"/>
      <c r="DMD212" s="260"/>
      <c r="DME212" s="260"/>
      <c r="DMF212" s="260"/>
      <c r="DMG212" s="260"/>
      <c r="DMH212" s="260"/>
      <c r="DMI212" s="260"/>
      <c r="DMJ212" s="308"/>
      <c r="DMK212" s="290"/>
      <c r="DML212" s="290"/>
      <c r="DMM212" s="260"/>
      <c r="DMN212" s="260"/>
      <c r="DMO212" s="260"/>
      <c r="DMP212" s="260"/>
      <c r="DMQ212" s="260"/>
      <c r="DMR212" s="2"/>
      <c r="DMS212" s="2"/>
      <c r="DMT212" s="2"/>
      <c r="DMU212" s="2"/>
      <c r="DMV212" s="2"/>
      <c r="DMW212" s="2"/>
      <c r="DMX212" s="260"/>
      <c r="DMY212" s="2"/>
      <c r="DMZ212" s="2"/>
      <c r="DNA212" s="2"/>
      <c r="DNB212" s="2"/>
      <c r="DNC212" s="2"/>
      <c r="DND212" s="2"/>
      <c r="DNE212" s="2"/>
      <c r="DNF212" s="260"/>
      <c r="DNG212" s="260"/>
      <c r="DNH212" s="260"/>
      <c r="DNI212" s="380"/>
      <c r="DNJ212" s="380"/>
      <c r="DNK212" s="380"/>
      <c r="DNL212" s="2"/>
      <c r="DNM212" s="442"/>
      <c r="DNN212" s="442"/>
      <c r="DNO212" s="443"/>
      <c r="DNP212" s="442"/>
      <c r="DNQ212" s="442"/>
      <c r="DNR212" s="2"/>
      <c r="DNS212" s="2"/>
      <c r="DNT212" s="2"/>
      <c r="DNU212" s="2"/>
      <c r="DNV212" s="260"/>
      <c r="DNW212" s="260"/>
      <c r="DNX212" s="260"/>
      <c r="DNY212" s="260"/>
      <c r="DNZ212" s="260"/>
      <c r="DOA212" s="260"/>
      <c r="DOB212" s="308"/>
      <c r="DOC212" s="290"/>
      <c r="DOD212" s="290"/>
      <c r="DOE212" s="260"/>
      <c r="DOF212" s="260"/>
      <c r="DOG212" s="260"/>
      <c r="DOH212" s="260"/>
      <c r="DOI212" s="260"/>
      <c r="DOJ212" s="2"/>
      <c r="DOK212" s="2"/>
      <c r="DOL212" s="2"/>
      <c r="DOM212" s="2"/>
      <c r="DON212" s="2"/>
      <c r="DOO212" s="2"/>
      <c r="DOP212" s="260"/>
      <c r="DOQ212" s="2"/>
      <c r="DOR212" s="2"/>
      <c r="DOS212" s="2"/>
      <c r="DOT212" s="2"/>
      <c r="DOU212" s="2"/>
      <c r="DOV212" s="2"/>
      <c r="DOW212" s="2"/>
      <c r="DOX212" s="260"/>
      <c r="DOY212" s="260"/>
      <c r="DOZ212" s="260"/>
      <c r="DPA212" s="380"/>
      <c r="DPB212" s="380"/>
      <c r="DPC212" s="380"/>
      <c r="DPD212" s="2"/>
      <c r="DPE212" s="442"/>
      <c r="DPF212" s="442"/>
      <c r="DPG212" s="443"/>
      <c r="DPH212" s="442"/>
      <c r="DPI212" s="442"/>
      <c r="DPJ212" s="2"/>
      <c r="DPK212" s="2"/>
      <c r="DPL212" s="2"/>
      <c r="DPM212" s="2"/>
      <c r="DPN212" s="260"/>
      <c r="DPO212" s="260"/>
      <c r="DPP212" s="260"/>
      <c r="DPQ212" s="260"/>
      <c r="DPR212" s="260"/>
      <c r="DPS212" s="260"/>
      <c r="DPT212" s="308"/>
      <c r="DPU212" s="290"/>
      <c r="DPV212" s="290"/>
      <c r="DPW212" s="260"/>
      <c r="DPX212" s="260"/>
      <c r="DPY212" s="260"/>
      <c r="DPZ212" s="260"/>
      <c r="DQA212" s="260"/>
      <c r="DQB212" s="2"/>
      <c r="DQC212" s="2"/>
      <c r="DQD212" s="2"/>
      <c r="DQE212" s="2"/>
      <c r="DQF212" s="2"/>
      <c r="DQG212" s="2"/>
      <c r="DQH212" s="260"/>
      <c r="DQI212" s="2"/>
      <c r="DQJ212" s="2"/>
      <c r="DQK212" s="2"/>
      <c r="DQL212" s="2"/>
      <c r="DQM212" s="2"/>
      <c r="DQN212" s="2"/>
      <c r="DQO212" s="2"/>
      <c r="DQP212" s="260"/>
      <c r="DQQ212" s="260"/>
      <c r="DQR212" s="260"/>
      <c r="DQS212" s="380"/>
      <c r="DQT212" s="380"/>
      <c r="DQU212" s="380"/>
      <c r="DQV212" s="2"/>
      <c r="DQW212" s="442"/>
      <c r="DQX212" s="442"/>
      <c r="DQY212" s="443"/>
      <c r="DQZ212" s="442"/>
      <c r="DRA212" s="442"/>
      <c r="DRB212" s="2"/>
      <c r="DRC212" s="2"/>
      <c r="DRD212" s="2"/>
      <c r="DRE212" s="2"/>
      <c r="DRF212" s="260"/>
      <c r="DRG212" s="260"/>
      <c r="DRH212" s="260"/>
      <c r="DRI212" s="260"/>
      <c r="DRJ212" s="260"/>
      <c r="DRK212" s="260"/>
      <c r="DRL212" s="308"/>
      <c r="DRM212" s="290"/>
      <c r="DRN212" s="290"/>
      <c r="DRO212" s="260"/>
      <c r="DRP212" s="260"/>
      <c r="DRQ212" s="260"/>
      <c r="DRR212" s="260"/>
      <c r="DRS212" s="260"/>
      <c r="DRT212" s="2"/>
      <c r="DRU212" s="2"/>
      <c r="DRV212" s="2"/>
      <c r="DRW212" s="2"/>
      <c r="DRX212" s="2"/>
      <c r="DRY212" s="2"/>
      <c r="DRZ212" s="260"/>
      <c r="DSA212" s="2"/>
      <c r="DSB212" s="2"/>
      <c r="DSC212" s="2"/>
      <c r="DSD212" s="2"/>
      <c r="DSE212" s="2"/>
      <c r="DSF212" s="2"/>
      <c r="DSG212" s="2"/>
      <c r="DSH212" s="260"/>
      <c r="DSI212" s="260"/>
      <c r="DSJ212" s="260"/>
      <c r="DSK212" s="380"/>
      <c r="DSL212" s="380"/>
      <c r="DSM212" s="380"/>
      <c r="DSN212" s="2"/>
      <c r="DSO212" s="442"/>
      <c r="DSP212" s="442"/>
      <c r="DSQ212" s="443"/>
      <c r="DSR212" s="442"/>
      <c r="DSS212" s="442"/>
      <c r="DST212" s="2"/>
      <c r="DSU212" s="2"/>
      <c r="DSV212" s="2"/>
      <c r="DSW212" s="2"/>
      <c r="DSX212" s="260"/>
      <c r="DSY212" s="260"/>
      <c r="DSZ212" s="260"/>
      <c r="DTA212" s="260"/>
      <c r="DTB212" s="260"/>
      <c r="DTC212" s="260"/>
      <c r="DTD212" s="308"/>
      <c r="DTE212" s="290"/>
      <c r="DTF212" s="290"/>
      <c r="DTG212" s="260"/>
      <c r="DTH212" s="260"/>
      <c r="DTI212" s="260"/>
      <c r="DTJ212" s="260"/>
      <c r="DTK212" s="260"/>
      <c r="DTL212" s="2"/>
      <c r="DTM212" s="2"/>
      <c r="DTN212" s="2"/>
      <c r="DTO212" s="2"/>
      <c r="DTP212" s="2"/>
      <c r="DTQ212" s="2"/>
      <c r="DTR212" s="260"/>
      <c r="DTS212" s="2"/>
      <c r="DTT212" s="2"/>
      <c r="DTU212" s="2"/>
      <c r="DTV212" s="2"/>
      <c r="DTW212" s="2"/>
      <c r="DTX212" s="2"/>
      <c r="DTY212" s="2"/>
      <c r="DTZ212" s="260"/>
      <c r="DUA212" s="260"/>
      <c r="DUB212" s="260"/>
      <c r="DUC212" s="380"/>
      <c r="DUD212" s="380"/>
      <c r="DUE212" s="380"/>
      <c r="DUF212" s="2"/>
      <c r="DUG212" s="442"/>
      <c r="DUH212" s="442"/>
      <c r="DUI212" s="443"/>
      <c r="DUJ212" s="442"/>
      <c r="DUK212" s="442"/>
      <c r="DUL212" s="2"/>
      <c r="DUM212" s="2"/>
      <c r="DUN212" s="2"/>
      <c r="DUO212" s="2"/>
      <c r="DUP212" s="260"/>
      <c r="DUQ212" s="260"/>
      <c r="DUR212" s="260"/>
      <c r="DUS212" s="260"/>
      <c r="DUT212" s="260"/>
      <c r="DUU212" s="260"/>
      <c r="DUV212" s="308"/>
      <c r="DUW212" s="290"/>
      <c r="DUX212" s="290"/>
      <c r="DUY212" s="260"/>
      <c r="DUZ212" s="260"/>
      <c r="DVA212" s="260"/>
      <c r="DVB212" s="260"/>
      <c r="DVC212" s="260"/>
      <c r="DVD212" s="2"/>
      <c r="DVE212" s="2"/>
      <c r="DVF212" s="2"/>
      <c r="DVG212" s="2"/>
      <c r="DVH212" s="2"/>
      <c r="DVI212" s="2"/>
      <c r="DVJ212" s="260"/>
      <c r="DVK212" s="2"/>
      <c r="DVL212" s="2"/>
      <c r="DVM212" s="2"/>
      <c r="DVN212" s="2"/>
      <c r="DVO212" s="2"/>
      <c r="DVP212" s="2"/>
      <c r="DVQ212" s="2"/>
      <c r="DVR212" s="260"/>
      <c r="DVS212" s="260"/>
      <c r="DVT212" s="260"/>
      <c r="DVU212" s="380"/>
      <c r="DVV212" s="380"/>
      <c r="DVW212" s="380"/>
      <c r="DVX212" s="2"/>
      <c r="DVY212" s="442"/>
      <c r="DVZ212" s="442"/>
      <c r="DWA212" s="443"/>
      <c r="DWB212" s="442"/>
      <c r="DWC212" s="442"/>
      <c r="DWD212" s="2"/>
      <c r="DWE212" s="2"/>
      <c r="DWF212" s="2"/>
      <c r="DWG212" s="2"/>
      <c r="DWH212" s="260"/>
      <c r="DWI212" s="260"/>
      <c r="DWJ212" s="260"/>
      <c r="DWK212" s="260"/>
      <c r="DWL212" s="260"/>
      <c r="DWM212" s="260"/>
      <c r="DWN212" s="308"/>
      <c r="DWO212" s="290"/>
      <c r="DWP212" s="290"/>
      <c r="DWQ212" s="260"/>
      <c r="DWR212" s="260"/>
      <c r="DWS212" s="260"/>
      <c r="DWT212" s="260"/>
      <c r="DWU212" s="260"/>
      <c r="DWV212" s="2"/>
      <c r="DWW212" s="2"/>
      <c r="DWX212" s="2"/>
      <c r="DWY212" s="2"/>
      <c r="DWZ212" s="2"/>
      <c r="DXA212" s="2"/>
      <c r="DXB212" s="260"/>
      <c r="DXC212" s="2"/>
      <c r="DXD212" s="2"/>
      <c r="DXE212" s="2"/>
      <c r="DXF212" s="2"/>
      <c r="DXG212" s="2"/>
      <c r="DXH212" s="2"/>
      <c r="DXI212" s="2"/>
      <c r="DXJ212" s="260"/>
      <c r="DXK212" s="260"/>
      <c r="DXL212" s="260"/>
      <c r="DXM212" s="380"/>
      <c r="DXN212" s="380"/>
      <c r="DXO212" s="380"/>
      <c r="DXP212" s="2"/>
      <c r="DXQ212" s="442"/>
      <c r="DXR212" s="442"/>
      <c r="DXS212" s="443"/>
      <c r="DXT212" s="442"/>
      <c r="DXU212" s="442"/>
      <c r="DXV212" s="2"/>
      <c r="DXW212" s="2"/>
      <c r="DXX212" s="2"/>
      <c r="DXY212" s="2"/>
      <c r="DXZ212" s="260"/>
      <c r="DYA212" s="260"/>
      <c r="DYB212" s="260"/>
      <c r="DYC212" s="260"/>
      <c r="DYD212" s="260"/>
      <c r="DYE212" s="260"/>
      <c r="DYF212" s="308"/>
      <c r="DYG212" s="290"/>
      <c r="DYH212" s="290"/>
      <c r="DYI212" s="260"/>
      <c r="DYJ212" s="260"/>
      <c r="DYK212" s="260"/>
      <c r="DYL212" s="260"/>
      <c r="DYM212" s="260"/>
      <c r="DYN212" s="2"/>
      <c r="DYO212" s="2"/>
      <c r="DYP212" s="2"/>
      <c r="DYQ212" s="2"/>
      <c r="DYR212" s="2"/>
      <c r="DYS212" s="2"/>
      <c r="DYT212" s="260"/>
      <c r="DYU212" s="2"/>
      <c r="DYV212" s="2"/>
      <c r="DYW212" s="2"/>
      <c r="DYX212" s="2"/>
      <c r="DYY212" s="2"/>
      <c r="DYZ212" s="2"/>
      <c r="DZA212" s="2"/>
      <c r="DZB212" s="260"/>
      <c r="DZC212" s="260"/>
      <c r="DZD212" s="260"/>
      <c r="DZE212" s="380"/>
      <c r="DZF212" s="380"/>
      <c r="DZG212" s="380"/>
      <c r="DZH212" s="2"/>
      <c r="DZI212" s="442"/>
      <c r="DZJ212" s="442"/>
      <c r="DZK212" s="443"/>
      <c r="DZL212" s="442"/>
      <c r="DZM212" s="442"/>
      <c r="DZN212" s="2"/>
      <c r="DZO212" s="2"/>
      <c r="DZP212" s="2"/>
      <c r="DZQ212" s="2"/>
      <c r="DZR212" s="260"/>
      <c r="DZS212" s="260"/>
      <c r="DZT212" s="260"/>
      <c r="DZU212" s="260"/>
      <c r="DZV212" s="260"/>
      <c r="DZW212" s="260"/>
      <c r="DZX212" s="308"/>
      <c r="DZY212" s="290"/>
      <c r="DZZ212" s="290"/>
      <c r="EAA212" s="260"/>
      <c r="EAB212" s="260"/>
      <c r="EAC212" s="260"/>
      <c r="EAD212" s="260"/>
      <c r="EAE212" s="260"/>
      <c r="EAF212" s="2"/>
      <c r="EAG212" s="2"/>
      <c r="EAH212" s="2"/>
      <c r="EAI212" s="2"/>
      <c r="EAJ212" s="2"/>
      <c r="EAK212" s="2"/>
      <c r="EAL212" s="260"/>
      <c r="EAM212" s="2"/>
      <c r="EAN212" s="2"/>
      <c r="EAO212" s="2"/>
      <c r="EAP212" s="2"/>
      <c r="EAQ212" s="2"/>
      <c r="EAR212" s="2"/>
      <c r="EAS212" s="2"/>
      <c r="EAT212" s="260"/>
      <c r="EAU212" s="260"/>
      <c r="EAV212" s="260"/>
      <c r="EAW212" s="380"/>
      <c r="EAX212" s="380"/>
      <c r="EAY212" s="380"/>
      <c r="EAZ212" s="2"/>
      <c r="EBA212" s="442"/>
      <c r="EBB212" s="442"/>
      <c r="EBC212" s="443"/>
      <c r="EBD212" s="442"/>
      <c r="EBE212" s="442"/>
      <c r="EBF212" s="2"/>
      <c r="EBG212" s="2"/>
      <c r="EBH212" s="2"/>
      <c r="EBI212" s="2"/>
      <c r="EBJ212" s="260"/>
      <c r="EBK212" s="260"/>
      <c r="EBL212" s="260"/>
      <c r="EBM212" s="260"/>
      <c r="EBN212" s="260"/>
      <c r="EBO212" s="260"/>
      <c r="EBP212" s="308"/>
      <c r="EBQ212" s="290"/>
      <c r="EBR212" s="290"/>
      <c r="EBS212" s="260"/>
      <c r="EBT212" s="260"/>
      <c r="EBU212" s="260"/>
      <c r="EBV212" s="260"/>
      <c r="EBW212" s="260"/>
      <c r="EBX212" s="2"/>
      <c r="EBY212" s="2"/>
      <c r="EBZ212" s="2"/>
      <c r="ECA212" s="2"/>
      <c r="ECB212" s="2"/>
      <c r="ECC212" s="2"/>
      <c r="ECD212" s="260"/>
      <c r="ECE212" s="2"/>
      <c r="ECF212" s="2"/>
      <c r="ECG212" s="2"/>
      <c r="ECH212" s="2"/>
      <c r="ECI212" s="2"/>
      <c r="ECJ212" s="2"/>
      <c r="ECK212" s="2"/>
      <c r="ECL212" s="260"/>
      <c r="ECM212" s="260"/>
      <c r="ECN212" s="260"/>
      <c r="ECO212" s="380"/>
      <c r="ECP212" s="380"/>
      <c r="ECQ212" s="380"/>
      <c r="ECR212" s="2"/>
      <c r="ECS212" s="442"/>
      <c r="ECT212" s="442"/>
      <c r="ECU212" s="443"/>
      <c r="ECV212" s="442"/>
      <c r="ECW212" s="442"/>
      <c r="ECX212" s="2"/>
      <c r="ECY212" s="2"/>
      <c r="ECZ212" s="2"/>
      <c r="EDA212" s="2"/>
      <c r="EDB212" s="260"/>
      <c r="EDC212" s="260"/>
      <c r="EDD212" s="260"/>
      <c r="EDE212" s="260"/>
      <c r="EDF212" s="260"/>
      <c r="EDG212" s="260"/>
      <c r="EDH212" s="308"/>
      <c r="EDI212" s="290"/>
      <c r="EDJ212" s="290"/>
      <c r="EDK212" s="260"/>
      <c r="EDL212" s="260"/>
      <c r="EDM212" s="260"/>
      <c r="EDN212" s="260"/>
      <c r="EDO212" s="260"/>
      <c r="EDP212" s="2"/>
      <c r="EDQ212" s="2"/>
      <c r="EDR212" s="2"/>
      <c r="EDS212" s="2"/>
      <c r="EDT212" s="2"/>
      <c r="EDU212" s="2"/>
      <c r="EDV212" s="260"/>
      <c r="EDW212" s="2"/>
      <c r="EDX212" s="2"/>
      <c r="EDY212" s="2"/>
      <c r="EDZ212" s="2"/>
      <c r="EEA212" s="2"/>
      <c r="EEB212" s="2"/>
      <c r="EEC212" s="2"/>
      <c r="EED212" s="260"/>
      <c r="EEE212" s="260"/>
      <c r="EEF212" s="260"/>
      <c r="EEG212" s="380"/>
      <c r="EEH212" s="380"/>
      <c r="EEI212" s="380"/>
      <c r="EEJ212" s="2"/>
      <c r="EEK212" s="442"/>
      <c r="EEL212" s="442"/>
      <c r="EEM212" s="443"/>
      <c r="EEN212" s="442"/>
      <c r="EEO212" s="442"/>
      <c r="EEP212" s="2"/>
      <c r="EEQ212" s="2"/>
      <c r="EER212" s="2"/>
      <c r="EES212" s="2"/>
      <c r="EET212" s="260"/>
      <c r="EEU212" s="260"/>
      <c r="EEV212" s="260"/>
      <c r="EEW212" s="260"/>
      <c r="EEX212" s="260"/>
      <c r="EEY212" s="260"/>
      <c r="EEZ212" s="308"/>
      <c r="EFA212" s="290"/>
      <c r="EFB212" s="290"/>
      <c r="EFC212" s="260"/>
      <c r="EFD212" s="260"/>
      <c r="EFE212" s="260"/>
      <c r="EFF212" s="260"/>
      <c r="EFG212" s="260"/>
      <c r="EFH212" s="2"/>
      <c r="EFI212" s="2"/>
      <c r="EFJ212" s="2"/>
      <c r="EFK212" s="2"/>
      <c r="EFL212" s="2"/>
      <c r="EFM212" s="2"/>
      <c r="EFN212" s="260"/>
      <c r="EFO212" s="2"/>
      <c r="EFP212" s="2"/>
      <c r="EFQ212" s="2"/>
      <c r="EFR212" s="2"/>
      <c r="EFS212" s="2"/>
      <c r="EFT212" s="2"/>
      <c r="EFU212" s="2"/>
      <c r="EFV212" s="260"/>
      <c r="EFW212" s="260"/>
      <c r="EFX212" s="260"/>
      <c r="EFY212" s="380"/>
      <c r="EFZ212" s="380"/>
      <c r="EGA212" s="380"/>
      <c r="EGB212" s="2"/>
      <c r="EGC212" s="442"/>
      <c r="EGD212" s="442"/>
      <c r="EGE212" s="443"/>
      <c r="EGF212" s="442"/>
      <c r="EGG212" s="442"/>
      <c r="EGH212" s="2"/>
      <c r="EGI212" s="2"/>
      <c r="EGJ212" s="2"/>
      <c r="EGK212" s="2"/>
      <c r="EGL212" s="260"/>
      <c r="EGM212" s="260"/>
      <c r="EGN212" s="260"/>
      <c r="EGO212" s="260"/>
      <c r="EGP212" s="260"/>
      <c r="EGQ212" s="260"/>
      <c r="EGR212" s="308"/>
      <c r="EGS212" s="290"/>
      <c r="EGT212" s="290"/>
      <c r="EGU212" s="260"/>
      <c r="EGV212" s="260"/>
      <c r="EGW212" s="260"/>
      <c r="EGX212" s="260"/>
      <c r="EGY212" s="260"/>
      <c r="EGZ212" s="2"/>
      <c r="EHA212" s="2"/>
      <c r="EHB212" s="2"/>
      <c r="EHC212" s="2"/>
      <c r="EHD212" s="2"/>
      <c r="EHE212" s="2"/>
      <c r="EHF212" s="260"/>
      <c r="EHG212" s="2"/>
      <c r="EHH212" s="2"/>
      <c r="EHI212" s="2"/>
      <c r="EHJ212" s="2"/>
      <c r="EHK212" s="2"/>
      <c r="EHL212" s="2"/>
      <c r="EHM212" s="2"/>
      <c r="EHN212" s="260"/>
      <c r="EHO212" s="260"/>
      <c r="EHP212" s="260"/>
      <c r="EHQ212" s="380"/>
      <c r="EHR212" s="380"/>
      <c r="EHS212" s="380"/>
      <c r="EHT212" s="2"/>
      <c r="EHU212" s="442"/>
      <c r="EHV212" s="442"/>
      <c r="EHW212" s="443"/>
      <c r="EHX212" s="442"/>
      <c r="EHY212" s="442"/>
      <c r="EHZ212" s="2"/>
      <c r="EIA212" s="2"/>
      <c r="EIB212" s="2"/>
      <c r="EIC212" s="2"/>
      <c r="EID212" s="260"/>
      <c r="EIE212" s="260"/>
      <c r="EIF212" s="260"/>
      <c r="EIG212" s="260"/>
      <c r="EIH212" s="260"/>
      <c r="EII212" s="260"/>
      <c r="EIJ212" s="308"/>
      <c r="EIK212" s="290"/>
      <c r="EIL212" s="290"/>
      <c r="EIM212" s="260"/>
      <c r="EIN212" s="260"/>
      <c r="EIO212" s="260"/>
      <c r="EIP212" s="260"/>
      <c r="EIQ212" s="260"/>
      <c r="EIR212" s="2"/>
      <c r="EIS212" s="2"/>
      <c r="EIT212" s="2"/>
      <c r="EIU212" s="2"/>
      <c r="EIV212" s="2"/>
      <c r="EIW212" s="2"/>
      <c r="EIX212" s="260"/>
      <c r="EIY212" s="2"/>
      <c r="EIZ212" s="2"/>
      <c r="EJA212" s="2"/>
      <c r="EJB212" s="2"/>
      <c r="EJC212" s="2"/>
      <c r="EJD212" s="2"/>
      <c r="EJE212" s="2"/>
      <c r="EJF212" s="260"/>
      <c r="EJG212" s="260"/>
      <c r="EJH212" s="260"/>
      <c r="EJI212" s="380"/>
      <c r="EJJ212" s="380"/>
      <c r="EJK212" s="380"/>
      <c r="EJL212" s="2"/>
      <c r="EJM212" s="442"/>
      <c r="EJN212" s="442"/>
      <c r="EJO212" s="443"/>
      <c r="EJP212" s="442"/>
      <c r="EJQ212" s="442"/>
      <c r="EJR212" s="2"/>
      <c r="EJS212" s="2"/>
      <c r="EJT212" s="2"/>
      <c r="EJU212" s="2"/>
      <c r="EJV212" s="260"/>
      <c r="EJW212" s="260"/>
      <c r="EJX212" s="260"/>
      <c r="EJY212" s="260"/>
      <c r="EJZ212" s="260"/>
      <c r="EKA212" s="260"/>
      <c r="EKB212" s="308"/>
      <c r="EKC212" s="290"/>
      <c r="EKD212" s="290"/>
      <c r="EKE212" s="260"/>
      <c r="EKF212" s="260"/>
      <c r="EKG212" s="260"/>
      <c r="EKH212" s="260"/>
      <c r="EKI212" s="260"/>
      <c r="EKJ212" s="2"/>
      <c r="EKK212" s="2"/>
      <c r="EKL212" s="2"/>
      <c r="EKM212" s="2"/>
      <c r="EKN212" s="2"/>
      <c r="EKO212" s="2"/>
      <c r="EKP212" s="260"/>
      <c r="EKQ212" s="2"/>
      <c r="EKR212" s="2"/>
      <c r="EKS212" s="2"/>
      <c r="EKT212" s="2"/>
      <c r="EKU212" s="2"/>
      <c r="EKV212" s="2"/>
      <c r="EKW212" s="2"/>
      <c r="EKX212" s="260"/>
      <c r="EKY212" s="260"/>
      <c r="EKZ212" s="260"/>
      <c r="ELA212" s="380"/>
      <c r="ELB212" s="380"/>
      <c r="ELC212" s="380"/>
      <c r="ELD212" s="2"/>
      <c r="ELE212" s="442"/>
      <c r="ELF212" s="442"/>
      <c r="ELG212" s="443"/>
      <c r="ELH212" s="442"/>
      <c r="ELI212" s="442"/>
      <c r="ELJ212" s="2"/>
      <c r="ELK212" s="2"/>
      <c r="ELL212" s="2"/>
      <c r="ELM212" s="2"/>
      <c r="ELN212" s="260"/>
      <c r="ELO212" s="260"/>
      <c r="ELP212" s="260"/>
      <c r="ELQ212" s="260"/>
      <c r="ELR212" s="260"/>
      <c r="ELS212" s="260"/>
      <c r="ELT212" s="308"/>
      <c r="ELU212" s="290"/>
      <c r="ELV212" s="290"/>
      <c r="ELW212" s="260"/>
      <c r="ELX212" s="260"/>
      <c r="ELY212" s="260"/>
      <c r="ELZ212" s="260"/>
      <c r="EMA212" s="260"/>
      <c r="EMB212" s="2"/>
      <c r="EMC212" s="2"/>
      <c r="EMD212" s="2"/>
      <c r="EME212" s="2"/>
      <c r="EMF212" s="2"/>
      <c r="EMG212" s="2"/>
      <c r="EMH212" s="260"/>
      <c r="EMI212" s="2"/>
      <c r="EMJ212" s="2"/>
      <c r="EMK212" s="2"/>
      <c r="EML212" s="2"/>
      <c r="EMM212" s="2"/>
      <c r="EMN212" s="2"/>
      <c r="EMO212" s="2"/>
      <c r="EMP212" s="260"/>
      <c r="EMQ212" s="260"/>
      <c r="EMR212" s="260"/>
      <c r="EMS212" s="380"/>
      <c r="EMT212" s="380"/>
      <c r="EMU212" s="380"/>
      <c r="EMV212" s="2"/>
      <c r="EMW212" s="442"/>
      <c r="EMX212" s="442"/>
      <c r="EMY212" s="443"/>
      <c r="EMZ212" s="442"/>
      <c r="ENA212" s="442"/>
      <c r="ENB212" s="2"/>
      <c r="ENC212" s="2"/>
      <c r="END212" s="2"/>
      <c r="ENE212" s="2"/>
      <c r="ENF212" s="260"/>
      <c r="ENG212" s="260"/>
      <c r="ENH212" s="260"/>
      <c r="ENI212" s="260"/>
      <c r="ENJ212" s="260"/>
      <c r="ENK212" s="260"/>
      <c r="ENL212" s="308"/>
      <c r="ENM212" s="290"/>
      <c r="ENN212" s="290"/>
      <c r="ENO212" s="260"/>
      <c r="ENP212" s="260"/>
      <c r="ENQ212" s="260"/>
      <c r="ENR212" s="260"/>
      <c r="ENS212" s="260"/>
      <c r="ENT212" s="2"/>
      <c r="ENU212" s="2"/>
      <c r="ENV212" s="2"/>
      <c r="ENW212" s="2"/>
      <c r="ENX212" s="2"/>
      <c r="ENY212" s="2"/>
      <c r="ENZ212" s="260"/>
      <c r="EOA212" s="2"/>
      <c r="EOB212" s="2"/>
      <c r="EOC212" s="2"/>
      <c r="EOD212" s="2"/>
      <c r="EOE212" s="2"/>
      <c r="EOF212" s="2"/>
      <c r="EOG212" s="2"/>
      <c r="EOH212" s="260"/>
      <c r="EOI212" s="260"/>
      <c r="EOJ212" s="260"/>
      <c r="EOK212" s="380"/>
      <c r="EOL212" s="380"/>
      <c r="EOM212" s="380"/>
      <c r="EON212" s="2"/>
      <c r="EOO212" s="442"/>
      <c r="EOP212" s="442"/>
      <c r="EOQ212" s="443"/>
      <c r="EOR212" s="442"/>
      <c r="EOS212" s="442"/>
      <c r="EOT212" s="2"/>
      <c r="EOU212" s="2"/>
      <c r="EOV212" s="2"/>
      <c r="EOW212" s="2"/>
      <c r="EOX212" s="260"/>
      <c r="EOY212" s="260"/>
      <c r="EOZ212" s="260"/>
      <c r="EPA212" s="260"/>
      <c r="EPB212" s="260"/>
      <c r="EPC212" s="260"/>
      <c r="EPD212" s="308"/>
      <c r="EPE212" s="290"/>
      <c r="EPF212" s="290"/>
      <c r="EPG212" s="260"/>
      <c r="EPH212" s="260"/>
      <c r="EPI212" s="260"/>
      <c r="EPJ212" s="260"/>
      <c r="EPK212" s="260"/>
      <c r="EPL212" s="2"/>
      <c r="EPM212" s="2"/>
      <c r="EPN212" s="2"/>
      <c r="EPO212" s="2"/>
      <c r="EPP212" s="2"/>
      <c r="EPQ212" s="2"/>
      <c r="EPR212" s="260"/>
      <c r="EPS212" s="2"/>
      <c r="EPT212" s="2"/>
      <c r="EPU212" s="2"/>
      <c r="EPV212" s="2"/>
      <c r="EPW212" s="2"/>
      <c r="EPX212" s="2"/>
      <c r="EPY212" s="2"/>
      <c r="EPZ212" s="260"/>
      <c r="EQA212" s="260"/>
      <c r="EQB212" s="260"/>
      <c r="EQC212" s="380"/>
      <c r="EQD212" s="380"/>
      <c r="EQE212" s="380"/>
      <c r="EQF212" s="2"/>
      <c r="EQG212" s="442"/>
      <c r="EQH212" s="442"/>
      <c r="EQI212" s="443"/>
      <c r="EQJ212" s="442"/>
      <c r="EQK212" s="442"/>
      <c r="EQL212" s="2"/>
      <c r="EQM212" s="2"/>
      <c r="EQN212" s="2"/>
      <c r="EQO212" s="2"/>
      <c r="EQP212" s="260"/>
      <c r="EQQ212" s="260"/>
      <c r="EQR212" s="260"/>
      <c r="EQS212" s="260"/>
      <c r="EQT212" s="260"/>
      <c r="EQU212" s="260"/>
      <c r="EQV212" s="308"/>
      <c r="EQW212" s="290"/>
      <c r="EQX212" s="290"/>
      <c r="EQY212" s="260"/>
      <c r="EQZ212" s="260"/>
      <c r="ERA212" s="260"/>
      <c r="ERB212" s="260"/>
      <c r="ERC212" s="260"/>
      <c r="ERD212" s="2"/>
      <c r="ERE212" s="2"/>
      <c r="ERF212" s="2"/>
      <c r="ERG212" s="2"/>
      <c r="ERH212" s="2"/>
      <c r="ERI212" s="2"/>
      <c r="ERJ212" s="260"/>
      <c r="ERK212" s="2"/>
      <c r="ERL212" s="2"/>
      <c r="ERM212" s="2"/>
      <c r="ERN212" s="2"/>
      <c r="ERO212" s="2"/>
      <c r="ERP212" s="2"/>
      <c r="ERQ212" s="2"/>
      <c r="ERR212" s="260"/>
      <c r="ERS212" s="260"/>
      <c r="ERT212" s="260"/>
      <c r="ERU212" s="380"/>
      <c r="ERV212" s="380"/>
      <c r="ERW212" s="380"/>
      <c r="ERX212" s="2"/>
      <c r="ERY212" s="442"/>
      <c r="ERZ212" s="442"/>
      <c r="ESA212" s="443"/>
      <c r="ESB212" s="442"/>
      <c r="ESC212" s="442"/>
      <c r="ESD212" s="2"/>
      <c r="ESE212" s="2"/>
      <c r="ESF212" s="2"/>
      <c r="ESG212" s="2"/>
      <c r="ESH212" s="260"/>
      <c r="ESI212" s="260"/>
      <c r="ESJ212" s="260"/>
      <c r="ESK212" s="260"/>
      <c r="ESL212" s="260"/>
      <c r="ESM212" s="260"/>
      <c r="ESN212" s="308"/>
      <c r="ESO212" s="290"/>
      <c r="ESP212" s="290"/>
      <c r="ESQ212" s="260"/>
      <c r="ESR212" s="260"/>
      <c r="ESS212" s="260"/>
      <c r="EST212" s="260"/>
      <c r="ESU212" s="260"/>
      <c r="ESV212" s="2"/>
      <c r="ESW212" s="2"/>
      <c r="ESX212" s="2"/>
      <c r="ESY212" s="2"/>
      <c r="ESZ212" s="2"/>
      <c r="ETA212" s="2"/>
      <c r="ETB212" s="260"/>
      <c r="ETC212" s="2"/>
      <c r="ETD212" s="2"/>
      <c r="ETE212" s="2"/>
      <c r="ETF212" s="2"/>
      <c r="ETG212" s="2"/>
      <c r="ETH212" s="2"/>
      <c r="ETI212" s="2"/>
      <c r="ETJ212" s="260"/>
      <c r="ETK212" s="260"/>
      <c r="ETL212" s="260"/>
      <c r="ETM212" s="380"/>
      <c r="ETN212" s="380"/>
      <c r="ETO212" s="380"/>
      <c r="ETP212" s="2"/>
      <c r="ETQ212" s="442"/>
      <c r="ETR212" s="442"/>
      <c r="ETS212" s="443"/>
      <c r="ETT212" s="442"/>
      <c r="ETU212" s="442"/>
      <c r="ETV212" s="2"/>
      <c r="ETW212" s="2"/>
      <c r="ETX212" s="2"/>
      <c r="ETY212" s="2"/>
      <c r="ETZ212" s="260"/>
      <c r="EUA212" s="260"/>
      <c r="EUB212" s="260"/>
      <c r="EUC212" s="260"/>
      <c r="EUD212" s="260"/>
      <c r="EUE212" s="260"/>
      <c r="EUF212" s="308"/>
      <c r="EUG212" s="290"/>
      <c r="EUH212" s="290"/>
      <c r="EUI212" s="260"/>
      <c r="EUJ212" s="260"/>
      <c r="EUK212" s="260"/>
      <c r="EUL212" s="260"/>
      <c r="EUM212" s="260"/>
      <c r="EUN212" s="2"/>
      <c r="EUO212" s="2"/>
      <c r="EUP212" s="2"/>
      <c r="EUQ212" s="2"/>
      <c r="EUR212" s="2"/>
      <c r="EUS212" s="2"/>
      <c r="EUT212" s="260"/>
      <c r="EUU212" s="2"/>
      <c r="EUV212" s="2"/>
      <c r="EUW212" s="2"/>
      <c r="EUX212" s="2"/>
      <c r="EUY212" s="2"/>
      <c r="EUZ212" s="2"/>
      <c r="EVA212" s="2"/>
      <c r="EVB212" s="260"/>
      <c r="EVC212" s="260"/>
      <c r="EVD212" s="260"/>
      <c r="EVE212" s="380"/>
      <c r="EVF212" s="380"/>
      <c r="EVG212" s="380"/>
      <c r="EVH212" s="2"/>
      <c r="EVI212" s="442"/>
      <c r="EVJ212" s="442"/>
      <c r="EVK212" s="443"/>
      <c r="EVL212" s="442"/>
      <c r="EVM212" s="442"/>
      <c r="EVN212" s="2"/>
      <c r="EVO212" s="2"/>
      <c r="EVP212" s="2"/>
      <c r="EVQ212" s="2"/>
      <c r="EVR212" s="260"/>
      <c r="EVS212" s="260"/>
      <c r="EVT212" s="260"/>
      <c r="EVU212" s="260"/>
      <c r="EVV212" s="260"/>
      <c r="EVW212" s="260"/>
      <c r="EVX212" s="308"/>
      <c r="EVY212" s="290"/>
      <c r="EVZ212" s="290"/>
      <c r="EWA212" s="260"/>
      <c r="EWB212" s="260"/>
      <c r="EWC212" s="260"/>
      <c r="EWD212" s="260"/>
      <c r="EWE212" s="260"/>
      <c r="EWF212" s="2"/>
      <c r="EWG212" s="2"/>
      <c r="EWH212" s="2"/>
      <c r="EWI212" s="2"/>
      <c r="EWJ212" s="2"/>
      <c r="EWK212" s="2"/>
      <c r="EWL212" s="260"/>
      <c r="EWM212" s="2"/>
      <c r="EWN212" s="2"/>
      <c r="EWO212" s="2"/>
      <c r="EWP212" s="2"/>
      <c r="EWQ212" s="2"/>
      <c r="EWR212" s="2"/>
      <c r="EWS212" s="2"/>
      <c r="EWT212" s="260"/>
      <c r="EWU212" s="260"/>
      <c r="EWV212" s="260"/>
      <c r="EWW212" s="380"/>
      <c r="EWX212" s="380"/>
      <c r="EWY212" s="380"/>
      <c r="EWZ212" s="2"/>
      <c r="EXA212" s="442"/>
      <c r="EXB212" s="442"/>
      <c r="EXC212" s="443"/>
      <c r="EXD212" s="442"/>
      <c r="EXE212" s="442"/>
      <c r="EXF212" s="2"/>
      <c r="EXG212" s="2"/>
      <c r="EXH212" s="2"/>
      <c r="EXI212" s="2"/>
      <c r="EXJ212" s="260"/>
      <c r="EXK212" s="260"/>
      <c r="EXL212" s="260"/>
      <c r="EXM212" s="260"/>
      <c r="EXN212" s="260"/>
      <c r="EXO212" s="260"/>
      <c r="EXP212" s="308"/>
      <c r="EXQ212" s="290"/>
      <c r="EXR212" s="290"/>
      <c r="EXS212" s="260"/>
      <c r="EXT212" s="260"/>
      <c r="EXU212" s="260"/>
      <c r="EXV212" s="260"/>
      <c r="EXW212" s="260"/>
      <c r="EXX212" s="2"/>
      <c r="EXY212" s="2"/>
      <c r="EXZ212" s="2"/>
      <c r="EYA212" s="2"/>
      <c r="EYB212" s="2"/>
      <c r="EYC212" s="2"/>
      <c r="EYD212" s="260"/>
      <c r="EYE212" s="2"/>
      <c r="EYF212" s="2"/>
      <c r="EYG212" s="2"/>
      <c r="EYH212" s="2"/>
      <c r="EYI212" s="2"/>
      <c r="EYJ212" s="2"/>
      <c r="EYK212" s="2"/>
      <c r="EYL212" s="260"/>
      <c r="EYM212" s="260"/>
      <c r="EYN212" s="260"/>
      <c r="EYO212" s="380"/>
      <c r="EYP212" s="380"/>
      <c r="EYQ212" s="380"/>
      <c r="EYR212" s="2"/>
      <c r="EYS212" s="442"/>
      <c r="EYT212" s="442"/>
      <c r="EYU212" s="443"/>
      <c r="EYV212" s="442"/>
      <c r="EYW212" s="442"/>
      <c r="EYX212" s="2"/>
      <c r="EYY212" s="2"/>
      <c r="EYZ212" s="2"/>
      <c r="EZA212" s="2"/>
      <c r="EZB212" s="260"/>
      <c r="EZC212" s="260"/>
      <c r="EZD212" s="260"/>
      <c r="EZE212" s="260"/>
      <c r="EZF212" s="260"/>
      <c r="EZG212" s="260"/>
      <c r="EZH212" s="308"/>
      <c r="EZI212" s="290"/>
      <c r="EZJ212" s="290"/>
      <c r="EZK212" s="260"/>
      <c r="EZL212" s="260"/>
      <c r="EZM212" s="260"/>
      <c r="EZN212" s="260"/>
      <c r="EZO212" s="260"/>
      <c r="EZP212" s="2"/>
      <c r="EZQ212" s="2"/>
      <c r="EZR212" s="2"/>
      <c r="EZS212" s="2"/>
      <c r="EZT212" s="2"/>
      <c r="EZU212" s="2"/>
      <c r="EZV212" s="260"/>
      <c r="EZW212" s="2"/>
      <c r="EZX212" s="2"/>
      <c r="EZY212" s="2"/>
      <c r="EZZ212" s="2"/>
      <c r="FAA212" s="2"/>
      <c r="FAB212" s="2"/>
      <c r="FAC212" s="2"/>
      <c r="FAD212" s="260"/>
      <c r="FAE212" s="260"/>
      <c r="FAF212" s="260"/>
      <c r="FAG212" s="380"/>
      <c r="FAH212" s="380"/>
      <c r="FAI212" s="380"/>
      <c r="FAJ212" s="2"/>
      <c r="FAK212" s="442"/>
      <c r="FAL212" s="442"/>
      <c r="FAM212" s="443"/>
      <c r="FAN212" s="442"/>
      <c r="FAO212" s="442"/>
      <c r="FAP212" s="2"/>
      <c r="FAQ212" s="2"/>
      <c r="FAR212" s="2"/>
      <c r="FAS212" s="2"/>
      <c r="FAT212" s="260"/>
      <c r="FAU212" s="260"/>
      <c r="FAV212" s="260"/>
      <c r="FAW212" s="260"/>
      <c r="FAX212" s="260"/>
      <c r="FAY212" s="260"/>
      <c r="FAZ212" s="308"/>
      <c r="FBA212" s="290"/>
      <c r="FBB212" s="290"/>
      <c r="FBC212" s="260"/>
      <c r="FBD212" s="260"/>
      <c r="FBE212" s="260"/>
      <c r="FBF212" s="260"/>
      <c r="FBG212" s="260"/>
      <c r="FBH212" s="2"/>
      <c r="FBI212" s="2"/>
      <c r="FBJ212" s="2"/>
      <c r="FBK212" s="2"/>
      <c r="FBL212" s="2"/>
      <c r="FBM212" s="2"/>
      <c r="FBN212" s="260"/>
      <c r="FBO212" s="2"/>
      <c r="FBP212" s="2"/>
      <c r="FBQ212" s="2"/>
      <c r="FBR212" s="2"/>
      <c r="FBS212" s="2"/>
      <c r="FBT212" s="2"/>
      <c r="FBU212" s="2"/>
      <c r="FBV212" s="260"/>
      <c r="FBW212" s="260"/>
      <c r="FBX212" s="260"/>
      <c r="FBY212" s="380"/>
      <c r="FBZ212" s="380"/>
      <c r="FCA212" s="380"/>
      <c r="FCB212" s="2"/>
      <c r="FCC212" s="442"/>
      <c r="FCD212" s="442"/>
      <c r="FCE212" s="443"/>
      <c r="FCF212" s="442"/>
      <c r="FCG212" s="442"/>
      <c r="FCH212" s="2"/>
      <c r="FCI212" s="2"/>
      <c r="FCJ212" s="2"/>
      <c r="FCK212" s="2"/>
      <c r="FCL212" s="260"/>
      <c r="FCM212" s="260"/>
      <c r="FCN212" s="260"/>
      <c r="FCO212" s="260"/>
      <c r="FCP212" s="260"/>
      <c r="FCQ212" s="260"/>
      <c r="FCR212" s="308"/>
      <c r="FCS212" s="290"/>
      <c r="FCT212" s="290"/>
      <c r="FCU212" s="260"/>
      <c r="FCV212" s="260"/>
      <c r="FCW212" s="260"/>
      <c r="FCX212" s="260"/>
      <c r="FCY212" s="260"/>
      <c r="FCZ212" s="2"/>
      <c r="FDA212" s="2"/>
      <c r="FDB212" s="2"/>
      <c r="FDC212" s="2"/>
      <c r="FDD212" s="2"/>
      <c r="FDE212" s="2"/>
      <c r="FDF212" s="260"/>
      <c r="FDG212" s="2"/>
      <c r="FDH212" s="2"/>
      <c r="FDI212" s="2"/>
      <c r="FDJ212" s="2"/>
      <c r="FDK212" s="2"/>
      <c r="FDL212" s="2"/>
      <c r="FDM212" s="2"/>
      <c r="FDN212" s="260"/>
      <c r="FDO212" s="260"/>
      <c r="FDP212" s="260"/>
      <c r="FDQ212" s="380"/>
      <c r="FDR212" s="380"/>
      <c r="FDS212" s="380"/>
      <c r="FDT212" s="2"/>
      <c r="FDU212" s="442"/>
      <c r="FDV212" s="442"/>
      <c r="FDW212" s="443"/>
      <c r="FDX212" s="442"/>
      <c r="FDY212" s="442"/>
      <c r="FDZ212" s="2"/>
      <c r="FEA212" s="2"/>
      <c r="FEB212" s="2"/>
      <c r="FEC212" s="2"/>
      <c r="FED212" s="260"/>
      <c r="FEE212" s="260"/>
      <c r="FEF212" s="260"/>
      <c r="FEG212" s="260"/>
      <c r="FEH212" s="260"/>
      <c r="FEI212" s="260"/>
      <c r="FEJ212" s="308"/>
      <c r="FEK212" s="290"/>
      <c r="FEL212" s="290"/>
      <c r="FEM212" s="260"/>
      <c r="FEN212" s="260"/>
      <c r="FEO212" s="260"/>
      <c r="FEP212" s="260"/>
      <c r="FEQ212" s="260"/>
      <c r="FER212" s="2"/>
      <c r="FES212" s="2"/>
      <c r="FET212" s="2"/>
      <c r="FEU212" s="2"/>
      <c r="FEV212" s="2"/>
      <c r="FEW212" s="2"/>
      <c r="FEX212" s="260"/>
      <c r="FEY212" s="2"/>
      <c r="FEZ212" s="2"/>
      <c r="FFA212" s="2"/>
      <c r="FFB212" s="2"/>
      <c r="FFC212" s="2"/>
      <c r="FFD212" s="2"/>
      <c r="FFE212" s="2"/>
      <c r="FFF212" s="260"/>
      <c r="FFG212" s="260"/>
      <c r="FFH212" s="260"/>
      <c r="FFI212" s="380"/>
      <c r="FFJ212" s="380"/>
      <c r="FFK212" s="380"/>
      <c r="FFL212" s="2"/>
      <c r="FFM212" s="442"/>
      <c r="FFN212" s="442"/>
      <c r="FFO212" s="443"/>
      <c r="FFP212" s="442"/>
      <c r="FFQ212" s="442"/>
      <c r="FFR212" s="2"/>
      <c r="FFS212" s="2"/>
      <c r="FFT212" s="2"/>
      <c r="FFU212" s="2"/>
      <c r="FFV212" s="260"/>
      <c r="FFW212" s="260"/>
      <c r="FFX212" s="260"/>
      <c r="FFY212" s="260"/>
      <c r="FFZ212" s="260"/>
      <c r="FGA212" s="260"/>
      <c r="FGB212" s="308"/>
      <c r="FGC212" s="290"/>
      <c r="FGD212" s="290"/>
      <c r="FGE212" s="260"/>
      <c r="FGF212" s="260"/>
      <c r="FGG212" s="260"/>
      <c r="FGH212" s="260"/>
      <c r="FGI212" s="260"/>
      <c r="FGJ212" s="2"/>
      <c r="FGK212" s="2"/>
      <c r="FGL212" s="2"/>
      <c r="FGM212" s="2"/>
      <c r="FGN212" s="2"/>
      <c r="FGO212" s="2"/>
      <c r="FGP212" s="260"/>
      <c r="FGQ212" s="2"/>
      <c r="FGR212" s="2"/>
      <c r="FGS212" s="2"/>
      <c r="FGT212" s="2"/>
      <c r="FGU212" s="2"/>
      <c r="FGV212" s="2"/>
      <c r="FGW212" s="2"/>
      <c r="FGX212" s="260"/>
      <c r="FGY212" s="260"/>
      <c r="FGZ212" s="260"/>
      <c r="FHA212" s="380"/>
      <c r="FHB212" s="380"/>
      <c r="FHC212" s="380"/>
      <c r="FHD212" s="2"/>
      <c r="FHE212" s="442"/>
      <c r="FHF212" s="442"/>
      <c r="FHG212" s="443"/>
      <c r="FHH212" s="442"/>
      <c r="FHI212" s="442"/>
      <c r="FHJ212" s="2"/>
      <c r="FHK212" s="2"/>
      <c r="FHL212" s="2"/>
      <c r="FHM212" s="2"/>
      <c r="FHN212" s="260"/>
      <c r="FHO212" s="260"/>
      <c r="FHP212" s="260"/>
      <c r="FHQ212" s="260"/>
      <c r="FHR212" s="260"/>
      <c r="FHS212" s="260"/>
      <c r="FHT212" s="308"/>
      <c r="FHU212" s="290"/>
      <c r="FHV212" s="290"/>
      <c r="FHW212" s="260"/>
      <c r="FHX212" s="260"/>
      <c r="FHY212" s="260"/>
      <c r="FHZ212" s="260"/>
      <c r="FIA212" s="260"/>
      <c r="FIB212" s="2"/>
      <c r="FIC212" s="2"/>
      <c r="FID212" s="2"/>
      <c r="FIE212" s="2"/>
      <c r="FIF212" s="2"/>
      <c r="FIG212" s="2"/>
      <c r="FIH212" s="260"/>
      <c r="FII212" s="2"/>
      <c r="FIJ212" s="2"/>
      <c r="FIK212" s="2"/>
      <c r="FIL212" s="2"/>
      <c r="FIM212" s="2"/>
      <c r="FIN212" s="2"/>
      <c r="FIO212" s="2"/>
      <c r="FIP212" s="260"/>
      <c r="FIQ212" s="260"/>
      <c r="FIR212" s="260"/>
      <c r="FIS212" s="380"/>
      <c r="FIT212" s="380"/>
      <c r="FIU212" s="380"/>
      <c r="FIV212" s="2"/>
      <c r="FIW212" s="442"/>
      <c r="FIX212" s="442"/>
      <c r="FIY212" s="443"/>
      <c r="FIZ212" s="442"/>
      <c r="FJA212" s="442"/>
      <c r="FJB212" s="2"/>
      <c r="FJC212" s="2"/>
      <c r="FJD212" s="2"/>
      <c r="FJE212" s="2"/>
      <c r="FJF212" s="260"/>
      <c r="FJG212" s="260"/>
      <c r="FJH212" s="260"/>
      <c r="FJI212" s="260"/>
      <c r="FJJ212" s="260"/>
      <c r="FJK212" s="260"/>
      <c r="FJL212" s="308"/>
      <c r="FJM212" s="290"/>
      <c r="FJN212" s="290"/>
      <c r="FJO212" s="260"/>
      <c r="FJP212" s="260"/>
      <c r="FJQ212" s="260"/>
      <c r="FJR212" s="260"/>
      <c r="FJS212" s="260"/>
      <c r="FJT212" s="2"/>
      <c r="FJU212" s="2"/>
      <c r="FJV212" s="2"/>
      <c r="FJW212" s="2"/>
      <c r="FJX212" s="2"/>
      <c r="FJY212" s="2"/>
      <c r="FJZ212" s="260"/>
      <c r="FKA212" s="2"/>
      <c r="FKB212" s="2"/>
      <c r="FKC212" s="2"/>
      <c r="FKD212" s="2"/>
      <c r="FKE212" s="2"/>
      <c r="FKF212" s="2"/>
      <c r="FKG212" s="2"/>
      <c r="FKH212" s="260"/>
      <c r="FKI212" s="260"/>
      <c r="FKJ212" s="260"/>
      <c r="FKK212" s="380"/>
      <c r="FKL212" s="380"/>
      <c r="FKM212" s="380"/>
      <c r="FKN212" s="2"/>
      <c r="FKO212" s="442"/>
      <c r="FKP212" s="442"/>
      <c r="FKQ212" s="443"/>
      <c r="FKR212" s="442"/>
      <c r="FKS212" s="442"/>
      <c r="FKT212" s="2"/>
      <c r="FKU212" s="2"/>
      <c r="FKV212" s="2"/>
      <c r="FKW212" s="2"/>
      <c r="FKX212" s="260"/>
      <c r="FKY212" s="260"/>
      <c r="FKZ212" s="260"/>
      <c r="FLA212" s="260"/>
      <c r="FLB212" s="260"/>
      <c r="FLC212" s="260"/>
      <c r="FLD212" s="308"/>
      <c r="FLE212" s="290"/>
      <c r="FLF212" s="290"/>
      <c r="FLG212" s="260"/>
      <c r="FLH212" s="260"/>
      <c r="FLI212" s="260"/>
      <c r="FLJ212" s="260"/>
      <c r="FLK212" s="260"/>
      <c r="FLL212" s="2"/>
      <c r="FLM212" s="2"/>
      <c r="FLN212" s="2"/>
      <c r="FLO212" s="2"/>
      <c r="FLP212" s="2"/>
      <c r="FLQ212" s="2"/>
      <c r="FLR212" s="260"/>
      <c r="FLS212" s="2"/>
      <c r="FLT212" s="2"/>
      <c r="FLU212" s="2"/>
      <c r="FLV212" s="2"/>
      <c r="FLW212" s="2"/>
      <c r="FLX212" s="2"/>
      <c r="FLY212" s="2"/>
      <c r="FLZ212" s="260"/>
      <c r="FMA212" s="260"/>
      <c r="FMB212" s="260"/>
      <c r="FMC212" s="380"/>
      <c r="FMD212" s="380"/>
      <c r="FME212" s="380"/>
      <c r="FMF212" s="2"/>
      <c r="FMG212" s="442"/>
      <c r="FMH212" s="442"/>
      <c r="FMI212" s="443"/>
      <c r="FMJ212" s="442"/>
      <c r="FMK212" s="442"/>
      <c r="FML212" s="2"/>
      <c r="FMM212" s="2"/>
      <c r="FMN212" s="2"/>
      <c r="FMO212" s="2"/>
      <c r="FMP212" s="260"/>
      <c r="FMQ212" s="260"/>
      <c r="FMR212" s="260"/>
      <c r="FMS212" s="260"/>
      <c r="FMT212" s="260"/>
      <c r="FMU212" s="260"/>
      <c r="FMV212" s="308"/>
      <c r="FMW212" s="290"/>
      <c r="FMX212" s="290"/>
      <c r="FMY212" s="260"/>
      <c r="FMZ212" s="260"/>
      <c r="FNA212" s="260"/>
      <c r="FNB212" s="260"/>
      <c r="FNC212" s="260"/>
      <c r="FND212" s="2"/>
      <c r="FNE212" s="2"/>
      <c r="FNF212" s="2"/>
      <c r="FNG212" s="2"/>
      <c r="FNH212" s="2"/>
      <c r="FNI212" s="2"/>
      <c r="FNJ212" s="260"/>
      <c r="FNK212" s="2"/>
      <c r="FNL212" s="2"/>
      <c r="FNM212" s="2"/>
      <c r="FNN212" s="2"/>
      <c r="FNO212" s="2"/>
      <c r="FNP212" s="2"/>
      <c r="FNQ212" s="2"/>
      <c r="FNR212" s="260"/>
      <c r="FNS212" s="260"/>
      <c r="FNT212" s="260"/>
      <c r="FNU212" s="380"/>
      <c r="FNV212" s="380"/>
      <c r="FNW212" s="380"/>
      <c r="FNX212" s="2"/>
      <c r="FNY212" s="442"/>
      <c r="FNZ212" s="442"/>
      <c r="FOA212" s="443"/>
      <c r="FOB212" s="442"/>
      <c r="FOC212" s="442"/>
      <c r="FOD212" s="2"/>
      <c r="FOE212" s="2"/>
      <c r="FOF212" s="2"/>
      <c r="FOG212" s="2"/>
      <c r="FOH212" s="260"/>
      <c r="FOI212" s="260"/>
      <c r="FOJ212" s="260"/>
      <c r="FOK212" s="260"/>
      <c r="FOL212" s="260"/>
      <c r="FOM212" s="260"/>
      <c r="FON212" s="308"/>
      <c r="FOO212" s="290"/>
      <c r="FOP212" s="290"/>
      <c r="FOQ212" s="260"/>
      <c r="FOR212" s="260"/>
      <c r="FOS212" s="260"/>
      <c r="FOT212" s="260"/>
      <c r="FOU212" s="260"/>
      <c r="FOV212" s="2"/>
      <c r="FOW212" s="2"/>
      <c r="FOX212" s="2"/>
      <c r="FOY212" s="2"/>
      <c r="FOZ212" s="2"/>
      <c r="FPA212" s="2"/>
      <c r="FPB212" s="260"/>
      <c r="FPC212" s="2"/>
      <c r="FPD212" s="2"/>
      <c r="FPE212" s="2"/>
      <c r="FPF212" s="2"/>
      <c r="FPG212" s="2"/>
      <c r="FPH212" s="2"/>
      <c r="FPI212" s="2"/>
      <c r="FPJ212" s="260"/>
      <c r="FPK212" s="260"/>
      <c r="FPL212" s="260"/>
      <c r="FPM212" s="380"/>
      <c r="FPN212" s="380"/>
      <c r="FPO212" s="380"/>
      <c r="FPP212" s="2"/>
      <c r="FPQ212" s="442"/>
      <c r="FPR212" s="442"/>
      <c r="FPS212" s="443"/>
      <c r="FPT212" s="442"/>
      <c r="FPU212" s="442"/>
      <c r="FPV212" s="2"/>
      <c r="FPW212" s="2"/>
      <c r="FPX212" s="2"/>
      <c r="FPY212" s="2"/>
      <c r="FPZ212" s="260"/>
      <c r="FQA212" s="260"/>
      <c r="FQB212" s="260"/>
      <c r="FQC212" s="260"/>
      <c r="FQD212" s="260"/>
      <c r="FQE212" s="260"/>
      <c r="FQF212" s="308"/>
      <c r="FQG212" s="290"/>
      <c r="FQH212" s="290"/>
      <c r="FQI212" s="260"/>
      <c r="FQJ212" s="260"/>
      <c r="FQK212" s="260"/>
      <c r="FQL212" s="260"/>
      <c r="FQM212" s="260"/>
      <c r="FQN212" s="2"/>
      <c r="FQO212" s="2"/>
      <c r="FQP212" s="2"/>
      <c r="FQQ212" s="2"/>
      <c r="FQR212" s="2"/>
      <c r="FQS212" s="2"/>
      <c r="FQT212" s="260"/>
      <c r="FQU212" s="2"/>
      <c r="FQV212" s="2"/>
      <c r="FQW212" s="2"/>
      <c r="FQX212" s="2"/>
      <c r="FQY212" s="2"/>
      <c r="FQZ212" s="2"/>
      <c r="FRA212" s="2"/>
      <c r="FRB212" s="260"/>
      <c r="FRC212" s="260"/>
      <c r="FRD212" s="260"/>
      <c r="FRE212" s="380"/>
      <c r="FRF212" s="380"/>
      <c r="FRG212" s="380"/>
      <c r="FRH212" s="2"/>
      <c r="FRI212" s="442"/>
      <c r="FRJ212" s="442"/>
      <c r="FRK212" s="443"/>
      <c r="FRL212" s="442"/>
      <c r="FRM212" s="442"/>
      <c r="FRN212" s="2"/>
      <c r="FRO212" s="2"/>
      <c r="FRP212" s="2"/>
      <c r="FRQ212" s="2"/>
      <c r="FRR212" s="260"/>
      <c r="FRS212" s="260"/>
      <c r="FRT212" s="260"/>
      <c r="FRU212" s="260"/>
      <c r="FRV212" s="260"/>
      <c r="FRW212" s="260"/>
      <c r="FRX212" s="308"/>
      <c r="FRY212" s="290"/>
      <c r="FRZ212" s="290"/>
      <c r="FSA212" s="260"/>
      <c r="FSB212" s="260"/>
      <c r="FSC212" s="260"/>
      <c r="FSD212" s="260"/>
      <c r="FSE212" s="260"/>
      <c r="FSF212" s="2"/>
      <c r="FSG212" s="2"/>
      <c r="FSH212" s="2"/>
      <c r="FSI212" s="2"/>
      <c r="FSJ212" s="2"/>
      <c r="FSK212" s="2"/>
      <c r="FSL212" s="260"/>
      <c r="FSM212" s="2"/>
      <c r="FSN212" s="2"/>
      <c r="FSO212" s="2"/>
      <c r="FSP212" s="2"/>
      <c r="FSQ212" s="2"/>
      <c r="FSR212" s="2"/>
      <c r="FSS212" s="2"/>
      <c r="FST212" s="260"/>
      <c r="FSU212" s="260"/>
      <c r="FSV212" s="260"/>
      <c r="FSW212" s="380"/>
      <c r="FSX212" s="380"/>
      <c r="FSY212" s="380"/>
      <c r="FSZ212" s="2"/>
      <c r="FTA212" s="442"/>
      <c r="FTB212" s="442"/>
      <c r="FTC212" s="443"/>
      <c r="FTD212" s="442"/>
      <c r="FTE212" s="442"/>
      <c r="FTF212" s="2"/>
      <c r="FTG212" s="2"/>
      <c r="FTH212" s="2"/>
      <c r="FTI212" s="2"/>
      <c r="FTJ212" s="260"/>
      <c r="FTK212" s="260"/>
      <c r="FTL212" s="260"/>
      <c r="FTM212" s="260"/>
      <c r="FTN212" s="260"/>
      <c r="FTO212" s="260"/>
      <c r="FTP212" s="308"/>
      <c r="FTQ212" s="290"/>
      <c r="FTR212" s="290"/>
      <c r="FTS212" s="260"/>
      <c r="FTT212" s="260"/>
      <c r="FTU212" s="260"/>
      <c r="FTV212" s="260"/>
      <c r="FTW212" s="260"/>
      <c r="FTX212" s="2"/>
      <c r="FTY212" s="2"/>
      <c r="FTZ212" s="2"/>
      <c r="FUA212" s="2"/>
      <c r="FUB212" s="2"/>
      <c r="FUC212" s="2"/>
      <c r="FUD212" s="260"/>
      <c r="FUE212" s="2"/>
      <c r="FUF212" s="2"/>
      <c r="FUG212" s="2"/>
      <c r="FUH212" s="2"/>
      <c r="FUI212" s="2"/>
      <c r="FUJ212" s="2"/>
      <c r="FUK212" s="2"/>
      <c r="FUL212" s="260"/>
      <c r="FUM212" s="260"/>
      <c r="FUN212" s="260"/>
      <c r="FUO212" s="380"/>
      <c r="FUP212" s="380"/>
      <c r="FUQ212" s="380"/>
      <c r="FUR212" s="2"/>
      <c r="FUS212" s="442"/>
      <c r="FUT212" s="442"/>
      <c r="FUU212" s="443"/>
      <c r="FUV212" s="442"/>
      <c r="FUW212" s="442"/>
      <c r="FUX212" s="2"/>
      <c r="FUY212" s="2"/>
      <c r="FUZ212" s="2"/>
      <c r="FVA212" s="2"/>
      <c r="FVB212" s="260"/>
      <c r="FVC212" s="260"/>
      <c r="FVD212" s="260"/>
      <c r="FVE212" s="260"/>
      <c r="FVF212" s="260"/>
      <c r="FVG212" s="260"/>
      <c r="FVH212" s="308"/>
      <c r="FVI212" s="290"/>
      <c r="FVJ212" s="290"/>
      <c r="FVK212" s="260"/>
      <c r="FVL212" s="260"/>
      <c r="FVM212" s="260"/>
      <c r="FVN212" s="260"/>
      <c r="FVO212" s="260"/>
      <c r="FVP212" s="2"/>
      <c r="FVQ212" s="2"/>
      <c r="FVR212" s="2"/>
      <c r="FVS212" s="2"/>
      <c r="FVT212" s="2"/>
      <c r="FVU212" s="2"/>
      <c r="FVV212" s="260"/>
      <c r="FVW212" s="2"/>
      <c r="FVX212" s="2"/>
      <c r="FVY212" s="2"/>
      <c r="FVZ212" s="2"/>
      <c r="FWA212" s="2"/>
      <c r="FWB212" s="2"/>
      <c r="FWC212" s="2"/>
      <c r="FWD212" s="260"/>
      <c r="FWE212" s="260"/>
      <c r="FWF212" s="260"/>
      <c r="FWG212" s="380"/>
      <c r="FWH212" s="380"/>
      <c r="FWI212" s="380"/>
      <c r="FWJ212" s="2"/>
      <c r="FWK212" s="442"/>
      <c r="FWL212" s="442"/>
      <c r="FWM212" s="443"/>
      <c r="FWN212" s="442"/>
      <c r="FWO212" s="442"/>
      <c r="FWP212" s="2"/>
      <c r="FWQ212" s="2"/>
      <c r="FWR212" s="2"/>
      <c r="FWS212" s="2"/>
      <c r="FWT212" s="260"/>
      <c r="FWU212" s="260"/>
      <c r="FWV212" s="260"/>
      <c r="FWW212" s="260"/>
      <c r="FWX212" s="260"/>
      <c r="FWY212" s="260"/>
      <c r="FWZ212" s="308"/>
      <c r="FXA212" s="290"/>
      <c r="FXB212" s="290"/>
      <c r="FXC212" s="260"/>
      <c r="FXD212" s="260"/>
      <c r="FXE212" s="260"/>
      <c r="FXF212" s="260"/>
      <c r="FXG212" s="260"/>
      <c r="FXH212" s="2"/>
      <c r="FXI212" s="2"/>
      <c r="FXJ212" s="2"/>
      <c r="FXK212" s="2"/>
      <c r="FXL212" s="2"/>
      <c r="FXM212" s="2"/>
      <c r="FXN212" s="260"/>
      <c r="FXO212" s="2"/>
      <c r="FXP212" s="2"/>
      <c r="FXQ212" s="2"/>
      <c r="FXR212" s="2"/>
      <c r="FXS212" s="2"/>
      <c r="FXT212" s="2"/>
      <c r="FXU212" s="2"/>
      <c r="FXV212" s="260"/>
      <c r="FXW212" s="260"/>
      <c r="FXX212" s="260"/>
      <c r="FXY212" s="380"/>
      <c r="FXZ212" s="380"/>
      <c r="FYA212" s="380"/>
      <c r="FYB212" s="2"/>
      <c r="FYC212" s="442"/>
      <c r="FYD212" s="442"/>
      <c r="FYE212" s="443"/>
      <c r="FYF212" s="442"/>
      <c r="FYG212" s="442"/>
      <c r="FYH212" s="2"/>
      <c r="FYI212" s="2"/>
      <c r="FYJ212" s="2"/>
      <c r="FYK212" s="2"/>
      <c r="FYL212" s="260"/>
      <c r="FYM212" s="260"/>
      <c r="FYN212" s="260"/>
      <c r="FYO212" s="260"/>
      <c r="FYP212" s="260"/>
      <c r="FYQ212" s="260"/>
      <c r="FYR212" s="308"/>
      <c r="FYS212" s="290"/>
      <c r="FYT212" s="290"/>
      <c r="FYU212" s="260"/>
      <c r="FYV212" s="260"/>
      <c r="FYW212" s="260"/>
      <c r="FYX212" s="260"/>
      <c r="FYY212" s="260"/>
      <c r="FYZ212" s="2"/>
      <c r="FZA212" s="2"/>
      <c r="FZB212" s="2"/>
      <c r="FZC212" s="2"/>
      <c r="FZD212" s="2"/>
      <c r="FZE212" s="2"/>
      <c r="FZF212" s="260"/>
      <c r="FZG212" s="2"/>
      <c r="FZH212" s="2"/>
      <c r="FZI212" s="2"/>
      <c r="FZJ212" s="2"/>
      <c r="FZK212" s="2"/>
      <c r="FZL212" s="2"/>
      <c r="FZM212" s="2"/>
      <c r="FZN212" s="260"/>
      <c r="FZO212" s="260"/>
      <c r="FZP212" s="260"/>
      <c r="FZQ212" s="380"/>
      <c r="FZR212" s="380"/>
      <c r="FZS212" s="380"/>
      <c r="FZT212" s="2"/>
      <c r="FZU212" s="442"/>
      <c r="FZV212" s="442"/>
      <c r="FZW212" s="443"/>
      <c r="FZX212" s="442"/>
      <c r="FZY212" s="442"/>
      <c r="FZZ212" s="2"/>
      <c r="GAA212" s="2"/>
      <c r="GAB212" s="2"/>
      <c r="GAC212" s="2"/>
      <c r="GAD212" s="260"/>
      <c r="GAE212" s="260"/>
      <c r="GAF212" s="260"/>
      <c r="GAG212" s="260"/>
      <c r="GAH212" s="260"/>
      <c r="GAI212" s="260"/>
      <c r="GAJ212" s="308"/>
      <c r="GAK212" s="290"/>
      <c r="GAL212" s="290"/>
      <c r="GAM212" s="260"/>
      <c r="GAN212" s="260"/>
      <c r="GAO212" s="260"/>
      <c r="GAP212" s="260"/>
      <c r="GAQ212" s="260"/>
      <c r="GAR212" s="2"/>
      <c r="GAS212" s="2"/>
      <c r="GAT212" s="2"/>
      <c r="GAU212" s="2"/>
      <c r="GAV212" s="2"/>
      <c r="GAW212" s="2"/>
      <c r="GAX212" s="260"/>
      <c r="GAY212" s="2"/>
      <c r="GAZ212" s="2"/>
      <c r="GBA212" s="2"/>
      <c r="GBB212" s="2"/>
      <c r="GBC212" s="2"/>
      <c r="GBD212" s="2"/>
      <c r="GBE212" s="2"/>
      <c r="GBF212" s="260"/>
      <c r="GBG212" s="260"/>
      <c r="GBH212" s="260"/>
      <c r="GBI212" s="380"/>
      <c r="GBJ212" s="380"/>
      <c r="GBK212" s="380"/>
      <c r="GBL212" s="2"/>
      <c r="GBM212" s="442"/>
      <c r="GBN212" s="442"/>
      <c r="GBO212" s="443"/>
      <c r="GBP212" s="442"/>
      <c r="GBQ212" s="442"/>
      <c r="GBR212" s="2"/>
      <c r="GBS212" s="2"/>
      <c r="GBT212" s="2"/>
      <c r="GBU212" s="2"/>
      <c r="GBV212" s="260"/>
      <c r="GBW212" s="260"/>
      <c r="GBX212" s="260"/>
      <c r="GBY212" s="260"/>
      <c r="GBZ212" s="260"/>
      <c r="GCA212" s="260"/>
      <c r="GCB212" s="308"/>
      <c r="GCC212" s="290"/>
      <c r="GCD212" s="290"/>
      <c r="GCE212" s="260"/>
      <c r="GCF212" s="260"/>
      <c r="GCG212" s="260"/>
      <c r="GCH212" s="260"/>
      <c r="GCI212" s="260"/>
      <c r="GCJ212" s="2"/>
      <c r="GCK212" s="2"/>
      <c r="GCL212" s="2"/>
      <c r="GCM212" s="2"/>
      <c r="GCN212" s="2"/>
      <c r="GCO212" s="2"/>
      <c r="GCP212" s="260"/>
      <c r="GCQ212" s="2"/>
      <c r="GCR212" s="2"/>
      <c r="GCS212" s="2"/>
      <c r="GCT212" s="2"/>
      <c r="GCU212" s="2"/>
      <c r="GCV212" s="2"/>
      <c r="GCW212" s="2"/>
      <c r="GCX212" s="260"/>
      <c r="GCY212" s="260"/>
      <c r="GCZ212" s="260"/>
      <c r="GDA212" s="380"/>
      <c r="GDB212" s="380"/>
      <c r="GDC212" s="380"/>
      <c r="GDD212" s="2"/>
      <c r="GDE212" s="442"/>
      <c r="GDF212" s="442"/>
      <c r="GDG212" s="443"/>
      <c r="GDH212" s="442"/>
      <c r="GDI212" s="442"/>
      <c r="GDJ212" s="2"/>
      <c r="GDK212" s="2"/>
      <c r="GDL212" s="2"/>
      <c r="GDM212" s="2"/>
      <c r="GDN212" s="260"/>
      <c r="GDO212" s="260"/>
      <c r="GDP212" s="260"/>
      <c r="GDQ212" s="260"/>
      <c r="GDR212" s="260"/>
      <c r="GDS212" s="260"/>
      <c r="GDT212" s="308"/>
      <c r="GDU212" s="290"/>
      <c r="GDV212" s="290"/>
      <c r="GDW212" s="260"/>
      <c r="GDX212" s="260"/>
      <c r="GDY212" s="260"/>
      <c r="GDZ212" s="260"/>
      <c r="GEA212" s="260"/>
      <c r="GEB212" s="2"/>
      <c r="GEC212" s="2"/>
      <c r="GED212" s="2"/>
      <c r="GEE212" s="2"/>
      <c r="GEF212" s="2"/>
      <c r="GEG212" s="2"/>
      <c r="GEH212" s="260"/>
      <c r="GEI212" s="2"/>
      <c r="GEJ212" s="2"/>
      <c r="GEK212" s="2"/>
      <c r="GEL212" s="2"/>
      <c r="GEM212" s="2"/>
      <c r="GEN212" s="2"/>
      <c r="GEO212" s="2"/>
      <c r="GEP212" s="260"/>
      <c r="GEQ212" s="260"/>
      <c r="GER212" s="260"/>
      <c r="GES212" s="380"/>
      <c r="GET212" s="380"/>
      <c r="GEU212" s="380"/>
      <c r="GEV212" s="2"/>
      <c r="GEW212" s="442"/>
      <c r="GEX212" s="442"/>
      <c r="GEY212" s="443"/>
      <c r="GEZ212" s="442"/>
      <c r="GFA212" s="442"/>
      <c r="GFB212" s="2"/>
      <c r="GFC212" s="2"/>
      <c r="GFD212" s="2"/>
      <c r="GFE212" s="2"/>
      <c r="GFF212" s="260"/>
      <c r="GFG212" s="260"/>
      <c r="GFH212" s="260"/>
      <c r="GFI212" s="260"/>
      <c r="GFJ212" s="260"/>
      <c r="GFK212" s="260"/>
      <c r="GFL212" s="308"/>
      <c r="GFM212" s="290"/>
      <c r="GFN212" s="290"/>
      <c r="GFO212" s="260"/>
      <c r="GFP212" s="260"/>
      <c r="GFQ212" s="260"/>
      <c r="GFR212" s="260"/>
      <c r="GFS212" s="260"/>
      <c r="GFT212" s="2"/>
      <c r="GFU212" s="2"/>
      <c r="GFV212" s="2"/>
      <c r="GFW212" s="2"/>
      <c r="GFX212" s="2"/>
      <c r="GFY212" s="2"/>
      <c r="GFZ212" s="260"/>
      <c r="GGA212" s="2"/>
      <c r="GGB212" s="2"/>
      <c r="GGC212" s="2"/>
      <c r="GGD212" s="2"/>
      <c r="GGE212" s="2"/>
      <c r="GGF212" s="2"/>
      <c r="GGG212" s="2"/>
      <c r="GGH212" s="260"/>
      <c r="GGI212" s="260"/>
      <c r="GGJ212" s="260"/>
      <c r="GGK212" s="380"/>
      <c r="GGL212" s="380"/>
      <c r="GGM212" s="380"/>
      <c r="GGN212" s="2"/>
      <c r="GGO212" s="442"/>
      <c r="GGP212" s="442"/>
      <c r="GGQ212" s="443"/>
      <c r="GGR212" s="442"/>
      <c r="GGS212" s="442"/>
      <c r="GGT212" s="2"/>
      <c r="GGU212" s="2"/>
      <c r="GGV212" s="2"/>
      <c r="GGW212" s="2"/>
      <c r="GGX212" s="260"/>
      <c r="GGY212" s="260"/>
      <c r="GGZ212" s="260"/>
      <c r="GHA212" s="260"/>
      <c r="GHB212" s="260"/>
      <c r="GHC212" s="260"/>
      <c r="GHD212" s="308"/>
      <c r="GHE212" s="290"/>
      <c r="GHF212" s="290"/>
      <c r="GHG212" s="260"/>
      <c r="GHH212" s="260"/>
      <c r="GHI212" s="260"/>
      <c r="GHJ212" s="260"/>
      <c r="GHK212" s="260"/>
      <c r="GHL212" s="2"/>
      <c r="GHM212" s="2"/>
      <c r="GHN212" s="2"/>
      <c r="GHO212" s="2"/>
      <c r="GHP212" s="2"/>
      <c r="GHQ212" s="2"/>
      <c r="GHR212" s="260"/>
      <c r="GHS212" s="2"/>
      <c r="GHT212" s="2"/>
      <c r="GHU212" s="2"/>
      <c r="GHV212" s="2"/>
      <c r="GHW212" s="2"/>
      <c r="GHX212" s="2"/>
      <c r="GHY212" s="2"/>
      <c r="GHZ212" s="260"/>
      <c r="GIA212" s="260"/>
      <c r="GIB212" s="260"/>
      <c r="GIC212" s="380"/>
      <c r="GID212" s="380"/>
      <c r="GIE212" s="380"/>
      <c r="GIF212" s="2"/>
      <c r="GIG212" s="442"/>
      <c r="GIH212" s="442"/>
      <c r="GII212" s="443"/>
      <c r="GIJ212" s="442"/>
      <c r="GIK212" s="442"/>
      <c r="GIL212" s="2"/>
      <c r="GIM212" s="2"/>
      <c r="GIN212" s="2"/>
      <c r="GIO212" s="2"/>
      <c r="GIP212" s="260"/>
      <c r="GIQ212" s="260"/>
      <c r="GIR212" s="260"/>
      <c r="GIS212" s="260"/>
      <c r="GIT212" s="260"/>
      <c r="GIU212" s="260"/>
      <c r="GIV212" s="308"/>
      <c r="GIW212" s="290"/>
      <c r="GIX212" s="290"/>
      <c r="GIY212" s="260"/>
      <c r="GIZ212" s="260"/>
      <c r="GJA212" s="260"/>
      <c r="GJB212" s="260"/>
      <c r="GJC212" s="260"/>
      <c r="GJD212" s="2"/>
      <c r="GJE212" s="2"/>
      <c r="GJF212" s="2"/>
      <c r="GJG212" s="2"/>
      <c r="GJH212" s="2"/>
      <c r="GJI212" s="2"/>
      <c r="GJJ212" s="260"/>
      <c r="GJK212" s="2"/>
      <c r="GJL212" s="2"/>
      <c r="GJM212" s="2"/>
      <c r="GJN212" s="2"/>
      <c r="GJO212" s="2"/>
      <c r="GJP212" s="2"/>
      <c r="GJQ212" s="2"/>
      <c r="GJR212" s="260"/>
      <c r="GJS212" s="260"/>
      <c r="GJT212" s="260"/>
      <c r="GJU212" s="380"/>
      <c r="GJV212" s="380"/>
      <c r="GJW212" s="380"/>
      <c r="GJX212" s="2"/>
      <c r="GJY212" s="442"/>
      <c r="GJZ212" s="442"/>
      <c r="GKA212" s="443"/>
      <c r="GKB212" s="442"/>
      <c r="GKC212" s="442"/>
      <c r="GKD212" s="2"/>
      <c r="GKE212" s="2"/>
      <c r="GKF212" s="2"/>
      <c r="GKG212" s="2"/>
      <c r="GKH212" s="260"/>
      <c r="GKI212" s="260"/>
      <c r="GKJ212" s="260"/>
      <c r="GKK212" s="260"/>
      <c r="GKL212" s="260"/>
      <c r="GKM212" s="260"/>
      <c r="GKN212" s="308"/>
      <c r="GKO212" s="290"/>
      <c r="GKP212" s="290"/>
      <c r="GKQ212" s="260"/>
      <c r="GKR212" s="260"/>
      <c r="GKS212" s="260"/>
      <c r="GKT212" s="260"/>
      <c r="GKU212" s="260"/>
      <c r="GKV212" s="2"/>
      <c r="GKW212" s="2"/>
      <c r="GKX212" s="2"/>
      <c r="GKY212" s="2"/>
      <c r="GKZ212" s="2"/>
      <c r="GLA212" s="2"/>
      <c r="GLB212" s="260"/>
      <c r="GLC212" s="2"/>
      <c r="GLD212" s="2"/>
      <c r="GLE212" s="2"/>
      <c r="GLF212" s="2"/>
      <c r="GLG212" s="2"/>
      <c r="GLH212" s="2"/>
      <c r="GLI212" s="2"/>
      <c r="GLJ212" s="260"/>
      <c r="GLK212" s="260"/>
      <c r="GLL212" s="260"/>
      <c r="GLM212" s="380"/>
      <c r="GLN212" s="380"/>
      <c r="GLO212" s="380"/>
      <c r="GLP212" s="2"/>
      <c r="GLQ212" s="442"/>
      <c r="GLR212" s="442"/>
      <c r="GLS212" s="443"/>
      <c r="GLT212" s="442"/>
      <c r="GLU212" s="442"/>
      <c r="GLV212" s="2"/>
      <c r="GLW212" s="2"/>
      <c r="GLX212" s="2"/>
      <c r="GLY212" s="2"/>
      <c r="GLZ212" s="260"/>
      <c r="GMA212" s="260"/>
      <c r="GMB212" s="260"/>
      <c r="GMC212" s="260"/>
      <c r="GMD212" s="260"/>
      <c r="GME212" s="260"/>
      <c r="GMF212" s="308"/>
      <c r="GMG212" s="290"/>
      <c r="GMH212" s="290"/>
      <c r="GMI212" s="260"/>
      <c r="GMJ212" s="260"/>
      <c r="GMK212" s="260"/>
      <c r="GML212" s="260"/>
      <c r="GMM212" s="260"/>
      <c r="GMN212" s="2"/>
      <c r="GMO212" s="2"/>
      <c r="GMP212" s="2"/>
      <c r="GMQ212" s="2"/>
      <c r="GMR212" s="2"/>
      <c r="GMS212" s="2"/>
      <c r="GMT212" s="260"/>
      <c r="GMU212" s="2"/>
      <c r="GMV212" s="2"/>
      <c r="GMW212" s="2"/>
      <c r="GMX212" s="2"/>
      <c r="GMY212" s="2"/>
      <c r="GMZ212" s="2"/>
      <c r="GNA212" s="2"/>
      <c r="GNB212" s="260"/>
      <c r="GNC212" s="260"/>
      <c r="GND212" s="260"/>
      <c r="GNE212" s="380"/>
      <c r="GNF212" s="380"/>
      <c r="GNG212" s="380"/>
      <c r="GNH212" s="2"/>
      <c r="GNI212" s="442"/>
      <c r="GNJ212" s="442"/>
      <c r="GNK212" s="443"/>
      <c r="GNL212" s="442"/>
      <c r="GNM212" s="442"/>
      <c r="GNN212" s="2"/>
      <c r="GNO212" s="2"/>
      <c r="GNP212" s="2"/>
      <c r="GNQ212" s="2"/>
      <c r="GNR212" s="260"/>
      <c r="GNS212" s="260"/>
      <c r="GNT212" s="260"/>
      <c r="GNU212" s="260"/>
      <c r="GNV212" s="260"/>
      <c r="GNW212" s="260"/>
      <c r="GNX212" s="308"/>
      <c r="GNY212" s="290"/>
      <c r="GNZ212" s="290"/>
      <c r="GOA212" s="260"/>
      <c r="GOB212" s="260"/>
      <c r="GOC212" s="260"/>
      <c r="GOD212" s="260"/>
      <c r="GOE212" s="260"/>
      <c r="GOF212" s="2"/>
      <c r="GOG212" s="2"/>
      <c r="GOH212" s="2"/>
      <c r="GOI212" s="2"/>
      <c r="GOJ212" s="2"/>
      <c r="GOK212" s="2"/>
      <c r="GOL212" s="260"/>
      <c r="GOM212" s="2"/>
      <c r="GON212" s="2"/>
      <c r="GOO212" s="2"/>
      <c r="GOP212" s="2"/>
      <c r="GOQ212" s="2"/>
      <c r="GOR212" s="2"/>
      <c r="GOS212" s="2"/>
      <c r="GOT212" s="260"/>
      <c r="GOU212" s="260"/>
      <c r="GOV212" s="260"/>
      <c r="GOW212" s="380"/>
      <c r="GOX212" s="380"/>
      <c r="GOY212" s="380"/>
      <c r="GOZ212" s="2"/>
      <c r="GPA212" s="442"/>
      <c r="GPB212" s="442"/>
      <c r="GPC212" s="443"/>
      <c r="GPD212" s="442"/>
      <c r="GPE212" s="442"/>
      <c r="GPF212" s="2"/>
      <c r="GPG212" s="2"/>
      <c r="GPH212" s="2"/>
      <c r="GPI212" s="2"/>
      <c r="GPJ212" s="260"/>
      <c r="GPK212" s="260"/>
      <c r="GPL212" s="260"/>
      <c r="GPM212" s="260"/>
      <c r="GPN212" s="260"/>
      <c r="GPO212" s="260"/>
      <c r="GPP212" s="308"/>
      <c r="GPQ212" s="290"/>
      <c r="GPR212" s="290"/>
      <c r="GPS212" s="260"/>
      <c r="GPT212" s="260"/>
      <c r="GPU212" s="260"/>
      <c r="GPV212" s="260"/>
      <c r="GPW212" s="260"/>
      <c r="GPX212" s="2"/>
      <c r="GPY212" s="2"/>
      <c r="GPZ212" s="2"/>
      <c r="GQA212" s="2"/>
      <c r="GQB212" s="2"/>
      <c r="GQC212" s="2"/>
      <c r="GQD212" s="260"/>
      <c r="GQE212" s="2"/>
      <c r="GQF212" s="2"/>
      <c r="GQG212" s="2"/>
      <c r="GQH212" s="2"/>
      <c r="GQI212" s="2"/>
      <c r="GQJ212" s="2"/>
      <c r="GQK212" s="2"/>
      <c r="GQL212" s="260"/>
      <c r="GQM212" s="260"/>
      <c r="GQN212" s="260"/>
      <c r="GQO212" s="380"/>
      <c r="GQP212" s="380"/>
      <c r="GQQ212" s="380"/>
      <c r="GQR212" s="2"/>
      <c r="GQS212" s="442"/>
      <c r="GQT212" s="442"/>
      <c r="GQU212" s="443"/>
      <c r="GQV212" s="442"/>
      <c r="GQW212" s="442"/>
      <c r="GQX212" s="2"/>
      <c r="GQY212" s="2"/>
      <c r="GQZ212" s="2"/>
      <c r="GRA212" s="2"/>
      <c r="GRB212" s="260"/>
      <c r="GRC212" s="260"/>
      <c r="GRD212" s="260"/>
      <c r="GRE212" s="260"/>
      <c r="GRF212" s="260"/>
      <c r="GRG212" s="260"/>
      <c r="GRH212" s="308"/>
      <c r="GRI212" s="290"/>
      <c r="GRJ212" s="290"/>
      <c r="GRK212" s="260"/>
      <c r="GRL212" s="260"/>
      <c r="GRM212" s="260"/>
      <c r="GRN212" s="260"/>
      <c r="GRO212" s="260"/>
      <c r="GRP212" s="2"/>
      <c r="GRQ212" s="2"/>
      <c r="GRR212" s="2"/>
      <c r="GRS212" s="2"/>
      <c r="GRT212" s="2"/>
      <c r="GRU212" s="2"/>
      <c r="GRV212" s="260"/>
      <c r="GRW212" s="2"/>
      <c r="GRX212" s="2"/>
      <c r="GRY212" s="2"/>
      <c r="GRZ212" s="2"/>
      <c r="GSA212" s="2"/>
      <c r="GSB212" s="2"/>
      <c r="GSC212" s="2"/>
      <c r="GSD212" s="260"/>
      <c r="GSE212" s="260"/>
      <c r="GSF212" s="260"/>
      <c r="GSG212" s="380"/>
      <c r="GSH212" s="380"/>
      <c r="GSI212" s="380"/>
      <c r="GSJ212" s="2"/>
      <c r="GSK212" s="442"/>
      <c r="GSL212" s="442"/>
      <c r="GSM212" s="443"/>
      <c r="GSN212" s="442"/>
      <c r="GSO212" s="442"/>
      <c r="GSP212" s="2"/>
      <c r="GSQ212" s="2"/>
      <c r="GSR212" s="2"/>
      <c r="GSS212" s="2"/>
      <c r="GST212" s="260"/>
      <c r="GSU212" s="260"/>
      <c r="GSV212" s="260"/>
      <c r="GSW212" s="260"/>
      <c r="GSX212" s="260"/>
      <c r="GSY212" s="260"/>
      <c r="GSZ212" s="308"/>
      <c r="GTA212" s="290"/>
      <c r="GTB212" s="290"/>
      <c r="GTC212" s="260"/>
      <c r="GTD212" s="260"/>
      <c r="GTE212" s="260"/>
      <c r="GTF212" s="260"/>
      <c r="GTG212" s="260"/>
      <c r="GTH212" s="2"/>
      <c r="GTI212" s="2"/>
      <c r="GTJ212" s="2"/>
      <c r="GTK212" s="2"/>
      <c r="GTL212" s="2"/>
      <c r="GTM212" s="2"/>
      <c r="GTN212" s="260"/>
      <c r="GTO212" s="2"/>
      <c r="GTP212" s="2"/>
      <c r="GTQ212" s="2"/>
      <c r="GTR212" s="2"/>
      <c r="GTS212" s="2"/>
      <c r="GTT212" s="2"/>
      <c r="GTU212" s="2"/>
      <c r="GTV212" s="260"/>
      <c r="GTW212" s="260"/>
      <c r="GTX212" s="260"/>
      <c r="GTY212" s="380"/>
      <c r="GTZ212" s="380"/>
      <c r="GUA212" s="380"/>
      <c r="GUB212" s="2"/>
      <c r="GUC212" s="442"/>
      <c r="GUD212" s="442"/>
      <c r="GUE212" s="443"/>
      <c r="GUF212" s="442"/>
      <c r="GUG212" s="442"/>
      <c r="GUH212" s="2"/>
      <c r="GUI212" s="2"/>
      <c r="GUJ212" s="2"/>
      <c r="GUK212" s="2"/>
      <c r="GUL212" s="260"/>
      <c r="GUM212" s="260"/>
      <c r="GUN212" s="260"/>
      <c r="GUO212" s="260"/>
      <c r="GUP212" s="260"/>
      <c r="GUQ212" s="260"/>
      <c r="GUR212" s="308"/>
      <c r="GUS212" s="290"/>
      <c r="GUT212" s="290"/>
      <c r="GUU212" s="260"/>
      <c r="GUV212" s="260"/>
      <c r="GUW212" s="260"/>
      <c r="GUX212" s="260"/>
      <c r="GUY212" s="260"/>
      <c r="GUZ212" s="2"/>
      <c r="GVA212" s="2"/>
      <c r="GVB212" s="2"/>
      <c r="GVC212" s="2"/>
      <c r="GVD212" s="2"/>
      <c r="GVE212" s="2"/>
      <c r="GVF212" s="260"/>
      <c r="GVG212" s="2"/>
      <c r="GVH212" s="2"/>
      <c r="GVI212" s="2"/>
      <c r="GVJ212" s="2"/>
      <c r="GVK212" s="2"/>
      <c r="GVL212" s="2"/>
      <c r="GVM212" s="2"/>
      <c r="GVN212" s="260"/>
      <c r="GVO212" s="260"/>
      <c r="GVP212" s="260"/>
      <c r="GVQ212" s="380"/>
      <c r="GVR212" s="380"/>
      <c r="GVS212" s="380"/>
      <c r="GVT212" s="2"/>
      <c r="GVU212" s="442"/>
      <c r="GVV212" s="442"/>
      <c r="GVW212" s="443"/>
      <c r="GVX212" s="442"/>
      <c r="GVY212" s="442"/>
      <c r="GVZ212" s="2"/>
      <c r="GWA212" s="2"/>
      <c r="GWB212" s="2"/>
      <c r="GWC212" s="2"/>
      <c r="GWD212" s="260"/>
      <c r="GWE212" s="260"/>
      <c r="GWF212" s="260"/>
      <c r="GWG212" s="260"/>
      <c r="GWH212" s="260"/>
      <c r="GWI212" s="260"/>
      <c r="GWJ212" s="308"/>
      <c r="GWK212" s="290"/>
      <c r="GWL212" s="290"/>
      <c r="GWM212" s="260"/>
      <c r="GWN212" s="260"/>
      <c r="GWO212" s="260"/>
      <c r="GWP212" s="260"/>
      <c r="GWQ212" s="260"/>
      <c r="GWR212" s="2"/>
      <c r="GWS212" s="2"/>
      <c r="GWT212" s="2"/>
      <c r="GWU212" s="2"/>
      <c r="GWV212" s="2"/>
      <c r="GWW212" s="2"/>
      <c r="GWX212" s="260"/>
      <c r="GWY212" s="2"/>
      <c r="GWZ212" s="2"/>
      <c r="GXA212" s="2"/>
      <c r="GXB212" s="2"/>
      <c r="GXC212" s="2"/>
      <c r="GXD212" s="2"/>
      <c r="GXE212" s="2"/>
      <c r="GXF212" s="260"/>
      <c r="GXG212" s="260"/>
      <c r="GXH212" s="260"/>
      <c r="GXI212" s="380"/>
      <c r="GXJ212" s="380"/>
      <c r="GXK212" s="380"/>
      <c r="GXL212" s="2"/>
      <c r="GXM212" s="442"/>
      <c r="GXN212" s="442"/>
      <c r="GXO212" s="443"/>
      <c r="GXP212" s="442"/>
      <c r="GXQ212" s="442"/>
      <c r="GXR212" s="2"/>
      <c r="GXS212" s="2"/>
      <c r="GXT212" s="2"/>
      <c r="GXU212" s="2"/>
      <c r="GXV212" s="260"/>
      <c r="GXW212" s="260"/>
      <c r="GXX212" s="260"/>
      <c r="GXY212" s="260"/>
      <c r="GXZ212" s="260"/>
      <c r="GYA212" s="260"/>
      <c r="GYB212" s="308"/>
      <c r="GYC212" s="290"/>
      <c r="GYD212" s="290"/>
      <c r="GYE212" s="260"/>
      <c r="GYF212" s="260"/>
      <c r="GYG212" s="260"/>
      <c r="GYH212" s="260"/>
      <c r="GYI212" s="260"/>
      <c r="GYJ212" s="2"/>
      <c r="GYK212" s="2"/>
      <c r="GYL212" s="2"/>
      <c r="GYM212" s="2"/>
      <c r="GYN212" s="2"/>
      <c r="GYO212" s="2"/>
      <c r="GYP212" s="260"/>
      <c r="GYQ212" s="2"/>
      <c r="GYR212" s="2"/>
      <c r="GYS212" s="2"/>
      <c r="GYT212" s="2"/>
      <c r="GYU212" s="2"/>
      <c r="GYV212" s="2"/>
      <c r="GYW212" s="2"/>
      <c r="GYX212" s="260"/>
      <c r="GYY212" s="260"/>
      <c r="GYZ212" s="260"/>
      <c r="GZA212" s="380"/>
      <c r="GZB212" s="380"/>
      <c r="GZC212" s="380"/>
      <c r="GZD212" s="2"/>
      <c r="GZE212" s="442"/>
      <c r="GZF212" s="442"/>
      <c r="GZG212" s="443"/>
      <c r="GZH212" s="442"/>
      <c r="GZI212" s="442"/>
      <c r="GZJ212" s="2"/>
      <c r="GZK212" s="2"/>
      <c r="GZL212" s="2"/>
      <c r="GZM212" s="2"/>
      <c r="GZN212" s="260"/>
      <c r="GZO212" s="260"/>
      <c r="GZP212" s="260"/>
      <c r="GZQ212" s="260"/>
      <c r="GZR212" s="260"/>
      <c r="GZS212" s="260"/>
      <c r="GZT212" s="308"/>
      <c r="GZU212" s="290"/>
      <c r="GZV212" s="290"/>
      <c r="GZW212" s="260"/>
      <c r="GZX212" s="260"/>
      <c r="GZY212" s="260"/>
      <c r="GZZ212" s="260"/>
      <c r="HAA212" s="260"/>
      <c r="HAB212" s="2"/>
      <c r="HAC212" s="2"/>
      <c r="HAD212" s="2"/>
      <c r="HAE212" s="2"/>
      <c r="HAF212" s="2"/>
      <c r="HAG212" s="2"/>
      <c r="HAH212" s="260"/>
      <c r="HAI212" s="2"/>
      <c r="HAJ212" s="2"/>
      <c r="HAK212" s="2"/>
      <c r="HAL212" s="2"/>
      <c r="HAM212" s="2"/>
      <c r="HAN212" s="2"/>
      <c r="HAO212" s="2"/>
      <c r="HAP212" s="260"/>
      <c r="HAQ212" s="260"/>
      <c r="HAR212" s="260"/>
      <c r="HAS212" s="380"/>
      <c r="HAT212" s="380"/>
      <c r="HAU212" s="380"/>
      <c r="HAV212" s="2"/>
      <c r="HAW212" s="442"/>
      <c r="HAX212" s="442"/>
      <c r="HAY212" s="443"/>
      <c r="HAZ212" s="442"/>
      <c r="HBA212" s="442"/>
      <c r="HBB212" s="2"/>
      <c r="HBC212" s="2"/>
      <c r="HBD212" s="2"/>
      <c r="HBE212" s="2"/>
      <c r="HBF212" s="260"/>
      <c r="HBG212" s="260"/>
      <c r="HBH212" s="260"/>
      <c r="HBI212" s="260"/>
      <c r="HBJ212" s="260"/>
      <c r="HBK212" s="260"/>
      <c r="HBL212" s="308"/>
      <c r="HBM212" s="290"/>
      <c r="HBN212" s="290"/>
      <c r="HBO212" s="260"/>
      <c r="HBP212" s="260"/>
      <c r="HBQ212" s="260"/>
      <c r="HBR212" s="260"/>
      <c r="HBS212" s="260"/>
      <c r="HBT212" s="2"/>
      <c r="HBU212" s="2"/>
      <c r="HBV212" s="2"/>
      <c r="HBW212" s="2"/>
      <c r="HBX212" s="2"/>
      <c r="HBY212" s="2"/>
      <c r="HBZ212" s="260"/>
      <c r="HCA212" s="2"/>
      <c r="HCB212" s="2"/>
      <c r="HCC212" s="2"/>
      <c r="HCD212" s="2"/>
      <c r="HCE212" s="2"/>
      <c r="HCF212" s="2"/>
      <c r="HCG212" s="2"/>
      <c r="HCH212" s="260"/>
      <c r="HCI212" s="260"/>
      <c r="HCJ212" s="260"/>
      <c r="HCK212" s="380"/>
      <c r="HCL212" s="380"/>
      <c r="HCM212" s="380"/>
      <c r="HCN212" s="2"/>
      <c r="HCO212" s="442"/>
      <c r="HCP212" s="442"/>
      <c r="HCQ212" s="443"/>
      <c r="HCR212" s="442"/>
      <c r="HCS212" s="442"/>
      <c r="HCT212" s="2"/>
      <c r="HCU212" s="2"/>
      <c r="HCV212" s="2"/>
      <c r="HCW212" s="2"/>
      <c r="HCX212" s="260"/>
      <c r="HCY212" s="260"/>
      <c r="HCZ212" s="260"/>
      <c r="HDA212" s="260"/>
      <c r="HDB212" s="260"/>
      <c r="HDC212" s="260"/>
      <c r="HDD212" s="308"/>
      <c r="HDE212" s="290"/>
      <c r="HDF212" s="290"/>
      <c r="HDG212" s="260"/>
      <c r="HDH212" s="260"/>
      <c r="HDI212" s="260"/>
      <c r="HDJ212" s="260"/>
      <c r="HDK212" s="260"/>
      <c r="HDL212" s="2"/>
      <c r="HDM212" s="2"/>
      <c r="HDN212" s="2"/>
      <c r="HDO212" s="2"/>
      <c r="HDP212" s="2"/>
      <c r="HDQ212" s="2"/>
      <c r="HDR212" s="260"/>
      <c r="HDS212" s="2"/>
      <c r="HDT212" s="2"/>
      <c r="HDU212" s="2"/>
      <c r="HDV212" s="2"/>
      <c r="HDW212" s="2"/>
      <c r="HDX212" s="2"/>
      <c r="HDY212" s="2"/>
      <c r="HDZ212" s="260"/>
      <c r="HEA212" s="260"/>
      <c r="HEB212" s="260"/>
      <c r="HEC212" s="380"/>
      <c r="HED212" s="380"/>
      <c r="HEE212" s="380"/>
      <c r="HEF212" s="2"/>
      <c r="HEG212" s="442"/>
      <c r="HEH212" s="442"/>
      <c r="HEI212" s="443"/>
      <c r="HEJ212" s="442"/>
      <c r="HEK212" s="442"/>
      <c r="HEL212" s="2"/>
      <c r="HEM212" s="2"/>
      <c r="HEN212" s="2"/>
      <c r="HEO212" s="2"/>
      <c r="HEP212" s="260"/>
      <c r="HEQ212" s="260"/>
      <c r="HER212" s="260"/>
      <c r="HES212" s="260"/>
      <c r="HET212" s="260"/>
      <c r="HEU212" s="260"/>
      <c r="HEV212" s="308"/>
      <c r="HEW212" s="290"/>
      <c r="HEX212" s="290"/>
      <c r="HEY212" s="260"/>
      <c r="HEZ212" s="260"/>
      <c r="HFA212" s="260"/>
      <c r="HFB212" s="260"/>
      <c r="HFC212" s="260"/>
      <c r="HFD212" s="2"/>
      <c r="HFE212" s="2"/>
      <c r="HFF212" s="2"/>
      <c r="HFG212" s="2"/>
      <c r="HFH212" s="2"/>
      <c r="HFI212" s="2"/>
      <c r="HFJ212" s="260"/>
      <c r="HFK212" s="2"/>
      <c r="HFL212" s="2"/>
      <c r="HFM212" s="2"/>
      <c r="HFN212" s="2"/>
      <c r="HFO212" s="2"/>
      <c r="HFP212" s="2"/>
      <c r="HFQ212" s="2"/>
      <c r="HFR212" s="260"/>
      <c r="HFS212" s="260"/>
      <c r="HFT212" s="260"/>
      <c r="HFU212" s="380"/>
      <c r="HFV212" s="380"/>
      <c r="HFW212" s="380"/>
      <c r="HFX212" s="2"/>
      <c r="HFY212" s="442"/>
      <c r="HFZ212" s="442"/>
      <c r="HGA212" s="443"/>
      <c r="HGB212" s="442"/>
      <c r="HGC212" s="442"/>
      <c r="HGD212" s="2"/>
      <c r="HGE212" s="2"/>
      <c r="HGF212" s="2"/>
      <c r="HGG212" s="2"/>
      <c r="HGH212" s="260"/>
      <c r="HGI212" s="260"/>
      <c r="HGJ212" s="260"/>
      <c r="HGK212" s="260"/>
      <c r="HGL212" s="260"/>
      <c r="HGM212" s="260"/>
      <c r="HGN212" s="308"/>
      <c r="HGO212" s="290"/>
      <c r="HGP212" s="290"/>
      <c r="HGQ212" s="260"/>
      <c r="HGR212" s="260"/>
      <c r="HGS212" s="260"/>
      <c r="HGT212" s="260"/>
      <c r="HGU212" s="260"/>
      <c r="HGV212" s="2"/>
      <c r="HGW212" s="2"/>
      <c r="HGX212" s="2"/>
      <c r="HGY212" s="2"/>
      <c r="HGZ212" s="2"/>
      <c r="HHA212" s="2"/>
      <c r="HHB212" s="260"/>
      <c r="HHC212" s="2"/>
      <c r="HHD212" s="2"/>
      <c r="HHE212" s="2"/>
      <c r="HHF212" s="2"/>
      <c r="HHG212" s="2"/>
      <c r="HHH212" s="2"/>
      <c r="HHI212" s="2"/>
      <c r="HHJ212" s="260"/>
      <c r="HHK212" s="260"/>
      <c r="HHL212" s="260"/>
      <c r="HHM212" s="380"/>
      <c r="HHN212" s="380"/>
      <c r="HHO212" s="380"/>
      <c r="HHP212" s="2"/>
      <c r="HHQ212" s="442"/>
      <c r="HHR212" s="442"/>
      <c r="HHS212" s="443"/>
      <c r="HHT212" s="442"/>
      <c r="HHU212" s="442"/>
      <c r="HHV212" s="2"/>
      <c r="HHW212" s="2"/>
      <c r="HHX212" s="2"/>
      <c r="HHY212" s="2"/>
      <c r="HHZ212" s="260"/>
      <c r="HIA212" s="260"/>
      <c r="HIB212" s="260"/>
      <c r="HIC212" s="260"/>
      <c r="HID212" s="260"/>
      <c r="HIE212" s="260"/>
      <c r="HIF212" s="308"/>
      <c r="HIG212" s="290"/>
      <c r="HIH212" s="290"/>
      <c r="HII212" s="260"/>
      <c r="HIJ212" s="260"/>
      <c r="HIK212" s="260"/>
      <c r="HIL212" s="260"/>
      <c r="HIM212" s="260"/>
      <c r="HIN212" s="2"/>
      <c r="HIO212" s="2"/>
      <c r="HIP212" s="2"/>
      <c r="HIQ212" s="2"/>
      <c r="HIR212" s="2"/>
      <c r="HIS212" s="2"/>
      <c r="HIT212" s="260"/>
      <c r="HIU212" s="2"/>
      <c r="HIV212" s="2"/>
      <c r="HIW212" s="2"/>
      <c r="HIX212" s="2"/>
      <c r="HIY212" s="2"/>
      <c r="HIZ212" s="2"/>
      <c r="HJA212" s="2"/>
      <c r="HJB212" s="260"/>
      <c r="HJC212" s="260"/>
      <c r="HJD212" s="260"/>
      <c r="HJE212" s="380"/>
      <c r="HJF212" s="380"/>
      <c r="HJG212" s="380"/>
      <c r="HJH212" s="2"/>
      <c r="HJI212" s="442"/>
      <c r="HJJ212" s="442"/>
      <c r="HJK212" s="443"/>
      <c r="HJL212" s="442"/>
      <c r="HJM212" s="442"/>
      <c r="HJN212" s="2"/>
      <c r="HJO212" s="2"/>
      <c r="HJP212" s="2"/>
      <c r="HJQ212" s="2"/>
      <c r="HJR212" s="260"/>
      <c r="HJS212" s="260"/>
      <c r="HJT212" s="260"/>
      <c r="HJU212" s="260"/>
      <c r="HJV212" s="260"/>
      <c r="HJW212" s="260"/>
      <c r="HJX212" s="308"/>
      <c r="HJY212" s="290"/>
      <c r="HJZ212" s="290"/>
      <c r="HKA212" s="260"/>
      <c r="HKB212" s="260"/>
      <c r="HKC212" s="260"/>
      <c r="HKD212" s="260"/>
      <c r="HKE212" s="260"/>
      <c r="HKF212" s="2"/>
      <c r="HKG212" s="2"/>
      <c r="HKH212" s="2"/>
      <c r="HKI212" s="2"/>
      <c r="HKJ212" s="2"/>
      <c r="HKK212" s="2"/>
      <c r="HKL212" s="260"/>
      <c r="HKM212" s="2"/>
      <c r="HKN212" s="2"/>
      <c r="HKO212" s="2"/>
      <c r="HKP212" s="2"/>
      <c r="HKQ212" s="2"/>
      <c r="HKR212" s="2"/>
      <c r="HKS212" s="2"/>
      <c r="HKT212" s="260"/>
      <c r="HKU212" s="260"/>
      <c r="HKV212" s="260"/>
      <c r="HKW212" s="380"/>
      <c r="HKX212" s="380"/>
      <c r="HKY212" s="380"/>
      <c r="HKZ212" s="2"/>
      <c r="HLA212" s="442"/>
      <c r="HLB212" s="442"/>
      <c r="HLC212" s="443"/>
      <c r="HLD212" s="442"/>
      <c r="HLE212" s="442"/>
      <c r="HLF212" s="2"/>
      <c r="HLG212" s="2"/>
      <c r="HLH212" s="2"/>
      <c r="HLI212" s="2"/>
      <c r="HLJ212" s="260"/>
      <c r="HLK212" s="260"/>
      <c r="HLL212" s="260"/>
      <c r="HLM212" s="260"/>
      <c r="HLN212" s="260"/>
      <c r="HLO212" s="260"/>
      <c r="HLP212" s="308"/>
      <c r="HLQ212" s="290"/>
      <c r="HLR212" s="290"/>
      <c r="HLS212" s="260"/>
      <c r="HLT212" s="260"/>
      <c r="HLU212" s="260"/>
      <c r="HLV212" s="260"/>
      <c r="HLW212" s="260"/>
      <c r="HLX212" s="2"/>
      <c r="HLY212" s="2"/>
      <c r="HLZ212" s="2"/>
      <c r="HMA212" s="2"/>
      <c r="HMB212" s="2"/>
      <c r="HMC212" s="2"/>
      <c r="HMD212" s="260"/>
      <c r="HME212" s="2"/>
      <c r="HMF212" s="2"/>
      <c r="HMG212" s="2"/>
      <c r="HMH212" s="2"/>
      <c r="HMI212" s="2"/>
      <c r="HMJ212" s="2"/>
      <c r="HMK212" s="2"/>
      <c r="HML212" s="260"/>
      <c r="HMM212" s="260"/>
      <c r="HMN212" s="260"/>
      <c r="HMO212" s="380"/>
      <c r="HMP212" s="380"/>
      <c r="HMQ212" s="380"/>
      <c r="HMR212" s="2"/>
      <c r="HMS212" s="442"/>
      <c r="HMT212" s="442"/>
      <c r="HMU212" s="443"/>
      <c r="HMV212" s="442"/>
      <c r="HMW212" s="442"/>
      <c r="HMX212" s="2"/>
      <c r="HMY212" s="2"/>
      <c r="HMZ212" s="2"/>
      <c r="HNA212" s="2"/>
      <c r="HNB212" s="260"/>
      <c r="HNC212" s="260"/>
      <c r="HND212" s="260"/>
      <c r="HNE212" s="260"/>
      <c r="HNF212" s="260"/>
      <c r="HNG212" s="260"/>
      <c r="HNH212" s="308"/>
      <c r="HNI212" s="290"/>
      <c r="HNJ212" s="290"/>
      <c r="HNK212" s="260"/>
      <c r="HNL212" s="260"/>
      <c r="HNM212" s="260"/>
      <c r="HNN212" s="260"/>
      <c r="HNO212" s="260"/>
      <c r="HNP212" s="2"/>
      <c r="HNQ212" s="2"/>
      <c r="HNR212" s="2"/>
      <c r="HNS212" s="2"/>
      <c r="HNT212" s="2"/>
      <c r="HNU212" s="2"/>
      <c r="HNV212" s="260"/>
      <c r="HNW212" s="2"/>
      <c r="HNX212" s="2"/>
      <c r="HNY212" s="2"/>
      <c r="HNZ212" s="2"/>
      <c r="HOA212" s="2"/>
      <c r="HOB212" s="2"/>
      <c r="HOC212" s="2"/>
      <c r="HOD212" s="260"/>
      <c r="HOE212" s="260"/>
      <c r="HOF212" s="260"/>
      <c r="HOG212" s="380"/>
      <c r="HOH212" s="380"/>
      <c r="HOI212" s="380"/>
      <c r="HOJ212" s="2"/>
      <c r="HOK212" s="442"/>
      <c r="HOL212" s="442"/>
      <c r="HOM212" s="443"/>
      <c r="HON212" s="442"/>
      <c r="HOO212" s="442"/>
      <c r="HOP212" s="2"/>
      <c r="HOQ212" s="2"/>
      <c r="HOR212" s="2"/>
      <c r="HOS212" s="2"/>
      <c r="HOT212" s="260"/>
      <c r="HOU212" s="260"/>
      <c r="HOV212" s="260"/>
      <c r="HOW212" s="260"/>
      <c r="HOX212" s="260"/>
      <c r="HOY212" s="260"/>
      <c r="HOZ212" s="308"/>
      <c r="HPA212" s="290"/>
      <c r="HPB212" s="290"/>
      <c r="HPC212" s="260"/>
      <c r="HPD212" s="260"/>
      <c r="HPE212" s="260"/>
      <c r="HPF212" s="260"/>
      <c r="HPG212" s="260"/>
      <c r="HPH212" s="2"/>
      <c r="HPI212" s="2"/>
      <c r="HPJ212" s="2"/>
      <c r="HPK212" s="2"/>
      <c r="HPL212" s="2"/>
      <c r="HPM212" s="2"/>
      <c r="HPN212" s="260"/>
      <c r="HPO212" s="2"/>
      <c r="HPP212" s="2"/>
      <c r="HPQ212" s="2"/>
      <c r="HPR212" s="2"/>
      <c r="HPS212" s="2"/>
      <c r="HPT212" s="2"/>
      <c r="HPU212" s="2"/>
      <c r="HPV212" s="260"/>
      <c r="HPW212" s="260"/>
      <c r="HPX212" s="260"/>
      <c r="HPY212" s="380"/>
      <c r="HPZ212" s="380"/>
      <c r="HQA212" s="380"/>
      <c r="HQB212" s="2"/>
      <c r="HQC212" s="442"/>
      <c r="HQD212" s="442"/>
      <c r="HQE212" s="443"/>
      <c r="HQF212" s="442"/>
      <c r="HQG212" s="442"/>
      <c r="HQH212" s="2"/>
      <c r="HQI212" s="2"/>
      <c r="HQJ212" s="2"/>
      <c r="HQK212" s="2"/>
      <c r="HQL212" s="260"/>
      <c r="HQM212" s="260"/>
      <c r="HQN212" s="260"/>
      <c r="HQO212" s="260"/>
      <c r="HQP212" s="260"/>
      <c r="HQQ212" s="260"/>
      <c r="HQR212" s="308"/>
      <c r="HQS212" s="290"/>
      <c r="HQT212" s="290"/>
      <c r="HQU212" s="260"/>
      <c r="HQV212" s="260"/>
      <c r="HQW212" s="260"/>
      <c r="HQX212" s="260"/>
      <c r="HQY212" s="260"/>
      <c r="HQZ212" s="2"/>
      <c r="HRA212" s="2"/>
      <c r="HRB212" s="2"/>
      <c r="HRC212" s="2"/>
      <c r="HRD212" s="2"/>
      <c r="HRE212" s="2"/>
      <c r="HRF212" s="260"/>
      <c r="HRG212" s="2"/>
      <c r="HRH212" s="2"/>
      <c r="HRI212" s="2"/>
      <c r="HRJ212" s="2"/>
      <c r="HRK212" s="2"/>
      <c r="HRL212" s="2"/>
      <c r="HRM212" s="2"/>
      <c r="HRN212" s="260"/>
      <c r="HRO212" s="260"/>
      <c r="HRP212" s="260"/>
      <c r="HRQ212" s="380"/>
      <c r="HRR212" s="380"/>
      <c r="HRS212" s="380"/>
      <c r="HRT212" s="2"/>
      <c r="HRU212" s="442"/>
      <c r="HRV212" s="442"/>
      <c r="HRW212" s="443"/>
      <c r="HRX212" s="442"/>
      <c r="HRY212" s="442"/>
      <c r="HRZ212" s="2"/>
      <c r="HSA212" s="2"/>
      <c r="HSB212" s="2"/>
      <c r="HSC212" s="2"/>
      <c r="HSD212" s="260"/>
      <c r="HSE212" s="260"/>
      <c r="HSF212" s="260"/>
      <c r="HSG212" s="260"/>
      <c r="HSH212" s="260"/>
      <c r="HSI212" s="260"/>
      <c r="HSJ212" s="308"/>
      <c r="HSK212" s="290"/>
      <c r="HSL212" s="290"/>
      <c r="HSM212" s="260"/>
      <c r="HSN212" s="260"/>
      <c r="HSO212" s="260"/>
      <c r="HSP212" s="260"/>
      <c r="HSQ212" s="260"/>
      <c r="HSR212" s="2"/>
      <c r="HSS212" s="2"/>
      <c r="HST212" s="2"/>
      <c r="HSU212" s="2"/>
      <c r="HSV212" s="2"/>
      <c r="HSW212" s="2"/>
      <c r="HSX212" s="260"/>
      <c r="HSY212" s="2"/>
      <c r="HSZ212" s="2"/>
      <c r="HTA212" s="2"/>
      <c r="HTB212" s="2"/>
      <c r="HTC212" s="2"/>
      <c r="HTD212" s="2"/>
      <c r="HTE212" s="2"/>
      <c r="HTF212" s="260"/>
      <c r="HTG212" s="260"/>
      <c r="HTH212" s="260"/>
      <c r="HTI212" s="380"/>
      <c r="HTJ212" s="380"/>
      <c r="HTK212" s="380"/>
      <c r="HTL212" s="2"/>
      <c r="HTM212" s="442"/>
      <c r="HTN212" s="442"/>
      <c r="HTO212" s="443"/>
      <c r="HTP212" s="442"/>
      <c r="HTQ212" s="442"/>
      <c r="HTR212" s="2"/>
      <c r="HTS212" s="2"/>
      <c r="HTT212" s="2"/>
      <c r="HTU212" s="2"/>
      <c r="HTV212" s="260"/>
      <c r="HTW212" s="260"/>
      <c r="HTX212" s="260"/>
      <c r="HTY212" s="260"/>
      <c r="HTZ212" s="260"/>
      <c r="HUA212" s="260"/>
      <c r="HUB212" s="308"/>
      <c r="HUC212" s="290"/>
      <c r="HUD212" s="290"/>
      <c r="HUE212" s="260"/>
      <c r="HUF212" s="260"/>
      <c r="HUG212" s="260"/>
      <c r="HUH212" s="260"/>
      <c r="HUI212" s="260"/>
      <c r="HUJ212" s="2"/>
      <c r="HUK212" s="2"/>
      <c r="HUL212" s="2"/>
      <c r="HUM212" s="2"/>
      <c r="HUN212" s="2"/>
      <c r="HUO212" s="2"/>
      <c r="HUP212" s="260"/>
      <c r="HUQ212" s="2"/>
      <c r="HUR212" s="2"/>
      <c r="HUS212" s="2"/>
      <c r="HUT212" s="2"/>
      <c r="HUU212" s="2"/>
      <c r="HUV212" s="2"/>
      <c r="HUW212" s="2"/>
      <c r="HUX212" s="260"/>
      <c r="HUY212" s="260"/>
      <c r="HUZ212" s="260"/>
      <c r="HVA212" s="380"/>
      <c r="HVB212" s="380"/>
      <c r="HVC212" s="380"/>
      <c r="HVD212" s="2"/>
      <c r="HVE212" s="442"/>
      <c r="HVF212" s="442"/>
      <c r="HVG212" s="443"/>
      <c r="HVH212" s="442"/>
      <c r="HVI212" s="442"/>
      <c r="HVJ212" s="2"/>
      <c r="HVK212" s="2"/>
      <c r="HVL212" s="2"/>
      <c r="HVM212" s="2"/>
      <c r="HVN212" s="260"/>
      <c r="HVO212" s="260"/>
      <c r="HVP212" s="260"/>
      <c r="HVQ212" s="260"/>
      <c r="HVR212" s="260"/>
      <c r="HVS212" s="260"/>
      <c r="HVT212" s="308"/>
      <c r="HVU212" s="290"/>
      <c r="HVV212" s="290"/>
      <c r="HVW212" s="260"/>
      <c r="HVX212" s="260"/>
      <c r="HVY212" s="260"/>
      <c r="HVZ212" s="260"/>
      <c r="HWA212" s="260"/>
      <c r="HWB212" s="2"/>
      <c r="HWC212" s="2"/>
      <c r="HWD212" s="2"/>
      <c r="HWE212" s="2"/>
      <c r="HWF212" s="2"/>
      <c r="HWG212" s="2"/>
      <c r="HWH212" s="260"/>
      <c r="HWI212" s="2"/>
      <c r="HWJ212" s="2"/>
      <c r="HWK212" s="2"/>
      <c r="HWL212" s="2"/>
      <c r="HWM212" s="2"/>
      <c r="HWN212" s="2"/>
      <c r="HWO212" s="2"/>
      <c r="HWP212" s="260"/>
      <c r="HWQ212" s="260"/>
      <c r="HWR212" s="260"/>
      <c r="HWS212" s="380"/>
      <c r="HWT212" s="380"/>
      <c r="HWU212" s="380"/>
      <c r="HWV212" s="2"/>
      <c r="HWW212" s="442"/>
      <c r="HWX212" s="442"/>
      <c r="HWY212" s="443"/>
      <c r="HWZ212" s="442"/>
      <c r="HXA212" s="442"/>
      <c r="HXB212" s="2"/>
      <c r="HXC212" s="2"/>
      <c r="HXD212" s="2"/>
      <c r="HXE212" s="2"/>
      <c r="HXF212" s="260"/>
      <c r="HXG212" s="260"/>
      <c r="HXH212" s="260"/>
      <c r="HXI212" s="260"/>
      <c r="HXJ212" s="260"/>
      <c r="HXK212" s="260"/>
      <c r="HXL212" s="308"/>
      <c r="HXM212" s="290"/>
      <c r="HXN212" s="290"/>
      <c r="HXO212" s="260"/>
      <c r="HXP212" s="260"/>
      <c r="HXQ212" s="260"/>
      <c r="HXR212" s="260"/>
      <c r="HXS212" s="260"/>
      <c r="HXT212" s="2"/>
      <c r="HXU212" s="2"/>
      <c r="HXV212" s="2"/>
      <c r="HXW212" s="2"/>
      <c r="HXX212" s="2"/>
      <c r="HXY212" s="2"/>
      <c r="HXZ212" s="260"/>
      <c r="HYA212" s="2"/>
      <c r="HYB212" s="2"/>
      <c r="HYC212" s="2"/>
      <c r="HYD212" s="2"/>
      <c r="HYE212" s="2"/>
      <c r="HYF212" s="2"/>
      <c r="HYG212" s="2"/>
      <c r="HYH212" s="260"/>
      <c r="HYI212" s="260"/>
      <c r="HYJ212" s="260"/>
      <c r="HYK212" s="380"/>
      <c r="HYL212" s="380"/>
      <c r="HYM212" s="380"/>
      <c r="HYN212" s="2"/>
      <c r="HYO212" s="442"/>
      <c r="HYP212" s="442"/>
      <c r="HYQ212" s="443"/>
      <c r="HYR212" s="442"/>
      <c r="HYS212" s="442"/>
      <c r="HYT212" s="2"/>
      <c r="HYU212" s="2"/>
      <c r="HYV212" s="2"/>
      <c r="HYW212" s="2"/>
      <c r="HYX212" s="260"/>
      <c r="HYY212" s="260"/>
      <c r="HYZ212" s="260"/>
      <c r="HZA212" s="260"/>
      <c r="HZB212" s="260"/>
      <c r="HZC212" s="260"/>
      <c r="HZD212" s="308"/>
      <c r="HZE212" s="290"/>
      <c r="HZF212" s="290"/>
      <c r="HZG212" s="260"/>
      <c r="HZH212" s="260"/>
      <c r="HZI212" s="260"/>
      <c r="HZJ212" s="260"/>
      <c r="HZK212" s="260"/>
      <c r="HZL212" s="2"/>
      <c r="HZM212" s="2"/>
      <c r="HZN212" s="2"/>
      <c r="HZO212" s="2"/>
      <c r="HZP212" s="2"/>
      <c r="HZQ212" s="2"/>
      <c r="HZR212" s="260"/>
      <c r="HZS212" s="2"/>
      <c r="HZT212" s="2"/>
      <c r="HZU212" s="2"/>
      <c r="HZV212" s="2"/>
      <c r="HZW212" s="2"/>
      <c r="HZX212" s="2"/>
      <c r="HZY212" s="2"/>
      <c r="HZZ212" s="260"/>
      <c r="IAA212" s="260"/>
      <c r="IAB212" s="260"/>
      <c r="IAC212" s="380"/>
      <c r="IAD212" s="380"/>
      <c r="IAE212" s="380"/>
      <c r="IAF212" s="2"/>
      <c r="IAG212" s="442"/>
      <c r="IAH212" s="442"/>
      <c r="IAI212" s="443"/>
      <c r="IAJ212" s="442"/>
      <c r="IAK212" s="442"/>
      <c r="IAL212" s="2"/>
      <c r="IAM212" s="2"/>
      <c r="IAN212" s="2"/>
      <c r="IAO212" s="2"/>
      <c r="IAP212" s="260"/>
      <c r="IAQ212" s="260"/>
      <c r="IAR212" s="260"/>
      <c r="IAS212" s="260"/>
      <c r="IAT212" s="260"/>
      <c r="IAU212" s="260"/>
      <c r="IAV212" s="308"/>
      <c r="IAW212" s="290"/>
      <c r="IAX212" s="290"/>
      <c r="IAY212" s="260"/>
      <c r="IAZ212" s="260"/>
      <c r="IBA212" s="260"/>
      <c r="IBB212" s="260"/>
      <c r="IBC212" s="260"/>
      <c r="IBD212" s="2"/>
      <c r="IBE212" s="2"/>
      <c r="IBF212" s="2"/>
      <c r="IBG212" s="2"/>
      <c r="IBH212" s="2"/>
      <c r="IBI212" s="2"/>
      <c r="IBJ212" s="260"/>
      <c r="IBK212" s="2"/>
      <c r="IBL212" s="2"/>
      <c r="IBM212" s="2"/>
      <c r="IBN212" s="2"/>
      <c r="IBO212" s="2"/>
      <c r="IBP212" s="2"/>
      <c r="IBQ212" s="2"/>
      <c r="IBR212" s="260"/>
      <c r="IBS212" s="260"/>
      <c r="IBT212" s="260"/>
      <c r="IBU212" s="380"/>
      <c r="IBV212" s="380"/>
      <c r="IBW212" s="380"/>
      <c r="IBX212" s="2"/>
      <c r="IBY212" s="442"/>
      <c r="IBZ212" s="442"/>
      <c r="ICA212" s="443"/>
      <c r="ICB212" s="442"/>
      <c r="ICC212" s="442"/>
      <c r="ICD212" s="2"/>
      <c r="ICE212" s="2"/>
      <c r="ICF212" s="2"/>
      <c r="ICG212" s="2"/>
      <c r="ICH212" s="260"/>
      <c r="ICI212" s="260"/>
      <c r="ICJ212" s="260"/>
      <c r="ICK212" s="260"/>
      <c r="ICL212" s="260"/>
      <c r="ICM212" s="260"/>
      <c r="ICN212" s="308"/>
      <c r="ICO212" s="290"/>
      <c r="ICP212" s="290"/>
      <c r="ICQ212" s="260"/>
      <c r="ICR212" s="260"/>
      <c r="ICS212" s="260"/>
      <c r="ICT212" s="260"/>
      <c r="ICU212" s="260"/>
      <c r="ICV212" s="2"/>
      <c r="ICW212" s="2"/>
      <c r="ICX212" s="2"/>
      <c r="ICY212" s="2"/>
      <c r="ICZ212" s="2"/>
      <c r="IDA212" s="2"/>
      <c r="IDB212" s="260"/>
      <c r="IDC212" s="2"/>
      <c r="IDD212" s="2"/>
      <c r="IDE212" s="2"/>
      <c r="IDF212" s="2"/>
      <c r="IDG212" s="2"/>
      <c r="IDH212" s="2"/>
      <c r="IDI212" s="2"/>
      <c r="IDJ212" s="260"/>
      <c r="IDK212" s="260"/>
      <c r="IDL212" s="260"/>
      <c r="IDM212" s="380"/>
      <c r="IDN212" s="380"/>
      <c r="IDO212" s="380"/>
      <c r="IDP212" s="2"/>
      <c r="IDQ212" s="442"/>
      <c r="IDR212" s="442"/>
      <c r="IDS212" s="443"/>
      <c r="IDT212" s="442"/>
      <c r="IDU212" s="442"/>
      <c r="IDV212" s="2"/>
      <c r="IDW212" s="2"/>
      <c r="IDX212" s="2"/>
      <c r="IDY212" s="2"/>
      <c r="IDZ212" s="260"/>
      <c r="IEA212" s="260"/>
      <c r="IEB212" s="260"/>
      <c r="IEC212" s="260"/>
      <c r="IED212" s="260"/>
      <c r="IEE212" s="260"/>
      <c r="IEF212" s="308"/>
      <c r="IEG212" s="290"/>
      <c r="IEH212" s="290"/>
      <c r="IEI212" s="260"/>
      <c r="IEJ212" s="260"/>
      <c r="IEK212" s="260"/>
      <c r="IEL212" s="260"/>
      <c r="IEM212" s="260"/>
      <c r="IEN212" s="2"/>
      <c r="IEO212" s="2"/>
      <c r="IEP212" s="2"/>
      <c r="IEQ212" s="2"/>
      <c r="IER212" s="2"/>
      <c r="IES212" s="2"/>
      <c r="IET212" s="260"/>
      <c r="IEU212" s="2"/>
      <c r="IEV212" s="2"/>
      <c r="IEW212" s="2"/>
      <c r="IEX212" s="2"/>
      <c r="IEY212" s="2"/>
      <c r="IEZ212" s="2"/>
      <c r="IFA212" s="2"/>
      <c r="IFB212" s="260"/>
      <c r="IFC212" s="260"/>
      <c r="IFD212" s="260"/>
      <c r="IFE212" s="380"/>
      <c r="IFF212" s="380"/>
      <c r="IFG212" s="380"/>
      <c r="IFH212" s="2"/>
      <c r="IFI212" s="442"/>
      <c r="IFJ212" s="442"/>
      <c r="IFK212" s="443"/>
      <c r="IFL212" s="442"/>
      <c r="IFM212" s="442"/>
      <c r="IFN212" s="2"/>
      <c r="IFO212" s="2"/>
      <c r="IFP212" s="2"/>
      <c r="IFQ212" s="2"/>
      <c r="IFR212" s="260"/>
      <c r="IFS212" s="260"/>
      <c r="IFT212" s="260"/>
      <c r="IFU212" s="260"/>
      <c r="IFV212" s="260"/>
      <c r="IFW212" s="260"/>
      <c r="IFX212" s="308"/>
      <c r="IFY212" s="290"/>
      <c r="IFZ212" s="290"/>
      <c r="IGA212" s="260"/>
      <c r="IGB212" s="260"/>
      <c r="IGC212" s="260"/>
      <c r="IGD212" s="260"/>
      <c r="IGE212" s="260"/>
      <c r="IGF212" s="2"/>
      <c r="IGG212" s="2"/>
      <c r="IGH212" s="2"/>
      <c r="IGI212" s="2"/>
      <c r="IGJ212" s="2"/>
      <c r="IGK212" s="2"/>
      <c r="IGL212" s="260"/>
      <c r="IGM212" s="2"/>
      <c r="IGN212" s="2"/>
      <c r="IGO212" s="2"/>
      <c r="IGP212" s="2"/>
      <c r="IGQ212" s="2"/>
      <c r="IGR212" s="2"/>
      <c r="IGS212" s="2"/>
      <c r="IGT212" s="260"/>
      <c r="IGU212" s="260"/>
      <c r="IGV212" s="260"/>
      <c r="IGW212" s="380"/>
      <c r="IGX212" s="380"/>
      <c r="IGY212" s="380"/>
      <c r="IGZ212" s="2"/>
      <c r="IHA212" s="442"/>
      <c r="IHB212" s="442"/>
      <c r="IHC212" s="443"/>
      <c r="IHD212" s="442"/>
      <c r="IHE212" s="442"/>
      <c r="IHF212" s="2"/>
      <c r="IHG212" s="2"/>
      <c r="IHH212" s="2"/>
      <c r="IHI212" s="2"/>
      <c r="IHJ212" s="260"/>
      <c r="IHK212" s="260"/>
      <c r="IHL212" s="260"/>
      <c r="IHM212" s="260"/>
      <c r="IHN212" s="260"/>
      <c r="IHO212" s="260"/>
      <c r="IHP212" s="308"/>
      <c r="IHQ212" s="290"/>
      <c r="IHR212" s="290"/>
      <c r="IHS212" s="260"/>
      <c r="IHT212" s="260"/>
      <c r="IHU212" s="260"/>
      <c r="IHV212" s="260"/>
      <c r="IHW212" s="260"/>
      <c r="IHX212" s="2"/>
      <c r="IHY212" s="2"/>
      <c r="IHZ212" s="2"/>
      <c r="IIA212" s="2"/>
      <c r="IIB212" s="2"/>
      <c r="IIC212" s="2"/>
      <c r="IID212" s="260"/>
      <c r="IIE212" s="2"/>
      <c r="IIF212" s="2"/>
      <c r="IIG212" s="2"/>
      <c r="IIH212" s="2"/>
      <c r="III212" s="2"/>
      <c r="IIJ212" s="2"/>
      <c r="IIK212" s="2"/>
      <c r="IIL212" s="260"/>
      <c r="IIM212" s="260"/>
      <c r="IIN212" s="260"/>
      <c r="IIO212" s="380"/>
      <c r="IIP212" s="380"/>
      <c r="IIQ212" s="380"/>
      <c r="IIR212" s="2"/>
      <c r="IIS212" s="442"/>
      <c r="IIT212" s="442"/>
      <c r="IIU212" s="443"/>
      <c r="IIV212" s="442"/>
      <c r="IIW212" s="442"/>
      <c r="IIX212" s="2"/>
      <c r="IIY212" s="2"/>
      <c r="IIZ212" s="2"/>
      <c r="IJA212" s="2"/>
      <c r="IJB212" s="260"/>
      <c r="IJC212" s="260"/>
      <c r="IJD212" s="260"/>
      <c r="IJE212" s="260"/>
      <c r="IJF212" s="260"/>
      <c r="IJG212" s="260"/>
      <c r="IJH212" s="308"/>
      <c r="IJI212" s="290"/>
      <c r="IJJ212" s="290"/>
      <c r="IJK212" s="260"/>
      <c r="IJL212" s="260"/>
      <c r="IJM212" s="260"/>
      <c r="IJN212" s="260"/>
      <c r="IJO212" s="260"/>
      <c r="IJP212" s="2"/>
      <c r="IJQ212" s="2"/>
      <c r="IJR212" s="2"/>
      <c r="IJS212" s="2"/>
      <c r="IJT212" s="2"/>
      <c r="IJU212" s="2"/>
      <c r="IJV212" s="260"/>
      <c r="IJW212" s="2"/>
      <c r="IJX212" s="2"/>
      <c r="IJY212" s="2"/>
      <c r="IJZ212" s="2"/>
      <c r="IKA212" s="2"/>
      <c r="IKB212" s="2"/>
      <c r="IKC212" s="2"/>
      <c r="IKD212" s="260"/>
      <c r="IKE212" s="260"/>
      <c r="IKF212" s="260"/>
      <c r="IKG212" s="380"/>
      <c r="IKH212" s="380"/>
      <c r="IKI212" s="380"/>
      <c r="IKJ212" s="2"/>
      <c r="IKK212" s="442"/>
      <c r="IKL212" s="442"/>
      <c r="IKM212" s="443"/>
      <c r="IKN212" s="442"/>
      <c r="IKO212" s="442"/>
      <c r="IKP212" s="2"/>
      <c r="IKQ212" s="2"/>
      <c r="IKR212" s="2"/>
      <c r="IKS212" s="2"/>
      <c r="IKT212" s="260"/>
      <c r="IKU212" s="260"/>
      <c r="IKV212" s="260"/>
      <c r="IKW212" s="260"/>
      <c r="IKX212" s="260"/>
      <c r="IKY212" s="260"/>
      <c r="IKZ212" s="308"/>
      <c r="ILA212" s="290"/>
      <c r="ILB212" s="290"/>
      <c r="ILC212" s="260"/>
      <c r="ILD212" s="260"/>
      <c r="ILE212" s="260"/>
      <c r="ILF212" s="260"/>
      <c r="ILG212" s="260"/>
      <c r="ILH212" s="2"/>
      <c r="ILI212" s="2"/>
      <c r="ILJ212" s="2"/>
      <c r="ILK212" s="2"/>
      <c r="ILL212" s="2"/>
      <c r="ILM212" s="2"/>
      <c r="ILN212" s="260"/>
      <c r="ILO212" s="2"/>
      <c r="ILP212" s="2"/>
      <c r="ILQ212" s="2"/>
      <c r="ILR212" s="2"/>
      <c r="ILS212" s="2"/>
      <c r="ILT212" s="2"/>
      <c r="ILU212" s="2"/>
      <c r="ILV212" s="260"/>
      <c r="ILW212" s="260"/>
      <c r="ILX212" s="260"/>
      <c r="ILY212" s="380"/>
      <c r="ILZ212" s="380"/>
      <c r="IMA212" s="380"/>
      <c r="IMB212" s="2"/>
      <c r="IMC212" s="442"/>
      <c r="IMD212" s="442"/>
      <c r="IME212" s="443"/>
      <c r="IMF212" s="442"/>
      <c r="IMG212" s="442"/>
      <c r="IMH212" s="2"/>
      <c r="IMI212" s="2"/>
      <c r="IMJ212" s="2"/>
      <c r="IMK212" s="2"/>
      <c r="IML212" s="260"/>
      <c r="IMM212" s="260"/>
      <c r="IMN212" s="260"/>
      <c r="IMO212" s="260"/>
      <c r="IMP212" s="260"/>
      <c r="IMQ212" s="260"/>
      <c r="IMR212" s="308"/>
      <c r="IMS212" s="290"/>
      <c r="IMT212" s="290"/>
      <c r="IMU212" s="260"/>
      <c r="IMV212" s="260"/>
      <c r="IMW212" s="260"/>
      <c r="IMX212" s="260"/>
      <c r="IMY212" s="260"/>
      <c r="IMZ212" s="2"/>
      <c r="INA212" s="2"/>
      <c r="INB212" s="2"/>
      <c r="INC212" s="2"/>
      <c r="IND212" s="2"/>
      <c r="INE212" s="2"/>
      <c r="INF212" s="260"/>
      <c r="ING212" s="2"/>
      <c r="INH212" s="2"/>
      <c r="INI212" s="2"/>
      <c r="INJ212" s="2"/>
      <c r="INK212" s="2"/>
      <c r="INL212" s="2"/>
      <c r="INM212" s="2"/>
      <c r="INN212" s="260"/>
      <c r="INO212" s="260"/>
      <c r="INP212" s="260"/>
      <c r="INQ212" s="380"/>
      <c r="INR212" s="380"/>
      <c r="INS212" s="380"/>
      <c r="INT212" s="2"/>
      <c r="INU212" s="442"/>
      <c r="INV212" s="442"/>
      <c r="INW212" s="443"/>
      <c r="INX212" s="442"/>
      <c r="INY212" s="442"/>
      <c r="INZ212" s="2"/>
      <c r="IOA212" s="2"/>
      <c r="IOB212" s="2"/>
      <c r="IOC212" s="2"/>
      <c r="IOD212" s="260"/>
      <c r="IOE212" s="260"/>
      <c r="IOF212" s="260"/>
      <c r="IOG212" s="260"/>
      <c r="IOH212" s="260"/>
      <c r="IOI212" s="260"/>
      <c r="IOJ212" s="308"/>
      <c r="IOK212" s="290"/>
      <c r="IOL212" s="290"/>
      <c r="IOM212" s="260"/>
      <c r="ION212" s="260"/>
      <c r="IOO212" s="260"/>
      <c r="IOP212" s="260"/>
      <c r="IOQ212" s="260"/>
      <c r="IOR212" s="2"/>
      <c r="IOS212" s="2"/>
      <c r="IOT212" s="2"/>
      <c r="IOU212" s="2"/>
      <c r="IOV212" s="2"/>
      <c r="IOW212" s="2"/>
      <c r="IOX212" s="260"/>
      <c r="IOY212" s="2"/>
      <c r="IOZ212" s="2"/>
      <c r="IPA212" s="2"/>
      <c r="IPB212" s="2"/>
      <c r="IPC212" s="2"/>
      <c r="IPD212" s="2"/>
      <c r="IPE212" s="2"/>
      <c r="IPF212" s="260"/>
      <c r="IPG212" s="260"/>
      <c r="IPH212" s="260"/>
      <c r="IPI212" s="380"/>
      <c r="IPJ212" s="380"/>
      <c r="IPK212" s="380"/>
      <c r="IPL212" s="2"/>
      <c r="IPM212" s="442"/>
      <c r="IPN212" s="442"/>
      <c r="IPO212" s="443"/>
      <c r="IPP212" s="442"/>
      <c r="IPQ212" s="442"/>
      <c r="IPR212" s="2"/>
      <c r="IPS212" s="2"/>
      <c r="IPT212" s="2"/>
      <c r="IPU212" s="2"/>
      <c r="IPV212" s="260"/>
      <c r="IPW212" s="260"/>
      <c r="IPX212" s="260"/>
      <c r="IPY212" s="260"/>
      <c r="IPZ212" s="260"/>
      <c r="IQA212" s="260"/>
      <c r="IQB212" s="308"/>
      <c r="IQC212" s="290"/>
      <c r="IQD212" s="290"/>
      <c r="IQE212" s="260"/>
      <c r="IQF212" s="260"/>
      <c r="IQG212" s="260"/>
      <c r="IQH212" s="260"/>
      <c r="IQI212" s="260"/>
      <c r="IQJ212" s="2"/>
      <c r="IQK212" s="2"/>
      <c r="IQL212" s="2"/>
      <c r="IQM212" s="2"/>
      <c r="IQN212" s="2"/>
      <c r="IQO212" s="2"/>
      <c r="IQP212" s="260"/>
      <c r="IQQ212" s="2"/>
      <c r="IQR212" s="2"/>
      <c r="IQS212" s="2"/>
      <c r="IQT212" s="2"/>
      <c r="IQU212" s="2"/>
      <c r="IQV212" s="2"/>
      <c r="IQW212" s="2"/>
      <c r="IQX212" s="260"/>
      <c r="IQY212" s="260"/>
      <c r="IQZ212" s="260"/>
      <c r="IRA212" s="380"/>
      <c r="IRB212" s="380"/>
      <c r="IRC212" s="380"/>
      <c r="IRD212" s="2"/>
      <c r="IRE212" s="442"/>
      <c r="IRF212" s="442"/>
      <c r="IRG212" s="443"/>
      <c r="IRH212" s="442"/>
      <c r="IRI212" s="442"/>
      <c r="IRJ212" s="2"/>
      <c r="IRK212" s="2"/>
      <c r="IRL212" s="2"/>
      <c r="IRM212" s="2"/>
      <c r="IRN212" s="260"/>
      <c r="IRO212" s="260"/>
      <c r="IRP212" s="260"/>
      <c r="IRQ212" s="260"/>
      <c r="IRR212" s="260"/>
      <c r="IRS212" s="260"/>
      <c r="IRT212" s="308"/>
      <c r="IRU212" s="290"/>
      <c r="IRV212" s="290"/>
      <c r="IRW212" s="260"/>
      <c r="IRX212" s="260"/>
      <c r="IRY212" s="260"/>
      <c r="IRZ212" s="260"/>
      <c r="ISA212" s="260"/>
      <c r="ISB212" s="2"/>
      <c r="ISC212" s="2"/>
      <c r="ISD212" s="2"/>
      <c r="ISE212" s="2"/>
      <c r="ISF212" s="2"/>
      <c r="ISG212" s="2"/>
      <c r="ISH212" s="260"/>
      <c r="ISI212" s="2"/>
      <c r="ISJ212" s="2"/>
      <c r="ISK212" s="2"/>
      <c r="ISL212" s="2"/>
      <c r="ISM212" s="2"/>
      <c r="ISN212" s="2"/>
      <c r="ISO212" s="2"/>
      <c r="ISP212" s="260"/>
      <c r="ISQ212" s="260"/>
      <c r="ISR212" s="260"/>
      <c r="ISS212" s="380"/>
      <c r="IST212" s="380"/>
      <c r="ISU212" s="380"/>
      <c r="ISV212" s="2"/>
      <c r="ISW212" s="442"/>
      <c r="ISX212" s="442"/>
      <c r="ISY212" s="443"/>
      <c r="ISZ212" s="442"/>
      <c r="ITA212" s="442"/>
      <c r="ITB212" s="2"/>
      <c r="ITC212" s="2"/>
      <c r="ITD212" s="2"/>
      <c r="ITE212" s="2"/>
      <c r="ITF212" s="260"/>
      <c r="ITG212" s="260"/>
      <c r="ITH212" s="260"/>
      <c r="ITI212" s="260"/>
      <c r="ITJ212" s="260"/>
      <c r="ITK212" s="260"/>
      <c r="ITL212" s="308"/>
      <c r="ITM212" s="290"/>
      <c r="ITN212" s="290"/>
      <c r="ITO212" s="260"/>
      <c r="ITP212" s="260"/>
      <c r="ITQ212" s="260"/>
      <c r="ITR212" s="260"/>
      <c r="ITS212" s="260"/>
      <c r="ITT212" s="2"/>
      <c r="ITU212" s="2"/>
      <c r="ITV212" s="2"/>
      <c r="ITW212" s="2"/>
      <c r="ITX212" s="2"/>
      <c r="ITY212" s="2"/>
      <c r="ITZ212" s="260"/>
      <c r="IUA212" s="2"/>
      <c r="IUB212" s="2"/>
      <c r="IUC212" s="2"/>
      <c r="IUD212" s="2"/>
      <c r="IUE212" s="2"/>
      <c r="IUF212" s="2"/>
      <c r="IUG212" s="2"/>
      <c r="IUH212" s="260"/>
      <c r="IUI212" s="260"/>
      <c r="IUJ212" s="260"/>
      <c r="IUK212" s="380"/>
      <c r="IUL212" s="380"/>
      <c r="IUM212" s="380"/>
      <c r="IUN212" s="2"/>
      <c r="IUO212" s="442"/>
      <c r="IUP212" s="442"/>
      <c r="IUQ212" s="443"/>
      <c r="IUR212" s="442"/>
      <c r="IUS212" s="442"/>
      <c r="IUT212" s="2"/>
      <c r="IUU212" s="2"/>
      <c r="IUV212" s="2"/>
      <c r="IUW212" s="2"/>
      <c r="IUX212" s="260"/>
      <c r="IUY212" s="260"/>
      <c r="IUZ212" s="260"/>
      <c r="IVA212" s="260"/>
      <c r="IVB212" s="260"/>
      <c r="IVC212" s="260"/>
      <c r="IVD212" s="308"/>
      <c r="IVE212" s="290"/>
      <c r="IVF212" s="290"/>
      <c r="IVG212" s="260"/>
      <c r="IVH212" s="260"/>
      <c r="IVI212" s="260"/>
      <c r="IVJ212" s="260"/>
      <c r="IVK212" s="260"/>
      <c r="IVL212" s="2"/>
      <c r="IVM212" s="2"/>
      <c r="IVN212" s="2"/>
      <c r="IVO212" s="2"/>
      <c r="IVP212" s="2"/>
      <c r="IVQ212" s="2"/>
      <c r="IVR212" s="260"/>
      <c r="IVS212" s="2"/>
      <c r="IVT212" s="2"/>
      <c r="IVU212" s="2"/>
      <c r="IVV212" s="2"/>
      <c r="IVW212" s="2"/>
      <c r="IVX212" s="2"/>
      <c r="IVY212" s="2"/>
      <c r="IVZ212" s="260"/>
      <c r="IWA212" s="260"/>
      <c r="IWB212" s="260"/>
      <c r="IWC212" s="380"/>
      <c r="IWD212" s="380"/>
      <c r="IWE212" s="380"/>
      <c r="IWF212" s="2"/>
      <c r="IWG212" s="442"/>
      <c r="IWH212" s="442"/>
      <c r="IWI212" s="443"/>
      <c r="IWJ212" s="442"/>
      <c r="IWK212" s="442"/>
      <c r="IWL212" s="2"/>
      <c r="IWM212" s="2"/>
      <c r="IWN212" s="2"/>
      <c r="IWO212" s="2"/>
      <c r="IWP212" s="260"/>
      <c r="IWQ212" s="260"/>
      <c r="IWR212" s="260"/>
      <c r="IWS212" s="260"/>
      <c r="IWT212" s="260"/>
      <c r="IWU212" s="260"/>
      <c r="IWV212" s="308"/>
      <c r="IWW212" s="290"/>
      <c r="IWX212" s="290"/>
      <c r="IWY212" s="260"/>
      <c r="IWZ212" s="260"/>
      <c r="IXA212" s="260"/>
      <c r="IXB212" s="260"/>
      <c r="IXC212" s="260"/>
      <c r="IXD212" s="2"/>
      <c r="IXE212" s="2"/>
      <c r="IXF212" s="2"/>
      <c r="IXG212" s="2"/>
      <c r="IXH212" s="2"/>
      <c r="IXI212" s="2"/>
      <c r="IXJ212" s="260"/>
      <c r="IXK212" s="2"/>
      <c r="IXL212" s="2"/>
      <c r="IXM212" s="2"/>
      <c r="IXN212" s="2"/>
      <c r="IXO212" s="2"/>
      <c r="IXP212" s="2"/>
      <c r="IXQ212" s="2"/>
      <c r="IXR212" s="260"/>
      <c r="IXS212" s="260"/>
      <c r="IXT212" s="260"/>
      <c r="IXU212" s="380"/>
      <c r="IXV212" s="380"/>
      <c r="IXW212" s="380"/>
      <c r="IXX212" s="2"/>
      <c r="IXY212" s="442"/>
      <c r="IXZ212" s="442"/>
      <c r="IYA212" s="443"/>
      <c r="IYB212" s="442"/>
      <c r="IYC212" s="442"/>
      <c r="IYD212" s="2"/>
      <c r="IYE212" s="2"/>
      <c r="IYF212" s="2"/>
      <c r="IYG212" s="2"/>
      <c r="IYH212" s="260"/>
      <c r="IYI212" s="260"/>
      <c r="IYJ212" s="260"/>
      <c r="IYK212" s="260"/>
      <c r="IYL212" s="260"/>
      <c r="IYM212" s="260"/>
      <c r="IYN212" s="308"/>
      <c r="IYO212" s="290"/>
      <c r="IYP212" s="290"/>
      <c r="IYQ212" s="260"/>
      <c r="IYR212" s="260"/>
      <c r="IYS212" s="260"/>
      <c r="IYT212" s="260"/>
      <c r="IYU212" s="260"/>
      <c r="IYV212" s="2"/>
      <c r="IYW212" s="2"/>
      <c r="IYX212" s="2"/>
      <c r="IYY212" s="2"/>
      <c r="IYZ212" s="2"/>
      <c r="IZA212" s="2"/>
      <c r="IZB212" s="260"/>
      <c r="IZC212" s="2"/>
      <c r="IZD212" s="2"/>
      <c r="IZE212" s="2"/>
      <c r="IZF212" s="2"/>
      <c r="IZG212" s="2"/>
      <c r="IZH212" s="2"/>
      <c r="IZI212" s="2"/>
      <c r="IZJ212" s="260"/>
      <c r="IZK212" s="260"/>
      <c r="IZL212" s="260"/>
      <c r="IZM212" s="380"/>
      <c r="IZN212" s="380"/>
      <c r="IZO212" s="380"/>
      <c r="IZP212" s="2"/>
      <c r="IZQ212" s="442"/>
      <c r="IZR212" s="442"/>
      <c r="IZS212" s="443"/>
      <c r="IZT212" s="442"/>
      <c r="IZU212" s="442"/>
      <c r="IZV212" s="2"/>
      <c r="IZW212" s="2"/>
      <c r="IZX212" s="2"/>
      <c r="IZY212" s="2"/>
      <c r="IZZ212" s="260"/>
      <c r="JAA212" s="260"/>
      <c r="JAB212" s="260"/>
      <c r="JAC212" s="260"/>
      <c r="JAD212" s="260"/>
      <c r="JAE212" s="260"/>
      <c r="JAF212" s="308"/>
      <c r="JAG212" s="290"/>
      <c r="JAH212" s="290"/>
      <c r="JAI212" s="260"/>
      <c r="JAJ212" s="260"/>
      <c r="JAK212" s="260"/>
      <c r="JAL212" s="260"/>
      <c r="JAM212" s="260"/>
      <c r="JAN212" s="2"/>
      <c r="JAO212" s="2"/>
      <c r="JAP212" s="2"/>
      <c r="JAQ212" s="2"/>
      <c r="JAR212" s="2"/>
      <c r="JAS212" s="2"/>
      <c r="JAT212" s="260"/>
      <c r="JAU212" s="2"/>
      <c r="JAV212" s="2"/>
      <c r="JAW212" s="2"/>
      <c r="JAX212" s="2"/>
      <c r="JAY212" s="2"/>
      <c r="JAZ212" s="2"/>
      <c r="JBA212" s="2"/>
      <c r="JBB212" s="260"/>
      <c r="JBC212" s="260"/>
      <c r="JBD212" s="260"/>
      <c r="JBE212" s="380"/>
      <c r="JBF212" s="380"/>
      <c r="JBG212" s="380"/>
      <c r="JBH212" s="2"/>
      <c r="JBI212" s="442"/>
      <c r="JBJ212" s="442"/>
      <c r="JBK212" s="443"/>
      <c r="JBL212" s="442"/>
      <c r="JBM212" s="442"/>
      <c r="JBN212" s="2"/>
      <c r="JBO212" s="2"/>
      <c r="JBP212" s="2"/>
      <c r="JBQ212" s="2"/>
      <c r="JBR212" s="260"/>
      <c r="JBS212" s="260"/>
      <c r="JBT212" s="260"/>
      <c r="JBU212" s="260"/>
      <c r="JBV212" s="260"/>
      <c r="JBW212" s="260"/>
      <c r="JBX212" s="308"/>
      <c r="JBY212" s="290"/>
      <c r="JBZ212" s="290"/>
      <c r="JCA212" s="260"/>
      <c r="JCB212" s="260"/>
      <c r="JCC212" s="260"/>
      <c r="JCD212" s="260"/>
      <c r="JCE212" s="260"/>
      <c r="JCF212" s="2"/>
      <c r="JCG212" s="2"/>
      <c r="JCH212" s="2"/>
      <c r="JCI212" s="2"/>
      <c r="JCJ212" s="2"/>
      <c r="JCK212" s="2"/>
      <c r="JCL212" s="260"/>
      <c r="JCM212" s="2"/>
      <c r="JCN212" s="2"/>
      <c r="JCO212" s="2"/>
      <c r="JCP212" s="2"/>
      <c r="JCQ212" s="2"/>
      <c r="JCR212" s="2"/>
      <c r="JCS212" s="2"/>
      <c r="JCT212" s="260"/>
      <c r="JCU212" s="260"/>
      <c r="JCV212" s="260"/>
      <c r="JCW212" s="380"/>
      <c r="JCX212" s="380"/>
      <c r="JCY212" s="380"/>
      <c r="JCZ212" s="2"/>
      <c r="JDA212" s="442"/>
      <c r="JDB212" s="442"/>
      <c r="JDC212" s="443"/>
      <c r="JDD212" s="442"/>
      <c r="JDE212" s="442"/>
      <c r="JDF212" s="2"/>
      <c r="JDG212" s="2"/>
      <c r="JDH212" s="2"/>
      <c r="JDI212" s="2"/>
      <c r="JDJ212" s="260"/>
      <c r="JDK212" s="260"/>
      <c r="JDL212" s="260"/>
      <c r="JDM212" s="260"/>
      <c r="JDN212" s="260"/>
      <c r="JDO212" s="260"/>
      <c r="JDP212" s="308"/>
      <c r="JDQ212" s="290"/>
      <c r="JDR212" s="290"/>
      <c r="JDS212" s="260"/>
      <c r="JDT212" s="260"/>
      <c r="JDU212" s="260"/>
      <c r="JDV212" s="260"/>
      <c r="JDW212" s="260"/>
      <c r="JDX212" s="2"/>
      <c r="JDY212" s="2"/>
      <c r="JDZ212" s="2"/>
      <c r="JEA212" s="2"/>
      <c r="JEB212" s="2"/>
      <c r="JEC212" s="2"/>
      <c r="JED212" s="260"/>
      <c r="JEE212" s="2"/>
      <c r="JEF212" s="2"/>
      <c r="JEG212" s="2"/>
      <c r="JEH212" s="2"/>
      <c r="JEI212" s="2"/>
      <c r="JEJ212" s="2"/>
      <c r="JEK212" s="2"/>
      <c r="JEL212" s="260"/>
      <c r="JEM212" s="260"/>
      <c r="JEN212" s="260"/>
      <c r="JEO212" s="380"/>
      <c r="JEP212" s="380"/>
      <c r="JEQ212" s="380"/>
      <c r="JER212" s="2"/>
      <c r="JES212" s="442"/>
      <c r="JET212" s="442"/>
      <c r="JEU212" s="443"/>
      <c r="JEV212" s="442"/>
      <c r="JEW212" s="442"/>
      <c r="JEX212" s="2"/>
      <c r="JEY212" s="2"/>
      <c r="JEZ212" s="2"/>
      <c r="JFA212" s="2"/>
      <c r="JFB212" s="260"/>
      <c r="JFC212" s="260"/>
      <c r="JFD212" s="260"/>
      <c r="JFE212" s="260"/>
      <c r="JFF212" s="260"/>
      <c r="JFG212" s="260"/>
      <c r="JFH212" s="308"/>
      <c r="JFI212" s="290"/>
      <c r="JFJ212" s="290"/>
      <c r="JFK212" s="260"/>
      <c r="JFL212" s="260"/>
      <c r="JFM212" s="260"/>
      <c r="JFN212" s="260"/>
      <c r="JFO212" s="260"/>
      <c r="JFP212" s="2"/>
      <c r="JFQ212" s="2"/>
      <c r="JFR212" s="2"/>
      <c r="JFS212" s="2"/>
      <c r="JFT212" s="2"/>
      <c r="JFU212" s="2"/>
      <c r="JFV212" s="260"/>
      <c r="JFW212" s="2"/>
      <c r="JFX212" s="2"/>
      <c r="JFY212" s="2"/>
      <c r="JFZ212" s="2"/>
      <c r="JGA212" s="2"/>
      <c r="JGB212" s="2"/>
      <c r="JGC212" s="2"/>
      <c r="JGD212" s="260"/>
      <c r="JGE212" s="260"/>
      <c r="JGF212" s="260"/>
      <c r="JGG212" s="380"/>
      <c r="JGH212" s="380"/>
      <c r="JGI212" s="380"/>
      <c r="JGJ212" s="2"/>
      <c r="JGK212" s="442"/>
      <c r="JGL212" s="442"/>
      <c r="JGM212" s="443"/>
      <c r="JGN212" s="442"/>
      <c r="JGO212" s="442"/>
      <c r="JGP212" s="2"/>
      <c r="JGQ212" s="2"/>
      <c r="JGR212" s="2"/>
      <c r="JGS212" s="2"/>
      <c r="JGT212" s="260"/>
      <c r="JGU212" s="260"/>
      <c r="JGV212" s="260"/>
      <c r="JGW212" s="260"/>
      <c r="JGX212" s="260"/>
      <c r="JGY212" s="260"/>
      <c r="JGZ212" s="308"/>
      <c r="JHA212" s="290"/>
      <c r="JHB212" s="290"/>
      <c r="JHC212" s="260"/>
      <c r="JHD212" s="260"/>
      <c r="JHE212" s="260"/>
      <c r="JHF212" s="260"/>
      <c r="JHG212" s="260"/>
      <c r="JHH212" s="2"/>
      <c r="JHI212" s="2"/>
      <c r="JHJ212" s="2"/>
      <c r="JHK212" s="2"/>
      <c r="JHL212" s="2"/>
      <c r="JHM212" s="2"/>
      <c r="JHN212" s="260"/>
      <c r="JHO212" s="2"/>
      <c r="JHP212" s="2"/>
      <c r="JHQ212" s="2"/>
      <c r="JHR212" s="2"/>
      <c r="JHS212" s="2"/>
      <c r="JHT212" s="2"/>
      <c r="JHU212" s="2"/>
      <c r="JHV212" s="260"/>
      <c r="JHW212" s="260"/>
      <c r="JHX212" s="260"/>
      <c r="JHY212" s="380"/>
      <c r="JHZ212" s="380"/>
      <c r="JIA212" s="380"/>
      <c r="JIB212" s="2"/>
      <c r="JIC212" s="442"/>
      <c r="JID212" s="442"/>
      <c r="JIE212" s="443"/>
      <c r="JIF212" s="442"/>
      <c r="JIG212" s="442"/>
      <c r="JIH212" s="2"/>
      <c r="JII212" s="2"/>
      <c r="JIJ212" s="2"/>
      <c r="JIK212" s="2"/>
      <c r="JIL212" s="260"/>
      <c r="JIM212" s="260"/>
      <c r="JIN212" s="260"/>
      <c r="JIO212" s="260"/>
      <c r="JIP212" s="260"/>
      <c r="JIQ212" s="260"/>
      <c r="JIR212" s="308"/>
      <c r="JIS212" s="290"/>
      <c r="JIT212" s="290"/>
      <c r="JIU212" s="260"/>
      <c r="JIV212" s="260"/>
      <c r="JIW212" s="260"/>
      <c r="JIX212" s="260"/>
      <c r="JIY212" s="260"/>
      <c r="JIZ212" s="2"/>
      <c r="JJA212" s="2"/>
      <c r="JJB212" s="2"/>
      <c r="JJC212" s="2"/>
      <c r="JJD212" s="2"/>
      <c r="JJE212" s="2"/>
      <c r="JJF212" s="260"/>
      <c r="JJG212" s="2"/>
      <c r="JJH212" s="2"/>
      <c r="JJI212" s="2"/>
      <c r="JJJ212" s="2"/>
      <c r="JJK212" s="2"/>
      <c r="JJL212" s="2"/>
      <c r="JJM212" s="2"/>
      <c r="JJN212" s="260"/>
      <c r="JJO212" s="260"/>
      <c r="JJP212" s="260"/>
      <c r="JJQ212" s="380"/>
      <c r="JJR212" s="380"/>
      <c r="JJS212" s="380"/>
      <c r="JJT212" s="2"/>
      <c r="JJU212" s="442"/>
      <c r="JJV212" s="442"/>
      <c r="JJW212" s="443"/>
      <c r="JJX212" s="442"/>
      <c r="JJY212" s="442"/>
      <c r="JJZ212" s="2"/>
      <c r="JKA212" s="2"/>
      <c r="JKB212" s="2"/>
      <c r="JKC212" s="2"/>
      <c r="JKD212" s="260"/>
      <c r="JKE212" s="260"/>
      <c r="JKF212" s="260"/>
      <c r="JKG212" s="260"/>
      <c r="JKH212" s="260"/>
      <c r="JKI212" s="260"/>
      <c r="JKJ212" s="308"/>
      <c r="JKK212" s="290"/>
      <c r="JKL212" s="290"/>
      <c r="JKM212" s="260"/>
      <c r="JKN212" s="260"/>
      <c r="JKO212" s="260"/>
      <c r="JKP212" s="260"/>
      <c r="JKQ212" s="260"/>
      <c r="JKR212" s="2"/>
      <c r="JKS212" s="2"/>
      <c r="JKT212" s="2"/>
      <c r="JKU212" s="2"/>
      <c r="JKV212" s="2"/>
      <c r="JKW212" s="2"/>
      <c r="JKX212" s="260"/>
      <c r="JKY212" s="2"/>
      <c r="JKZ212" s="2"/>
      <c r="JLA212" s="2"/>
      <c r="JLB212" s="2"/>
      <c r="JLC212" s="2"/>
      <c r="JLD212" s="2"/>
      <c r="JLE212" s="2"/>
      <c r="JLF212" s="260"/>
      <c r="JLG212" s="260"/>
      <c r="JLH212" s="260"/>
      <c r="JLI212" s="380"/>
      <c r="JLJ212" s="380"/>
      <c r="JLK212" s="380"/>
      <c r="JLL212" s="2"/>
      <c r="JLM212" s="442"/>
      <c r="JLN212" s="442"/>
      <c r="JLO212" s="443"/>
      <c r="JLP212" s="442"/>
      <c r="JLQ212" s="442"/>
      <c r="JLR212" s="2"/>
      <c r="JLS212" s="2"/>
      <c r="JLT212" s="2"/>
      <c r="JLU212" s="2"/>
      <c r="JLV212" s="260"/>
      <c r="JLW212" s="260"/>
      <c r="JLX212" s="260"/>
      <c r="JLY212" s="260"/>
      <c r="JLZ212" s="260"/>
      <c r="JMA212" s="260"/>
      <c r="JMB212" s="308"/>
      <c r="JMC212" s="290"/>
      <c r="JMD212" s="290"/>
      <c r="JME212" s="260"/>
      <c r="JMF212" s="260"/>
      <c r="JMG212" s="260"/>
      <c r="JMH212" s="260"/>
      <c r="JMI212" s="260"/>
      <c r="JMJ212" s="2"/>
      <c r="JMK212" s="2"/>
      <c r="JML212" s="2"/>
      <c r="JMM212" s="2"/>
      <c r="JMN212" s="2"/>
      <c r="JMO212" s="2"/>
      <c r="JMP212" s="260"/>
      <c r="JMQ212" s="2"/>
      <c r="JMR212" s="2"/>
      <c r="JMS212" s="2"/>
      <c r="JMT212" s="2"/>
      <c r="JMU212" s="2"/>
      <c r="JMV212" s="2"/>
      <c r="JMW212" s="2"/>
      <c r="JMX212" s="260"/>
      <c r="JMY212" s="260"/>
      <c r="JMZ212" s="260"/>
      <c r="JNA212" s="380"/>
      <c r="JNB212" s="380"/>
      <c r="JNC212" s="380"/>
      <c r="JND212" s="2"/>
      <c r="JNE212" s="442"/>
      <c r="JNF212" s="442"/>
      <c r="JNG212" s="443"/>
      <c r="JNH212" s="442"/>
      <c r="JNI212" s="442"/>
      <c r="JNJ212" s="2"/>
      <c r="JNK212" s="2"/>
      <c r="JNL212" s="2"/>
      <c r="JNM212" s="2"/>
      <c r="JNN212" s="260"/>
      <c r="JNO212" s="260"/>
      <c r="JNP212" s="260"/>
      <c r="JNQ212" s="260"/>
      <c r="JNR212" s="260"/>
      <c r="JNS212" s="260"/>
      <c r="JNT212" s="308"/>
      <c r="JNU212" s="290"/>
      <c r="JNV212" s="290"/>
      <c r="JNW212" s="260"/>
      <c r="JNX212" s="260"/>
      <c r="JNY212" s="260"/>
      <c r="JNZ212" s="260"/>
      <c r="JOA212" s="260"/>
      <c r="JOB212" s="2"/>
      <c r="JOC212" s="2"/>
      <c r="JOD212" s="2"/>
      <c r="JOE212" s="2"/>
      <c r="JOF212" s="2"/>
      <c r="JOG212" s="2"/>
      <c r="JOH212" s="260"/>
      <c r="JOI212" s="2"/>
      <c r="JOJ212" s="2"/>
      <c r="JOK212" s="2"/>
      <c r="JOL212" s="2"/>
      <c r="JOM212" s="2"/>
      <c r="JON212" s="2"/>
      <c r="JOO212" s="2"/>
      <c r="JOP212" s="260"/>
      <c r="JOQ212" s="260"/>
      <c r="JOR212" s="260"/>
      <c r="JOS212" s="380"/>
      <c r="JOT212" s="380"/>
      <c r="JOU212" s="380"/>
      <c r="JOV212" s="2"/>
      <c r="JOW212" s="442"/>
      <c r="JOX212" s="442"/>
      <c r="JOY212" s="443"/>
      <c r="JOZ212" s="442"/>
      <c r="JPA212" s="442"/>
      <c r="JPB212" s="2"/>
      <c r="JPC212" s="2"/>
      <c r="JPD212" s="2"/>
      <c r="JPE212" s="2"/>
      <c r="JPF212" s="260"/>
      <c r="JPG212" s="260"/>
      <c r="JPH212" s="260"/>
      <c r="JPI212" s="260"/>
      <c r="JPJ212" s="260"/>
      <c r="JPK212" s="260"/>
      <c r="JPL212" s="308"/>
      <c r="JPM212" s="290"/>
      <c r="JPN212" s="290"/>
      <c r="JPO212" s="260"/>
      <c r="JPP212" s="260"/>
      <c r="JPQ212" s="260"/>
      <c r="JPR212" s="260"/>
      <c r="JPS212" s="260"/>
      <c r="JPT212" s="2"/>
      <c r="JPU212" s="2"/>
      <c r="JPV212" s="2"/>
      <c r="JPW212" s="2"/>
      <c r="JPX212" s="2"/>
      <c r="JPY212" s="2"/>
      <c r="JPZ212" s="260"/>
      <c r="JQA212" s="2"/>
      <c r="JQB212" s="2"/>
      <c r="JQC212" s="2"/>
      <c r="JQD212" s="2"/>
      <c r="JQE212" s="2"/>
      <c r="JQF212" s="2"/>
      <c r="JQG212" s="2"/>
      <c r="JQH212" s="260"/>
      <c r="JQI212" s="260"/>
      <c r="JQJ212" s="260"/>
      <c r="JQK212" s="380"/>
      <c r="JQL212" s="380"/>
      <c r="JQM212" s="380"/>
      <c r="JQN212" s="2"/>
      <c r="JQO212" s="442"/>
      <c r="JQP212" s="442"/>
      <c r="JQQ212" s="443"/>
      <c r="JQR212" s="442"/>
      <c r="JQS212" s="442"/>
      <c r="JQT212" s="2"/>
      <c r="JQU212" s="2"/>
      <c r="JQV212" s="2"/>
      <c r="JQW212" s="2"/>
      <c r="JQX212" s="260"/>
      <c r="JQY212" s="260"/>
      <c r="JQZ212" s="260"/>
      <c r="JRA212" s="260"/>
      <c r="JRB212" s="260"/>
      <c r="JRC212" s="260"/>
      <c r="JRD212" s="308"/>
      <c r="JRE212" s="290"/>
      <c r="JRF212" s="290"/>
      <c r="JRG212" s="260"/>
      <c r="JRH212" s="260"/>
      <c r="JRI212" s="260"/>
      <c r="JRJ212" s="260"/>
      <c r="JRK212" s="260"/>
      <c r="JRL212" s="2"/>
      <c r="JRM212" s="2"/>
      <c r="JRN212" s="2"/>
      <c r="JRO212" s="2"/>
      <c r="JRP212" s="2"/>
      <c r="JRQ212" s="2"/>
      <c r="JRR212" s="260"/>
      <c r="JRS212" s="2"/>
      <c r="JRT212" s="2"/>
      <c r="JRU212" s="2"/>
      <c r="JRV212" s="2"/>
      <c r="JRW212" s="2"/>
      <c r="JRX212" s="2"/>
      <c r="JRY212" s="2"/>
      <c r="JRZ212" s="260"/>
      <c r="JSA212" s="260"/>
      <c r="JSB212" s="260"/>
      <c r="JSC212" s="380"/>
      <c r="JSD212" s="380"/>
      <c r="JSE212" s="380"/>
      <c r="JSF212" s="2"/>
      <c r="JSG212" s="442"/>
      <c r="JSH212" s="442"/>
      <c r="JSI212" s="443"/>
      <c r="JSJ212" s="442"/>
      <c r="JSK212" s="442"/>
      <c r="JSL212" s="2"/>
      <c r="JSM212" s="2"/>
      <c r="JSN212" s="2"/>
      <c r="JSO212" s="2"/>
      <c r="JSP212" s="260"/>
      <c r="JSQ212" s="260"/>
      <c r="JSR212" s="260"/>
      <c r="JSS212" s="260"/>
      <c r="JST212" s="260"/>
      <c r="JSU212" s="260"/>
      <c r="JSV212" s="308"/>
      <c r="JSW212" s="290"/>
      <c r="JSX212" s="290"/>
      <c r="JSY212" s="260"/>
      <c r="JSZ212" s="260"/>
      <c r="JTA212" s="260"/>
      <c r="JTB212" s="260"/>
      <c r="JTC212" s="260"/>
      <c r="JTD212" s="2"/>
      <c r="JTE212" s="2"/>
      <c r="JTF212" s="2"/>
      <c r="JTG212" s="2"/>
      <c r="JTH212" s="2"/>
      <c r="JTI212" s="2"/>
      <c r="JTJ212" s="260"/>
      <c r="JTK212" s="2"/>
      <c r="JTL212" s="2"/>
      <c r="JTM212" s="2"/>
      <c r="JTN212" s="2"/>
      <c r="JTO212" s="2"/>
      <c r="JTP212" s="2"/>
      <c r="JTQ212" s="2"/>
      <c r="JTR212" s="260"/>
      <c r="JTS212" s="260"/>
      <c r="JTT212" s="260"/>
      <c r="JTU212" s="380"/>
      <c r="JTV212" s="380"/>
      <c r="JTW212" s="380"/>
      <c r="JTX212" s="2"/>
      <c r="JTY212" s="442"/>
      <c r="JTZ212" s="442"/>
      <c r="JUA212" s="443"/>
      <c r="JUB212" s="442"/>
      <c r="JUC212" s="442"/>
      <c r="JUD212" s="2"/>
      <c r="JUE212" s="2"/>
      <c r="JUF212" s="2"/>
      <c r="JUG212" s="2"/>
      <c r="JUH212" s="260"/>
      <c r="JUI212" s="260"/>
      <c r="JUJ212" s="260"/>
      <c r="JUK212" s="260"/>
      <c r="JUL212" s="260"/>
      <c r="JUM212" s="260"/>
      <c r="JUN212" s="308"/>
      <c r="JUO212" s="290"/>
      <c r="JUP212" s="290"/>
      <c r="JUQ212" s="260"/>
      <c r="JUR212" s="260"/>
      <c r="JUS212" s="260"/>
      <c r="JUT212" s="260"/>
      <c r="JUU212" s="260"/>
      <c r="JUV212" s="2"/>
      <c r="JUW212" s="2"/>
      <c r="JUX212" s="2"/>
      <c r="JUY212" s="2"/>
      <c r="JUZ212" s="2"/>
      <c r="JVA212" s="2"/>
      <c r="JVB212" s="260"/>
      <c r="JVC212" s="2"/>
      <c r="JVD212" s="2"/>
      <c r="JVE212" s="2"/>
      <c r="JVF212" s="2"/>
      <c r="JVG212" s="2"/>
      <c r="JVH212" s="2"/>
      <c r="JVI212" s="2"/>
      <c r="JVJ212" s="260"/>
      <c r="JVK212" s="260"/>
      <c r="JVL212" s="260"/>
      <c r="JVM212" s="380"/>
      <c r="JVN212" s="380"/>
      <c r="JVO212" s="380"/>
      <c r="JVP212" s="2"/>
      <c r="JVQ212" s="442"/>
      <c r="JVR212" s="442"/>
      <c r="JVS212" s="443"/>
      <c r="JVT212" s="442"/>
      <c r="JVU212" s="442"/>
      <c r="JVV212" s="2"/>
      <c r="JVW212" s="2"/>
      <c r="JVX212" s="2"/>
      <c r="JVY212" s="2"/>
      <c r="JVZ212" s="260"/>
      <c r="JWA212" s="260"/>
      <c r="JWB212" s="260"/>
      <c r="JWC212" s="260"/>
      <c r="JWD212" s="260"/>
      <c r="JWE212" s="260"/>
      <c r="JWF212" s="308"/>
      <c r="JWG212" s="290"/>
      <c r="JWH212" s="290"/>
      <c r="JWI212" s="260"/>
      <c r="JWJ212" s="260"/>
      <c r="JWK212" s="260"/>
      <c r="JWL212" s="260"/>
      <c r="JWM212" s="260"/>
      <c r="JWN212" s="2"/>
      <c r="JWO212" s="2"/>
      <c r="JWP212" s="2"/>
      <c r="JWQ212" s="2"/>
      <c r="JWR212" s="2"/>
      <c r="JWS212" s="2"/>
      <c r="JWT212" s="260"/>
      <c r="JWU212" s="2"/>
      <c r="JWV212" s="2"/>
      <c r="JWW212" s="2"/>
      <c r="JWX212" s="2"/>
      <c r="JWY212" s="2"/>
      <c r="JWZ212" s="2"/>
      <c r="JXA212" s="2"/>
      <c r="JXB212" s="260"/>
      <c r="JXC212" s="260"/>
      <c r="JXD212" s="260"/>
      <c r="JXE212" s="380"/>
      <c r="JXF212" s="380"/>
      <c r="JXG212" s="380"/>
      <c r="JXH212" s="2"/>
      <c r="JXI212" s="442"/>
      <c r="JXJ212" s="442"/>
      <c r="JXK212" s="443"/>
      <c r="JXL212" s="442"/>
      <c r="JXM212" s="442"/>
      <c r="JXN212" s="2"/>
      <c r="JXO212" s="2"/>
      <c r="JXP212" s="2"/>
      <c r="JXQ212" s="2"/>
      <c r="JXR212" s="260"/>
      <c r="JXS212" s="260"/>
      <c r="JXT212" s="260"/>
      <c r="JXU212" s="260"/>
      <c r="JXV212" s="260"/>
      <c r="JXW212" s="260"/>
      <c r="JXX212" s="308"/>
      <c r="JXY212" s="290"/>
      <c r="JXZ212" s="290"/>
      <c r="JYA212" s="260"/>
      <c r="JYB212" s="260"/>
      <c r="JYC212" s="260"/>
      <c r="JYD212" s="260"/>
      <c r="JYE212" s="260"/>
      <c r="JYF212" s="2"/>
      <c r="JYG212" s="2"/>
      <c r="JYH212" s="2"/>
      <c r="JYI212" s="2"/>
      <c r="JYJ212" s="2"/>
      <c r="JYK212" s="2"/>
      <c r="JYL212" s="260"/>
      <c r="JYM212" s="2"/>
      <c r="JYN212" s="2"/>
      <c r="JYO212" s="2"/>
      <c r="JYP212" s="2"/>
      <c r="JYQ212" s="2"/>
      <c r="JYR212" s="2"/>
      <c r="JYS212" s="2"/>
      <c r="JYT212" s="260"/>
      <c r="JYU212" s="260"/>
      <c r="JYV212" s="260"/>
      <c r="JYW212" s="380"/>
      <c r="JYX212" s="380"/>
      <c r="JYY212" s="380"/>
      <c r="JYZ212" s="2"/>
      <c r="JZA212" s="442"/>
      <c r="JZB212" s="442"/>
      <c r="JZC212" s="443"/>
      <c r="JZD212" s="442"/>
      <c r="JZE212" s="442"/>
      <c r="JZF212" s="2"/>
      <c r="JZG212" s="2"/>
      <c r="JZH212" s="2"/>
      <c r="JZI212" s="2"/>
      <c r="JZJ212" s="260"/>
      <c r="JZK212" s="260"/>
      <c r="JZL212" s="260"/>
      <c r="JZM212" s="260"/>
      <c r="JZN212" s="260"/>
      <c r="JZO212" s="260"/>
      <c r="JZP212" s="308"/>
      <c r="JZQ212" s="290"/>
      <c r="JZR212" s="290"/>
      <c r="JZS212" s="260"/>
      <c r="JZT212" s="260"/>
      <c r="JZU212" s="260"/>
      <c r="JZV212" s="260"/>
      <c r="JZW212" s="260"/>
      <c r="JZX212" s="2"/>
      <c r="JZY212" s="2"/>
      <c r="JZZ212" s="2"/>
      <c r="KAA212" s="2"/>
      <c r="KAB212" s="2"/>
      <c r="KAC212" s="2"/>
      <c r="KAD212" s="260"/>
      <c r="KAE212" s="2"/>
      <c r="KAF212" s="2"/>
      <c r="KAG212" s="2"/>
      <c r="KAH212" s="2"/>
      <c r="KAI212" s="2"/>
      <c r="KAJ212" s="2"/>
      <c r="KAK212" s="2"/>
      <c r="KAL212" s="260"/>
      <c r="KAM212" s="260"/>
      <c r="KAN212" s="260"/>
      <c r="KAO212" s="380"/>
      <c r="KAP212" s="380"/>
      <c r="KAQ212" s="380"/>
      <c r="KAR212" s="2"/>
      <c r="KAS212" s="442"/>
      <c r="KAT212" s="442"/>
      <c r="KAU212" s="443"/>
      <c r="KAV212" s="442"/>
      <c r="KAW212" s="442"/>
      <c r="KAX212" s="2"/>
      <c r="KAY212" s="2"/>
      <c r="KAZ212" s="2"/>
      <c r="KBA212" s="2"/>
      <c r="KBB212" s="260"/>
      <c r="KBC212" s="260"/>
      <c r="KBD212" s="260"/>
      <c r="KBE212" s="260"/>
      <c r="KBF212" s="260"/>
      <c r="KBG212" s="260"/>
      <c r="KBH212" s="308"/>
      <c r="KBI212" s="290"/>
      <c r="KBJ212" s="290"/>
      <c r="KBK212" s="260"/>
      <c r="KBL212" s="260"/>
      <c r="KBM212" s="260"/>
      <c r="KBN212" s="260"/>
      <c r="KBO212" s="260"/>
      <c r="KBP212" s="2"/>
      <c r="KBQ212" s="2"/>
      <c r="KBR212" s="2"/>
      <c r="KBS212" s="2"/>
      <c r="KBT212" s="2"/>
      <c r="KBU212" s="2"/>
      <c r="KBV212" s="260"/>
      <c r="KBW212" s="2"/>
      <c r="KBX212" s="2"/>
      <c r="KBY212" s="2"/>
      <c r="KBZ212" s="2"/>
      <c r="KCA212" s="2"/>
      <c r="KCB212" s="2"/>
      <c r="KCC212" s="2"/>
      <c r="KCD212" s="260"/>
      <c r="KCE212" s="260"/>
      <c r="KCF212" s="260"/>
      <c r="KCG212" s="380"/>
      <c r="KCH212" s="380"/>
      <c r="KCI212" s="380"/>
      <c r="KCJ212" s="2"/>
      <c r="KCK212" s="442"/>
      <c r="KCL212" s="442"/>
      <c r="KCM212" s="443"/>
      <c r="KCN212" s="442"/>
      <c r="KCO212" s="442"/>
      <c r="KCP212" s="2"/>
      <c r="KCQ212" s="2"/>
      <c r="KCR212" s="2"/>
      <c r="KCS212" s="2"/>
      <c r="KCT212" s="260"/>
      <c r="KCU212" s="260"/>
      <c r="KCV212" s="260"/>
      <c r="KCW212" s="260"/>
      <c r="KCX212" s="260"/>
      <c r="KCY212" s="260"/>
      <c r="KCZ212" s="308"/>
      <c r="KDA212" s="290"/>
      <c r="KDB212" s="290"/>
      <c r="KDC212" s="260"/>
      <c r="KDD212" s="260"/>
      <c r="KDE212" s="260"/>
      <c r="KDF212" s="260"/>
      <c r="KDG212" s="260"/>
      <c r="KDH212" s="2"/>
      <c r="KDI212" s="2"/>
      <c r="KDJ212" s="2"/>
      <c r="KDK212" s="2"/>
      <c r="KDL212" s="2"/>
      <c r="KDM212" s="2"/>
      <c r="KDN212" s="260"/>
      <c r="KDO212" s="2"/>
      <c r="KDP212" s="2"/>
      <c r="KDQ212" s="2"/>
      <c r="KDR212" s="2"/>
      <c r="KDS212" s="2"/>
      <c r="KDT212" s="2"/>
      <c r="KDU212" s="2"/>
      <c r="KDV212" s="260"/>
      <c r="KDW212" s="260"/>
      <c r="KDX212" s="260"/>
      <c r="KDY212" s="380"/>
      <c r="KDZ212" s="380"/>
      <c r="KEA212" s="380"/>
      <c r="KEB212" s="2"/>
      <c r="KEC212" s="442"/>
      <c r="KED212" s="442"/>
      <c r="KEE212" s="443"/>
      <c r="KEF212" s="442"/>
      <c r="KEG212" s="442"/>
      <c r="KEH212" s="2"/>
      <c r="KEI212" s="2"/>
      <c r="KEJ212" s="2"/>
      <c r="KEK212" s="2"/>
      <c r="KEL212" s="260"/>
      <c r="KEM212" s="260"/>
      <c r="KEN212" s="260"/>
      <c r="KEO212" s="260"/>
      <c r="KEP212" s="260"/>
      <c r="KEQ212" s="260"/>
      <c r="KER212" s="308"/>
      <c r="KES212" s="290"/>
      <c r="KET212" s="290"/>
      <c r="KEU212" s="260"/>
      <c r="KEV212" s="260"/>
      <c r="KEW212" s="260"/>
      <c r="KEX212" s="260"/>
      <c r="KEY212" s="260"/>
      <c r="KEZ212" s="2"/>
      <c r="KFA212" s="2"/>
      <c r="KFB212" s="2"/>
      <c r="KFC212" s="2"/>
      <c r="KFD212" s="2"/>
      <c r="KFE212" s="2"/>
      <c r="KFF212" s="260"/>
      <c r="KFG212" s="2"/>
      <c r="KFH212" s="2"/>
      <c r="KFI212" s="2"/>
      <c r="KFJ212" s="2"/>
      <c r="KFK212" s="2"/>
      <c r="KFL212" s="2"/>
      <c r="KFM212" s="2"/>
      <c r="KFN212" s="260"/>
      <c r="KFO212" s="260"/>
      <c r="KFP212" s="260"/>
      <c r="KFQ212" s="380"/>
      <c r="KFR212" s="380"/>
      <c r="KFS212" s="380"/>
      <c r="KFT212" s="2"/>
      <c r="KFU212" s="442"/>
      <c r="KFV212" s="442"/>
      <c r="KFW212" s="443"/>
      <c r="KFX212" s="442"/>
      <c r="KFY212" s="442"/>
      <c r="KFZ212" s="2"/>
      <c r="KGA212" s="2"/>
      <c r="KGB212" s="2"/>
      <c r="KGC212" s="2"/>
      <c r="KGD212" s="260"/>
      <c r="KGE212" s="260"/>
      <c r="KGF212" s="260"/>
      <c r="KGG212" s="260"/>
      <c r="KGH212" s="260"/>
      <c r="KGI212" s="260"/>
      <c r="KGJ212" s="308"/>
      <c r="KGK212" s="290"/>
      <c r="KGL212" s="290"/>
      <c r="KGM212" s="260"/>
      <c r="KGN212" s="260"/>
      <c r="KGO212" s="260"/>
      <c r="KGP212" s="260"/>
      <c r="KGQ212" s="260"/>
      <c r="KGR212" s="2"/>
      <c r="KGS212" s="2"/>
      <c r="KGT212" s="2"/>
      <c r="KGU212" s="2"/>
      <c r="KGV212" s="2"/>
      <c r="KGW212" s="2"/>
      <c r="KGX212" s="260"/>
      <c r="KGY212" s="2"/>
      <c r="KGZ212" s="2"/>
      <c r="KHA212" s="2"/>
      <c r="KHB212" s="2"/>
      <c r="KHC212" s="2"/>
      <c r="KHD212" s="2"/>
      <c r="KHE212" s="2"/>
      <c r="KHF212" s="260"/>
      <c r="KHG212" s="260"/>
      <c r="KHH212" s="260"/>
      <c r="KHI212" s="380"/>
      <c r="KHJ212" s="380"/>
      <c r="KHK212" s="380"/>
      <c r="KHL212" s="2"/>
      <c r="KHM212" s="442"/>
      <c r="KHN212" s="442"/>
      <c r="KHO212" s="443"/>
      <c r="KHP212" s="442"/>
      <c r="KHQ212" s="442"/>
      <c r="KHR212" s="2"/>
      <c r="KHS212" s="2"/>
      <c r="KHT212" s="2"/>
      <c r="KHU212" s="2"/>
      <c r="KHV212" s="260"/>
      <c r="KHW212" s="260"/>
      <c r="KHX212" s="260"/>
      <c r="KHY212" s="260"/>
      <c r="KHZ212" s="260"/>
      <c r="KIA212" s="260"/>
      <c r="KIB212" s="308"/>
      <c r="KIC212" s="290"/>
      <c r="KID212" s="290"/>
      <c r="KIE212" s="260"/>
      <c r="KIF212" s="260"/>
      <c r="KIG212" s="260"/>
      <c r="KIH212" s="260"/>
      <c r="KII212" s="260"/>
      <c r="KIJ212" s="2"/>
      <c r="KIK212" s="2"/>
      <c r="KIL212" s="2"/>
      <c r="KIM212" s="2"/>
      <c r="KIN212" s="2"/>
      <c r="KIO212" s="2"/>
      <c r="KIP212" s="260"/>
      <c r="KIQ212" s="2"/>
      <c r="KIR212" s="2"/>
      <c r="KIS212" s="2"/>
      <c r="KIT212" s="2"/>
      <c r="KIU212" s="2"/>
      <c r="KIV212" s="2"/>
      <c r="KIW212" s="2"/>
      <c r="KIX212" s="260"/>
      <c r="KIY212" s="260"/>
      <c r="KIZ212" s="260"/>
      <c r="KJA212" s="380"/>
      <c r="KJB212" s="380"/>
      <c r="KJC212" s="380"/>
      <c r="KJD212" s="2"/>
      <c r="KJE212" s="442"/>
      <c r="KJF212" s="442"/>
      <c r="KJG212" s="443"/>
      <c r="KJH212" s="442"/>
      <c r="KJI212" s="442"/>
      <c r="KJJ212" s="2"/>
      <c r="KJK212" s="2"/>
      <c r="KJL212" s="2"/>
      <c r="KJM212" s="2"/>
      <c r="KJN212" s="260"/>
      <c r="KJO212" s="260"/>
      <c r="KJP212" s="260"/>
      <c r="KJQ212" s="260"/>
      <c r="KJR212" s="260"/>
      <c r="KJS212" s="260"/>
      <c r="KJT212" s="308"/>
      <c r="KJU212" s="290"/>
      <c r="KJV212" s="290"/>
      <c r="KJW212" s="260"/>
      <c r="KJX212" s="260"/>
      <c r="KJY212" s="260"/>
      <c r="KJZ212" s="260"/>
      <c r="KKA212" s="260"/>
      <c r="KKB212" s="2"/>
      <c r="KKC212" s="2"/>
      <c r="KKD212" s="2"/>
      <c r="KKE212" s="2"/>
      <c r="KKF212" s="2"/>
      <c r="KKG212" s="2"/>
      <c r="KKH212" s="260"/>
      <c r="KKI212" s="2"/>
      <c r="KKJ212" s="2"/>
      <c r="KKK212" s="2"/>
      <c r="KKL212" s="2"/>
      <c r="KKM212" s="2"/>
      <c r="KKN212" s="2"/>
      <c r="KKO212" s="2"/>
      <c r="KKP212" s="260"/>
      <c r="KKQ212" s="260"/>
      <c r="KKR212" s="260"/>
      <c r="KKS212" s="380"/>
      <c r="KKT212" s="380"/>
      <c r="KKU212" s="380"/>
      <c r="KKV212" s="2"/>
      <c r="KKW212" s="442"/>
      <c r="KKX212" s="442"/>
      <c r="KKY212" s="443"/>
      <c r="KKZ212" s="442"/>
      <c r="KLA212" s="442"/>
      <c r="KLB212" s="2"/>
      <c r="KLC212" s="2"/>
      <c r="KLD212" s="2"/>
      <c r="KLE212" s="2"/>
      <c r="KLF212" s="260"/>
      <c r="KLG212" s="260"/>
      <c r="KLH212" s="260"/>
      <c r="KLI212" s="260"/>
      <c r="KLJ212" s="260"/>
      <c r="KLK212" s="260"/>
      <c r="KLL212" s="308"/>
      <c r="KLM212" s="290"/>
      <c r="KLN212" s="290"/>
      <c r="KLO212" s="260"/>
      <c r="KLP212" s="260"/>
      <c r="KLQ212" s="260"/>
      <c r="KLR212" s="260"/>
      <c r="KLS212" s="260"/>
      <c r="KLT212" s="2"/>
      <c r="KLU212" s="2"/>
      <c r="KLV212" s="2"/>
      <c r="KLW212" s="2"/>
      <c r="KLX212" s="2"/>
      <c r="KLY212" s="2"/>
      <c r="KLZ212" s="260"/>
      <c r="KMA212" s="2"/>
      <c r="KMB212" s="2"/>
      <c r="KMC212" s="2"/>
      <c r="KMD212" s="2"/>
      <c r="KME212" s="2"/>
      <c r="KMF212" s="2"/>
      <c r="KMG212" s="2"/>
      <c r="KMH212" s="260"/>
      <c r="KMI212" s="260"/>
      <c r="KMJ212" s="260"/>
      <c r="KMK212" s="380"/>
      <c r="KML212" s="380"/>
      <c r="KMM212" s="380"/>
      <c r="KMN212" s="2"/>
      <c r="KMO212" s="442"/>
      <c r="KMP212" s="442"/>
      <c r="KMQ212" s="443"/>
      <c r="KMR212" s="442"/>
      <c r="KMS212" s="442"/>
      <c r="KMT212" s="2"/>
      <c r="KMU212" s="2"/>
      <c r="KMV212" s="2"/>
      <c r="KMW212" s="2"/>
      <c r="KMX212" s="260"/>
      <c r="KMY212" s="260"/>
      <c r="KMZ212" s="260"/>
      <c r="KNA212" s="260"/>
      <c r="KNB212" s="260"/>
      <c r="KNC212" s="260"/>
      <c r="KND212" s="308"/>
      <c r="KNE212" s="290"/>
      <c r="KNF212" s="290"/>
      <c r="KNG212" s="260"/>
      <c r="KNH212" s="260"/>
      <c r="KNI212" s="260"/>
      <c r="KNJ212" s="260"/>
      <c r="KNK212" s="260"/>
      <c r="KNL212" s="2"/>
      <c r="KNM212" s="2"/>
      <c r="KNN212" s="2"/>
      <c r="KNO212" s="2"/>
      <c r="KNP212" s="2"/>
      <c r="KNQ212" s="2"/>
      <c r="KNR212" s="260"/>
      <c r="KNS212" s="2"/>
      <c r="KNT212" s="2"/>
      <c r="KNU212" s="2"/>
      <c r="KNV212" s="2"/>
      <c r="KNW212" s="2"/>
      <c r="KNX212" s="2"/>
      <c r="KNY212" s="2"/>
      <c r="KNZ212" s="260"/>
      <c r="KOA212" s="260"/>
      <c r="KOB212" s="260"/>
      <c r="KOC212" s="380"/>
      <c r="KOD212" s="380"/>
      <c r="KOE212" s="380"/>
      <c r="KOF212" s="2"/>
      <c r="KOG212" s="442"/>
      <c r="KOH212" s="442"/>
      <c r="KOI212" s="443"/>
      <c r="KOJ212" s="442"/>
      <c r="KOK212" s="442"/>
      <c r="KOL212" s="2"/>
      <c r="KOM212" s="2"/>
      <c r="KON212" s="2"/>
      <c r="KOO212" s="2"/>
      <c r="KOP212" s="260"/>
      <c r="KOQ212" s="260"/>
      <c r="KOR212" s="260"/>
      <c r="KOS212" s="260"/>
      <c r="KOT212" s="260"/>
      <c r="KOU212" s="260"/>
      <c r="KOV212" s="308"/>
      <c r="KOW212" s="290"/>
      <c r="KOX212" s="290"/>
      <c r="KOY212" s="260"/>
      <c r="KOZ212" s="260"/>
      <c r="KPA212" s="260"/>
      <c r="KPB212" s="260"/>
      <c r="KPC212" s="260"/>
      <c r="KPD212" s="2"/>
      <c r="KPE212" s="2"/>
      <c r="KPF212" s="2"/>
      <c r="KPG212" s="2"/>
      <c r="KPH212" s="2"/>
      <c r="KPI212" s="2"/>
      <c r="KPJ212" s="260"/>
      <c r="KPK212" s="2"/>
      <c r="KPL212" s="2"/>
      <c r="KPM212" s="2"/>
      <c r="KPN212" s="2"/>
      <c r="KPO212" s="2"/>
      <c r="KPP212" s="2"/>
      <c r="KPQ212" s="2"/>
      <c r="KPR212" s="260"/>
      <c r="KPS212" s="260"/>
      <c r="KPT212" s="260"/>
      <c r="KPU212" s="380"/>
      <c r="KPV212" s="380"/>
      <c r="KPW212" s="380"/>
      <c r="KPX212" s="2"/>
      <c r="KPY212" s="442"/>
      <c r="KPZ212" s="442"/>
      <c r="KQA212" s="443"/>
      <c r="KQB212" s="442"/>
      <c r="KQC212" s="442"/>
      <c r="KQD212" s="2"/>
      <c r="KQE212" s="2"/>
      <c r="KQF212" s="2"/>
      <c r="KQG212" s="2"/>
      <c r="KQH212" s="260"/>
      <c r="KQI212" s="260"/>
      <c r="KQJ212" s="260"/>
      <c r="KQK212" s="260"/>
      <c r="KQL212" s="260"/>
      <c r="KQM212" s="260"/>
      <c r="KQN212" s="308"/>
      <c r="KQO212" s="290"/>
      <c r="KQP212" s="290"/>
      <c r="KQQ212" s="260"/>
      <c r="KQR212" s="260"/>
      <c r="KQS212" s="260"/>
      <c r="KQT212" s="260"/>
      <c r="KQU212" s="260"/>
      <c r="KQV212" s="2"/>
      <c r="KQW212" s="2"/>
      <c r="KQX212" s="2"/>
      <c r="KQY212" s="2"/>
      <c r="KQZ212" s="2"/>
      <c r="KRA212" s="2"/>
      <c r="KRB212" s="260"/>
      <c r="KRC212" s="2"/>
      <c r="KRD212" s="2"/>
      <c r="KRE212" s="2"/>
      <c r="KRF212" s="2"/>
      <c r="KRG212" s="2"/>
      <c r="KRH212" s="2"/>
      <c r="KRI212" s="2"/>
      <c r="KRJ212" s="260"/>
      <c r="KRK212" s="260"/>
      <c r="KRL212" s="260"/>
      <c r="KRM212" s="380"/>
      <c r="KRN212" s="380"/>
      <c r="KRO212" s="380"/>
      <c r="KRP212" s="2"/>
      <c r="KRQ212" s="442"/>
      <c r="KRR212" s="442"/>
      <c r="KRS212" s="443"/>
      <c r="KRT212" s="442"/>
      <c r="KRU212" s="442"/>
      <c r="KRV212" s="2"/>
      <c r="KRW212" s="2"/>
      <c r="KRX212" s="2"/>
      <c r="KRY212" s="2"/>
      <c r="KRZ212" s="260"/>
      <c r="KSA212" s="260"/>
      <c r="KSB212" s="260"/>
      <c r="KSC212" s="260"/>
      <c r="KSD212" s="260"/>
      <c r="KSE212" s="260"/>
      <c r="KSF212" s="308"/>
      <c r="KSG212" s="290"/>
      <c r="KSH212" s="290"/>
      <c r="KSI212" s="260"/>
      <c r="KSJ212" s="260"/>
      <c r="KSK212" s="260"/>
      <c r="KSL212" s="260"/>
      <c r="KSM212" s="260"/>
      <c r="KSN212" s="2"/>
      <c r="KSO212" s="2"/>
      <c r="KSP212" s="2"/>
      <c r="KSQ212" s="2"/>
      <c r="KSR212" s="2"/>
      <c r="KSS212" s="2"/>
      <c r="KST212" s="260"/>
      <c r="KSU212" s="2"/>
      <c r="KSV212" s="2"/>
      <c r="KSW212" s="2"/>
      <c r="KSX212" s="2"/>
      <c r="KSY212" s="2"/>
      <c r="KSZ212" s="2"/>
      <c r="KTA212" s="2"/>
      <c r="KTB212" s="260"/>
      <c r="KTC212" s="260"/>
      <c r="KTD212" s="260"/>
      <c r="KTE212" s="380"/>
      <c r="KTF212" s="380"/>
      <c r="KTG212" s="380"/>
      <c r="KTH212" s="2"/>
      <c r="KTI212" s="442"/>
      <c r="KTJ212" s="442"/>
      <c r="KTK212" s="443"/>
      <c r="KTL212" s="442"/>
      <c r="KTM212" s="442"/>
      <c r="KTN212" s="2"/>
      <c r="KTO212" s="2"/>
      <c r="KTP212" s="2"/>
      <c r="KTQ212" s="2"/>
      <c r="KTR212" s="260"/>
      <c r="KTS212" s="260"/>
      <c r="KTT212" s="260"/>
      <c r="KTU212" s="260"/>
      <c r="KTV212" s="260"/>
      <c r="KTW212" s="260"/>
      <c r="KTX212" s="308"/>
      <c r="KTY212" s="290"/>
      <c r="KTZ212" s="290"/>
      <c r="KUA212" s="260"/>
      <c r="KUB212" s="260"/>
      <c r="KUC212" s="260"/>
      <c r="KUD212" s="260"/>
      <c r="KUE212" s="260"/>
      <c r="KUF212" s="2"/>
      <c r="KUG212" s="2"/>
      <c r="KUH212" s="2"/>
      <c r="KUI212" s="2"/>
      <c r="KUJ212" s="2"/>
      <c r="KUK212" s="2"/>
      <c r="KUL212" s="260"/>
      <c r="KUM212" s="2"/>
      <c r="KUN212" s="2"/>
      <c r="KUO212" s="2"/>
      <c r="KUP212" s="2"/>
      <c r="KUQ212" s="2"/>
      <c r="KUR212" s="2"/>
      <c r="KUS212" s="2"/>
      <c r="KUT212" s="260"/>
      <c r="KUU212" s="260"/>
      <c r="KUV212" s="260"/>
      <c r="KUW212" s="380"/>
      <c r="KUX212" s="380"/>
      <c r="KUY212" s="380"/>
      <c r="KUZ212" s="2"/>
      <c r="KVA212" s="442"/>
      <c r="KVB212" s="442"/>
      <c r="KVC212" s="443"/>
      <c r="KVD212" s="442"/>
      <c r="KVE212" s="442"/>
      <c r="KVF212" s="2"/>
      <c r="KVG212" s="2"/>
      <c r="KVH212" s="2"/>
      <c r="KVI212" s="2"/>
      <c r="KVJ212" s="260"/>
      <c r="KVK212" s="260"/>
      <c r="KVL212" s="260"/>
      <c r="KVM212" s="260"/>
      <c r="KVN212" s="260"/>
      <c r="KVO212" s="260"/>
      <c r="KVP212" s="308"/>
      <c r="KVQ212" s="290"/>
      <c r="KVR212" s="290"/>
      <c r="KVS212" s="260"/>
      <c r="KVT212" s="260"/>
      <c r="KVU212" s="260"/>
      <c r="KVV212" s="260"/>
      <c r="KVW212" s="260"/>
      <c r="KVX212" s="2"/>
      <c r="KVY212" s="2"/>
      <c r="KVZ212" s="2"/>
      <c r="KWA212" s="2"/>
      <c r="KWB212" s="2"/>
      <c r="KWC212" s="2"/>
      <c r="KWD212" s="260"/>
      <c r="KWE212" s="2"/>
      <c r="KWF212" s="2"/>
      <c r="KWG212" s="2"/>
      <c r="KWH212" s="2"/>
      <c r="KWI212" s="2"/>
      <c r="KWJ212" s="2"/>
      <c r="KWK212" s="2"/>
      <c r="KWL212" s="260"/>
      <c r="KWM212" s="260"/>
      <c r="KWN212" s="260"/>
      <c r="KWO212" s="380"/>
      <c r="KWP212" s="380"/>
      <c r="KWQ212" s="380"/>
      <c r="KWR212" s="2"/>
      <c r="KWS212" s="442"/>
      <c r="KWT212" s="442"/>
      <c r="KWU212" s="443"/>
      <c r="KWV212" s="442"/>
      <c r="KWW212" s="442"/>
      <c r="KWX212" s="2"/>
      <c r="KWY212" s="2"/>
      <c r="KWZ212" s="2"/>
      <c r="KXA212" s="2"/>
      <c r="KXB212" s="260"/>
      <c r="KXC212" s="260"/>
      <c r="KXD212" s="260"/>
      <c r="KXE212" s="260"/>
      <c r="KXF212" s="260"/>
      <c r="KXG212" s="260"/>
      <c r="KXH212" s="308"/>
      <c r="KXI212" s="290"/>
      <c r="KXJ212" s="290"/>
      <c r="KXK212" s="260"/>
      <c r="KXL212" s="260"/>
      <c r="KXM212" s="260"/>
      <c r="KXN212" s="260"/>
      <c r="KXO212" s="260"/>
      <c r="KXP212" s="2"/>
      <c r="KXQ212" s="2"/>
      <c r="KXR212" s="2"/>
      <c r="KXS212" s="2"/>
      <c r="KXT212" s="2"/>
      <c r="KXU212" s="2"/>
      <c r="KXV212" s="260"/>
      <c r="KXW212" s="2"/>
      <c r="KXX212" s="2"/>
      <c r="KXY212" s="2"/>
      <c r="KXZ212" s="2"/>
      <c r="KYA212" s="2"/>
      <c r="KYB212" s="2"/>
      <c r="KYC212" s="2"/>
      <c r="KYD212" s="260"/>
      <c r="KYE212" s="260"/>
      <c r="KYF212" s="260"/>
      <c r="KYG212" s="380"/>
      <c r="KYH212" s="380"/>
      <c r="KYI212" s="380"/>
      <c r="KYJ212" s="2"/>
      <c r="KYK212" s="442"/>
      <c r="KYL212" s="442"/>
      <c r="KYM212" s="443"/>
      <c r="KYN212" s="442"/>
      <c r="KYO212" s="442"/>
      <c r="KYP212" s="2"/>
      <c r="KYQ212" s="2"/>
      <c r="KYR212" s="2"/>
      <c r="KYS212" s="2"/>
      <c r="KYT212" s="260"/>
      <c r="KYU212" s="260"/>
      <c r="KYV212" s="260"/>
      <c r="KYW212" s="260"/>
      <c r="KYX212" s="260"/>
      <c r="KYY212" s="260"/>
      <c r="KYZ212" s="308"/>
      <c r="KZA212" s="290"/>
      <c r="KZB212" s="290"/>
      <c r="KZC212" s="260"/>
      <c r="KZD212" s="260"/>
      <c r="KZE212" s="260"/>
      <c r="KZF212" s="260"/>
      <c r="KZG212" s="260"/>
      <c r="KZH212" s="2"/>
      <c r="KZI212" s="2"/>
      <c r="KZJ212" s="2"/>
      <c r="KZK212" s="2"/>
      <c r="KZL212" s="2"/>
      <c r="KZM212" s="2"/>
      <c r="KZN212" s="260"/>
      <c r="KZO212" s="2"/>
      <c r="KZP212" s="2"/>
      <c r="KZQ212" s="2"/>
      <c r="KZR212" s="2"/>
      <c r="KZS212" s="2"/>
      <c r="KZT212" s="2"/>
      <c r="KZU212" s="2"/>
      <c r="KZV212" s="260"/>
      <c r="KZW212" s="260"/>
      <c r="KZX212" s="260"/>
      <c r="KZY212" s="380"/>
      <c r="KZZ212" s="380"/>
      <c r="LAA212" s="380"/>
      <c r="LAB212" s="2"/>
      <c r="LAC212" s="442"/>
      <c r="LAD212" s="442"/>
      <c r="LAE212" s="443"/>
      <c r="LAF212" s="442"/>
      <c r="LAG212" s="442"/>
      <c r="LAH212" s="2"/>
      <c r="LAI212" s="2"/>
      <c r="LAJ212" s="2"/>
      <c r="LAK212" s="2"/>
      <c r="LAL212" s="260"/>
      <c r="LAM212" s="260"/>
      <c r="LAN212" s="260"/>
      <c r="LAO212" s="260"/>
      <c r="LAP212" s="260"/>
      <c r="LAQ212" s="260"/>
      <c r="LAR212" s="308"/>
      <c r="LAS212" s="290"/>
      <c r="LAT212" s="290"/>
      <c r="LAU212" s="260"/>
      <c r="LAV212" s="260"/>
      <c r="LAW212" s="260"/>
      <c r="LAX212" s="260"/>
      <c r="LAY212" s="260"/>
      <c r="LAZ212" s="2"/>
      <c r="LBA212" s="2"/>
      <c r="LBB212" s="2"/>
      <c r="LBC212" s="2"/>
      <c r="LBD212" s="2"/>
      <c r="LBE212" s="2"/>
      <c r="LBF212" s="260"/>
      <c r="LBG212" s="2"/>
      <c r="LBH212" s="2"/>
      <c r="LBI212" s="2"/>
      <c r="LBJ212" s="2"/>
      <c r="LBK212" s="2"/>
      <c r="LBL212" s="2"/>
      <c r="LBM212" s="2"/>
      <c r="LBN212" s="260"/>
      <c r="LBO212" s="260"/>
      <c r="LBP212" s="260"/>
      <c r="LBQ212" s="380"/>
      <c r="LBR212" s="380"/>
      <c r="LBS212" s="380"/>
      <c r="LBT212" s="2"/>
      <c r="LBU212" s="442"/>
      <c r="LBV212" s="442"/>
      <c r="LBW212" s="443"/>
      <c r="LBX212" s="442"/>
      <c r="LBY212" s="442"/>
      <c r="LBZ212" s="2"/>
      <c r="LCA212" s="2"/>
      <c r="LCB212" s="2"/>
      <c r="LCC212" s="2"/>
      <c r="LCD212" s="260"/>
      <c r="LCE212" s="260"/>
      <c r="LCF212" s="260"/>
      <c r="LCG212" s="260"/>
      <c r="LCH212" s="260"/>
      <c r="LCI212" s="260"/>
      <c r="LCJ212" s="308"/>
      <c r="LCK212" s="290"/>
      <c r="LCL212" s="290"/>
      <c r="LCM212" s="260"/>
      <c r="LCN212" s="260"/>
      <c r="LCO212" s="260"/>
      <c r="LCP212" s="260"/>
      <c r="LCQ212" s="260"/>
      <c r="LCR212" s="2"/>
      <c r="LCS212" s="2"/>
      <c r="LCT212" s="2"/>
      <c r="LCU212" s="2"/>
      <c r="LCV212" s="2"/>
      <c r="LCW212" s="2"/>
      <c r="LCX212" s="260"/>
      <c r="LCY212" s="2"/>
      <c r="LCZ212" s="2"/>
      <c r="LDA212" s="2"/>
      <c r="LDB212" s="2"/>
      <c r="LDC212" s="2"/>
      <c r="LDD212" s="2"/>
      <c r="LDE212" s="2"/>
      <c r="LDF212" s="260"/>
      <c r="LDG212" s="260"/>
      <c r="LDH212" s="260"/>
      <c r="LDI212" s="380"/>
      <c r="LDJ212" s="380"/>
      <c r="LDK212" s="380"/>
      <c r="LDL212" s="2"/>
      <c r="LDM212" s="442"/>
      <c r="LDN212" s="442"/>
      <c r="LDO212" s="443"/>
      <c r="LDP212" s="442"/>
      <c r="LDQ212" s="442"/>
      <c r="LDR212" s="2"/>
      <c r="LDS212" s="2"/>
      <c r="LDT212" s="2"/>
      <c r="LDU212" s="2"/>
      <c r="LDV212" s="260"/>
      <c r="LDW212" s="260"/>
      <c r="LDX212" s="260"/>
      <c r="LDY212" s="260"/>
      <c r="LDZ212" s="260"/>
      <c r="LEA212" s="260"/>
      <c r="LEB212" s="308"/>
      <c r="LEC212" s="290"/>
      <c r="LED212" s="290"/>
      <c r="LEE212" s="260"/>
      <c r="LEF212" s="260"/>
      <c r="LEG212" s="260"/>
      <c r="LEH212" s="260"/>
      <c r="LEI212" s="260"/>
      <c r="LEJ212" s="2"/>
      <c r="LEK212" s="2"/>
      <c r="LEL212" s="2"/>
      <c r="LEM212" s="2"/>
      <c r="LEN212" s="2"/>
      <c r="LEO212" s="2"/>
      <c r="LEP212" s="260"/>
      <c r="LEQ212" s="2"/>
      <c r="LER212" s="2"/>
      <c r="LES212" s="2"/>
      <c r="LET212" s="2"/>
      <c r="LEU212" s="2"/>
      <c r="LEV212" s="2"/>
      <c r="LEW212" s="2"/>
      <c r="LEX212" s="260"/>
      <c r="LEY212" s="260"/>
      <c r="LEZ212" s="260"/>
      <c r="LFA212" s="380"/>
      <c r="LFB212" s="380"/>
      <c r="LFC212" s="380"/>
      <c r="LFD212" s="2"/>
      <c r="LFE212" s="442"/>
      <c r="LFF212" s="442"/>
      <c r="LFG212" s="443"/>
      <c r="LFH212" s="442"/>
      <c r="LFI212" s="442"/>
      <c r="LFJ212" s="2"/>
      <c r="LFK212" s="2"/>
      <c r="LFL212" s="2"/>
      <c r="LFM212" s="2"/>
      <c r="LFN212" s="260"/>
      <c r="LFO212" s="260"/>
      <c r="LFP212" s="260"/>
      <c r="LFQ212" s="260"/>
      <c r="LFR212" s="260"/>
      <c r="LFS212" s="260"/>
      <c r="LFT212" s="308"/>
      <c r="LFU212" s="290"/>
      <c r="LFV212" s="290"/>
      <c r="LFW212" s="260"/>
      <c r="LFX212" s="260"/>
      <c r="LFY212" s="260"/>
      <c r="LFZ212" s="260"/>
      <c r="LGA212" s="260"/>
      <c r="LGB212" s="2"/>
      <c r="LGC212" s="2"/>
      <c r="LGD212" s="2"/>
      <c r="LGE212" s="2"/>
      <c r="LGF212" s="2"/>
      <c r="LGG212" s="2"/>
      <c r="LGH212" s="260"/>
      <c r="LGI212" s="2"/>
      <c r="LGJ212" s="2"/>
      <c r="LGK212" s="2"/>
      <c r="LGL212" s="2"/>
      <c r="LGM212" s="2"/>
      <c r="LGN212" s="2"/>
      <c r="LGO212" s="2"/>
      <c r="LGP212" s="260"/>
      <c r="LGQ212" s="260"/>
      <c r="LGR212" s="260"/>
      <c r="LGS212" s="380"/>
      <c r="LGT212" s="380"/>
      <c r="LGU212" s="380"/>
      <c r="LGV212" s="2"/>
      <c r="LGW212" s="442"/>
      <c r="LGX212" s="442"/>
      <c r="LGY212" s="443"/>
      <c r="LGZ212" s="442"/>
      <c r="LHA212" s="442"/>
      <c r="LHB212" s="2"/>
      <c r="LHC212" s="2"/>
      <c r="LHD212" s="2"/>
      <c r="LHE212" s="2"/>
      <c r="LHF212" s="260"/>
      <c r="LHG212" s="260"/>
      <c r="LHH212" s="260"/>
      <c r="LHI212" s="260"/>
      <c r="LHJ212" s="260"/>
      <c r="LHK212" s="260"/>
      <c r="LHL212" s="308"/>
      <c r="LHM212" s="290"/>
      <c r="LHN212" s="290"/>
      <c r="LHO212" s="260"/>
      <c r="LHP212" s="260"/>
      <c r="LHQ212" s="260"/>
      <c r="LHR212" s="260"/>
      <c r="LHS212" s="260"/>
      <c r="LHT212" s="2"/>
      <c r="LHU212" s="2"/>
      <c r="LHV212" s="2"/>
      <c r="LHW212" s="2"/>
      <c r="LHX212" s="2"/>
      <c r="LHY212" s="2"/>
      <c r="LHZ212" s="260"/>
      <c r="LIA212" s="2"/>
      <c r="LIB212" s="2"/>
      <c r="LIC212" s="2"/>
      <c r="LID212" s="2"/>
      <c r="LIE212" s="2"/>
      <c r="LIF212" s="2"/>
      <c r="LIG212" s="2"/>
      <c r="LIH212" s="260"/>
      <c r="LII212" s="260"/>
      <c r="LIJ212" s="260"/>
      <c r="LIK212" s="380"/>
      <c r="LIL212" s="380"/>
      <c r="LIM212" s="380"/>
      <c r="LIN212" s="2"/>
      <c r="LIO212" s="442"/>
      <c r="LIP212" s="442"/>
      <c r="LIQ212" s="443"/>
      <c r="LIR212" s="442"/>
      <c r="LIS212" s="442"/>
      <c r="LIT212" s="2"/>
      <c r="LIU212" s="2"/>
      <c r="LIV212" s="2"/>
      <c r="LIW212" s="2"/>
      <c r="LIX212" s="260"/>
      <c r="LIY212" s="260"/>
      <c r="LIZ212" s="260"/>
      <c r="LJA212" s="260"/>
      <c r="LJB212" s="260"/>
      <c r="LJC212" s="260"/>
      <c r="LJD212" s="308"/>
      <c r="LJE212" s="290"/>
      <c r="LJF212" s="290"/>
      <c r="LJG212" s="260"/>
      <c r="LJH212" s="260"/>
      <c r="LJI212" s="260"/>
      <c r="LJJ212" s="260"/>
      <c r="LJK212" s="260"/>
      <c r="LJL212" s="2"/>
      <c r="LJM212" s="2"/>
      <c r="LJN212" s="2"/>
      <c r="LJO212" s="2"/>
      <c r="LJP212" s="2"/>
      <c r="LJQ212" s="2"/>
      <c r="LJR212" s="260"/>
      <c r="LJS212" s="2"/>
      <c r="LJT212" s="2"/>
      <c r="LJU212" s="2"/>
      <c r="LJV212" s="2"/>
      <c r="LJW212" s="2"/>
      <c r="LJX212" s="2"/>
      <c r="LJY212" s="2"/>
      <c r="LJZ212" s="260"/>
      <c r="LKA212" s="260"/>
      <c r="LKB212" s="260"/>
      <c r="LKC212" s="380"/>
      <c r="LKD212" s="380"/>
      <c r="LKE212" s="380"/>
      <c r="LKF212" s="2"/>
      <c r="LKG212" s="442"/>
      <c r="LKH212" s="442"/>
      <c r="LKI212" s="443"/>
      <c r="LKJ212" s="442"/>
      <c r="LKK212" s="442"/>
      <c r="LKL212" s="2"/>
      <c r="LKM212" s="2"/>
      <c r="LKN212" s="2"/>
      <c r="LKO212" s="2"/>
      <c r="LKP212" s="260"/>
      <c r="LKQ212" s="260"/>
      <c r="LKR212" s="260"/>
      <c r="LKS212" s="260"/>
      <c r="LKT212" s="260"/>
      <c r="LKU212" s="260"/>
      <c r="LKV212" s="308"/>
      <c r="LKW212" s="290"/>
      <c r="LKX212" s="290"/>
      <c r="LKY212" s="260"/>
      <c r="LKZ212" s="260"/>
      <c r="LLA212" s="260"/>
      <c r="LLB212" s="260"/>
      <c r="LLC212" s="260"/>
      <c r="LLD212" s="2"/>
      <c r="LLE212" s="2"/>
      <c r="LLF212" s="2"/>
      <c r="LLG212" s="2"/>
      <c r="LLH212" s="2"/>
      <c r="LLI212" s="2"/>
      <c r="LLJ212" s="260"/>
      <c r="LLK212" s="2"/>
      <c r="LLL212" s="2"/>
      <c r="LLM212" s="2"/>
      <c r="LLN212" s="2"/>
      <c r="LLO212" s="2"/>
      <c r="LLP212" s="2"/>
      <c r="LLQ212" s="2"/>
      <c r="LLR212" s="260"/>
      <c r="LLS212" s="260"/>
      <c r="LLT212" s="260"/>
      <c r="LLU212" s="380"/>
      <c r="LLV212" s="380"/>
      <c r="LLW212" s="380"/>
      <c r="LLX212" s="2"/>
      <c r="LLY212" s="442"/>
      <c r="LLZ212" s="442"/>
      <c r="LMA212" s="443"/>
      <c r="LMB212" s="442"/>
      <c r="LMC212" s="442"/>
      <c r="LMD212" s="2"/>
      <c r="LME212" s="2"/>
      <c r="LMF212" s="2"/>
      <c r="LMG212" s="2"/>
      <c r="LMH212" s="260"/>
      <c r="LMI212" s="260"/>
      <c r="LMJ212" s="260"/>
      <c r="LMK212" s="260"/>
      <c r="LML212" s="260"/>
      <c r="LMM212" s="260"/>
      <c r="LMN212" s="308"/>
      <c r="LMO212" s="290"/>
      <c r="LMP212" s="290"/>
      <c r="LMQ212" s="260"/>
      <c r="LMR212" s="260"/>
      <c r="LMS212" s="260"/>
      <c r="LMT212" s="260"/>
      <c r="LMU212" s="260"/>
      <c r="LMV212" s="2"/>
      <c r="LMW212" s="2"/>
      <c r="LMX212" s="2"/>
      <c r="LMY212" s="2"/>
      <c r="LMZ212" s="2"/>
      <c r="LNA212" s="2"/>
      <c r="LNB212" s="260"/>
      <c r="LNC212" s="2"/>
      <c r="LND212" s="2"/>
      <c r="LNE212" s="2"/>
      <c r="LNF212" s="2"/>
      <c r="LNG212" s="2"/>
      <c r="LNH212" s="2"/>
      <c r="LNI212" s="2"/>
      <c r="LNJ212" s="260"/>
      <c r="LNK212" s="260"/>
      <c r="LNL212" s="260"/>
      <c r="LNM212" s="380"/>
      <c r="LNN212" s="380"/>
      <c r="LNO212" s="380"/>
      <c r="LNP212" s="2"/>
      <c r="LNQ212" s="442"/>
      <c r="LNR212" s="442"/>
      <c r="LNS212" s="443"/>
      <c r="LNT212" s="442"/>
      <c r="LNU212" s="442"/>
      <c r="LNV212" s="2"/>
      <c r="LNW212" s="2"/>
      <c r="LNX212" s="2"/>
      <c r="LNY212" s="2"/>
      <c r="LNZ212" s="260"/>
      <c r="LOA212" s="260"/>
      <c r="LOB212" s="260"/>
      <c r="LOC212" s="260"/>
      <c r="LOD212" s="260"/>
      <c r="LOE212" s="260"/>
      <c r="LOF212" s="308"/>
      <c r="LOG212" s="290"/>
      <c r="LOH212" s="290"/>
      <c r="LOI212" s="260"/>
      <c r="LOJ212" s="260"/>
      <c r="LOK212" s="260"/>
      <c r="LOL212" s="260"/>
      <c r="LOM212" s="260"/>
      <c r="LON212" s="2"/>
      <c r="LOO212" s="2"/>
      <c r="LOP212" s="2"/>
      <c r="LOQ212" s="2"/>
      <c r="LOR212" s="2"/>
      <c r="LOS212" s="2"/>
      <c r="LOT212" s="260"/>
      <c r="LOU212" s="2"/>
      <c r="LOV212" s="2"/>
      <c r="LOW212" s="2"/>
      <c r="LOX212" s="2"/>
      <c r="LOY212" s="2"/>
      <c r="LOZ212" s="2"/>
      <c r="LPA212" s="2"/>
      <c r="LPB212" s="260"/>
      <c r="LPC212" s="260"/>
      <c r="LPD212" s="260"/>
      <c r="LPE212" s="380"/>
      <c r="LPF212" s="380"/>
      <c r="LPG212" s="380"/>
      <c r="LPH212" s="2"/>
      <c r="LPI212" s="442"/>
      <c r="LPJ212" s="442"/>
      <c r="LPK212" s="443"/>
      <c r="LPL212" s="442"/>
      <c r="LPM212" s="442"/>
      <c r="LPN212" s="2"/>
      <c r="LPO212" s="2"/>
      <c r="LPP212" s="2"/>
      <c r="LPQ212" s="2"/>
      <c r="LPR212" s="260"/>
      <c r="LPS212" s="260"/>
      <c r="LPT212" s="260"/>
      <c r="LPU212" s="260"/>
      <c r="LPV212" s="260"/>
      <c r="LPW212" s="260"/>
      <c r="LPX212" s="308"/>
      <c r="LPY212" s="290"/>
      <c r="LPZ212" s="290"/>
      <c r="LQA212" s="260"/>
      <c r="LQB212" s="260"/>
      <c r="LQC212" s="260"/>
      <c r="LQD212" s="260"/>
      <c r="LQE212" s="260"/>
      <c r="LQF212" s="2"/>
      <c r="LQG212" s="2"/>
      <c r="LQH212" s="2"/>
      <c r="LQI212" s="2"/>
      <c r="LQJ212" s="2"/>
      <c r="LQK212" s="2"/>
      <c r="LQL212" s="260"/>
      <c r="LQM212" s="2"/>
      <c r="LQN212" s="2"/>
      <c r="LQO212" s="2"/>
      <c r="LQP212" s="2"/>
      <c r="LQQ212" s="2"/>
      <c r="LQR212" s="2"/>
      <c r="LQS212" s="2"/>
      <c r="LQT212" s="260"/>
      <c r="LQU212" s="260"/>
      <c r="LQV212" s="260"/>
      <c r="LQW212" s="380"/>
      <c r="LQX212" s="380"/>
      <c r="LQY212" s="380"/>
      <c r="LQZ212" s="2"/>
      <c r="LRA212" s="442"/>
      <c r="LRB212" s="442"/>
      <c r="LRC212" s="443"/>
      <c r="LRD212" s="442"/>
      <c r="LRE212" s="442"/>
      <c r="LRF212" s="2"/>
      <c r="LRG212" s="2"/>
      <c r="LRH212" s="2"/>
      <c r="LRI212" s="2"/>
      <c r="LRJ212" s="260"/>
      <c r="LRK212" s="260"/>
      <c r="LRL212" s="260"/>
      <c r="LRM212" s="260"/>
      <c r="LRN212" s="260"/>
      <c r="LRO212" s="260"/>
      <c r="LRP212" s="308"/>
      <c r="LRQ212" s="290"/>
      <c r="LRR212" s="290"/>
      <c r="LRS212" s="260"/>
      <c r="LRT212" s="260"/>
      <c r="LRU212" s="260"/>
      <c r="LRV212" s="260"/>
      <c r="LRW212" s="260"/>
      <c r="LRX212" s="2"/>
      <c r="LRY212" s="2"/>
      <c r="LRZ212" s="2"/>
      <c r="LSA212" s="2"/>
      <c r="LSB212" s="2"/>
      <c r="LSC212" s="2"/>
      <c r="LSD212" s="260"/>
      <c r="LSE212" s="2"/>
      <c r="LSF212" s="2"/>
      <c r="LSG212" s="2"/>
      <c r="LSH212" s="2"/>
      <c r="LSI212" s="2"/>
      <c r="LSJ212" s="2"/>
      <c r="LSK212" s="2"/>
      <c r="LSL212" s="260"/>
      <c r="LSM212" s="260"/>
      <c r="LSN212" s="260"/>
      <c r="LSO212" s="380"/>
      <c r="LSP212" s="380"/>
      <c r="LSQ212" s="380"/>
      <c r="LSR212" s="2"/>
      <c r="LSS212" s="442"/>
      <c r="LST212" s="442"/>
      <c r="LSU212" s="443"/>
      <c r="LSV212" s="442"/>
      <c r="LSW212" s="442"/>
      <c r="LSX212" s="2"/>
      <c r="LSY212" s="2"/>
      <c r="LSZ212" s="2"/>
      <c r="LTA212" s="2"/>
      <c r="LTB212" s="260"/>
      <c r="LTC212" s="260"/>
      <c r="LTD212" s="260"/>
      <c r="LTE212" s="260"/>
      <c r="LTF212" s="260"/>
      <c r="LTG212" s="260"/>
      <c r="LTH212" s="308"/>
      <c r="LTI212" s="290"/>
      <c r="LTJ212" s="290"/>
      <c r="LTK212" s="260"/>
      <c r="LTL212" s="260"/>
      <c r="LTM212" s="260"/>
      <c r="LTN212" s="260"/>
      <c r="LTO212" s="260"/>
      <c r="LTP212" s="2"/>
      <c r="LTQ212" s="2"/>
      <c r="LTR212" s="2"/>
      <c r="LTS212" s="2"/>
      <c r="LTT212" s="2"/>
      <c r="LTU212" s="2"/>
      <c r="LTV212" s="260"/>
      <c r="LTW212" s="2"/>
      <c r="LTX212" s="2"/>
      <c r="LTY212" s="2"/>
      <c r="LTZ212" s="2"/>
      <c r="LUA212" s="2"/>
      <c r="LUB212" s="2"/>
      <c r="LUC212" s="2"/>
      <c r="LUD212" s="260"/>
      <c r="LUE212" s="260"/>
      <c r="LUF212" s="260"/>
      <c r="LUG212" s="380"/>
      <c r="LUH212" s="380"/>
      <c r="LUI212" s="380"/>
      <c r="LUJ212" s="2"/>
      <c r="LUK212" s="442"/>
      <c r="LUL212" s="442"/>
      <c r="LUM212" s="443"/>
      <c r="LUN212" s="442"/>
      <c r="LUO212" s="442"/>
      <c r="LUP212" s="2"/>
      <c r="LUQ212" s="2"/>
      <c r="LUR212" s="2"/>
      <c r="LUS212" s="2"/>
      <c r="LUT212" s="260"/>
      <c r="LUU212" s="260"/>
      <c r="LUV212" s="260"/>
      <c r="LUW212" s="260"/>
      <c r="LUX212" s="260"/>
      <c r="LUY212" s="260"/>
      <c r="LUZ212" s="308"/>
      <c r="LVA212" s="290"/>
      <c r="LVB212" s="290"/>
      <c r="LVC212" s="260"/>
      <c r="LVD212" s="260"/>
      <c r="LVE212" s="260"/>
      <c r="LVF212" s="260"/>
      <c r="LVG212" s="260"/>
      <c r="LVH212" s="2"/>
      <c r="LVI212" s="2"/>
      <c r="LVJ212" s="2"/>
      <c r="LVK212" s="2"/>
      <c r="LVL212" s="2"/>
      <c r="LVM212" s="2"/>
      <c r="LVN212" s="260"/>
      <c r="LVO212" s="2"/>
      <c r="LVP212" s="2"/>
      <c r="LVQ212" s="2"/>
      <c r="LVR212" s="2"/>
      <c r="LVS212" s="2"/>
      <c r="LVT212" s="2"/>
      <c r="LVU212" s="2"/>
      <c r="LVV212" s="260"/>
      <c r="LVW212" s="260"/>
      <c r="LVX212" s="260"/>
      <c r="LVY212" s="380"/>
      <c r="LVZ212" s="380"/>
      <c r="LWA212" s="380"/>
      <c r="LWB212" s="2"/>
      <c r="LWC212" s="442"/>
      <c r="LWD212" s="442"/>
      <c r="LWE212" s="443"/>
      <c r="LWF212" s="442"/>
      <c r="LWG212" s="442"/>
      <c r="LWH212" s="2"/>
      <c r="LWI212" s="2"/>
      <c r="LWJ212" s="2"/>
      <c r="LWK212" s="2"/>
      <c r="LWL212" s="260"/>
      <c r="LWM212" s="260"/>
      <c r="LWN212" s="260"/>
      <c r="LWO212" s="260"/>
      <c r="LWP212" s="260"/>
      <c r="LWQ212" s="260"/>
      <c r="LWR212" s="308"/>
      <c r="LWS212" s="290"/>
      <c r="LWT212" s="290"/>
      <c r="LWU212" s="260"/>
      <c r="LWV212" s="260"/>
      <c r="LWW212" s="260"/>
      <c r="LWX212" s="260"/>
      <c r="LWY212" s="260"/>
      <c r="LWZ212" s="2"/>
      <c r="LXA212" s="2"/>
      <c r="LXB212" s="2"/>
      <c r="LXC212" s="2"/>
      <c r="LXD212" s="2"/>
      <c r="LXE212" s="2"/>
      <c r="LXF212" s="260"/>
      <c r="LXG212" s="2"/>
      <c r="LXH212" s="2"/>
      <c r="LXI212" s="2"/>
      <c r="LXJ212" s="2"/>
      <c r="LXK212" s="2"/>
      <c r="LXL212" s="2"/>
      <c r="LXM212" s="2"/>
      <c r="LXN212" s="260"/>
      <c r="LXO212" s="260"/>
      <c r="LXP212" s="260"/>
      <c r="LXQ212" s="380"/>
      <c r="LXR212" s="380"/>
      <c r="LXS212" s="380"/>
      <c r="LXT212" s="2"/>
      <c r="LXU212" s="442"/>
      <c r="LXV212" s="442"/>
      <c r="LXW212" s="443"/>
      <c r="LXX212" s="442"/>
      <c r="LXY212" s="442"/>
      <c r="LXZ212" s="2"/>
      <c r="LYA212" s="2"/>
      <c r="LYB212" s="2"/>
      <c r="LYC212" s="2"/>
      <c r="LYD212" s="260"/>
      <c r="LYE212" s="260"/>
      <c r="LYF212" s="260"/>
      <c r="LYG212" s="260"/>
      <c r="LYH212" s="260"/>
      <c r="LYI212" s="260"/>
      <c r="LYJ212" s="308"/>
      <c r="LYK212" s="290"/>
      <c r="LYL212" s="290"/>
      <c r="LYM212" s="260"/>
      <c r="LYN212" s="260"/>
      <c r="LYO212" s="260"/>
      <c r="LYP212" s="260"/>
      <c r="LYQ212" s="260"/>
      <c r="LYR212" s="2"/>
      <c r="LYS212" s="2"/>
      <c r="LYT212" s="2"/>
      <c r="LYU212" s="2"/>
      <c r="LYV212" s="2"/>
      <c r="LYW212" s="2"/>
      <c r="LYX212" s="260"/>
      <c r="LYY212" s="2"/>
      <c r="LYZ212" s="2"/>
      <c r="LZA212" s="2"/>
      <c r="LZB212" s="2"/>
      <c r="LZC212" s="2"/>
      <c r="LZD212" s="2"/>
      <c r="LZE212" s="2"/>
      <c r="LZF212" s="260"/>
      <c r="LZG212" s="260"/>
      <c r="LZH212" s="260"/>
      <c r="LZI212" s="380"/>
      <c r="LZJ212" s="380"/>
      <c r="LZK212" s="380"/>
      <c r="LZL212" s="2"/>
      <c r="LZM212" s="442"/>
      <c r="LZN212" s="442"/>
      <c r="LZO212" s="443"/>
      <c r="LZP212" s="442"/>
      <c r="LZQ212" s="442"/>
      <c r="LZR212" s="2"/>
      <c r="LZS212" s="2"/>
      <c r="LZT212" s="2"/>
      <c r="LZU212" s="2"/>
      <c r="LZV212" s="260"/>
      <c r="LZW212" s="260"/>
      <c r="LZX212" s="260"/>
      <c r="LZY212" s="260"/>
      <c r="LZZ212" s="260"/>
      <c r="MAA212" s="260"/>
      <c r="MAB212" s="308"/>
      <c r="MAC212" s="290"/>
      <c r="MAD212" s="290"/>
      <c r="MAE212" s="260"/>
      <c r="MAF212" s="260"/>
      <c r="MAG212" s="260"/>
      <c r="MAH212" s="260"/>
      <c r="MAI212" s="260"/>
      <c r="MAJ212" s="2"/>
      <c r="MAK212" s="2"/>
      <c r="MAL212" s="2"/>
      <c r="MAM212" s="2"/>
      <c r="MAN212" s="2"/>
      <c r="MAO212" s="2"/>
      <c r="MAP212" s="260"/>
      <c r="MAQ212" s="2"/>
      <c r="MAR212" s="2"/>
      <c r="MAS212" s="2"/>
      <c r="MAT212" s="2"/>
      <c r="MAU212" s="2"/>
      <c r="MAV212" s="2"/>
      <c r="MAW212" s="2"/>
      <c r="MAX212" s="260"/>
      <c r="MAY212" s="260"/>
      <c r="MAZ212" s="260"/>
      <c r="MBA212" s="380"/>
      <c r="MBB212" s="380"/>
      <c r="MBC212" s="380"/>
      <c r="MBD212" s="2"/>
      <c r="MBE212" s="442"/>
      <c r="MBF212" s="442"/>
      <c r="MBG212" s="443"/>
      <c r="MBH212" s="442"/>
      <c r="MBI212" s="442"/>
      <c r="MBJ212" s="2"/>
      <c r="MBK212" s="2"/>
      <c r="MBL212" s="2"/>
      <c r="MBM212" s="2"/>
      <c r="MBN212" s="260"/>
      <c r="MBO212" s="260"/>
      <c r="MBP212" s="260"/>
      <c r="MBQ212" s="260"/>
      <c r="MBR212" s="260"/>
      <c r="MBS212" s="260"/>
      <c r="MBT212" s="308"/>
      <c r="MBU212" s="290"/>
      <c r="MBV212" s="290"/>
      <c r="MBW212" s="260"/>
      <c r="MBX212" s="260"/>
      <c r="MBY212" s="260"/>
      <c r="MBZ212" s="260"/>
      <c r="MCA212" s="260"/>
      <c r="MCB212" s="2"/>
      <c r="MCC212" s="2"/>
      <c r="MCD212" s="2"/>
      <c r="MCE212" s="2"/>
      <c r="MCF212" s="2"/>
      <c r="MCG212" s="2"/>
      <c r="MCH212" s="260"/>
      <c r="MCI212" s="2"/>
      <c r="MCJ212" s="2"/>
      <c r="MCK212" s="2"/>
      <c r="MCL212" s="2"/>
      <c r="MCM212" s="2"/>
      <c r="MCN212" s="2"/>
      <c r="MCO212" s="2"/>
      <c r="MCP212" s="260"/>
      <c r="MCQ212" s="260"/>
      <c r="MCR212" s="260"/>
      <c r="MCS212" s="380"/>
      <c r="MCT212" s="380"/>
      <c r="MCU212" s="380"/>
      <c r="MCV212" s="2"/>
      <c r="MCW212" s="442"/>
      <c r="MCX212" s="442"/>
      <c r="MCY212" s="443"/>
      <c r="MCZ212" s="442"/>
      <c r="MDA212" s="442"/>
      <c r="MDB212" s="2"/>
      <c r="MDC212" s="2"/>
      <c r="MDD212" s="2"/>
      <c r="MDE212" s="2"/>
      <c r="MDF212" s="260"/>
      <c r="MDG212" s="260"/>
      <c r="MDH212" s="260"/>
      <c r="MDI212" s="260"/>
      <c r="MDJ212" s="260"/>
      <c r="MDK212" s="260"/>
      <c r="MDL212" s="308"/>
      <c r="MDM212" s="290"/>
      <c r="MDN212" s="290"/>
      <c r="MDO212" s="260"/>
      <c r="MDP212" s="260"/>
      <c r="MDQ212" s="260"/>
      <c r="MDR212" s="260"/>
      <c r="MDS212" s="260"/>
      <c r="MDT212" s="2"/>
      <c r="MDU212" s="2"/>
      <c r="MDV212" s="2"/>
      <c r="MDW212" s="2"/>
      <c r="MDX212" s="2"/>
      <c r="MDY212" s="2"/>
      <c r="MDZ212" s="260"/>
      <c r="MEA212" s="2"/>
      <c r="MEB212" s="2"/>
      <c r="MEC212" s="2"/>
      <c r="MED212" s="2"/>
      <c r="MEE212" s="2"/>
      <c r="MEF212" s="2"/>
      <c r="MEG212" s="2"/>
      <c r="MEH212" s="260"/>
      <c r="MEI212" s="260"/>
      <c r="MEJ212" s="260"/>
      <c r="MEK212" s="380"/>
      <c r="MEL212" s="380"/>
      <c r="MEM212" s="380"/>
      <c r="MEN212" s="2"/>
      <c r="MEO212" s="442"/>
      <c r="MEP212" s="442"/>
      <c r="MEQ212" s="443"/>
      <c r="MER212" s="442"/>
      <c r="MES212" s="442"/>
      <c r="MET212" s="2"/>
      <c r="MEU212" s="2"/>
      <c r="MEV212" s="2"/>
      <c r="MEW212" s="2"/>
      <c r="MEX212" s="260"/>
      <c r="MEY212" s="260"/>
      <c r="MEZ212" s="260"/>
      <c r="MFA212" s="260"/>
      <c r="MFB212" s="260"/>
      <c r="MFC212" s="260"/>
      <c r="MFD212" s="308"/>
      <c r="MFE212" s="290"/>
      <c r="MFF212" s="290"/>
      <c r="MFG212" s="260"/>
      <c r="MFH212" s="260"/>
      <c r="MFI212" s="260"/>
      <c r="MFJ212" s="260"/>
      <c r="MFK212" s="260"/>
      <c r="MFL212" s="2"/>
      <c r="MFM212" s="2"/>
      <c r="MFN212" s="2"/>
      <c r="MFO212" s="2"/>
      <c r="MFP212" s="2"/>
      <c r="MFQ212" s="2"/>
      <c r="MFR212" s="260"/>
      <c r="MFS212" s="2"/>
      <c r="MFT212" s="2"/>
      <c r="MFU212" s="2"/>
      <c r="MFV212" s="2"/>
      <c r="MFW212" s="2"/>
      <c r="MFX212" s="2"/>
      <c r="MFY212" s="2"/>
      <c r="MFZ212" s="260"/>
      <c r="MGA212" s="260"/>
      <c r="MGB212" s="260"/>
      <c r="MGC212" s="380"/>
      <c r="MGD212" s="380"/>
      <c r="MGE212" s="380"/>
      <c r="MGF212" s="2"/>
      <c r="MGG212" s="442"/>
      <c r="MGH212" s="442"/>
      <c r="MGI212" s="443"/>
      <c r="MGJ212" s="442"/>
      <c r="MGK212" s="442"/>
      <c r="MGL212" s="2"/>
      <c r="MGM212" s="2"/>
      <c r="MGN212" s="2"/>
      <c r="MGO212" s="2"/>
      <c r="MGP212" s="260"/>
      <c r="MGQ212" s="260"/>
      <c r="MGR212" s="260"/>
      <c r="MGS212" s="260"/>
      <c r="MGT212" s="260"/>
      <c r="MGU212" s="260"/>
      <c r="MGV212" s="308"/>
      <c r="MGW212" s="290"/>
      <c r="MGX212" s="290"/>
      <c r="MGY212" s="260"/>
      <c r="MGZ212" s="260"/>
      <c r="MHA212" s="260"/>
      <c r="MHB212" s="260"/>
      <c r="MHC212" s="260"/>
      <c r="MHD212" s="2"/>
      <c r="MHE212" s="2"/>
      <c r="MHF212" s="2"/>
      <c r="MHG212" s="2"/>
      <c r="MHH212" s="2"/>
      <c r="MHI212" s="2"/>
      <c r="MHJ212" s="260"/>
      <c r="MHK212" s="2"/>
      <c r="MHL212" s="2"/>
      <c r="MHM212" s="2"/>
      <c r="MHN212" s="2"/>
      <c r="MHO212" s="2"/>
      <c r="MHP212" s="2"/>
      <c r="MHQ212" s="2"/>
      <c r="MHR212" s="260"/>
      <c r="MHS212" s="260"/>
      <c r="MHT212" s="260"/>
      <c r="MHU212" s="380"/>
      <c r="MHV212" s="380"/>
      <c r="MHW212" s="380"/>
      <c r="MHX212" s="2"/>
      <c r="MHY212" s="442"/>
      <c r="MHZ212" s="442"/>
      <c r="MIA212" s="443"/>
      <c r="MIB212" s="442"/>
      <c r="MIC212" s="442"/>
      <c r="MID212" s="2"/>
      <c r="MIE212" s="2"/>
      <c r="MIF212" s="2"/>
      <c r="MIG212" s="2"/>
      <c r="MIH212" s="260"/>
      <c r="MII212" s="260"/>
      <c r="MIJ212" s="260"/>
      <c r="MIK212" s="260"/>
      <c r="MIL212" s="260"/>
      <c r="MIM212" s="260"/>
      <c r="MIN212" s="308"/>
      <c r="MIO212" s="290"/>
      <c r="MIP212" s="290"/>
      <c r="MIQ212" s="260"/>
      <c r="MIR212" s="260"/>
      <c r="MIS212" s="260"/>
      <c r="MIT212" s="260"/>
      <c r="MIU212" s="260"/>
      <c r="MIV212" s="2"/>
      <c r="MIW212" s="2"/>
      <c r="MIX212" s="2"/>
      <c r="MIY212" s="2"/>
      <c r="MIZ212" s="2"/>
      <c r="MJA212" s="2"/>
      <c r="MJB212" s="260"/>
      <c r="MJC212" s="2"/>
      <c r="MJD212" s="2"/>
      <c r="MJE212" s="2"/>
      <c r="MJF212" s="2"/>
      <c r="MJG212" s="2"/>
      <c r="MJH212" s="2"/>
      <c r="MJI212" s="2"/>
      <c r="MJJ212" s="260"/>
      <c r="MJK212" s="260"/>
      <c r="MJL212" s="260"/>
      <c r="MJM212" s="380"/>
      <c r="MJN212" s="380"/>
      <c r="MJO212" s="380"/>
      <c r="MJP212" s="2"/>
      <c r="MJQ212" s="442"/>
      <c r="MJR212" s="442"/>
      <c r="MJS212" s="443"/>
      <c r="MJT212" s="442"/>
      <c r="MJU212" s="442"/>
      <c r="MJV212" s="2"/>
      <c r="MJW212" s="2"/>
      <c r="MJX212" s="2"/>
      <c r="MJY212" s="2"/>
      <c r="MJZ212" s="260"/>
      <c r="MKA212" s="260"/>
      <c r="MKB212" s="260"/>
      <c r="MKC212" s="260"/>
      <c r="MKD212" s="260"/>
      <c r="MKE212" s="260"/>
      <c r="MKF212" s="308"/>
      <c r="MKG212" s="290"/>
      <c r="MKH212" s="290"/>
      <c r="MKI212" s="260"/>
      <c r="MKJ212" s="260"/>
      <c r="MKK212" s="260"/>
      <c r="MKL212" s="260"/>
      <c r="MKM212" s="260"/>
      <c r="MKN212" s="2"/>
      <c r="MKO212" s="2"/>
      <c r="MKP212" s="2"/>
      <c r="MKQ212" s="2"/>
      <c r="MKR212" s="2"/>
      <c r="MKS212" s="2"/>
      <c r="MKT212" s="260"/>
      <c r="MKU212" s="2"/>
      <c r="MKV212" s="2"/>
      <c r="MKW212" s="2"/>
      <c r="MKX212" s="2"/>
      <c r="MKY212" s="2"/>
      <c r="MKZ212" s="2"/>
      <c r="MLA212" s="2"/>
      <c r="MLB212" s="260"/>
      <c r="MLC212" s="260"/>
      <c r="MLD212" s="260"/>
      <c r="MLE212" s="380"/>
      <c r="MLF212" s="380"/>
      <c r="MLG212" s="380"/>
      <c r="MLH212" s="2"/>
      <c r="MLI212" s="442"/>
      <c r="MLJ212" s="442"/>
      <c r="MLK212" s="443"/>
      <c r="MLL212" s="442"/>
      <c r="MLM212" s="442"/>
      <c r="MLN212" s="2"/>
      <c r="MLO212" s="2"/>
      <c r="MLP212" s="2"/>
      <c r="MLQ212" s="2"/>
      <c r="MLR212" s="260"/>
      <c r="MLS212" s="260"/>
      <c r="MLT212" s="260"/>
      <c r="MLU212" s="260"/>
      <c r="MLV212" s="260"/>
      <c r="MLW212" s="260"/>
      <c r="MLX212" s="308"/>
      <c r="MLY212" s="290"/>
      <c r="MLZ212" s="290"/>
      <c r="MMA212" s="260"/>
      <c r="MMB212" s="260"/>
      <c r="MMC212" s="260"/>
      <c r="MMD212" s="260"/>
      <c r="MME212" s="260"/>
      <c r="MMF212" s="2"/>
      <c r="MMG212" s="2"/>
      <c r="MMH212" s="2"/>
      <c r="MMI212" s="2"/>
      <c r="MMJ212" s="2"/>
      <c r="MMK212" s="2"/>
      <c r="MML212" s="260"/>
      <c r="MMM212" s="2"/>
      <c r="MMN212" s="2"/>
      <c r="MMO212" s="2"/>
      <c r="MMP212" s="2"/>
      <c r="MMQ212" s="2"/>
      <c r="MMR212" s="2"/>
      <c r="MMS212" s="2"/>
      <c r="MMT212" s="260"/>
      <c r="MMU212" s="260"/>
      <c r="MMV212" s="260"/>
      <c r="MMW212" s="380"/>
      <c r="MMX212" s="380"/>
      <c r="MMY212" s="380"/>
      <c r="MMZ212" s="2"/>
      <c r="MNA212" s="442"/>
      <c r="MNB212" s="442"/>
      <c r="MNC212" s="443"/>
      <c r="MND212" s="442"/>
      <c r="MNE212" s="442"/>
      <c r="MNF212" s="2"/>
      <c r="MNG212" s="2"/>
      <c r="MNH212" s="2"/>
      <c r="MNI212" s="2"/>
      <c r="MNJ212" s="260"/>
      <c r="MNK212" s="260"/>
      <c r="MNL212" s="260"/>
      <c r="MNM212" s="260"/>
      <c r="MNN212" s="260"/>
      <c r="MNO212" s="260"/>
      <c r="MNP212" s="308"/>
      <c r="MNQ212" s="290"/>
      <c r="MNR212" s="290"/>
      <c r="MNS212" s="260"/>
      <c r="MNT212" s="260"/>
      <c r="MNU212" s="260"/>
      <c r="MNV212" s="260"/>
      <c r="MNW212" s="260"/>
      <c r="MNX212" s="2"/>
      <c r="MNY212" s="2"/>
      <c r="MNZ212" s="2"/>
      <c r="MOA212" s="2"/>
      <c r="MOB212" s="2"/>
      <c r="MOC212" s="2"/>
      <c r="MOD212" s="260"/>
      <c r="MOE212" s="2"/>
      <c r="MOF212" s="2"/>
      <c r="MOG212" s="2"/>
      <c r="MOH212" s="2"/>
      <c r="MOI212" s="2"/>
      <c r="MOJ212" s="2"/>
      <c r="MOK212" s="2"/>
      <c r="MOL212" s="260"/>
      <c r="MOM212" s="260"/>
      <c r="MON212" s="260"/>
      <c r="MOO212" s="380"/>
      <c r="MOP212" s="380"/>
      <c r="MOQ212" s="380"/>
      <c r="MOR212" s="2"/>
      <c r="MOS212" s="442"/>
      <c r="MOT212" s="442"/>
      <c r="MOU212" s="443"/>
      <c r="MOV212" s="442"/>
      <c r="MOW212" s="442"/>
      <c r="MOX212" s="2"/>
      <c r="MOY212" s="2"/>
      <c r="MOZ212" s="2"/>
      <c r="MPA212" s="2"/>
      <c r="MPB212" s="260"/>
      <c r="MPC212" s="260"/>
      <c r="MPD212" s="260"/>
      <c r="MPE212" s="260"/>
      <c r="MPF212" s="260"/>
      <c r="MPG212" s="260"/>
      <c r="MPH212" s="308"/>
      <c r="MPI212" s="290"/>
      <c r="MPJ212" s="290"/>
      <c r="MPK212" s="260"/>
      <c r="MPL212" s="260"/>
      <c r="MPM212" s="260"/>
      <c r="MPN212" s="260"/>
      <c r="MPO212" s="260"/>
      <c r="MPP212" s="2"/>
      <c r="MPQ212" s="2"/>
      <c r="MPR212" s="2"/>
      <c r="MPS212" s="2"/>
      <c r="MPT212" s="2"/>
      <c r="MPU212" s="2"/>
      <c r="MPV212" s="260"/>
      <c r="MPW212" s="2"/>
      <c r="MPX212" s="2"/>
      <c r="MPY212" s="2"/>
      <c r="MPZ212" s="2"/>
      <c r="MQA212" s="2"/>
      <c r="MQB212" s="2"/>
      <c r="MQC212" s="2"/>
      <c r="MQD212" s="260"/>
      <c r="MQE212" s="260"/>
      <c r="MQF212" s="260"/>
      <c r="MQG212" s="380"/>
      <c r="MQH212" s="380"/>
      <c r="MQI212" s="380"/>
      <c r="MQJ212" s="2"/>
      <c r="MQK212" s="442"/>
      <c r="MQL212" s="442"/>
      <c r="MQM212" s="443"/>
      <c r="MQN212" s="442"/>
      <c r="MQO212" s="442"/>
      <c r="MQP212" s="2"/>
      <c r="MQQ212" s="2"/>
      <c r="MQR212" s="2"/>
      <c r="MQS212" s="2"/>
      <c r="MQT212" s="260"/>
      <c r="MQU212" s="260"/>
      <c r="MQV212" s="260"/>
      <c r="MQW212" s="260"/>
      <c r="MQX212" s="260"/>
      <c r="MQY212" s="260"/>
      <c r="MQZ212" s="308"/>
      <c r="MRA212" s="290"/>
      <c r="MRB212" s="290"/>
      <c r="MRC212" s="260"/>
      <c r="MRD212" s="260"/>
      <c r="MRE212" s="260"/>
      <c r="MRF212" s="260"/>
      <c r="MRG212" s="260"/>
      <c r="MRH212" s="2"/>
      <c r="MRI212" s="2"/>
      <c r="MRJ212" s="2"/>
      <c r="MRK212" s="2"/>
      <c r="MRL212" s="2"/>
      <c r="MRM212" s="2"/>
      <c r="MRN212" s="260"/>
      <c r="MRO212" s="2"/>
      <c r="MRP212" s="2"/>
      <c r="MRQ212" s="2"/>
      <c r="MRR212" s="2"/>
      <c r="MRS212" s="2"/>
      <c r="MRT212" s="2"/>
      <c r="MRU212" s="2"/>
      <c r="MRV212" s="260"/>
      <c r="MRW212" s="260"/>
      <c r="MRX212" s="260"/>
      <c r="MRY212" s="380"/>
      <c r="MRZ212" s="380"/>
      <c r="MSA212" s="380"/>
      <c r="MSB212" s="2"/>
      <c r="MSC212" s="442"/>
      <c r="MSD212" s="442"/>
      <c r="MSE212" s="443"/>
      <c r="MSF212" s="442"/>
      <c r="MSG212" s="442"/>
      <c r="MSH212" s="2"/>
      <c r="MSI212" s="2"/>
      <c r="MSJ212" s="2"/>
      <c r="MSK212" s="2"/>
      <c r="MSL212" s="260"/>
      <c r="MSM212" s="260"/>
      <c r="MSN212" s="260"/>
      <c r="MSO212" s="260"/>
      <c r="MSP212" s="260"/>
      <c r="MSQ212" s="260"/>
      <c r="MSR212" s="308"/>
      <c r="MSS212" s="290"/>
      <c r="MST212" s="290"/>
      <c r="MSU212" s="260"/>
      <c r="MSV212" s="260"/>
      <c r="MSW212" s="260"/>
      <c r="MSX212" s="260"/>
      <c r="MSY212" s="260"/>
      <c r="MSZ212" s="2"/>
      <c r="MTA212" s="2"/>
      <c r="MTB212" s="2"/>
      <c r="MTC212" s="2"/>
      <c r="MTD212" s="2"/>
      <c r="MTE212" s="2"/>
      <c r="MTF212" s="260"/>
      <c r="MTG212" s="2"/>
      <c r="MTH212" s="2"/>
      <c r="MTI212" s="2"/>
      <c r="MTJ212" s="2"/>
      <c r="MTK212" s="2"/>
      <c r="MTL212" s="2"/>
      <c r="MTM212" s="2"/>
      <c r="MTN212" s="260"/>
      <c r="MTO212" s="260"/>
      <c r="MTP212" s="260"/>
      <c r="MTQ212" s="380"/>
      <c r="MTR212" s="380"/>
      <c r="MTS212" s="380"/>
      <c r="MTT212" s="2"/>
      <c r="MTU212" s="442"/>
      <c r="MTV212" s="442"/>
      <c r="MTW212" s="443"/>
      <c r="MTX212" s="442"/>
      <c r="MTY212" s="442"/>
      <c r="MTZ212" s="2"/>
      <c r="MUA212" s="2"/>
      <c r="MUB212" s="2"/>
      <c r="MUC212" s="2"/>
      <c r="MUD212" s="260"/>
      <c r="MUE212" s="260"/>
      <c r="MUF212" s="260"/>
      <c r="MUG212" s="260"/>
      <c r="MUH212" s="260"/>
      <c r="MUI212" s="260"/>
      <c r="MUJ212" s="308"/>
      <c r="MUK212" s="290"/>
      <c r="MUL212" s="290"/>
      <c r="MUM212" s="260"/>
      <c r="MUN212" s="260"/>
      <c r="MUO212" s="260"/>
      <c r="MUP212" s="260"/>
      <c r="MUQ212" s="260"/>
      <c r="MUR212" s="2"/>
      <c r="MUS212" s="2"/>
      <c r="MUT212" s="2"/>
      <c r="MUU212" s="2"/>
      <c r="MUV212" s="2"/>
      <c r="MUW212" s="2"/>
      <c r="MUX212" s="260"/>
      <c r="MUY212" s="2"/>
      <c r="MUZ212" s="2"/>
      <c r="MVA212" s="2"/>
      <c r="MVB212" s="2"/>
      <c r="MVC212" s="2"/>
      <c r="MVD212" s="2"/>
      <c r="MVE212" s="2"/>
      <c r="MVF212" s="260"/>
      <c r="MVG212" s="260"/>
      <c r="MVH212" s="260"/>
      <c r="MVI212" s="380"/>
      <c r="MVJ212" s="380"/>
      <c r="MVK212" s="380"/>
      <c r="MVL212" s="2"/>
      <c r="MVM212" s="442"/>
      <c r="MVN212" s="442"/>
      <c r="MVO212" s="443"/>
      <c r="MVP212" s="442"/>
      <c r="MVQ212" s="442"/>
      <c r="MVR212" s="2"/>
      <c r="MVS212" s="2"/>
      <c r="MVT212" s="2"/>
      <c r="MVU212" s="2"/>
      <c r="MVV212" s="260"/>
      <c r="MVW212" s="260"/>
      <c r="MVX212" s="260"/>
      <c r="MVY212" s="260"/>
      <c r="MVZ212" s="260"/>
      <c r="MWA212" s="260"/>
      <c r="MWB212" s="308"/>
      <c r="MWC212" s="290"/>
      <c r="MWD212" s="290"/>
      <c r="MWE212" s="260"/>
      <c r="MWF212" s="260"/>
      <c r="MWG212" s="260"/>
      <c r="MWH212" s="260"/>
      <c r="MWI212" s="260"/>
      <c r="MWJ212" s="2"/>
      <c r="MWK212" s="2"/>
      <c r="MWL212" s="2"/>
      <c r="MWM212" s="2"/>
      <c r="MWN212" s="2"/>
      <c r="MWO212" s="2"/>
      <c r="MWP212" s="260"/>
      <c r="MWQ212" s="2"/>
      <c r="MWR212" s="2"/>
      <c r="MWS212" s="2"/>
      <c r="MWT212" s="2"/>
      <c r="MWU212" s="2"/>
      <c r="MWV212" s="2"/>
      <c r="MWW212" s="2"/>
      <c r="MWX212" s="260"/>
      <c r="MWY212" s="260"/>
      <c r="MWZ212" s="260"/>
      <c r="MXA212" s="380"/>
      <c r="MXB212" s="380"/>
      <c r="MXC212" s="380"/>
      <c r="MXD212" s="2"/>
      <c r="MXE212" s="442"/>
      <c r="MXF212" s="442"/>
      <c r="MXG212" s="443"/>
      <c r="MXH212" s="442"/>
      <c r="MXI212" s="442"/>
      <c r="MXJ212" s="2"/>
      <c r="MXK212" s="2"/>
      <c r="MXL212" s="2"/>
      <c r="MXM212" s="2"/>
      <c r="MXN212" s="260"/>
      <c r="MXO212" s="260"/>
      <c r="MXP212" s="260"/>
      <c r="MXQ212" s="260"/>
      <c r="MXR212" s="260"/>
      <c r="MXS212" s="260"/>
      <c r="MXT212" s="308"/>
      <c r="MXU212" s="290"/>
      <c r="MXV212" s="290"/>
      <c r="MXW212" s="260"/>
      <c r="MXX212" s="260"/>
      <c r="MXY212" s="260"/>
      <c r="MXZ212" s="260"/>
      <c r="MYA212" s="260"/>
      <c r="MYB212" s="2"/>
      <c r="MYC212" s="2"/>
      <c r="MYD212" s="2"/>
      <c r="MYE212" s="2"/>
      <c r="MYF212" s="2"/>
      <c r="MYG212" s="2"/>
      <c r="MYH212" s="260"/>
      <c r="MYI212" s="2"/>
      <c r="MYJ212" s="2"/>
      <c r="MYK212" s="2"/>
      <c r="MYL212" s="2"/>
      <c r="MYM212" s="2"/>
      <c r="MYN212" s="2"/>
      <c r="MYO212" s="2"/>
      <c r="MYP212" s="260"/>
      <c r="MYQ212" s="260"/>
      <c r="MYR212" s="260"/>
      <c r="MYS212" s="380"/>
      <c r="MYT212" s="380"/>
      <c r="MYU212" s="380"/>
      <c r="MYV212" s="2"/>
      <c r="MYW212" s="442"/>
      <c r="MYX212" s="442"/>
      <c r="MYY212" s="443"/>
      <c r="MYZ212" s="442"/>
      <c r="MZA212" s="442"/>
      <c r="MZB212" s="2"/>
      <c r="MZC212" s="2"/>
      <c r="MZD212" s="2"/>
      <c r="MZE212" s="2"/>
      <c r="MZF212" s="260"/>
      <c r="MZG212" s="260"/>
      <c r="MZH212" s="260"/>
      <c r="MZI212" s="260"/>
      <c r="MZJ212" s="260"/>
      <c r="MZK212" s="260"/>
      <c r="MZL212" s="308"/>
      <c r="MZM212" s="290"/>
      <c r="MZN212" s="290"/>
      <c r="MZO212" s="260"/>
      <c r="MZP212" s="260"/>
      <c r="MZQ212" s="260"/>
      <c r="MZR212" s="260"/>
      <c r="MZS212" s="260"/>
      <c r="MZT212" s="2"/>
      <c r="MZU212" s="2"/>
      <c r="MZV212" s="2"/>
      <c r="MZW212" s="2"/>
      <c r="MZX212" s="2"/>
      <c r="MZY212" s="2"/>
      <c r="MZZ212" s="260"/>
      <c r="NAA212" s="2"/>
      <c r="NAB212" s="2"/>
      <c r="NAC212" s="2"/>
      <c r="NAD212" s="2"/>
      <c r="NAE212" s="2"/>
      <c r="NAF212" s="2"/>
      <c r="NAG212" s="2"/>
      <c r="NAH212" s="260"/>
      <c r="NAI212" s="260"/>
      <c r="NAJ212" s="260"/>
      <c r="NAK212" s="380"/>
      <c r="NAL212" s="380"/>
      <c r="NAM212" s="380"/>
      <c r="NAN212" s="2"/>
      <c r="NAO212" s="442"/>
      <c r="NAP212" s="442"/>
      <c r="NAQ212" s="443"/>
      <c r="NAR212" s="442"/>
      <c r="NAS212" s="442"/>
      <c r="NAT212" s="2"/>
      <c r="NAU212" s="2"/>
      <c r="NAV212" s="2"/>
      <c r="NAW212" s="2"/>
      <c r="NAX212" s="260"/>
      <c r="NAY212" s="260"/>
      <c r="NAZ212" s="260"/>
      <c r="NBA212" s="260"/>
      <c r="NBB212" s="260"/>
      <c r="NBC212" s="260"/>
      <c r="NBD212" s="308"/>
      <c r="NBE212" s="290"/>
      <c r="NBF212" s="290"/>
      <c r="NBG212" s="260"/>
      <c r="NBH212" s="260"/>
      <c r="NBI212" s="260"/>
      <c r="NBJ212" s="260"/>
      <c r="NBK212" s="260"/>
      <c r="NBL212" s="2"/>
      <c r="NBM212" s="2"/>
      <c r="NBN212" s="2"/>
      <c r="NBO212" s="2"/>
      <c r="NBP212" s="2"/>
      <c r="NBQ212" s="2"/>
      <c r="NBR212" s="260"/>
      <c r="NBS212" s="2"/>
      <c r="NBT212" s="2"/>
      <c r="NBU212" s="2"/>
      <c r="NBV212" s="2"/>
      <c r="NBW212" s="2"/>
      <c r="NBX212" s="2"/>
      <c r="NBY212" s="2"/>
      <c r="NBZ212" s="260"/>
      <c r="NCA212" s="260"/>
      <c r="NCB212" s="260"/>
      <c r="NCC212" s="380"/>
      <c r="NCD212" s="380"/>
      <c r="NCE212" s="380"/>
      <c r="NCF212" s="2"/>
      <c r="NCG212" s="442"/>
      <c r="NCH212" s="442"/>
      <c r="NCI212" s="443"/>
      <c r="NCJ212" s="442"/>
      <c r="NCK212" s="442"/>
      <c r="NCL212" s="2"/>
      <c r="NCM212" s="2"/>
      <c r="NCN212" s="2"/>
      <c r="NCO212" s="2"/>
      <c r="NCP212" s="260"/>
      <c r="NCQ212" s="260"/>
      <c r="NCR212" s="260"/>
      <c r="NCS212" s="260"/>
      <c r="NCT212" s="260"/>
      <c r="NCU212" s="260"/>
      <c r="NCV212" s="308"/>
      <c r="NCW212" s="290"/>
      <c r="NCX212" s="290"/>
      <c r="NCY212" s="260"/>
      <c r="NCZ212" s="260"/>
      <c r="NDA212" s="260"/>
      <c r="NDB212" s="260"/>
      <c r="NDC212" s="260"/>
      <c r="NDD212" s="2"/>
      <c r="NDE212" s="2"/>
      <c r="NDF212" s="2"/>
      <c r="NDG212" s="2"/>
      <c r="NDH212" s="2"/>
      <c r="NDI212" s="2"/>
      <c r="NDJ212" s="260"/>
      <c r="NDK212" s="2"/>
      <c r="NDL212" s="2"/>
      <c r="NDM212" s="2"/>
      <c r="NDN212" s="2"/>
      <c r="NDO212" s="2"/>
      <c r="NDP212" s="2"/>
      <c r="NDQ212" s="2"/>
      <c r="NDR212" s="260"/>
      <c r="NDS212" s="260"/>
      <c r="NDT212" s="260"/>
      <c r="NDU212" s="380"/>
      <c r="NDV212" s="380"/>
      <c r="NDW212" s="380"/>
      <c r="NDX212" s="2"/>
      <c r="NDY212" s="442"/>
      <c r="NDZ212" s="442"/>
      <c r="NEA212" s="443"/>
      <c r="NEB212" s="442"/>
      <c r="NEC212" s="442"/>
      <c r="NED212" s="2"/>
      <c r="NEE212" s="2"/>
      <c r="NEF212" s="2"/>
      <c r="NEG212" s="2"/>
      <c r="NEH212" s="260"/>
      <c r="NEI212" s="260"/>
      <c r="NEJ212" s="260"/>
      <c r="NEK212" s="260"/>
      <c r="NEL212" s="260"/>
      <c r="NEM212" s="260"/>
      <c r="NEN212" s="308"/>
      <c r="NEO212" s="290"/>
      <c r="NEP212" s="290"/>
      <c r="NEQ212" s="260"/>
      <c r="NER212" s="260"/>
      <c r="NES212" s="260"/>
      <c r="NET212" s="260"/>
      <c r="NEU212" s="260"/>
      <c r="NEV212" s="2"/>
      <c r="NEW212" s="2"/>
      <c r="NEX212" s="2"/>
      <c r="NEY212" s="2"/>
      <c r="NEZ212" s="2"/>
      <c r="NFA212" s="2"/>
      <c r="NFB212" s="260"/>
      <c r="NFC212" s="2"/>
      <c r="NFD212" s="2"/>
      <c r="NFE212" s="2"/>
      <c r="NFF212" s="2"/>
      <c r="NFG212" s="2"/>
      <c r="NFH212" s="2"/>
      <c r="NFI212" s="2"/>
      <c r="NFJ212" s="260"/>
      <c r="NFK212" s="260"/>
      <c r="NFL212" s="260"/>
      <c r="NFM212" s="380"/>
      <c r="NFN212" s="380"/>
      <c r="NFO212" s="380"/>
      <c r="NFP212" s="2"/>
      <c r="NFQ212" s="442"/>
      <c r="NFR212" s="442"/>
      <c r="NFS212" s="443"/>
      <c r="NFT212" s="442"/>
      <c r="NFU212" s="442"/>
      <c r="NFV212" s="2"/>
      <c r="NFW212" s="2"/>
      <c r="NFX212" s="2"/>
      <c r="NFY212" s="2"/>
      <c r="NFZ212" s="260"/>
      <c r="NGA212" s="260"/>
      <c r="NGB212" s="260"/>
      <c r="NGC212" s="260"/>
      <c r="NGD212" s="260"/>
      <c r="NGE212" s="260"/>
      <c r="NGF212" s="308"/>
      <c r="NGG212" s="290"/>
      <c r="NGH212" s="290"/>
      <c r="NGI212" s="260"/>
      <c r="NGJ212" s="260"/>
      <c r="NGK212" s="260"/>
      <c r="NGL212" s="260"/>
      <c r="NGM212" s="260"/>
      <c r="NGN212" s="2"/>
      <c r="NGO212" s="2"/>
      <c r="NGP212" s="2"/>
      <c r="NGQ212" s="2"/>
      <c r="NGR212" s="2"/>
      <c r="NGS212" s="2"/>
      <c r="NGT212" s="260"/>
      <c r="NGU212" s="2"/>
      <c r="NGV212" s="2"/>
      <c r="NGW212" s="2"/>
      <c r="NGX212" s="2"/>
      <c r="NGY212" s="2"/>
      <c r="NGZ212" s="2"/>
      <c r="NHA212" s="2"/>
      <c r="NHB212" s="260"/>
      <c r="NHC212" s="260"/>
      <c r="NHD212" s="260"/>
      <c r="NHE212" s="380"/>
      <c r="NHF212" s="380"/>
      <c r="NHG212" s="380"/>
      <c r="NHH212" s="2"/>
      <c r="NHI212" s="442"/>
      <c r="NHJ212" s="442"/>
      <c r="NHK212" s="443"/>
      <c r="NHL212" s="442"/>
      <c r="NHM212" s="442"/>
      <c r="NHN212" s="2"/>
      <c r="NHO212" s="2"/>
      <c r="NHP212" s="2"/>
      <c r="NHQ212" s="2"/>
      <c r="NHR212" s="260"/>
      <c r="NHS212" s="260"/>
      <c r="NHT212" s="260"/>
      <c r="NHU212" s="260"/>
      <c r="NHV212" s="260"/>
      <c r="NHW212" s="260"/>
      <c r="NHX212" s="308"/>
      <c r="NHY212" s="290"/>
      <c r="NHZ212" s="290"/>
      <c r="NIA212" s="260"/>
      <c r="NIB212" s="260"/>
      <c r="NIC212" s="260"/>
      <c r="NID212" s="260"/>
      <c r="NIE212" s="260"/>
      <c r="NIF212" s="2"/>
      <c r="NIG212" s="2"/>
      <c r="NIH212" s="2"/>
      <c r="NII212" s="2"/>
      <c r="NIJ212" s="2"/>
      <c r="NIK212" s="2"/>
      <c r="NIL212" s="260"/>
      <c r="NIM212" s="2"/>
      <c r="NIN212" s="2"/>
      <c r="NIO212" s="2"/>
      <c r="NIP212" s="2"/>
      <c r="NIQ212" s="2"/>
      <c r="NIR212" s="2"/>
      <c r="NIS212" s="2"/>
      <c r="NIT212" s="260"/>
      <c r="NIU212" s="260"/>
      <c r="NIV212" s="260"/>
      <c r="NIW212" s="380"/>
      <c r="NIX212" s="380"/>
      <c r="NIY212" s="380"/>
      <c r="NIZ212" s="2"/>
      <c r="NJA212" s="442"/>
      <c r="NJB212" s="442"/>
      <c r="NJC212" s="443"/>
      <c r="NJD212" s="442"/>
      <c r="NJE212" s="442"/>
      <c r="NJF212" s="2"/>
      <c r="NJG212" s="2"/>
      <c r="NJH212" s="2"/>
      <c r="NJI212" s="2"/>
      <c r="NJJ212" s="260"/>
      <c r="NJK212" s="260"/>
      <c r="NJL212" s="260"/>
      <c r="NJM212" s="260"/>
      <c r="NJN212" s="260"/>
      <c r="NJO212" s="260"/>
      <c r="NJP212" s="308"/>
      <c r="NJQ212" s="290"/>
      <c r="NJR212" s="290"/>
      <c r="NJS212" s="260"/>
      <c r="NJT212" s="260"/>
      <c r="NJU212" s="260"/>
      <c r="NJV212" s="260"/>
      <c r="NJW212" s="260"/>
      <c r="NJX212" s="2"/>
      <c r="NJY212" s="2"/>
      <c r="NJZ212" s="2"/>
      <c r="NKA212" s="2"/>
      <c r="NKB212" s="2"/>
      <c r="NKC212" s="2"/>
      <c r="NKD212" s="260"/>
      <c r="NKE212" s="2"/>
      <c r="NKF212" s="2"/>
      <c r="NKG212" s="2"/>
      <c r="NKH212" s="2"/>
      <c r="NKI212" s="2"/>
      <c r="NKJ212" s="2"/>
      <c r="NKK212" s="2"/>
      <c r="NKL212" s="260"/>
      <c r="NKM212" s="260"/>
      <c r="NKN212" s="260"/>
      <c r="NKO212" s="380"/>
      <c r="NKP212" s="380"/>
      <c r="NKQ212" s="380"/>
      <c r="NKR212" s="2"/>
      <c r="NKS212" s="442"/>
      <c r="NKT212" s="442"/>
      <c r="NKU212" s="443"/>
      <c r="NKV212" s="442"/>
      <c r="NKW212" s="442"/>
      <c r="NKX212" s="2"/>
      <c r="NKY212" s="2"/>
      <c r="NKZ212" s="2"/>
      <c r="NLA212" s="2"/>
      <c r="NLB212" s="260"/>
      <c r="NLC212" s="260"/>
      <c r="NLD212" s="260"/>
      <c r="NLE212" s="260"/>
      <c r="NLF212" s="260"/>
      <c r="NLG212" s="260"/>
      <c r="NLH212" s="308"/>
      <c r="NLI212" s="290"/>
      <c r="NLJ212" s="290"/>
      <c r="NLK212" s="260"/>
      <c r="NLL212" s="260"/>
      <c r="NLM212" s="260"/>
      <c r="NLN212" s="260"/>
      <c r="NLO212" s="260"/>
      <c r="NLP212" s="2"/>
      <c r="NLQ212" s="2"/>
      <c r="NLR212" s="2"/>
      <c r="NLS212" s="2"/>
      <c r="NLT212" s="2"/>
      <c r="NLU212" s="2"/>
      <c r="NLV212" s="260"/>
      <c r="NLW212" s="2"/>
      <c r="NLX212" s="2"/>
      <c r="NLY212" s="2"/>
      <c r="NLZ212" s="2"/>
      <c r="NMA212" s="2"/>
      <c r="NMB212" s="2"/>
      <c r="NMC212" s="2"/>
      <c r="NMD212" s="260"/>
      <c r="NME212" s="260"/>
      <c r="NMF212" s="260"/>
      <c r="NMG212" s="380"/>
      <c r="NMH212" s="380"/>
      <c r="NMI212" s="380"/>
      <c r="NMJ212" s="2"/>
      <c r="NMK212" s="442"/>
      <c r="NML212" s="442"/>
      <c r="NMM212" s="443"/>
      <c r="NMN212" s="442"/>
      <c r="NMO212" s="442"/>
      <c r="NMP212" s="2"/>
      <c r="NMQ212" s="2"/>
      <c r="NMR212" s="2"/>
      <c r="NMS212" s="2"/>
      <c r="NMT212" s="260"/>
      <c r="NMU212" s="260"/>
      <c r="NMV212" s="260"/>
      <c r="NMW212" s="260"/>
      <c r="NMX212" s="260"/>
      <c r="NMY212" s="260"/>
      <c r="NMZ212" s="308"/>
      <c r="NNA212" s="290"/>
      <c r="NNB212" s="290"/>
      <c r="NNC212" s="260"/>
      <c r="NND212" s="260"/>
      <c r="NNE212" s="260"/>
      <c r="NNF212" s="260"/>
      <c r="NNG212" s="260"/>
      <c r="NNH212" s="2"/>
      <c r="NNI212" s="2"/>
      <c r="NNJ212" s="2"/>
      <c r="NNK212" s="2"/>
      <c r="NNL212" s="2"/>
      <c r="NNM212" s="2"/>
      <c r="NNN212" s="260"/>
      <c r="NNO212" s="2"/>
      <c r="NNP212" s="2"/>
      <c r="NNQ212" s="2"/>
      <c r="NNR212" s="2"/>
      <c r="NNS212" s="2"/>
      <c r="NNT212" s="2"/>
      <c r="NNU212" s="2"/>
      <c r="NNV212" s="260"/>
      <c r="NNW212" s="260"/>
      <c r="NNX212" s="260"/>
      <c r="NNY212" s="380"/>
      <c r="NNZ212" s="380"/>
      <c r="NOA212" s="380"/>
      <c r="NOB212" s="2"/>
      <c r="NOC212" s="442"/>
      <c r="NOD212" s="442"/>
      <c r="NOE212" s="443"/>
      <c r="NOF212" s="442"/>
      <c r="NOG212" s="442"/>
      <c r="NOH212" s="2"/>
      <c r="NOI212" s="2"/>
      <c r="NOJ212" s="2"/>
      <c r="NOK212" s="2"/>
      <c r="NOL212" s="260"/>
      <c r="NOM212" s="260"/>
      <c r="NON212" s="260"/>
      <c r="NOO212" s="260"/>
      <c r="NOP212" s="260"/>
      <c r="NOQ212" s="260"/>
      <c r="NOR212" s="308"/>
      <c r="NOS212" s="290"/>
      <c r="NOT212" s="290"/>
      <c r="NOU212" s="260"/>
      <c r="NOV212" s="260"/>
      <c r="NOW212" s="260"/>
      <c r="NOX212" s="260"/>
      <c r="NOY212" s="260"/>
      <c r="NOZ212" s="2"/>
      <c r="NPA212" s="2"/>
      <c r="NPB212" s="2"/>
      <c r="NPC212" s="2"/>
      <c r="NPD212" s="2"/>
      <c r="NPE212" s="2"/>
      <c r="NPF212" s="260"/>
      <c r="NPG212" s="2"/>
      <c r="NPH212" s="2"/>
      <c r="NPI212" s="2"/>
      <c r="NPJ212" s="2"/>
      <c r="NPK212" s="2"/>
      <c r="NPL212" s="2"/>
      <c r="NPM212" s="2"/>
      <c r="NPN212" s="260"/>
      <c r="NPO212" s="260"/>
      <c r="NPP212" s="260"/>
      <c r="NPQ212" s="380"/>
      <c r="NPR212" s="380"/>
      <c r="NPS212" s="380"/>
      <c r="NPT212" s="2"/>
      <c r="NPU212" s="442"/>
      <c r="NPV212" s="442"/>
      <c r="NPW212" s="443"/>
      <c r="NPX212" s="442"/>
      <c r="NPY212" s="442"/>
      <c r="NPZ212" s="2"/>
      <c r="NQA212" s="2"/>
      <c r="NQB212" s="2"/>
      <c r="NQC212" s="2"/>
      <c r="NQD212" s="260"/>
      <c r="NQE212" s="260"/>
      <c r="NQF212" s="260"/>
      <c r="NQG212" s="260"/>
      <c r="NQH212" s="260"/>
      <c r="NQI212" s="260"/>
      <c r="NQJ212" s="308"/>
      <c r="NQK212" s="290"/>
      <c r="NQL212" s="290"/>
      <c r="NQM212" s="260"/>
      <c r="NQN212" s="260"/>
      <c r="NQO212" s="260"/>
      <c r="NQP212" s="260"/>
      <c r="NQQ212" s="260"/>
      <c r="NQR212" s="2"/>
      <c r="NQS212" s="2"/>
      <c r="NQT212" s="2"/>
      <c r="NQU212" s="2"/>
      <c r="NQV212" s="2"/>
      <c r="NQW212" s="2"/>
      <c r="NQX212" s="260"/>
      <c r="NQY212" s="2"/>
      <c r="NQZ212" s="2"/>
      <c r="NRA212" s="2"/>
      <c r="NRB212" s="2"/>
      <c r="NRC212" s="2"/>
      <c r="NRD212" s="2"/>
      <c r="NRE212" s="2"/>
      <c r="NRF212" s="260"/>
      <c r="NRG212" s="260"/>
      <c r="NRH212" s="260"/>
      <c r="NRI212" s="380"/>
      <c r="NRJ212" s="380"/>
      <c r="NRK212" s="380"/>
      <c r="NRL212" s="2"/>
      <c r="NRM212" s="442"/>
      <c r="NRN212" s="442"/>
      <c r="NRO212" s="443"/>
      <c r="NRP212" s="442"/>
      <c r="NRQ212" s="442"/>
      <c r="NRR212" s="2"/>
      <c r="NRS212" s="2"/>
      <c r="NRT212" s="2"/>
      <c r="NRU212" s="2"/>
      <c r="NRV212" s="260"/>
      <c r="NRW212" s="260"/>
      <c r="NRX212" s="260"/>
      <c r="NRY212" s="260"/>
      <c r="NRZ212" s="260"/>
      <c r="NSA212" s="260"/>
      <c r="NSB212" s="308"/>
      <c r="NSC212" s="290"/>
      <c r="NSD212" s="290"/>
      <c r="NSE212" s="260"/>
      <c r="NSF212" s="260"/>
      <c r="NSG212" s="260"/>
      <c r="NSH212" s="260"/>
      <c r="NSI212" s="260"/>
      <c r="NSJ212" s="2"/>
      <c r="NSK212" s="2"/>
      <c r="NSL212" s="2"/>
      <c r="NSM212" s="2"/>
      <c r="NSN212" s="2"/>
      <c r="NSO212" s="2"/>
      <c r="NSP212" s="260"/>
      <c r="NSQ212" s="2"/>
      <c r="NSR212" s="2"/>
      <c r="NSS212" s="2"/>
      <c r="NST212" s="2"/>
      <c r="NSU212" s="2"/>
      <c r="NSV212" s="2"/>
      <c r="NSW212" s="2"/>
      <c r="NSX212" s="260"/>
      <c r="NSY212" s="260"/>
      <c r="NSZ212" s="260"/>
      <c r="NTA212" s="380"/>
      <c r="NTB212" s="380"/>
      <c r="NTC212" s="380"/>
      <c r="NTD212" s="2"/>
      <c r="NTE212" s="442"/>
      <c r="NTF212" s="442"/>
      <c r="NTG212" s="443"/>
      <c r="NTH212" s="442"/>
      <c r="NTI212" s="442"/>
      <c r="NTJ212" s="2"/>
      <c r="NTK212" s="2"/>
      <c r="NTL212" s="2"/>
      <c r="NTM212" s="2"/>
      <c r="NTN212" s="260"/>
      <c r="NTO212" s="260"/>
      <c r="NTP212" s="260"/>
      <c r="NTQ212" s="260"/>
      <c r="NTR212" s="260"/>
      <c r="NTS212" s="260"/>
      <c r="NTT212" s="308"/>
      <c r="NTU212" s="290"/>
      <c r="NTV212" s="290"/>
      <c r="NTW212" s="260"/>
      <c r="NTX212" s="260"/>
      <c r="NTY212" s="260"/>
      <c r="NTZ212" s="260"/>
      <c r="NUA212" s="260"/>
      <c r="NUB212" s="2"/>
      <c r="NUC212" s="2"/>
      <c r="NUD212" s="2"/>
      <c r="NUE212" s="2"/>
      <c r="NUF212" s="2"/>
      <c r="NUG212" s="2"/>
      <c r="NUH212" s="260"/>
      <c r="NUI212" s="2"/>
      <c r="NUJ212" s="2"/>
      <c r="NUK212" s="2"/>
      <c r="NUL212" s="2"/>
      <c r="NUM212" s="2"/>
      <c r="NUN212" s="2"/>
      <c r="NUO212" s="2"/>
      <c r="NUP212" s="260"/>
      <c r="NUQ212" s="260"/>
      <c r="NUR212" s="260"/>
      <c r="NUS212" s="380"/>
      <c r="NUT212" s="380"/>
      <c r="NUU212" s="380"/>
      <c r="NUV212" s="2"/>
      <c r="NUW212" s="442"/>
      <c r="NUX212" s="442"/>
      <c r="NUY212" s="443"/>
      <c r="NUZ212" s="442"/>
      <c r="NVA212" s="442"/>
      <c r="NVB212" s="2"/>
      <c r="NVC212" s="2"/>
      <c r="NVD212" s="2"/>
      <c r="NVE212" s="2"/>
      <c r="NVF212" s="260"/>
      <c r="NVG212" s="260"/>
      <c r="NVH212" s="260"/>
      <c r="NVI212" s="260"/>
      <c r="NVJ212" s="260"/>
      <c r="NVK212" s="260"/>
      <c r="NVL212" s="308"/>
      <c r="NVM212" s="290"/>
      <c r="NVN212" s="290"/>
      <c r="NVO212" s="260"/>
      <c r="NVP212" s="260"/>
      <c r="NVQ212" s="260"/>
      <c r="NVR212" s="260"/>
      <c r="NVS212" s="260"/>
      <c r="NVT212" s="2"/>
      <c r="NVU212" s="2"/>
      <c r="NVV212" s="2"/>
      <c r="NVW212" s="2"/>
      <c r="NVX212" s="2"/>
      <c r="NVY212" s="2"/>
      <c r="NVZ212" s="260"/>
      <c r="NWA212" s="2"/>
      <c r="NWB212" s="2"/>
      <c r="NWC212" s="2"/>
      <c r="NWD212" s="2"/>
      <c r="NWE212" s="2"/>
      <c r="NWF212" s="2"/>
      <c r="NWG212" s="2"/>
      <c r="NWH212" s="260"/>
      <c r="NWI212" s="260"/>
      <c r="NWJ212" s="260"/>
      <c r="NWK212" s="380"/>
      <c r="NWL212" s="380"/>
      <c r="NWM212" s="380"/>
      <c r="NWN212" s="2"/>
      <c r="NWO212" s="442"/>
      <c r="NWP212" s="442"/>
      <c r="NWQ212" s="443"/>
      <c r="NWR212" s="442"/>
      <c r="NWS212" s="442"/>
      <c r="NWT212" s="2"/>
      <c r="NWU212" s="2"/>
      <c r="NWV212" s="2"/>
      <c r="NWW212" s="2"/>
      <c r="NWX212" s="260"/>
      <c r="NWY212" s="260"/>
      <c r="NWZ212" s="260"/>
      <c r="NXA212" s="260"/>
      <c r="NXB212" s="260"/>
      <c r="NXC212" s="260"/>
      <c r="NXD212" s="308"/>
      <c r="NXE212" s="290"/>
      <c r="NXF212" s="290"/>
      <c r="NXG212" s="260"/>
      <c r="NXH212" s="260"/>
      <c r="NXI212" s="260"/>
      <c r="NXJ212" s="260"/>
      <c r="NXK212" s="260"/>
      <c r="NXL212" s="2"/>
      <c r="NXM212" s="2"/>
      <c r="NXN212" s="2"/>
      <c r="NXO212" s="2"/>
      <c r="NXP212" s="2"/>
      <c r="NXQ212" s="2"/>
      <c r="NXR212" s="260"/>
      <c r="NXS212" s="2"/>
      <c r="NXT212" s="2"/>
      <c r="NXU212" s="2"/>
      <c r="NXV212" s="2"/>
      <c r="NXW212" s="2"/>
      <c r="NXX212" s="2"/>
      <c r="NXY212" s="2"/>
      <c r="NXZ212" s="260"/>
      <c r="NYA212" s="260"/>
      <c r="NYB212" s="260"/>
      <c r="NYC212" s="380"/>
      <c r="NYD212" s="380"/>
      <c r="NYE212" s="380"/>
      <c r="NYF212" s="2"/>
      <c r="NYG212" s="442"/>
      <c r="NYH212" s="442"/>
      <c r="NYI212" s="443"/>
      <c r="NYJ212" s="442"/>
      <c r="NYK212" s="442"/>
      <c r="NYL212" s="2"/>
      <c r="NYM212" s="2"/>
      <c r="NYN212" s="2"/>
      <c r="NYO212" s="2"/>
      <c r="NYP212" s="260"/>
      <c r="NYQ212" s="260"/>
      <c r="NYR212" s="260"/>
      <c r="NYS212" s="260"/>
      <c r="NYT212" s="260"/>
      <c r="NYU212" s="260"/>
      <c r="NYV212" s="308"/>
      <c r="NYW212" s="290"/>
      <c r="NYX212" s="290"/>
      <c r="NYY212" s="260"/>
      <c r="NYZ212" s="260"/>
      <c r="NZA212" s="260"/>
      <c r="NZB212" s="260"/>
      <c r="NZC212" s="260"/>
      <c r="NZD212" s="2"/>
      <c r="NZE212" s="2"/>
      <c r="NZF212" s="2"/>
      <c r="NZG212" s="2"/>
      <c r="NZH212" s="2"/>
      <c r="NZI212" s="2"/>
      <c r="NZJ212" s="260"/>
      <c r="NZK212" s="2"/>
      <c r="NZL212" s="2"/>
      <c r="NZM212" s="2"/>
      <c r="NZN212" s="2"/>
      <c r="NZO212" s="2"/>
      <c r="NZP212" s="2"/>
      <c r="NZQ212" s="2"/>
      <c r="NZR212" s="260"/>
      <c r="NZS212" s="260"/>
      <c r="NZT212" s="260"/>
      <c r="NZU212" s="380"/>
      <c r="NZV212" s="380"/>
      <c r="NZW212" s="380"/>
      <c r="NZX212" s="2"/>
      <c r="NZY212" s="442"/>
      <c r="NZZ212" s="442"/>
      <c r="OAA212" s="443"/>
      <c r="OAB212" s="442"/>
      <c r="OAC212" s="442"/>
      <c r="OAD212" s="2"/>
      <c r="OAE212" s="2"/>
      <c r="OAF212" s="2"/>
      <c r="OAG212" s="2"/>
      <c r="OAH212" s="260"/>
      <c r="OAI212" s="260"/>
      <c r="OAJ212" s="260"/>
      <c r="OAK212" s="260"/>
      <c r="OAL212" s="260"/>
      <c r="OAM212" s="260"/>
      <c r="OAN212" s="308"/>
      <c r="OAO212" s="290"/>
      <c r="OAP212" s="290"/>
      <c r="OAQ212" s="260"/>
      <c r="OAR212" s="260"/>
      <c r="OAS212" s="260"/>
      <c r="OAT212" s="260"/>
      <c r="OAU212" s="260"/>
      <c r="OAV212" s="2"/>
      <c r="OAW212" s="2"/>
      <c r="OAX212" s="2"/>
      <c r="OAY212" s="2"/>
      <c r="OAZ212" s="2"/>
      <c r="OBA212" s="2"/>
      <c r="OBB212" s="260"/>
      <c r="OBC212" s="2"/>
      <c r="OBD212" s="2"/>
      <c r="OBE212" s="2"/>
      <c r="OBF212" s="2"/>
      <c r="OBG212" s="2"/>
      <c r="OBH212" s="2"/>
      <c r="OBI212" s="2"/>
      <c r="OBJ212" s="260"/>
      <c r="OBK212" s="260"/>
      <c r="OBL212" s="260"/>
      <c r="OBM212" s="380"/>
      <c r="OBN212" s="380"/>
      <c r="OBO212" s="380"/>
      <c r="OBP212" s="2"/>
      <c r="OBQ212" s="442"/>
      <c r="OBR212" s="442"/>
      <c r="OBS212" s="443"/>
      <c r="OBT212" s="442"/>
      <c r="OBU212" s="442"/>
      <c r="OBV212" s="2"/>
      <c r="OBW212" s="2"/>
      <c r="OBX212" s="2"/>
      <c r="OBY212" s="2"/>
      <c r="OBZ212" s="260"/>
      <c r="OCA212" s="260"/>
      <c r="OCB212" s="260"/>
      <c r="OCC212" s="260"/>
      <c r="OCD212" s="260"/>
      <c r="OCE212" s="260"/>
      <c r="OCF212" s="308"/>
      <c r="OCG212" s="290"/>
      <c r="OCH212" s="290"/>
      <c r="OCI212" s="260"/>
      <c r="OCJ212" s="260"/>
      <c r="OCK212" s="260"/>
      <c r="OCL212" s="260"/>
      <c r="OCM212" s="260"/>
      <c r="OCN212" s="2"/>
      <c r="OCO212" s="2"/>
      <c r="OCP212" s="2"/>
      <c r="OCQ212" s="2"/>
      <c r="OCR212" s="2"/>
      <c r="OCS212" s="2"/>
      <c r="OCT212" s="260"/>
      <c r="OCU212" s="2"/>
      <c r="OCV212" s="2"/>
      <c r="OCW212" s="2"/>
      <c r="OCX212" s="2"/>
      <c r="OCY212" s="2"/>
      <c r="OCZ212" s="2"/>
      <c r="ODA212" s="2"/>
      <c r="ODB212" s="260"/>
      <c r="ODC212" s="260"/>
      <c r="ODD212" s="260"/>
      <c r="ODE212" s="380"/>
      <c r="ODF212" s="380"/>
      <c r="ODG212" s="380"/>
      <c r="ODH212" s="2"/>
      <c r="ODI212" s="442"/>
      <c r="ODJ212" s="442"/>
      <c r="ODK212" s="443"/>
      <c r="ODL212" s="442"/>
      <c r="ODM212" s="442"/>
      <c r="ODN212" s="2"/>
      <c r="ODO212" s="2"/>
      <c r="ODP212" s="2"/>
      <c r="ODQ212" s="2"/>
      <c r="ODR212" s="260"/>
      <c r="ODS212" s="260"/>
      <c r="ODT212" s="260"/>
      <c r="ODU212" s="260"/>
      <c r="ODV212" s="260"/>
      <c r="ODW212" s="260"/>
      <c r="ODX212" s="308"/>
      <c r="ODY212" s="290"/>
      <c r="ODZ212" s="290"/>
      <c r="OEA212" s="260"/>
      <c r="OEB212" s="260"/>
      <c r="OEC212" s="260"/>
      <c r="OED212" s="260"/>
      <c r="OEE212" s="260"/>
      <c r="OEF212" s="2"/>
      <c r="OEG212" s="2"/>
      <c r="OEH212" s="2"/>
      <c r="OEI212" s="2"/>
      <c r="OEJ212" s="2"/>
      <c r="OEK212" s="2"/>
      <c r="OEL212" s="260"/>
      <c r="OEM212" s="2"/>
      <c r="OEN212" s="2"/>
      <c r="OEO212" s="2"/>
      <c r="OEP212" s="2"/>
      <c r="OEQ212" s="2"/>
      <c r="OER212" s="2"/>
      <c r="OES212" s="2"/>
      <c r="OET212" s="260"/>
      <c r="OEU212" s="260"/>
      <c r="OEV212" s="260"/>
      <c r="OEW212" s="380"/>
      <c r="OEX212" s="380"/>
      <c r="OEY212" s="380"/>
      <c r="OEZ212" s="2"/>
      <c r="OFA212" s="442"/>
      <c r="OFB212" s="442"/>
      <c r="OFC212" s="443"/>
      <c r="OFD212" s="442"/>
      <c r="OFE212" s="442"/>
      <c r="OFF212" s="2"/>
      <c r="OFG212" s="2"/>
      <c r="OFH212" s="2"/>
      <c r="OFI212" s="2"/>
      <c r="OFJ212" s="260"/>
      <c r="OFK212" s="260"/>
      <c r="OFL212" s="260"/>
      <c r="OFM212" s="260"/>
      <c r="OFN212" s="260"/>
      <c r="OFO212" s="260"/>
      <c r="OFP212" s="308"/>
      <c r="OFQ212" s="290"/>
      <c r="OFR212" s="290"/>
      <c r="OFS212" s="260"/>
      <c r="OFT212" s="260"/>
      <c r="OFU212" s="260"/>
      <c r="OFV212" s="260"/>
      <c r="OFW212" s="260"/>
      <c r="OFX212" s="2"/>
      <c r="OFY212" s="2"/>
      <c r="OFZ212" s="2"/>
      <c r="OGA212" s="2"/>
      <c r="OGB212" s="2"/>
      <c r="OGC212" s="2"/>
      <c r="OGD212" s="260"/>
      <c r="OGE212" s="2"/>
      <c r="OGF212" s="2"/>
      <c r="OGG212" s="2"/>
      <c r="OGH212" s="2"/>
      <c r="OGI212" s="2"/>
      <c r="OGJ212" s="2"/>
      <c r="OGK212" s="2"/>
      <c r="OGL212" s="260"/>
      <c r="OGM212" s="260"/>
      <c r="OGN212" s="260"/>
      <c r="OGO212" s="380"/>
      <c r="OGP212" s="380"/>
      <c r="OGQ212" s="380"/>
      <c r="OGR212" s="2"/>
      <c r="OGS212" s="442"/>
      <c r="OGT212" s="442"/>
      <c r="OGU212" s="443"/>
      <c r="OGV212" s="442"/>
      <c r="OGW212" s="442"/>
      <c r="OGX212" s="2"/>
      <c r="OGY212" s="2"/>
      <c r="OGZ212" s="2"/>
      <c r="OHA212" s="2"/>
      <c r="OHB212" s="260"/>
      <c r="OHC212" s="260"/>
      <c r="OHD212" s="260"/>
      <c r="OHE212" s="260"/>
      <c r="OHF212" s="260"/>
      <c r="OHG212" s="260"/>
      <c r="OHH212" s="308"/>
      <c r="OHI212" s="290"/>
      <c r="OHJ212" s="290"/>
      <c r="OHK212" s="260"/>
      <c r="OHL212" s="260"/>
      <c r="OHM212" s="260"/>
      <c r="OHN212" s="260"/>
      <c r="OHO212" s="260"/>
      <c r="OHP212" s="2"/>
      <c r="OHQ212" s="2"/>
      <c r="OHR212" s="2"/>
      <c r="OHS212" s="2"/>
      <c r="OHT212" s="2"/>
      <c r="OHU212" s="2"/>
      <c r="OHV212" s="260"/>
      <c r="OHW212" s="2"/>
      <c r="OHX212" s="2"/>
      <c r="OHY212" s="2"/>
      <c r="OHZ212" s="2"/>
      <c r="OIA212" s="2"/>
      <c r="OIB212" s="2"/>
      <c r="OIC212" s="2"/>
      <c r="OID212" s="260"/>
      <c r="OIE212" s="260"/>
      <c r="OIF212" s="260"/>
      <c r="OIG212" s="380"/>
      <c r="OIH212" s="380"/>
      <c r="OII212" s="380"/>
      <c r="OIJ212" s="2"/>
      <c r="OIK212" s="442"/>
      <c r="OIL212" s="442"/>
      <c r="OIM212" s="443"/>
      <c r="OIN212" s="442"/>
      <c r="OIO212" s="442"/>
      <c r="OIP212" s="2"/>
      <c r="OIQ212" s="2"/>
      <c r="OIR212" s="2"/>
      <c r="OIS212" s="2"/>
      <c r="OIT212" s="260"/>
      <c r="OIU212" s="260"/>
      <c r="OIV212" s="260"/>
      <c r="OIW212" s="260"/>
      <c r="OIX212" s="260"/>
      <c r="OIY212" s="260"/>
      <c r="OIZ212" s="308"/>
      <c r="OJA212" s="290"/>
      <c r="OJB212" s="290"/>
      <c r="OJC212" s="260"/>
      <c r="OJD212" s="260"/>
      <c r="OJE212" s="260"/>
      <c r="OJF212" s="260"/>
      <c r="OJG212" s="260"/>
      <c r="OJH212" s="2"/>
      <c r="OJI212" s="2"/>
      <c r="OJJ212" s="2"/>
      <c r="OJK212" s="2"/>
      <c r="OJL212" s="2"/>
      <c r="OJM212" s="2"/>
      <c r="OJN212" s="260"/>
      <c r="OJO212" s="2"/>
      <c r="OJP212" s="2"/>
      <c r="OJQ212" s="2"/>
      <c r="OJR212" s="2"/>
      <c r="OJS212" s="2"/>
      <c r="OJT212" s="2"/>
      <c r="OJU212" s="2"/>
      <c r="OJV212" s="260"/>
      <c r="OJW212" s="260"/>
      <c r="OJX212" s="260"/>
      <c r="OJY212" s="380"/>
      <c r="OJZ212" s="380"/>
      <c r="OKA212" s="380"/>
      <c r="OKB212" s="2"/>
      <c r="OKC212" s="442"/>
      <c r="OKD212" s="442"/>
      <c r="OKE212" s="443"/>
      <c r="OKF212" s="442"/>
      <c r="OKG212" s="442"/>
      <c r="OKH212" s="2"/>
      <c r="OKI212" s="2"/>
      <c r="OKJ212" s="2"/>
      <c r="OKK212" s="2"/>
      <c r="OKL212" s="260"/>
      <c r="OKM212" s="260"/>
      <c r="OKN212" s="260"/>
      <c r="OKO212" s="260"/>
      <c r="OKP212" s="260"/>
      <c r="OKQ212" s="260"/>
      <c r="OKR212" s="308"/>
      <c r="OKS212" s="290"/>
      <c r="OKT212" s="290"/>
      <c r="OKU212" s="260"/>
      <c r="OKV212" s="260"/>
      <c r="OKW212" s="260"/>
      <c r="OKX212" s="260"/>
      <c r="OKY212" s="260"/>
      <c r="OKZ212" s="2"/>
      <c r="OLA212" s="2"/>
      <c r="OLB212" s="2"/>
      <c r="OLC212" s="2"/>
      <c r="OLD212" s="2"/>
      <c r="OLE212" s="2"/>
      <c r="OLF212" s="260"/>
      <c r="OLG212" s="2"/>
      <c r="OLH212" s="2"/>
      <c r="OLI212" s="2"/>
      <c r="OLJ212" s="2"/>
      <c r="OLK212" s="2"/>
      <c r="OLL212" s="2"/>
      <c r="OLM212" s="2"/>
      <c r="OLN212" s="260"/>
      <c r="OLO212" s="260"/>
      <c r="OLP212" s="260"/>
      <c r="OLQ212" s="380"/>
      <c r="OLR212" s="380"/>
      <c r="OLS212" s="380"/>
      <c r="OLT212" s="2"/>
      <c r="OLU212" s="442"/>
      <c r="OLV212" s="442"/>
      <c r="OLW212" s="443"/>
      <c r="OLX212" s="442"/>
      <c r="OLY212" s="442"/>
      <c r="OLZ212" s="2"/>
      <c r="OMA212" s="2"/>
      <c r="OMB212" s="2"/>
      <c r="OMC212" s="2"/>
      <c r="OMD212" s="260"/>
      <c r="OME212" s="260"/>
      <c r="OMF212" s="260"/>
      <c r="OMG212" s="260"/>
      <c r="OMH212" s="260"/>
      <c r="OMI212" s="260"/>
      <c r="OMJ212" s="308"/>
      <c r="OMK212" s="290"/>
      <c r="OML212" s="290"/>
      <c r="OMM212" s="260"/>
      <c r="OMN212" s="260"/>
      <c r="OMO212" s="260"/>
      <c r="OMP212" s="260"/>
      <c r="OMQ212" s="260"/>
      <c r="OMR212" s="2"/>
      <c r="OMS212" s="2"/>
      <c r="OMT212" s="2"/>
      <c r="OMU212" s="2"/>
      <c r="OMV212" s="2"/>
      <c r="OMW212" s="2"/>
      <c r="OMX212" s="260"/>
      <c r="OMY212" s="2"/>
      <c r="OMZ212" s="2"/>
      <c r="ONA212" s="2"/>
      <c r="ONB212" s="2"/>
      <c r="ONC212" s="2"/>
      <c r="OND212" s="2"/>
      <c r="ONE212" s="2"/>
      <c r="ONF212" s="260"/>
      <c r="ONG212" s="260"/>
      <c r="ONH212" s="260"/>
      <c r="ONI212" s="380"/>
      <c r="ONJ212" s="380"/>
      <c r="ONK212" s="380"/>
      <c r="ONL212" s="2"/>
      <c r="ONM212" s="442"/>
      <c r="ONN212" s="442"/>
      <c r="ONO212" s="443"/>
      <c r="ONP212" s="442"/>
      <c r="ONQ212" s="442"/>
      <c r="ONR212" s="2"/>
      <c r="ONS212" s="2"/>
      <c r="ONT212" s="2"/>
      <c r="ONU212" s="2"/>
      <c r="ONV212" s="260"/>
      <c r="ONW212" s="260"/>
      <c r="ONX212" s="260"/>
      <c r="ONY212" s="260"/>
      <c r="ONZ212" s="260"/>
      <c r="OOA212" s="260"/>
      <c r="OOB212" s="308"/>
      <c r="OOC212" s="290"/>
      <c r="OOD212" s="290"/>
      <c r="OOE212" s="260"/>
      <c r="OOF212" s="260"/>
      <c r="OOG212" s="260"/>
      <c r="OOH212" s="260"/>
      <c r="OOI212" s="260"/>
      <c r="OOJ212" s="2"/>
      <c r="OOK212" s="2"/>
      <c r="OOL212" s="2"/>
      <c r="OOM212" s="2"/>
      <c r="OON212" s="2"/>
      <c r="OOO212" s="2"/>
      <c r="OOP212" s="260"/>
      <c r="OOQ212" s="2"/>
      <c r="OOR212" s="2"/>
      <c r="OOS212" s="2"/>
      <c r="OOT212" s="2"/>
      <c r="OOU212" s="2"/>
      <c r="OOV212" s="2"/>
      <c r="OOW212" s="2"/>
      <c r="OOX212" s="260"/>
      <c r="OOY212" s="260"/>
      <c r="OOZ212" s="260"/>
      <c r="OPA212" s="380"/>
      <c r="OPB212" s="380"/>
      <c r="OPC212" s="380"/>
      <c r="OPD212" s="2"/>
      <c r="OPE212" s="442"/>
      <c r="OPF212" s="442"/>
      <c r="OPG212" s="443"/>
      <c r="OPH212" s="442"/>
      <c r="OPI212" s="442"/>
      <c r="OPJ212" s="2"/>
      <c r="OPK212" s="2"/>
      <c r="OPL212" s="2"/>
      <c r="OPM212" s="2"/>
      <c r="OPN212" s="260"/>
      <c r="OPO212" s="260"/>
      <c r="OPP212" s="260"/>
      <c r="OPQ212" s="260"/>
      <c r="OPR212" s="260"/>
      <c r="OPS212" s="260"/>
      <c r="OPT212" s="308"/>
      <c r="OPU212" s="290"/>
      <c r="OPV212" s="290"/>
      <c r="OPW212" s="260"/>
      <c r="OPX212" s="260"/>
      <c r="OPY212" s="260"/>
      <c r="OPZ212" s="260"/>
      <c r="OQA212" s="260"/>
      <c r="OQB212" s="2"/>
      <c r="OQC212" s="2"/>
      <c r="OQD212" s="2"/>
      <c r="OQE212" s="2"/>
      <c r="OQF212" s="2"/>
      <c r="OQG212" s="2"/>
      <c r="OQH212" s="260"/>
      <c r="OQI212" s="2"/>
      <c r="OQJ212" s="2"/>
      <c r="OQK212" s="2"/>
      <c r="OQL212" s="2"/>
      <c r="OQM212" s="2"/>
      <c r="OQN212" s="2"/>
      <c r="OQO212" s="2"/>
      <c r="OQP212" s="260"/>
      <c r="OQQ212" s="260"/>
      <c r="OQR212" s="260"/>
      <c r="OQS212" s="380"/>
      <c r="OQT212" s="380"/>
      <c r="OQU212" s="380"/>
      <c r="OQV212" s="2"/>
      <c r="OQW212" s="442"/>
      <c r="OQX212" s="442"/>
      <c r="OQY212" s="443"/>
      <c r="OQZ212" s="442"/>
      <c r="ORA212" s="442"/>
      <c r="ORB212" s="2"/>
      <c r="ORC212" s="2"/>
      <c r="ORD212" s="2"/>
      <c r="ORE212" s="2"/>
      <c r="ORF212" s="260"/>
      <c r="ORG212" s="260"/>
      <c r="ORH212" s="260"/>
      <c r="ORI212" s="260"/>
      <c r="ORJ212" s="260"/>
      <c r="ORK212" s="260"/>
      <c r="ORL212" s="308"/>
      <c r="ORM212" s="290"/>
      <c r="ORN212" s="290"/>
      <c r="ORO212" s="260"/>
      <c r="ORP212" s="260"/>
      <c r="ORQ212" s="260"/>
      <c r="ORR212" s="260"/>
      <c r="ORS212" s="260"/>
      <c r="ORT212" s="2"/>
      <c r="ORU212" s="2"/>
      <c r="ORV212" s="2"/>
      <c r="ORW212" s="2"/>
      <c r="ORX212" s="2"/>
      <c r="ORY212" s="2"/>
      <c r="ORZ212" s="260"/>
      <c r="OSA212" s="2"/>
      <c r="OSB212" s="2"/>
      <c r="OSC212" s="2"/>
      <c r="OSD212" s="2"/>
      <c r="OSE212" s="2"/>
      <c r="OSF212" s="2"/>
      <c r="OSG212" s="2"/>
      <c r="OSH212" s="260"/>
      <c r="OSI212" s="260"/>
      <c r="OSJ212" s="260"/>
      <c r="OSK212" s="380"/>
      <c r="OSL212" s="380"/>
      <c r="OSM212" s="380"/>
      <c r="OSN212" s="2"/>
      <c r="OSO212" s="442"/>
      <c r="OSP212" s="442"/>
      <c r="OSQ212" s="443"/>
      <c r="OSR212" s="442"/>
      <c r="OSS212" s="442"/>
      <c r="OST212" s="2"/>
      <c r="OSU212" s="2"/>
      <c r="OSV212" s="2"/>
      <c r="OSW212" s="2"/>
      <c r="OSX212" s="260"/>
      <c r="OSY212" s="260"/>
      <c r="OSZ212" s="260"/>
      <c r="OTA212" s="260"/>
      <c r="OTB212" s="260"/>
      <c r="OTC212" s="260"/>
      <c r="OTD212" s="308"/>
      <c r="OTE212" s="290"/>
      <c r="OTF212" s="290"/>
      <c r="OTG212" s="260"/>
      <c r="OTH212" s="260"/>
      <c r="OTI212" s="260"/>
      <c r="OTJ212" s="260"/>
      <c r="OTK212" s="260"/>
      <c r="OTL212" s="2"/>
      <c r="OTM212" s="2"/>
      <c r="OTN212" s="2"/>
      <c r="OTO212" s="2"/>
      <c r="OTP212" s="2"/>
      <c r="OTQ212" s="2"/>
      <c r="OTR212" s="260"/>
      <c r="OTS212" s="2"/>
      <c r="OTT212" s="2"/>
      <c r="OTU212" s="2"/>
      <c r="OTV212" s="2"/>
      <c r="OTW212" s="2"/>
      <c r="OTX212" s="2"/>
      <c r="OTY212" s="2"/>
      <c r="OTZ212" s="260"/>
      <c r="OUA212" s="260"/>
      <c r="OUB212" s="260"/>
      <c r="OUC212" s="380"/>
      <c r="OUD212" s="380"/>
      <c r="OUE212" s="380"/>
      <c r="OUF212" s="2"/>
      <c r="OUG212" s="442"/>
      <c r="OUH212" s="442"/>
      <c r="OUI212" s="443"/>
      <c r="OUJ212" s="442"/>
      <c r="OUK212" s="442"/>
      <c r="OUL212" s="2"/>
      <c r="OUM212" s="2"/>
      <c r="OUN212" s="2"/>
      <c r="OUO212" s="2"/>
      <c r="OUP212" s="260"/>
      <c r="OUQ212" s="260"/>
      <c r="OUR212" s="260"/>
      <c r="OUS212" s="260"/>
      <c r="OUT212" s="260"/>
      <c r="OUU212" s="260"/>
      <c r="OUV212" s="308"/>
      <c r="OUW212" s="290"/>
      <c r="OUX212" s="290"/>
      <c r="OUY212" s="260"/>
      <c r="OUZ212" s="260"/>
      <c r="OVA212" s="260"/>
      <c r="OVB212" s="260"/>
      <c r="OVC212" s="260"/>
      <c r="OVD212" s="2"/>
      <c r="OVE212" s="2"/>
      <c r="OVF212" s="2"/>
      <c r="OVG212" s="2"/>
      <c r="OVH212" s="2"/>
      <c r="OVI212" s="2"/>
      <c r="OVJ212" s="260"/>
      <c r="OVK212" s="2"/>
      <c r="OVL212" s="2"/>
      <c r="OVM212" s="2"/>
      <c r="OVN212" s="2"/>
      <c r="OVO212" s="2"/>
      <c r="OVP212" s="2"/>
      <c r="OVQ212" s="2"/>
      <c r="OVR212" s="260"/>
      <c r="OVS212" s="260"/>
      <c r="OVT212" s="260"/>
      <c r="OVU212" s="380"/>
      <c r="OVV212" s="380"/>
      <c r="OVW212" s="380"/>
      <c r="OVX212" s="2"/>
      <c r="OVY212" s="442"/>
      <c r="OVZ212" s="442"/>
      <c r="OWA212" s="443"/>
      <c r="OWB212" s="442"/>
      <c r="OWC212" s="442"/>
      <c r="OWD212" s="2"/>
      <c r="OWE212" s="2"/>
      <c r="OWF212" s="2"/>
      <c r="OWG212" s="2"/>
      <c r="OWH212" s="260"/>
      <c r="OWI212" s="260"/>
      <c r="OWJ212" s="260"/>
      <c r="OWK212" s="260"/>
      <c r="OWL212" s="260"/>
      <c r="OWM212" s="260"/>
      <c r="OWN212" s="308"/>
      <c r="OWO212" s="290"/>
      <c r="OWP212" s="290"/>
      <c r="OWQ212" s="260"/>
      <c r="OWR212" s="260"/>
      <c r="OWS212" s="260"/>
      <c r="OWT212" s="260"/>
      <c r="OWU212" s="260"/>
      <c r="OWV212" s="2"/>
      <c r="OWW212" s="2"/>
      <c r="OWX212" s="2"/>
      <c r="OWY212" s="2"/>
      <c r="OWZ212" s="2"/>
      <c r="OXA212" s="2"/>
      <c r="OXB212" s="260"/>
      <c r="OXC212" s="2"/>
      <c r="OXD212" s="2"/>
      <c r="OXE212" s="2"/>
      <c r="OXF212" s="2"/>
      <c r="OXG212" s="2"/>
      <c r="OXH212" s="2"/>
      <c r="OXI212" s="2"/>
      <c r="OXJ212" s="260"/>
      <c r="OXK212" s="260"/>
      <c r="OXL212" s="260"/>
      <c r="OXM212" s="380"/>
      <c r="OXN212" s="380"/>
      <c r="OXO212" s="380"/>
      <c r="OXP212" s="2"/>
      <c r="OXQ212" s="442"/>
      <c r="OXR212" s="442"/>
      <c r="OXS212" s="443"/>
      <c r="OXT212" s="442"/>
      <c r="OXU212" s="442"/>
      <c r="OXV212" s="2"/>
      <c r="OXW212" s="2"/>
      <c r="OXX212" s="2"/>
      <c r="OXY212" s="2"/>
      <c r="OXZ212" s="260"/>
      <c r="OYA212" s="260"/>
      <c r="OYB212" s="260"/>
      <c r="OYC212" s="260"/>
      <c r="OYD212" s="260"/>
      <c r="OYE212" s="260"/>
      <c r="OYF212" s="308"/>
      <c r="OYG212" s="290"/>
      <c r="OYH212" s="290"/>
      <c r="OYI212" s="260"/>
      <c r="OYJ212" s="260"/>
      <c r="OYK212" s="260"/>
      <c r="OYL212" s="260"/>
      <c r="OYM212" s="260"/>
      <c r="OYN212" s="2"/>
      <c r="OYO212" s="2"/>
      <c r="OYP212" s="2"/>
      <c r="OYQ212" s="2"/>
      <c r="OYR212" s="2"/>
      <c r="OYS212" s="2"/>
      <c r="OYT212" s="260"/>
      <c r="OYU212" s="2"/>
      <c r="OYV212" s="2"/>
      <c r="OYW212" s="2"/>
      <c r="OYX212" s="2"/>
      <c r="OYY212" s="2"/>
      <c r="OYZ212" s="2"/>
      <c r="OZA212" s="2"/>
      <c r="OZB212" s="260"/>
      <c r="OZC212" s="260"/>
      <c r="OZD212" s="260"/>
      <c r="OZE212" s="380"/>
      <c r="OZF212" s="380"/>
      <c r="OZG212" s="380"/>
      <c r="OZH212" s="2"/>
      <c r="OZI212" s="442"/>
      <c r="OZJ212" s="442"/>
      <c r="OZK212" s="443"/>
      <c r="OZL212" s="442"/>
      <c r="OZM212" s="442"/>
      <c r="OZN212" s="2"/>
      <c r="OZO212" s="2"/>
      <c r="OZP212" s="2"/>
      <c r="OZQ212" s="2"/>
      <c r="OZR212" s="260"/>
      <c r="OZS212" s="260"/>
      <c r="OZT212" s="260"/>
      <c r="OZU212" s="260"/>
      <c r="OZV212" s="260"/>
      <c r="OZW212" s="260"/>
      <c r="OZX212" s="308"/>
      <c r="OZY212" s="290"/>
      <c r="OZZ212" s="290"/>
      <c r="PAA212" s="260"/>
      <c r="PAB212" s="260"/>
      <c r="PAC212" s="260"/>
      <c r="PAD212" s="260"/>
      <c r="PAE212" s="260"/>
      <c r="PAF212" s="2"/>
      <c r="PAG212" s="2"/>
      <c r="PAH212" s="2"/>
      <c r="PAI212" s="2"/>
      <c r="PAJ212" s="2"/>
      <c r="PAK212" s="2"/>
      <c r="PAL212" s="260"/>
      <c r="PAM212" s="2"/>
      <c r="PAN212" s="2"/>
      <c r="PAO212" s="2"/>
      <c r="PAP212" s="2"/>
      <c r="PAQ212" s="2"/>
      <c r="PAR212" s="2"/>
      <c r="PAS212" s="2"/>
      <c r="PAT212" s="260"/>
      <c r="PAU212" s="260"/>
      <c r="PAV212" s="260"/>
      <c r="PAW212" s="380"/>
      <c r="PAX212" s="380"/>
      <c r="PAY212" s="380"/>
      <c r="PAZ212" s="2"/>
      <c r="PBA212" s="442"/>
      <c r="PBB212" s="442"/>
      <c r="PBC212" s="443"/>
      <c r="PBD212" s="442"/>
      <c r="PBE212" s="442"/>
      <c r="PBF212" s="2"/>
      <c r="PBG212" s="2"/>
      <c r="PBH212" s="2"/>
      <c r="PBI212" s="2"/>
      <c r="PBJ212" s="260"/>
      <c r="PBK212" s="260"/>
      <c r="PBL212" s="260"/>
      <c r="PBM212" s="260"/>
      <c r="PBN212" s="260"/>
      <c r="PBO212" s="260"/>
      <c r="PBP212" s="308"/>
      <c r="PBQ212" s="290"/>
      <c r="PBR212" s="290"/>
      <c r="PBS212" s="260"/>
      <c r="PBT212" s="260"/>
      <c r="PBU212" s="260"/>
      <c r="PBV212" s="260"/>
      <c r="PBW212" s="260"/>
      <c r="PBX212" s="2"/>
      <c r="PBY212" s="2"/>
      <c r="PBZ212" s="2"/>
      <c r="PCA212" s="2"/>
      <c r="PCB212" s="2"/>
      <c r="PCC212" s="2"/>
      <c r="PCD212" s="260"/>
      <c r="PCE212" s="2"/>
      <c r="PCF212" s="2"/>
      <c r="PCG212" s="2"/>
      <c r="PCH212" s="2"/>
      <c r="PCI212" s="2"/>
      <c r="PCJ212" s="2"/>
      <c r="PCK212" s="2"/>
      <c r="PCL212" s="260"/>
      <c r="PCM212" s="260"/>
      <c r="PCN212" s="260"/>
      <c r="PCO212" s="380"/>
      <c r="PCP212" s="380"/>
      <c r="PCQ212" s="380"/>
      <c r="PCR212" s="2"/>
      <c r="PCS212" s="442"/>
      <c r="PCT212" s="442"/>
      <c r="PCU212" s="443"/>
      <c r="PCV212" s="442"/>
      <c r="PCW212" s="442"/>
      <c r="PCX212" s="2"/>
      <c r="PCY212" s="2"/>
      <c r="PCZ212" s="2"/>
      <c r="PDA212" s="2"/>
      <c r="PDB212" s="260"/>
      <c r="PDC212" s="260"/>
      <c r="PDD212" s="260"/>
      <c r="PDE212" s="260"/>
      <c r="PDF212" s="260"/>
      <c r="PDG212" s="260"/>
      <c r="PDH212" s="308"/>
      <c r="PDI212" s="290"/>
      <c r="PDJ212" s="290"/>
      <c r="PDK212" s="260"/>
      <c r="PDL212" s="260"/>
      <c r="PDM212" s="260"/>
      <c r="PDN212" s="260"/>
      <c r="PDO212" s="260"/>
      <c r="PDP212" s="2"/>
      <c r="PDQ212" s="2"/>
      <c r="PDR212" s="2"/>
      <c r="PDS212" s="2"/>
      <c r="PDT212" s="2"/>
      <c r="PDU212" s="2"/>
      <c r="PDV212" s="260"/>
      <c r="PDW212" s="2"/>
      <c r="PDX212" s="2"/>
      <c r="PDY212" s="2"/>
      <c r="PDZ212" s="2"/>
      <c r="PEA212" s="2"/>
      <c r="PEB212" s="2"/>
      <c r="PEC212" s="2"/>
      <c r="PED212" s="260"/>
      <c r="PEE212" s="260"/>
      <c r="PEF212" s="260"/>
      <c r="PEG212" s="380"/>
      <c r="PEH212" s="380"/>
      <c r="PEI212" s="380"/>
      <c r="PEJ212" s="2"/>
      <c r="PEK212" s="442"/>
      <c r="PEL212" s="442"/>
      <c r="PEM212" s="443"/>
      <c r="PEN212" s="442"/>
      <c r="PEO212" s="442"/>
      <c r="PEP212" s="2"/>
      <c r="PEQ212" s="2"/>
      <c r="PER212" s="2"/>
      <c r="PES212" s="2"/>
      <c r="PET212" s="260"/>
      <c r="PEU212" s="260"/>
      <c r="PEV212" s="260"/>
      <c r="PEW212" s="260"/>
      <c r="PEX212" s="260"/>
      <c r="PEY212" s="260"/>
      <c r="PEZ212" s="308"/>
      <c r="PFA212" s="290"/>
      <c r="PFB212" s="290"/>
      <c r="PFC212" s="260"/>
      <c r="PFD212" s="260"/>
      <c r="PFE212" s="260"/>
      <c r="PFF212" s="260"/>
      <c r="PFG212" s="260"/>
      <c r="PFH212" s="2"/>
      <c r="PFI212" s="2"/>
      <c r="PFJ212" s="2"/>
      <c r="PFK212" s="2"/>
      <c r="PFL212" s="2"/>
      <c r="PFM212" s="2"/>
      <c r="PFN212" s="260"/>
      <c r="PFO212" s="2"/>
      <c r="PFP212" s="2"/>
      <c r="PFQ212" s="2"/>
      <c r="PFR212" s="2"/>
      <c r="PFS212" s="2"/>
      <c r="PFT212" s="2"/>
      <c r="PFU212" s="2"/>
      <c r="PFV212" s="260"/>
      <c r="PFW212" s="260"/>
      <c r="PFX212" s="260"/>
      <c r="PFY212" s="380"/>
      <c r="PFZ212" s="380"/>
      <c r="PGA212" s="380"/>
      <c r="PGB212" s="2"/>
      <c r="PGC212" s="442"/>
      <c r="PGD212" s="442"/>
      <c r="PGE212" s="443"/>
      <c r="PGF212" s="442"/>
      <c r="PGG212" s="442"/>
      <c r="PGH212" s="2"/>
      <c r="PGI212" s="2"/>
      <c r="PGJ212" s="2"/>
      <c r="PGK212" s="2"/>
      <c r="PGL212" s="260"/>
      <c r="PGM212" s="260"/>
      <c r="PGN212" s="260"/>
      <c r="PGO212" s="260"/>
      <c r="PGP212" s="260"/>
      <c r="PGQ212" s="260"/>
      <c r="PGR212" s="308"/>
      <c r="PGS212" s="290"/>
      <c r="PGT212" s="290"/>
      <c r="PGU212" s="260"/>
      <c r="PGV212" s="260"/>
      <c r="PGW212" s="260"/>
      <c r="PGX212" s="260"/>
      <c r="PGY212" s="260"/>
      <c r="PGZ212" s="2"/>
      <c r="PHA212" s="2"/>
      <c r="PHB212" s="2"/>
      <c r="PHC212" s="2"/>
      <c r="PHD212" s="2"/>
      <c r="PHE212" s="2"/>
      <c r="PHF212" s="260"/>
      <c r="PHG212" s="2"/>
      <c r="PHH212" s="2"/>
      <c r="PHI212" s="2"/>
      <c r="PHJ212" s="2"/>
      <c r="PHK212" s="2"/>
      <c r="PHL212" s="2"/>
      <c r="PHM212" s="2"/>
      <c r="PHN212" s="260"/>
      <c r="PHO212" s="260"/>
      <c r="PHP212" s="260"/>
      <c r="PHQ212" s="380"/>
      <c r="PHR212" s="380"/>
      <c r="PHS212" s="380"/>
      <c r="PHT212" s="2"/>
      <c r="PHU212" s="442"/>
      <c r="PHV212" s="442"/>
      <c r="PHW212" s="443"/>
      <c r="PHX212" s="442"/>
      <c r="PHY212" s="442"/>
      <c r="PHZ212" s="2"/>
      <c r="PIA212" s="2"/>
      <c r="PIB212" s="2"/>
      <c r="PIC212" s="2"/>
      <c r="PID212" s="260"/>
      <c r="PIE212" s="260"/>
      <c r="PIF212" s="260"/>
      <c r="PIG212" s="260"/>
      <c r="PIH212" s="260"/>
      <c r="PII212" s="260"/>
      <c r="PIJ212" s="308"/>
      <c r="PIK212" s="290"/>
      <c r="PIL212" s="290"/>
      <c r="PIM212" s="260"/>
      <c r="PIN212" s="260"/>
      <c r="PIO212" s="260"/>
      <c r="PIP212" s="260"/>
      <c r="PIQ212" s="260"/>
      <c r="PIR212" s="2"/>
      <c r="PIS212" s="2"/>
      <c r="PIT212" s="2"/>
      <c r="PIU212" s="2"/>
      <c r="PIV212" s="2"/>
      <c r="PIW212" s="2"/>
      <c r="PIX212" s="260"/>
      <c r="PIY212" s="2"/>
      <c r="PIZ212" s="2"/>
      <c r="PJA212" s="2"/>
      <c r="PJB212" s="2"/>
      <c r="PJC212" s="2"/>
      <c r="PJD212" s="2"/>
      <c r="PJE212" s="2"/>
      <c r="PJF212" s="260"/>
      <c r="PJG212" s="260"/>
      <c r="PJH212" s="260"/>
      <c r="PJI212" s="380"/>
      <c r="PJJ212" s="380"/>
      <c r="PJK212" s="380"/>
      <c r="PJL212" s="2"/>
      <c r="PJM212" s="442"/>
      <c r="PJN212" s="442"/>
      <c r="PJO212" s="443"/>
      <c r="PJP212" s="442"/>
      <c r="PJQ212" s="442"/>
      <c r="PJR212" s="2"/>
      <c r="PJS212" s="2"/>
      <c r="PJT212" s="2"/>
      <c r="PJU212" s="2"/>
      <c r="PJV212" s="260"/>
      <c r="PJW212" s="260"/>
      <c r="PJX212" s="260"/>
      <c r="PJY212" s="260"/>
      <c r="PJZ212" s="260"/>
      <c r="PKA212" s="260"/>
      <c r="PKB212" s="308"/>
      <c r="PKC212" s="290"/>
      <c r="PKD212" s="290"/>
      <c r="PKE212" s="260"/>
      <c r="PKF212" s="260"/>
      <c r="PKG212" s="260"/>
      <c r="PKH212" s="260"/>
      <c r="PKI212" s="260"/>
      <c r="PKJ212" s="2"/>
      <c r="PKK212" s="2"/>
      <c r="PKL212" s="2"/>
      <c r="PKM212" s="2"/>
      <c r="PKN212" s="2"/>
      <c r="PKO212" s="2"/>
      <c r="PKP212" s="260"/>
      <c r="PKQ212" s="2"/>
      <c r="PKR212" s="2"/>
      <c r="PKS212" s="2"/>
      <c r="PKT212" s="2"/>
      <c r="PKU212" s="2"/>
      <c r="PKV212" s="2"/>
      <c r="PKW212" s="2"/>
      <c r="PKX212" s="260"/>
      <c r="PKY212" s="260"/>
      <c r="PKZ212" s="260"/>
      <c r="PLA212" s="380"/>
      <c r="PLB212" s="380"/>
      <c r="PLC212" s="380"/>
      <c r="PLD212" s="2"/>
      <c r="PLE212" s="442"/>
      <c r="PLF212" s="442"/>
      <c r="PLG212" s="443"/>
      <c r="PLH212" s="442"/>
      <c r="PLI212" s="442"/>
      <c r="PLJ212" s="2"/>
      <c r="PLK212" s="2"/>
      <c r="PLL212" s="2"/>
      <c r="PLM212" s="2"/>
      <c r="PLN212" s="260"/>
      <c r="PLO212" s="260"/>
      <c r="PLP212" s="260"/>
      <c r="PLQ212" s="260"/>
      <c r="PLR212" s="260"/>
      <c r="PLS212" s="260"/>
      <c r="PLT212" s="308"/>
      <c r="PLU212" s="290"/>
      <c r="PLV212" s="290"/>
      <c r="PLW212" s="260"/>
      <c r="PLX212" s="260"/>
      <c r="PLY212" s="260"/>
      <c r="PLZ212" s="260"/>
      <c r="PMA212" s="260"/>
      <c r="PMB212" s="2"/>
      <c r="PMC212" s="2"/>
      <c r="PMD212" s="2"/>
      <c r="PME212" s="2"/>
      <c r="PMF212" s="2"/>
      <c r="PMG212" s="2"/>
      <c r="PMH212" s="260"/>
      <c r="PMI212" s="2"/>
      <c r="PMJ212" s="2"/>
      <c r="PMK212" s="2"/>
      <c r="PML212" s="2"/>
      <c r="PMM212" s="2"/>
      <c r="PMN212" s="2"/>
      <c r="PMO212" s="2"/>
      <c r="PMP212" s="260"/>
      <c r="PMQ212" s="260"/>
      <c r="PMR212" s="260"/>
      <c r="PMS212" s="380"/>
      <c r="PMT212" s="380"/>
      <c r="PMU212" s="380"/>
      <c r="PMV212" s="2"/>
      <c r="PMW212" s="442"/>
      <c r="PMX212" s="442"/>
      <c r="PMY212" s="443"/>
      <c r="PMZ212" s="442"/>
      <c r="PNA212" s="442"/>
      <c r="PNB212" s="2"/>
      <c r="PNC212" s="2"/>
      <c r="PND212" s="2"/>
      <c r="PNE212" s="2"/>
      <c r="PNF212" s="260"/>
      <c r="PNG212" s="260"/>
      <c r="PNH212" s="260"/>
      <c r="PNI212" s="260"/>
      <c r="PNJ212" s="260"/>
      <c r="PNK212" s="260"/>
      <c r="PNL212" s="308"/>
      <c r="PNM212" s="290"/>
      <c r="PNN212" s="290"/>
      <c r="PNO212" s="260"/>
      <c r="PNP212" s="260"/>
      <c r="PNQ212" s="260"/>
      <c r="PNR212" s="260"/>
      <c r="PNS212" s="260"/>
      <c r="PNT212" s="2"/>
      <c r="PNU212" s="2"/>
      <c r="PNV212" s="2"/>
      <c r="PNW212" s="2"/>
      <c r="PNX212" s="2"/>
      <c r="PNY212" s="2"/>
      <c r="PNZ212" s="260"/>
      <c r="POA212" s="2"/>
      <c r="POB212" s="2"/>
      <c r="POC212" s="2"/>
      <c r="POD212" s="2"/>
      <c r="POE212" s="2"/>
      <c r="POF212" s="2"/>
      <c r="POG212" s="2"/>
      <c r="POH212" s="260"/>
      <c r="POI212" s="260"/>
      <c r="POJ212" s="260"/>
      <c r="POK212" s="380"/>
      <c r="POL212" s="380"/>
      <c r="POM212" s="380"/>
      <c r="PON212" s="2"/>
      <c r="POO212" s="442"/>
      <c r="POP212" s="442"/>
      <c r="POQ212" s="443"/>
      <c r="POR212" s="442"/>
      <c r="POS212" s="442"/>
      <c r="POT212" s="2"/>
      <c r="POU212" s="2"/>
      <c r="POV212" s="2"/>
      <c r="POW212" s="2"/>
      <c r="POX212" s="260"/>
      <c r="POY212" s="260"/>
      <c r="POZ212" s="260"/>
      <c r="PPA212" s="260"/>
      <c r="PPB212" s="260"/>
      <c r="PPC212" s="260"/>
      <c r="PPD212" s="308"/>
      <c r="PPE212" s="290"/>
      <c r="PPF212" s="290"/>
      <c r="PPG212" s="260"/>
      <c r="PPH212" s="260"/>
      <c r="PPI212" s="260"/>
      <c r="PPJ212" s="260"/>
      <c r="PPK212" s="260"/>
      <c r="PPL212" s="2"/>
      <c r="PPM212" s="2"/>
      <c r="PPN212" s="2"/>
      <c r="PPO212" s="2"/>
      <c r="PPP212" s="2"/>
      <c r="PPQ212" s="2"/>
      <c r="PPR212" s="260"/>
      <c r="PPS212" s="2"/>
      <c r="PPT212" s="2"/>
      <c r="PPU212" s="2"/>
      <c r="PPV212" s="2"/>
      <c r="PPW212" s="2"/>
      <c r="PPX212" s="2"/>
      <c r="PPY212" s="2"/>
      <c r="PPZ212" s="260"/>
      <c r="PQA212" s="260"/>
      <c r="PQB212" s="260"/>
      <c r="PQC212" s="380"/>
      <c r="PQD212" s="380"/>
      <c r="PQE212" s="380"/>
      <c r="PQF212" s="2"/>
      <c r="PQG212" s="442"/>
      <c r="PQH212" s="442"/>
      <c r="PQI212" s="443"/>
      <c r="PQJ212" s="442"/>
      <c r="PQK212" s="442"/>
      <c r="PQL212" s="2"/>
      <c r="PQM212" s="2"/>
      <c r="PQN212" s="2"/>
      <c r="PQO212" s="2"/>
      <c r="PQP212" s="260"/>
      <c r="PQQ212" s="260"/>
      <c r="PQR212" s="260"/>
      <c r="PQS212" s="260"/>
      <c r="PQT212" s="260"/>
      <c r="PQU212" s="260"/>
      <c r="PQV212" s="308"/>
      <c r="PQW212" s="290"/>
      <c r="PQX212" s="290"/>
      <c r="PQY212" s="260"/>
      <c r="PQZ212" s="260"/>
      <c r="PRA212" s="260"/>
      <c r="PRB212" s="260"/>
      <c r="PRC212" s="260"/>
      <c r="PRD212" s="2"/>
      <c r="PRE212" s="2"/>
      <c r="PRF212" s="2"/>
      <c r="PRG212" s="2"/>
      <c r="PRH212" s="2"/>
      <c r="PRI212" s="2"/>
      <c r="PRJ212" s="260"/>
      <c r="PRK212" s="2"/>
      <c r="PRL212" s="2"/>
      <c r="PRM212" s="2"/>
      <c r="PRN212" s="2"/>
      <c r="PRO212" s="2"/>
      <c r="PRP212" s="2"/>
      <c r="PRQ212" s="2"/>
      <c r="PRR212" s="260"/>
      <c r="PRS212" s="260"/>
      <c r="PRT212" s="260"/>
      <c r="PRU212" s="380"/>
      <c r="PRV212" s="380"/>
      <c r="PRW212" s="380"/>
      <c r="PRX212" s="2"/>
      <c r="PRY212" s="442"/>
      <c r="PRZ212" s="442"/>
      <c r="PSA212" s="443"/>
      <c r="PSB212" s="442"/>
      <c r="PSC212" s="442"/>
      <c r="PSD212" s="2"/>
      <c r="PSE212" s="2"/>
      <c r="PSF212" s="2"/>
      <c r="PSG212" s="2"/>
      <c r="PSH212" s="260"/>
      <c r="PSI212" s="260"/>
      <c r="PSJ212" s="260"/>
      <c r="PSK212" s="260"/>
      <c r="PSL212" s="260"/>
      <c r="PSM212" s="260"/>
      <c r="PSN212" s="308"/>
      <c r="PSO212" s="290"/>
      <c r="PSP212" s="290"/>
      <c r="PSQ212" s="260"/>
      <c r="PSR212" s="260"/>
      <c r="PSS212" s="260"/>
      <c r="PST212" s="260"/>
      <c r="PSU212" s="260"/>
      <c r="PSV212" s="2"/>
      <c r="PSW212" s="2"/>
      <c r="PSX212" s="2"/>
      <c r="PSY212" s="2"/>
      <c r="PSZ212" s="2"/>
      <c r="PTA212" s="2"/>
      <c r="PTB212" s="260"/>
      <c r="PTC212" s="2"/>
      <c r="PTD212" s="2"/>
      <c r="PTE212" s="2"/>
      <c r="PTF212" s="2"/>
      <c r="PTG212" s="2"/>
      <c r="PTH212" s="2"/>
      <c r="PTI212" s="2"/>
      <c r="PTJ212" s="260"/>
      <c r="PTK212" s="260"/>
      <c r="PTL212" s="260"/>
      <c r="PTM212" s="380"/>
      <c r="PTN212" s="380"/>
      <c r="PTO212" s="380"/>
      <c r="PTP212" s="2"/>
      <c r="PTQ212" s="442"/>
      <c r="PTR212" s="442"/>
      <c r="PTS212" s="443"/>
      <c r="PTT212" s="442"/>
      <c r="PTU212" s="442"/>
      <c r="PTV212" s="2"/>
      <c r="PTW212" s="2"/>
      <c r="PTX212" s="2"/>
      <c r="PTY212" s="2"/>
      <c r="PTZ212" s="260"/>
      <c r="PUA212" s="260"/>
      <c r="PUB212" s="260"/>
      <c r="PUC212" s="260"/>
      <c r="PUD212" s="260"/>
      <c r="PUE212" s="260"/>
      <c r="PUF212" s="308"/>
      <c r="PUG212" s="290"/>
      <c r="PUH212" s="290"/>
      <c r="PUI212" s="260"/>
      <c r="PUJ212" s="260"/>
      <c r="PUK212" s="260"/>
      <c r="PUL212" s="260"/>
      <c r="PUM212" s="260"/>
      <c r="PUN212" s="2"/>
      <c r="PUO212" s="2"/>
      <c r="PUP212" s="2"/>
      <c r="PUQ212" s="2"/>
      <c r="PUR212" s="2"/>
      <c r="PUS212" s="2"/>
      <c r="PUT212" s="260"/>
      <c r="PUU212" s="2"/>
      <c r="PUV212" s="2"/>
      <c r="PUW212" s="2"/>
      <c r="PUX212" s="2"/>
      <c r="PUY212" s="2"/>
      <c r="PUZ212" s="2"/>
      <c r="PVA212" s="2"/>
      <c r="PVB212" s="260"/>
      <c r="PVC212" s="260"/>
      <c r="PVD212" s="260"/>
      <c r="PVE212" s="380"/>
      <c r="PVF212" s="380"/>
      <c r="PVG212" s="380"/>
      <c r="PVH212" s="2"/>
      <c r="PVI212" s="442"/>
      <c r="PVJ212" s="442"/>
      <c r="PVK212" s="443"/>
      <c r="PVL212" s="442"/>
      <c r="PVM212" s="442"/>
      <c r="PVN212" s="2"/>
      <c r="PVO212" s="2"/>
      <c r="PVP212" s="2"/>
      <c r="PVQ212" s="2"/>
      <c r="PVR212" s="260"/>
      <c r="PVS212" s="260"/>
      <c r="PVT212" s="260"/>
      <c r="PVU212" s="260"/>
      <c r="PVV212" s="260"/>
      <c r="PVW212" s="260"/>
      <c r="PVX212" s="308"/>
      <c r="PVY212" s="290"/>
      <c r="PVZ212" s="290"/>
      <c r="PWA212" s="260"/>
      <c r="PWB212" s="260"/>
      <c r="PWC212" s="260"/>
      <c r="PWD212" s="260"/>
      <c r="PWE212" s="260"/>
      <c r="PWF212" s="2"/>
      <c r="PWG212" s="2"/>
      <c r="PWH212" s="2"/>
      <c r="PWI212" s="2"/>
      <c r="PWJ212" s="2"/>
      <c r="PWK212" s="2"/>
      <c r="PWL212" s="260"/>
      <c r="PWM212" s="2"/>
      <c r="PWN212" s="2"/>
      <c r="PWO212" s="2"/>
      <c r="PWP212" s="2"/>
      <c r="PWQ212" s="2"/>
      <c r="PWR212" s="2"/>
      <c r="PWS212" s="2"/>
      <c r="PWT212" s="260"/>
      <c r="PWU212" s="260"/>
      <c r="PWV212" s="260"/>
      <c r="PWW212" s="380"/>
      <c r="PWX212" s="380"/>
      <c r="PWY212" s="380"/>
      <c r="PWZ212" s="2"/>
      <c r="PXA212" s="442"/>
      <c r="PXB212" s="442"/>
      <c r="PXC212" s="443"/>
      <c r="PXD212" s="442"/>
      <c r="PXE212" s="442"/>
      <c r="PXF212" s="2"/>
      <c r="PXG212" s="2"/>
      <c r="PXH212" s="2"/>
      <c r="PXI212" s="2"/>
      <c r="PXJ212" s="260"/>
      <c r="PXK212" s="260"/>
      <c r="PXL212" s="260"/>
      <c r="PXM212" s="260"/>
      <c r="PXN212" s="260"/>
      <c r="PXO212" s="260"/>
      <c r="PXP212" s="308"/>
      <c r="PXQ212" s="290"/>
      <c r="PXR212" s="290"/>
      <c r="PXS212" s="260"/>
      <c r="PXT212" s="260"/>
      <c r="PXU212" s="260"/>
      <c r="PXV212" s="260"/>
      <c r="PXW212" s="260"/>
      <c r="PXX212" s="2"/>
      <c r="PXY212" s="2"/>
      <c r="PXZ212" s="2"/>
      <c r="PYA212" s="2"/>
      <c r="PYB212" s="2"/>
      <c r="PYC212" s="2"/>
      <c r="PYD212" s="260"/>
      <c r="PYE212" s="2"/>
      <c r="PYF212" s="2"/>
      <c r="PYG212" s="2"/>
      <c r="PYH212" s="2"/>
      <c r="PYI212" s="2"/>
      <c r="PYJ212" s="2"/>
      <c r="PYK212" s="2"/>
      <c r="PYL212" s="260"/>
      <c r="PYM212" s="260"/>
      <c r="PYN212" s="260"/>
      <c r="PYO212" s="380"/>
      <c r="PYP212" s="380"/>
      <c r="PYQ212" s="380"/>
      <c r="PYR212" s="2"/>
      <c r="PYS212" s="442"/>
      <c r="PYT212" s="442"/>
      <c r="PYU212" s="443"/>
      <c r="PYV212" s="442"/>
      <c r="PYW212" s="442"/>
      <c r="PYX212" s="2"/>
      <c r="PYY212" s="2"/>
      <c r="PYZ212" s="2"/>
      <c r="PZA212" s="2"/>
      <c r="PZB212" s="260"/>
      <c r="PZC212" s="260"/>
      <c r="PZD212" s="260"/>
      <c r="PZE212" s="260"/>
      <c r="PZF212" s="260"/>
      <c r="PZG212" s="260"/>
      <c r="PZH212" s="308"/>
      <c r="PZI212" s="290"/>
      <c r="PZJ212" s="290"/>
      <c r="PZK212" s="260"/>
      <c r="PZL212" s="260"/>
      <c r="PZM212" s="260"/>
      <c r="PZN212" s="260"/>
      <c r="PZO212" s="260"/>
      <c r="PZP212" s="2"/>
      <c r="PZQ212" s="2"/>
      <c r="PZR212" s="2"/>
      <c r="PZS212" s="2"/>
      <c r="PZT212" s="2"/>
      <c r="PZU212" s="2"/>
      <c r="PZV212" s="260"/>
      <c r="PZW212" s="2"/>
      <c r="PZX212" s="2"/>
      <c r="PZY212" s="2"/>
      <c r="PZZ212" s="2"/>
      <c r="QAA212" s="2"/>
      <c r="QAB212" s="2"/>
      <c r="QAC212" s="2"/>
      <c r="QAD212" s="260"/>
      <c r="QAE212" s="260"/>
      <c r="QAF212" s="260"/>
      <c r="QAG212" s="380"/>
      <c r="QAH212" s="380"/>
      <c r="QAI212" s="380"/>
      <c r="QAJ212" s="2"/>
      <c r="QAK212" s="442"/>
      <c r="QAL212" s="442"/>
      <c r="QAM212" s="443"/>
      <c r="QAN212" s="442"/>
      <c r="QAO212" s="442"/>
      <c r="QAP212" s="2"/>
      <c r="QAQ212" s="2"/>
      <c r="QAR212" s="2"/>
      <c r="QAS212" s="2"/>
      <c r="QAT212" s="260"/>
      <c r="QAU212" s="260"/>
      <c r="QAV212" s="260"/>
      <c r="QAW212" s="260"/>
      <c r="QAX212" s="260"/>
      <c r="QAY212" s="260"/>
      <c r="QAZ212" s="308"/>
      <c r="QBA212" s="290"/>
      <c r="QBB212" s="290"/>
      <c r="QBC212" s="260"/>
      <c r="QBD212" s="260"/>
      <c r="QBE212" s="260"/>
      <c r="QBF212" s="260"/>
      <c r="QBG212" s="260"/>
      <c r="QBH212" s="2"/>
      <c r="QBI212" s="2"/>
      <c r="QBJ212" s="2"/>
      <c r="QBK212" s="2"/>
      <c r="QBL212" s="2"/>
      <c r="QBM212" s="2"/>
      <c r="QBN212" s="260"/>
      <c r="QBO212" s="2"/>
      <c r="QBP212" s="2"/>
      <c r="QBQ212" s="2"/>
      <c r="QBR212" s="2"/>
      <c r="QBS212" s="2"/>
      <c r="QBT212" s="2"/>
      <c r="QBU212" s="2"/>
      <c r="QBV212" s="260"/>
      <c r="QBW212" s="260"/>
      <c r="QBX212" s="260"/>
      <c r="QBY212" s="380"/>
      <c r="QBZ212" s="380"/>
      <c r="QCA212" s="380"/>
      <c r="QCB212" s="2"/>
      <c r="QCC212" s="442"/>
      <c r="QCD212" s="442"/>
      <c r="QCE212" s="443"/>
      <c r="QCF212" s="442"/>
      <c r="QCG212" s="442"/>
      <c r="QCH212" s="2"/>
      <c r="QCI212" s="2"/>
      <c r="QCJ212" s="2"/>
      <c r="QCK212" s="2"/>
      <c r="QCL212" s="260"/>
      <c r="QCM212" s="260"/>
      <c r="QCN212" s="260"/>
      <c r="QCO212" s="260"/>
      <c r="QCP212" s="260"/>
      <c r="QCQ212" s="260"/>
      <c r="QCR212" s="308"/>
      <c r="QCS212" s="290"/>
      <c r="QCT212" s="290"/>
      <c r="QCU212" s="260"/>
      <c r="QCV212" s="260"/>
      <c r="QCW212" s="260"/>
      <c r="QCX212" s="260"/>
      <c r="QCY212" s="260"/>
      <c r="QCZ212" s="2"/>
      <c r="QDA212" s="2"/>
      <c r="QDB212" s="2"/>
      <c r="QDC212" s="2"/>
      <c r="QDD212" s="2"/>
      <c r="QDE212" s="2"/>
      <c r="QDF212" s="260"/>
      <c r="QDG212" s="2"/>
      <c r="QDH212" s="2"/>
      <c r="QDI212" s="2"/>
      <c r="QDJ212" s="2"/>
      <c r="QDK212" s="2"/>
      <c r="QDL212" s="2"/>
      <c r="QDM212" s="2"/>
      <c r="QDN212" s="260"/>
      <c r="QDO212" s="260"/>
      <c r="QDP212" s="260"/>
      <c r="QDQ212" s="380"/>
      <c r="QDR212" s="380"/>
      <c r="QDS212" s="380"/>
      <c r="QDT212" s="2"/>
      <c r="QDU212" s="442"/>
      <c r="QDV212" s="442"/>
      <c r="QDW212" s="443"/>
      <c r="QDX212" s="442"/>
      <c r="QDY212" s="442"/>
      <c r="QDZ212" s="2"/>
      <c r="QEA212" s="2"/>
      <c r="QEB212" s="2"/>
      <c r="QEC212" s="2"/>
      <c r="QED212" s="260"/>
      <c r="QEE212" s="260"/>
      <c r="QEF212" s="260"/>
      <c r="QEG212" s="260"/>
      <c r="QEH212" s="260"/>
      <c r="QEI212" s="260"/>
      <c r="QEJ212" s="308"/>
      <c r="QEK212" s="290"/>
      <c r="QEL212" s="290"/>
      <c r="QEM212" s="260"/>
      <c r="QEN212" s="260"/>
      <c r="QEO212" s="260"/>
      <c r="QEP212" s="260"/>
      <c r="QEQ212" s="260"/>
      <c r="QER212" s="2"/>
      <c r="QES212" s="2"/>
      <c r="QET212" s="2"/>
      <c r="QEU212" s="2"/>
      <c r="QEV212" s="2"/>
      <c r="QEW212" s="2"/>
      <c r="QEX212" s="260"/>
      <c r="QEY212" s="2"/>
      <c r="QEZ212" s="2"/>
      <c r="QFA212" s="2"/>
      <c r="QFB212" s="2"/>
      <c r="QFC212" s="2"/>
      <c r="QFD212" s="2"/>
      <c r="QFE212" s="2"/>
      <c r="QFF212" s="260"/>
      <c r="QFG212" s="260"/>
      <c r="QFH212" s="260"/>
      <c r="QFI212" s="380"/>
      <c r="QFJ212" s="380"/>
      <c r="QFK212" s="380"/>
      <c r="QFL212" s="2"/>
      <c r="QFM212" s="442"/>
      <c r="QFN212" s="442"/>
      <c r="QFO212" s="443"/>
      <c r="QFP212" s="442"/>
      <c r="QFQ212" s="442"/>
      <c r="QFR212" s="2"/>
      <c r="QFS212" s="2"/>
      <c r="QFT212" s="2"/>
      <c r="QFU212" s="2"/>
      <c r="QFV212" s="260"/>
      <c r="QFW212" s="260"/>
      <c r="QFX212" s="260"/>
      <c r="QFY212" s="260"/>
      <c r="QFZ212" s="260"/>
      <c r="QGA212" s="260"/>
      <c r="QGB212" s="308"/>
      <c r="QGC212" s="290"/>
      <c r="QGD212" s="290"/>
      <c r="QGE212" s="260"/>
      <c r="QGF212" s="260"/>
      <c r="QGG212" s="260"/>
      <c r="QGH212" s="260"/>
      <c r="QGI212" s="260"/>
      <c r="QGJ212" s="2"/>
      <c r="QGK212" s="2"/>
      <c r="QGL212" s="2"/>
      <c r="QGM212" s="2"/>
      <c r="QGN212" s="2"/>
      <c r="QGO212" s="2"/>
      <c r="QGP212" s="260"/>
      <c r="QGQ212" s="2"/>
      <c r="QGR212" s="2"/>
      <c r="QGS212" s="2"/>
      <c r="QGT212" s="2"/>
      <c r="QGU212" s="2"/>
      <c r="QGV212" s="2"/>
      <c r="QGW212" s="2"/>
      <c r="QGX212" s="260"/>
      <c r="QGY212" s="260"/>
      <c r="QGZ212" s="260"/>
      <c r="QHA212" s="380"/>
      <c r="QHB212" s="380"/>
      <c r="QHC212" s="380"/>
      <c r="QHD212" s="2"/>
      <c r="QHE212" s="442"/>
      <c r="QHF212" s="442"/>
      <c r="QHG212" s="443"/>
      <c r="QHH212" s="442"/>
      <c r="QHI212" s="442"/>
      <c r="QHJ212" s="2"/>
      <c r="QHK212" s="2"/>
      <c r="QHL212" s="2"/>
      <c r="QHM212" s="2"/>
      <c r="QHN212" s="260"/>
      <c r="QHO212" s="260"/>
      <c r="QHP212" s="260"/>
      <c r="QHQ212" s="260"/>
      <c r="QHR212" s="260"/>
      <c r="QHS212" s="260"/>
      <c r="QHT212" s="308"/>
      <c r="QHU212" s="290"/>
      <c r="QHV212" s="290"/>
      <c r="QHW212" s="260"/>
      <c r="QHX212" s="260"/>
      <c r="QHY212" s="260"/>
      <c r="QHZ212" s="260"/>
      <c r="QIA212" s="260"/>
      <c r="QIB212" s="2"/>
      <c r="QIC212" s="2"/>
      <c r="QID212" s="2"/>
      <c r="QIE212" s="2"/>
      <c r="QIF212" s="2"/>
      <c r="QIG212" s="2"/>
      <c r="QIH212" s="260"/>
      <c r="QII212" s="2"/>
      <c r="QIJ212" s="2"/>
      <c r="QIK212" s="2"/>
      <c r="QIL212" s="2"/>
      <c r="QIM212" s="2"/>
      <c r="QIN212" s="2"/>
      <c r="QIO212" s="2"/>
      <c r="QIP212" s="260"/>
      <c r="QIQ212" s="260"/>
      <c r="QIR212" s="260"/>
      <c r="QIS212" s="380"/>
      <c r="QIT212" s="380"/>
      <c r="QIU212" s="380"/>
      <c r="QIV212" s="2"/>
      <c r="QIW212" s="442"/>
      <c r="QIX212" s="442"/>
      <c r="QIY212" s="443"/>
      <c r="QIZ212" s="442"/>
      <c r="QJA212" s="442"/>
      <c r="QJB212" s="2"/>
      <c r="QJC212" s="2"/>
      <c r="QJD212" s="2"/>
      <c r="QJE212" s="2"/>
      <c r="QJF212" s="260"/>
      <c r="QJG212" s="260"/>
      <c r="QJH212" s="260"/>
      <c r="QJI212" s="260"/>
      <c r="QJJ212" s="260"/>
      <c r="QJK212" s="260"/>
      <c r="QJL212" s="308"/>
      <c r="QJM212" s="290"/>
      <c r="QJN212" s="290"/>
      <c r="QJO212" s="260"/>
      <c r="QJP212" s="260"/>
      <c r="QJQ212" s="260"/>
      <c r="QJR212" s="260"/>
      <c r="QJS212" s="260"/>
      <c r="QJT212" s="2"/>
      <c r="QJU212" s="2"/>
      <c r="QJV212" s="2"/>
      <c r="QJW212" s="2"/>
      <c r="QJX212" s="2"/>
      <c r="QJY212" s="2"/>
      <c r="QJZ212" s="260"/>
      <c r="QKA212" s="2"/>
      <c r="QKB212" s="2"/>
      <c r="QKC212" s="2"/>
      <c r="QKD212" s="2"/>
      <c r="QKE212" s="2"/>
      <c r="QKF212" s="2"/>
      <c r="QKG212" s="2"/>
      <c r="QKH212" s="260"/>
      <c r="QKI212" s="260"/>
      <c r="QKJ212" s="260"/>
      <c r="QKK212" s="380"/>
      <c r="QKL212" s="380"/>
      <c r="QKM212" s="380"/>
      <c r="QKN212" s="2"/>
      <c r="QKO212" s="442"/>
      <c r="QKP212" s="442"/>
      <c r="QKQ212" s="443"/>
      <c r="QKR212" s="442"/>
      <c r="QKS212" s="442"/>
      <c r="QKT212" s="2"/>
      <c r="QKU212" s="2"/>
      <c r="QKV212" s="2"/>
      <c r="QKW212" s="2"/>
      <c r="QKX212" s="260"/>
      <c r="QKY212" s="260"/>
      <c r="QKZ212" s="260"/>
      <c r="QLA212" s="260"/>
      <c r="QLB212" s="260"/>
      <c r="QLC212" s="260"/>
      <c r="QLD212" s="308"/>
      <c r="QLE212" s="290"/>
      <c r="QLF212" s="290"/>
      <c r="QLG212" s="260"/>
      <c r="QLH212" s="260"/>
      <c r="QLI212" s="260"/>
      <c r="QLJ212" s="260"/>
      <c r="QLK212" s="260"/>
      <c r="QLL212" s="2"/>
      <c r="QLM212" s="2"/>
      <c r="QLN212" s="2"/>
      <c r="QLO212" s="2"/>
      <c r="QLP212" s="2"/>
      <c r="QLQ212" s="2"/>
      <c r="QLR212" s="260"/>
      <c r="QLS212" s="2"/>
      <c r="QLT212" s="2"/>
      <c r="QLU212" s="2"/>
      <c r="QLV212" s="2"/>
      <c r="QLW212" s="2"/>
      <c r="QLX212" s="2"/>
      <c r="QLY212" s="2"/>
      <c r="QLZ212" s="260"/>
      <c r="QMA212" s="260"/>
      <c r="QMB212" s="260"/>
      <c r="QMC212" s="380"/>
      <c r="QMD212" s="380"/>
      <c r="QME212" s="380"/>
      <c r="QMF212" s="2"/>
      <c r="QMG212" s="442"/>
      <c r="QMH212" s="442"/>
      <c r="QMI212" s="443"/>
      <c r="QMJ212" s="442"/>
      <c r="QMK212" s="442"/>
      <c r="QML212" s="2"/>
      <c r="QMM212" s="2"/>
      <c r="QMN212" s="2"/>
      <c r="QMO212" s="2"/>
      <c r="QMP212" s="260"/>
      <c r="QMQ212" s="260"/>
      <c r="QMR212" s="260"/>
      <c r="QMS212" s="260"/>
      <c r="QMT212" s="260"/>
      <c r="QMU212" s="260"/>
      <c r="QMV212" s="308"/>
      <c r="QMW212" s="290"/>
      <c r="QMX212" s="290"/>
      <c r="QMY212" s="260"/>
      <c r="QMZ212" s="260"/>
      <c r="QNA212" s="260"/>
      <c r="QNB212" s="260"/>
      <c r="QNC212" s="260"/>
      <c r="QND212" s="2"/>
      <c r="QNE212" s="2"/>
      <c r="QNF212" s="2"/>
      <c r="QNG212" s="2"/>
      <c r="QNH212" s="2"/>
      <c r="QNI212" s="2"/>
      <c r="QNJ212" s="260"/>
      <c r="QNK212" s="2"/>
      <c r="QNL212" s="2"/>
      <c r="QNM212" s="2"/>
      <c r="QNN212" s="2"/>
      <c r="QNO212" s="2"/>
      <c r="QNP212" s="2"/>
      <c r="QNQ212" s="2"/>
      <c r="QNR212" s="260"/>
      <c r="QNS212" s="260"/>
      <c r="QNT212" s="260"/>
      <c r="QNU212" s="380"/>
      <c r="QNV212" s="380"/>
      <c r="QNW212" s="380"/>
      <c r="QNX212" s="2"/>
      <c r="QNY212" s="442"/>
      <c r="QNZ212" s="442"/>
      <c r="QOA212" s="443"/>
      <c r="QOB212" s="442"/>
      <c r="QOC212" s="442"/>
      <c r="QOD212" s="2"/>
      <c r="QOE212" s="2"/>
      <c r="QOF212" s="2"/>
      <c r="QOG212" s="2"/>
      <c r="QOH212" s="260"/>
      <c r="QOI212" s="260"/>
      <c r="QOJ212" s="260"/>
      <c r="QOK212" s="260"/>
      <c r="QOL212" s="260"/>
      <c r="QOM212" s="260"/>
      <c r="QON212" s="308"/>
      <c r="QOO212" s="290"/>
      <c r="QOP212" s="290"/>
      <c r="QOQ212" s="260"/>
      <c r="QOR212" s="260"/>
      <c r="QOS212" s="260"/>
      <c r="QOT212" s="260"/>
      <c r="QOU212" s="260"/>
      <c r="QOV212" s="2"/>
      <c r="QOW212" s="2"/>
      <c r="QOX212" s="2"/>
      <c r="QOY212" s="2"/>
      <c r="QOZ212" s="2"/>
      <c r="QPA212" s="2"/>
      <c r="QPB212" s="260"/>
      <c r="QPC212" s="2"/>
      <c r="QPD212" s="2"/>
      <c r="QPE212" s="2"/>
      <c r="QPF212" s="2"/>
      <c r="QPG212" s="2"/>
      <c r="QPH212" s="2"/>
      <c r="QPI212" s="2"/>
      <c r="QPJ212" s="260"/>
      <c r="QPK212" s="260"/>
      <c r="QPL212" s="260"/>
      <c r="QPM212" s="380"/>
      <c r="QPN212" s="380"/>
      <c r="QPO212" s="380"/>
      <c r="QPP212" s="2"/>
      <c r="QPQ212" s="442"/>
      <c r="QPR212" s="442"/>
      <c r="QPS212" s="443"/>
      <c r="QPT212" s="442"/>
      <c r="QPU212" s="442"/>
      <c r="QPV212" s="2"/>
      <c r="QPW212" s="2"/>
      <c r="QPX212" s="2"/>
      <c r="QPY212" s="2"/>
      <c r="QPZ212" s="260"/>
      <c r="QQA212" s="260"/>
      <c r="QQB212" s="260"/>
      <c r="QQC212" s="260"/>
      <c r="QQD212" s="260"/>
      <c r="QQE212" s="260"/>
      <c r="QQF212" s="308"/>
      <c r="QQG212" s="290"/>
      <c r="QQH212" s="290"/>
      <c r="QQI212" s="260"/>
      <c r="QQJ212" s="260"/>
      <c r="QQK212" s="260"/>
      <c r="QQL212" s="260"/>
      <c r="QQM212" s="260"/>
      <c r="QQN212" s="2"/>
      <c r="QQO212" s="2"/>
      <c r="QQP212" s="2"/>
      <c r="QQQ212" s="2"/>
      <c r="QQR212" s="2"/>
      <c r="QQS212" s="2"/>
      <c r="QQT212" s="260"/>
      <c r="QQU212" s="2"/>
      <c r="QQV212" s="2"/>
      <c r="QQW212" s="2"/>
      <c r="QQX212" s="2"/>
      <c r="QQY212" s="2"/>
      <c r="QQZ212" s="2"/>
      <c r="QRA212" s="2"/>
      <c r="QRB212" s="260"/>
      <c r="QRC212" s="260"/>
      <c r="QRD212" s="260"/>
      <c r="QRE212" s="380"/>
      <c r="QRF212" s="380"/>
      <c r="QRG212" s="380"/>
      <c r="QRH212" s="2"/>
      <c r="QRI212" s="442"/>
      <c r="QRJ212" s="442"/>
      <c r="QRK212" s="443"/>
      <c r="QRL212" s="442"/>
      <c r="QRM212" s="442"/>
      <c r="QRN212" s="2"/>
      <c r="QRO212" s="2"/>
      <c r="QRP212" s="2"/>
      <c r="QRQ212" s="2"/>
      <c r="QRR212" s="260"/>
      <c r="QRS212" s="260"/>
      <c r="QRT212" s="260"/>
      <c r="QRU212" s="260"/>
      <c r="QRV212" s="260"/>
      <c r="QRW212" s="260"/>
      <c r="QRX212" s="308"/>
      <c r="QRY212" s="290"/>
      <c r="QRZ212" s="290"/>
      <c r="QSA212" s="260"/>
      <c r="QSB212" s="260"/>
      <c r="QSC212" s="260"/>
      <c r="QSD212" s="260"/>
      <c r="QSE212" s="260"/>
      <c r="QSF212" s="2"/>
      <c r="QSG212" s="2"/>
      <c r="QSH212" s="2"/>
      <c r="QSI212" s="2"/>
      <c r="QSJ212" s="2"/>
      <c r="QSK212" s="2"/>
      <c r="QSL212" s="260"/>
      <c r="QSM212" s="2"/>
      <c r="QSN212" s="2"/>
      <c r="QSO212" s="2"/>
      <c r="QSP212" s="2"/>
      <c r="QSQ212" s="2"/>
      <c r="QSR212" s="2"/>
      <c r="QSS212" s="2"/>
      <c r="QST212" s="260"/>
      <c r="QSU212" s="260"/>
      <c r="QSV212" s="260"/>
      <c r="QSW212" s="380"/>
      <c r="QSX212" s="380"/>
      <c r="QSY212" s="380"/>
      <c r="QSZ212" s="2"/>
      <c r="QTA212" s="442"/>
      <c r="QTB212" s="442"/>
      <c r="QTC212" s="443"/>
      <c r="QTD212" s="442"/>
      <c r="QTE212" s="442"/>
      <c r="QTF212" s="2"/>
      <c r="QTG212" s="2"/>
      <c r="QTH212" s="2"/>
      <c r="QTI212" s="2"/>
      <c r="QTJ212" s="260"/>
      <c r="QTK212" s="260"/>
      <c r="QTL212" s="260"/>
      <c r="QTM212" s="260"/>
      <c r="QTN212" s="260"/>
      <c r="QTO212" s="260"/>
      <c r="QTP212" s="308"/>
      <c r="QTQ212" s="290"/>
      <c r="QTR212" s="290"/>
      <c r="QTS212" s="260"/>
      <c r="QTT212" s="260"/>
      <c r="QTU212" s="260"/>
      <c r="QTV212" s="260"/>
      <c r="QTW212" s="260"/>
      <c r="QTX212" s="2"/>
      <c r="QTY212" s="2"/>
      <c r="QTZ212" s="2"/>
      <c r="QUA212" s="2"/>
      <c r="QUB212" s="2"/>
      <c r="QUC212" s="2"/>
      <c r="QUD212" s="260"/>
      <c r="QUE212" s="2"/>
      <c r="QUF212" s="2"/>
      <c r="QUG212" s="2"/>
      <c r="QUH212" s="2"/>
      <c r="QUI212" s="2"/>
      <c r="QUJ212" s="2"/>
      <c r="QUK212" s="2"/>
      <c r="QUL212" s="260"/>
      <c r="QUM212" s="260"/>
      <c r="QUN212" s="260"/>
      <c r="QUO212" s="380"/>
      <c r="QUP212" s="380"/>
      <c r="QUQ212" s="380"/>
      <c r="QUR212" s="2"/>
      <c r="QUS212" s="442"/>
      <c r="QUT212" s="442"/>
      <c r="QUU212" s="443"/>
      <c r="QUV212" s="442"/>
      <c r="QUW212" s="442"/>
      <c r="QUX212" s="2"/>
      <c r="QUY212" s="2"/>
      <c r="QUZ212" s="2"/>
      <c r="QVA212" s="2"/>
      <c r="QVB212" s="260"/>
      <c r="QVC212" s="260"/>
      <c r="QVD212" s="260"/>
      <c r="QVE212" s="260"/>
      <c r="QVF212" s="260"/>
      <c r="QVG212" s="260"/>
      <c r="QVH212" s="308"/>
      <c r="QVI212" s="290"/>
      <c r="QVJ212" s="290"/>
      <c r="QVK212" s="260"/>
      <c r="QVL212" s="260"/>
      <c r="QVM212" s="260"/>
      <c r="QVN212" s="260"/>
      <c r="QVO212" s="260"/>
      <c r="QVP212" s="2"/>
      <c r="QVQ212" s="2"/>
      <c r="QVR212" s="2"/>
      <c r="QVS212" s="2"/>
      <c r="QVT212" s="2"/>
      <c r="QVU212" s="2"/>
      <c r="QVV212" s="260"/>
      <c r="QVW212" s="2"/>
      <c r="QVX212" s="2"/>
      <c r="QVY212" s="2"/>
      <c r="QVZ212" s="2"/>
      <c r="QWA212" s="2"/>
      <c r="QWB212" s="2"/>
      <c r="QWC212" s="2"/>
      <c r="QWD212" s="260"/>
      <c r="QWE212" s="260"/>
      <c r="QWF212" s="260"/>
      <c r="QWG212" s="380"/>
      <c r="QWH212" s="380"/>
      <c r="QWI212" s="380"/>
      <c r="QWJ212" s="2"/>
      <c r="QWK212" s="442"/>
      <c r="QWL212" s="442"/>
      <c r="QWM212" s="443"/>
      <c r="QWN212" s="442"/>
      <c r="QWO212" s="442"/>
      <c r="QWP212" s="2"/>
      <c r="QWQ212" s="2"/>
      <c r="QWR212" s="2"/>
      <c r="QWS212" s="2"/>
      <c r="QWT212" s="260"/>
      <c r="QWU212" s="260"/>
      <c r="QWV212" s="260"/>
      <c r="QWW212" s="260"/>
      <c r="QWX212" s="260"/>
      <c r="QWY212" s="260"/>
      <c r="QWZ212" s="308"/>
      <c r="QXA212" s="290"/>
      <c r="QXB212" s="290"/>
      <c r="QXC212" s="260"/>
      <c r="QXD212" s="260"/>
      <c r="QXE212" s="260"/>
      <c r="QXF212" s="260"/>
      <c r="QXG212" s="260"/>
      <c r="QXH212" s="2"/>
      <c r="QXI212" s="2"/>
      <c r="QXJ212" s="2"/>
      <c r="QXK212" s="2"/>
      <c r="QXL212" s="2"/>
      <c r="QXM212" s="2"/>
      <c r="QXN212" s="260"/>
      <c r="QXO212" s="2"/>
      <c r="QXP212" s="2"/>
      <c r="QXQ212" s="2"/>
      <c r="QXR212" s="2"/>
      <c r="QXS212" s="2"/>
      <c r="QXT212" s="2"/>
      <c r="QXU212" s="2"/>
      <c r="QXV212" s="260"/>
      <c r="QXW212" s="260"/>
      <c r="QXX212" s="260"/>
      <c r="QXY212" s="380"/>
      <c r="QXZ212" s="380"/>
      <c r="QYA212" s="380"/>
      <c r="QYB212" s="2"/>
      <c r="QYC212" s="442"/>
      <c r="QYD212" s="442"/>
      <c r="QYE212" s="443"/>
      <c r="QYF212" s="442"/>
      <c r="QYG212" s="442"/>
      <c r="QYH212" s="2"/>
      <c r="QYI212" s="2"/>
      <c r="QYJ212" s="2"/>
      <c r="QYK212" s="2"/>
      <c r="QYL212" s="260"/>
      <c r="QYM212" s="260"/>
      <c r="QYN212" s="260"/>
      <c r="QYO212" s="260"/>
      <c r="QYP212" s="260"/>
      <c r="QYQ212" s="260"/>
      <c r="QYR212" s="308"/>
      <c r="QYS212" s="290"/>
      <c r="QYT212" s="290"/>
      <c r="QYU212" s="260"/>
      <c r="QYV212" s="260"/>
      <c r="QYW212" s="260"/>
      <c r="QYX212" s="260"/>
      <c r="QYY212" s="260"/>
      <c r="QYZ212" s="2"/>
      <c r="QZA212" s="2"/>
      <c r="QZB212" s="2"/>
      <c r="QZC212" s="2"/>
      <c r="QZD212" s="2"/>
      <c r="QZE212" s="2"/>
      <c r="QZF212" s="260"/>
      <c r="QZG212" s="2"/>
      <c r="QZH212" s="2"/>
      <c r="QZI212" s="2"/>
      <c r="QZJ212" s="2"/>
      <c r="QZK212" s="2"/>
      <c r="QZL212" s="2"/>
      <c r="QZM212" s="2"/>
      <c r="QZN212" s="260"/>
      <c r="QZO212" s="260"/>
      <c r="QZP212" s="260"/>
      <c r="QZQ212" s="380"/>
      <c r="QZR212" s="380"/>
      <c r="QZS212" s="380"/>
      <c r="QZT212" s="2"/>
      <c r="QZU212" s="442"/>
      <c r="QZV212" s="442"/>
      <c r="QZW212" s="443"/>
      <c r="QZX212" s="442"/>
      <c r="QZY212" s="442"/>
      <c r="QZZ212" s="2"/>
      <c r="RAA212" s="2"/>
      <c r="RAB212" s="2"/>
      <c r="RAC212" s="2"/>
      <c r="RAD212" s="260"/>
      <c r="RAE212" s="260"/>
      <c r="RAF212" s="260"/>
      <c r="RAG212" s="260"/>
      <c r="RAH212" s="260"/>
      <c r="RAI212" s="260"/>
      <c r="RAJ212" s="308"/>
      <c r="RAK212" s="290"/>
      <c r="RAL212" s="290"/>
      <c r="RAM212" s="260"/>
      <c r="RAN212" s="260"/>
      <c r="RAO212" s="260"/>
      <c r="RAP212" s="260"/>
      <c r="RAQ212" s="260"/>
      <c r="RAR212" s="2"/>
      <c r="RAS212" s="2"/>
      <c r="RAT212" s="2"/>
      <c r="RAU212" s="2"/>
      <c r="RAV212" s="2"/>
      <c r="RAW212" s="2"/>
      <c r="RAX212" s="260"/>
      <c r="RAY212" s="2"/>
      <c r="RAZ212" s="2"/>
      <c r="RBA212" s="2"/>
      <c r="RBB212" s="2"/>
      <c r="RBC212" s="2"/>
      <c r="RBD212" s="2"/>
      <c r="RBE212" s="2"/>
      <c r="RBF212" s="260"/>
      <c r="RBG212" s="260"/>
      <c r="RBH212" s="260"/>
      <c r="RBI212" s="380"/>
      <c r="RBJ212" s="380"/>
      <c r="RBK212" s="380"/>
      <c r="RBL212" s="2"/>
      <c r="RBM212" s="442"/>
      <c r="RBN212" s="442"/>
      <c r="RBO212" s="443"/>
      <c r="RBP212" s="442"/>
      <c r="RBQ212" s="442"/>
      <c r="RBR212" s="2"/>
      <c r="RBS212" s="2"/>
      <c r="RBT212" s="2"/>
      <c r="RBU212" s="2"/>
      <c r="RBV212" s="260"/>
      <c r="RBW212" s="260"/>
      <c r="RBX212" s="260"/>
      <c r="RBY212" s="260"/>
      <c r="RBZ212" s="260"/>
      <c r="RCA212" s="260"/>
      <c r="RCB212" s="308"/>
      <c r="RCC212" s="290"/>
      <c r="RCD212" s="290"/>
      <c r="RCE212" s="260"/>
      <c r="RCF212" s="260"/>
      <c r="RCG212" s="260"/>
      <c r="RCH212" s="260"/>
      <c r="RCI212" s="260"/>
      <c r="RCJ212" s="2"/>
      <c r="RCK212" s="2"/>
      <c r="RCL212" s="2"/>
      <c r="RCM212" s="2"/>
      <c r="RCN212" s="2"/>
      <c r="RCO212" s="2"/>
      <c r="RCP212" s="260"/>
      <c r="RCQ212" s="2"/>
      <c r="RCR212" s="2"/>
      <c r="RCS212" s="2"/>
      <c r="RCT212" s="2"/>
      <c r="RCU212" s="2"/>
      <c r="RCV212" s="2"/>
      <c r="RCW212" s="2"/>
      <c r="RCX212" s="260"/>
      <c r="RCY212" s="260"/>
      <c r="RCZ212" s="260"/>
      <c r="RDA212" s="380"/>
      <c r="RDB212" s="380"/>
      <c r="RDC212" s="380"/>
      <c r="RDD212" s="2"/>
      <c r="RDE212" s="442"/>
      <c r="RDF212" s="442"/>
      <c r="RDG212" s="443"/>
      <c r="RDH212" s="442"/>
      <c r="RDI212" s="442"/>
      <c r="RDJ212" s="2"/>
      <c r="RDK212" s="2"/>
      <c r="RDL212" s="2"/>
      <c r="RDM212" s="2"/>
      <c r="RDN212" s="260"/>
      <c r="RDO212" s="260"/>
      <c r="RDP212" s="260"/>
      <c r="RDQ212" s="260"/>
      <c r="RDR212" s="260"/>
      <c r="RDS212" s="260"/>
      <c r="RDT212" s="308"/>
      <c r="RDU212" s="290"/>
      <c r="RDV212" s="290"/>
      <c r="RDW212" s="260"/>
      <c r="RDX212" s="260"/>
      <c r="RDY212" s="260"/>
      <c r="RDZ212" s="260"/>
      <c r="REA212" s="260"/>
      <c r="REB212" s="2"/>
      <c r="REC212" s="2"/>
      <c r="RED212" s="2"/>
      <c r="REE212" s="2"/>
      <c r="REF212" s="2"/>
      <c r="REG212" s="2"/>
      <c r="REH212" s="260"/>
      <c r="REI212" s="2"/>
      <c r="REJ212" s="2"/>
      <c r="REK212" s="2"/>
      <c r="REL212" s="2"/>
      <c r="REM212" s="2"/>
      <c r="REN212" s="2"/>
      <c r="REO212" s="2"/>
      <c r="REP212" s="260"/>
      <c r="REQ212" s="260"/>
      <c r="RER212" s="260"/>
      <c r="RES212" s="380"/>
      <c r="RET212" s="380"/>
      <c r="REU212" s="380"/>
      <c r="REV212" s="2"/>
      <c r="REW212" s="442"/>
      <c r="REX212" s="442"/>
      <c r="REY212" s="443"/>
      <c r="REZ212" s="442"/>
      <c r="RFA212" s="442"/>
      <c r="RFB212" s="2"/>
      <c r="RFC212" s="2"/>
      <c r="RFD212" s="2"/>
      <c r="RFE212" s="2"/>
      <c r="RFF212" s="260"/>
      <c r="RFG212" s="260"/>
      <c r="RFH212" s="260"/>
      <c r="RFI212" s="260"/>
      <c r="RFJ212" s="260"/>
      <c r="RFK212" s="260"/>
      <c r="RFL212" s="308"/>
      <c r="RFM212" s="290"/>
      <c r="RFN212" s="290"/>
      <c r="RFO212" s="260"/>
      <c r="RFP212" s="260"/>
      <c r="RFQ212" s="260"/>
      <c r="RFR212" s="260"/>
      <c r="RFS212" s="260"/>
      <c r="RFT212" s="2"/>
      <c r="RFU212" s="2"/>
      <c r="RFV212" s="2"/>
      <c r="RFW212" s="2"/>
      <c r="RFX212" s="2"/>
      <c r="RFY212" s="2"/>
      <c r="RFZ212" s="260"/>
      <c r="RGA212" s="2"/>
      <c r="RGB212" s="2"/>
      <c r="RGC212" s="2"/>
      <c r="RGD212" s="2"/>
      <c r="RGE212" s="2"/>
      <c r="RGF212" s="2"/>
      <c r="RGG212" s="2"/>
      <c r="RGH212" s="260"/>
      <c r="RGI212" s="260"/>
      <c r="RGJ212" s="260"/>
      <c r="RGK212" s="380"/>
      <c r="RGL212" s="380"/>
      <c r="RGM212" s="380"/>
      <c r="RGN212" s="2"/>
      <c r="RGO212" s="442"/>
      <c r="RGP212" s="442"/>
      <c r="RGQ212" s="443"/>
      <c r="RGR212" s="442"/>
      <c r="RGS212" s="442"/>
      <c r="RGT212" s="2"/>
      <c r="RGU212" s="2"/>
      <c r="RGV212" s="2"/>
      <c r="RGW212" s="2"/>
      <c r="RGX212" s="260"/>
      <c r="RGY212" s="260"/>
      <c r="RGZ212" s="260"/>
      <c r="RHA212" s="260"/>
      <c r="RHB212" s="260"/>
      <c r="RHC212" s="260"/>
      <c r="RHD212" s="308"/>
      <c r="RHE212" s="290"/>
      <c r="RHF212" s="290"/>
      <c r="RHG212" s="260"/>
      <c r="RHH212" s="260"/>
      <c r="RHI212" s="260"/>
      <c r="RHJ212" s="260"/>
      <c r="RHK212" s="260"/>
      <c r="RHL212" s="2"/>
      <c r="RHM212" s="2"/>
      <c r="RHN212" s="2"/>
      <c r="RHO212" s="2"/>
      <c r="RHP212" s="2"/>
      <c r="RHQ212" s="2"/>
      <c r="RHR212" s="260"/>
      <c r="RHS212" s="2"/>
      <c r="RHT212" s="2"/>
      <c r="RHU212" s="2"/>
      <c r="RHV212" s="2"/>
      <c r="RHW212" s="2"/>
      <c r="RHX212" s="2"/>
      <c r="RHY212" s="2"/>
      <c r="RHZ212" s="260"/>
      <c r="RIA212" s="260"/>
      <c r="RIB212" s="260"/>
      <c r="RIC212" s="380"/>
      <c r="RID212" s="380"/>
      <c r="RIE212" s="380"/>
      <c r="RIF212" s="2"/>
      <c r="RIG212" s="442"/>
      <c r="RIH212" s="442"/>
      <c r="RII212" s="443"/>
      <c r="RIJ212" s="442"/>
      <c r="RIK212" s="442"/>
      <c r="RIL212" s="2"/>
      <c r="RIM212" s="2"/>
      <c r="RIN212" s="2"/>
      <c r="RIO212" s="2"/>
      <c r="RIP212" s="260"/>
      <c r="RIQ212" s="260"/>
      <c r="RIR212" s="260"/>
      <c r="RIS212" s="260"/>
      <c r="RIT212" s="260"/>
      <c r="RIU212" s="260"/>
      <c r="RIV212" s="308"/>
      <c r="RIW212" s="290"/>
      <c r="RIX212" s="290"/>
      <c r="RIY212" s="260"/>
      <c r="RIZ212" s="260"/>
      <c r="RJA212" s="260"/>
      <c r="RJB212" s="260"/>
      <c r="RJC212" s="260"/>
      <c r="RJD212" s="2"/>
      <c r="RJE212" s="2"/>
      <c r="RJF212" s="2"/>
      <c r="RJG212" s="2"/>
      <c r="RJH212" s="2"/>
      <c r="RJI212" s="2"/>
      <c r="RJJ212" s="260"/>
      <c r="RJK212" s="2"/>
      <c r="RJL212" s="2"/>
      <c r="RJM212" s="2"/>
      <c r="RJN212" s="2"/>
      <c r="RJO212" s="2"/>
      <c r="RJP212" s="2"/>
      <c r="RJQ212" s="2"/>
      <c r="RJR212" s="260"/>
      <c r="RJS212" s="260"/>
      <c r="RJT212" s="260"/>
      <c r="RJU212" s="380"/>
      <c r="RJV212" s="380"/>
      <c r="RJW212" s="380"/>
      <c r="RJX212" s="2"/>
      <c r="RJY212" s="442"/>
      <c r="RJZ212" s="442"/>
      <c r="RKA212" s="443"/>
      <c r="RKB212" s="442"/>
      <c r="RKC212" s="442"/>
      <c r="RKD212" s="2"/>
      <c r="RKE212" s="2"/>
      <c r="RKF212" s="2"/>
      <c r="RKG212" s="2"/>
      <c r="RKH212" s="260"/>
      <c r="RKI212" s="260"/>
      <c r="RKJ212" s="260"/>
      <c r="RKK212" s="260"/>
      <c r="RKL212" s="260"/>
      <c r="RKM212" s="260"/>
      <c r="RKN212" s="308"/>
      <c r="RKO212" s="290"/>
      <c r="RKP212" s="290"/>
      <c r="RKQ212" s="260"/>
      <c r="RKR212" s="260"/>
      <c r="RKS212" s="260"/>
      <c r="RKT212" s="260"/>
      <c r="RKU212" s="260"/>
      <c r="RKV212" s="2"/>
      <c r="RKW212" s="2"/>
      <c r="RKX212" s="2"/>
      <c r="RKY212" s="2"/>
      <c r="RKZ212" s="2"/>
      <c r="RLA212" s="2"/>
      <c r="RLB212" s="260"/>
      <c r="RLC212" s="2"/>
      <c r="RLD212" s="2"/>
      <c r="RLE212" s="2"/>
      <c r="RLF212" s="2"/>
      <c r="RLG212" s="2"/>
      <c r="RLH212" s="2"/>
      <c r="RLI212" s="2"/>
      <c r="RLJ212" s="260"/>
      <c r="RLK212" s="260"/>
      <c r="RLL212" s="260"/>
      <c r="RLM212" s="380"/>
      <c r="RLN212" s="380"/>
      <c r="RLO212" s="380"/>
      <c r="RLP212" s="2"/>
      <c r="RLQ212" s="442"/>
      <c r="RLR212" s="442"/>
      <c r="RLS212" s="443"/>
      <c r="RLT212" s="442"/>
      <c r="RLU212" s="442"/>
      <c r="RLV212" s="2"/>
      <c r="RLW212" s="2"/>
      <c r="RLX212" s="2"/>
      <c r="RLY212" s="2"/>
      <c r="RLZ212" s="260"/>
      <c r="RMA212" s="260"/>
      <c r="RMB212" s="260"/>
      <c r="RMC212" s="260"/>
      <c r="RMD212" s="260"/>
      <c r="RME212" s="260"/>
      <c r="RMF212" s="308"/>
      <c r="RMG212" s="290"/>
      <c r="RMH212" s="290"/>
      <c r="RMI212" s="260"/>
      <c r="RMJ212" s="260"/>
      <c r="RMK212" s="260"/>
      <c r="RML212" s="260"/>
      <c r="RMM212" s="260"/>
      <c r="RMN212" s="2"/>
      <c r="RMO212" s="2"/>
      <c r="RMP212" s="2"/>
      <c r="RMQ212" s="2"/>
      <c r="RMR212" s="2"/>
      <c r="RMS212" s="2"/>
      <c r="RMT212" s="260"/>
      <c r="RMU212" s="2"/>
      <c r="RMV212" s="2"/>
      <c r="RMW212" s="2"/>
      <c r="RMX212" s="2"/>
      <c r="RMY212" s="2"/>
      <c r="RMZ212" s="2"/>
      <c r="RNA212" s="2"/>
      <c r="RNB212" s="260"/>
      <c r="RNC212" s="260"/>
      <c r="RND212" s="260"/>
      <c r="RNE212" s="380"/>
      <c r="RNF212" s="380"/>
      <c r="RNG212" s="380"/>
      <c r="RNH212" s="2"/>
      <c r="RNI212" s="442"/>
      <c r="RNJ212" s="442"/>
      <c r="RNK212" s="443"/>
      <c r="RNL212" s="442"/>
      <c r="RNM212" s="442"/>
      <c r="RNN212" s="2"/>
      <c r="RNO212" s="2"/>
      <c r="RNP212" s="2"/>
      <c r="RNQ212" s="2"/>
      <c r="RNR212" s="260"/>
      <c r="RNS212" s="260"/>
      <c r="RNT212" s="260"/>
      <c r="RNU212" s="260"/>
      <c r="RNV212" s="260"/>
      <c r="RNW212" s="260"/>
      <c r="RNX212" s="308"/>
      <c r="RNY212" s="290"/>
      <c r="RNZ212" s="290"/>
      <c r="ROA212" s="260"/>
      <c r="ROB212" s="260"/>
      <c r="ROC212" s="260"/>
      <c r="ROD212" s="260"/>
      <c r="ROE212" s="260"/>
      <c r="ROF212" s="2"/>
      <c r="ROG212" s="2"/>
      <c r="ROH212" s="2"/>
      <c r="ROI212" s="2"/>
      <c r="ROJ212" s="2"/>
      <c r="ROK212" s="2"/>
      <c r="ROL212" s="260"/>
      <c r="ROM212" s="2"/>
      <c r="RON212" s="2"/>
      <c r="ROO212" s="2"/>
      <c r="ROP212" s="2"/>
      <c r="ROQ212" s="2"/>
      <c r="ROR212" s="2"/>
      <c r="ROS212" s="2"/>
      <c r="ROT212" s="260"/>
      <c r="ROU212" s="260"/>
      <c r="ROV212" s="260"/>
      <c r="ROW212" s="380"/>
      <c r="ROX212" s="380"/>
      <c r="ROY212" s="380"/>
      <c r="ROZ212" s="2"/>
      <c r="RPA212" s="442"/>
      <c r="RPB212" s="442"/>
      <c r="RPC212" s="443"/>
      <c r="RPD212" s="442"/>
      <c r="RPE212" s="442"/>
      <c r="RPF212" s="2"/>
      <c r="RPG212" s="2"/>
      <c r="RPH212" s="2"/>
      <c r="RPI212" s="2"/>
      <c r="RPJ212" s="260"/>
      <c r="RPK212" s="260"/>
      <c r="RPL212" s="260"/>
      <c r="RPM212" s="260"/>
      <c r="RPN212" s="260"/>
      <c r="RPO212" s="260"/>
      <c r="RPP212" s="308"/>
      <c r="RPQ212" s="290"/>
      <c r="RPR212" s="290"/>
      <c r="RPS212" s="260"/>
      <c r="RPT212" s="260"/>
      <c r="RPU212" s="260"/>
      <c r="RPV212" s="260"/>
      <c r="RPW212" s="260"/>
      <c r="RPX212" s="2"/>
      <c r="RPY212" s="2"/>
      <c r="RPZ212" s="2"/>
      <c r="RQA212" s="2"/>
      <c r="RQB212" s="2"/>
      <c r="RQC212" s="2"/>
      <c r="RQD212" s="260"/>
      <c r="RQE212" s="2"/>
      <c r="RQF212" s="2"/>
      <c r="RQG212" s="2"/>
      <c r="RQH212" s="2"/>
      <c r="RQI212" s="2"/>
      <c r="RQJ212" s="2"/>
      <c r="RQK212" s="2"/>
      <c r="RQL212" s="260"/>
      <c r="RQM212" s="260"/>
      <c r="RQN212" s="260"/>
      <c r="RQO212" s="380"/>
      <c r="RQP212" s="380"/>
      <c r="RQQ212" s="380"/>
      <c r="RQR212" s="2"/>
      <c r="RQS212" s="442"/>
      <c r="RQT212" s="442"/>
      <c r="RQU212" s="443"/>
      <c r="RQV212" s="442"/>
      <c r="RQW212" s="442"/>
      <c r="RQX212" s="2"/>
      <c r="RQY212" s="2"/>
      <c r="RQZ212" s="2"/>
      <c r="RRA212" s="2"/>
      <c r="RRB212" s="260"/>
      <c r="RRC212" s="260"/>
      <c r="RRD212" s="260"/>
      <c r="RRE212" s="260"/>
      <c r="RRF212" s="260"/>
      <c r="RRG212" s="260"/>
      <c r="RRH212" s="308"/>
      <c r="RRI212" s="290"/>
      <c r="RRJ212" s="290"/>
      <c r="RRK212" s="260"/>
      <c r="RRL212" s="260"/>
      <c r="RRM212" s="260"/>
      <c r="RRN212" s="260"/>
      <c r="RRO212" s="260"/>
      <c r="RRP212" s="2"/>
      <c r="RRQ212" s="2"/>
      <c r="RRR212" s="2"/>
      <c r="RRS212" s="2"/>
      <c r="RRT212" s="2"/>
      <c r="RRU212" s="2"/>
      <c r="RRV212" s="260"/>
      <c r="RRW212" s="2"/>
      <c r="RRX212" s="2"/>
      <c r="RRY212" s="2"/>
      <c r="RRZ212" s="2"/>
      <c r="RSA212" s="2"/>
      <c r="RSB212" s="2"/>
      <c r="RSC212" s="2"/>
      <c r="RSD212" s="260"/>
      <c r="RSE212" s="260"/>
      <c r="RSF212" s="260"/>
      <c r="RSG212" s="380"/>
      <c r="RSH212" s="380"/>
      <c r="RSI212" s="380"/>
      <c r="RSJ212" s="2"/>
      <c r="RSK212" s="442"/>
      <c r="RSL212" s="442"/>
      <c r="RSM212" s="443"/>
      <c r="RSN212" s="442"/>
      <c r="RSO212" s="442"/>
      <c r="RSP212" s="2"/>
      <c r="RSQ212" s="2"/>
      <c r="RSR212" s="2"/>
      <c r="RSS212" s="2"/>
      <c r="RST212" s="260"/>
      <c r="RSU212" s="260"/>
      <c r="RSV212" s="260"/>
      <c r="RSW212" s="260"/>
      <c r="RSX212" s="260"/>
      <c r="RSY212" s="260"/>
      <c r="RSZ212" s="308"/>
      <c r="RTA212" s="290"/>
      <c r="RTB212" s="290"/>
      <c r="RTC212" s="260"/>
      <c r="RTD212" s="260"/>
      <c r="RTE212" s="260"/>
      <c r="RTF212" s="260"/>
      <c r="RTG212" s="260"/>
      <c r="RTH212" s="2"/>
      <c r="RTI212" s="2"/>
      <c r="RTJ212" s="2"/>
      <c r="RTK212" s="2"/>
      <c r="RTL212" s="2"/>
      <c r="RTM212" s="2"/>
      <c r="RTN212" s="260"/>
      <c r="RTO212" s="2"/>
      <c r="RTP212" s="2"/>
      <c r="RTQ212" s="2"/>
      <c r="RTR212" s="2"/>
      <c r="RTS212" s="2"/>
      <c r="RTT212" s="2"/>
      <c r="RTU212" s="2"/>
      <c r="RTV212" s="260"/>
      <c r="RTW212" s="260"/>
      <c r="RTX212" s="260"/>
      <c r="RTY212" s="380"/>
      <c r="RTZ212" s="380"/>
      <c r="RUA212" s="380"/>
      <c r="RUB212" s="2"/>
      <c r="RUC212" s="442"/>
      <c r="RUD212" s="442"/>
      <c r="RUE212" s="443"/>
      <c r="RUF212" s="442"/>
      <c r="RUG212" s="442"/>
      <c r="RUH212" s="2"/>
      <c r="RUI212" s="2"/>
      <c r="RUJ212" s="2"/>
      <c r="RUK212" s="2"/>
      <c r="RUL212" s="260"/>
      <c r="RUM212" s="260"/>
      <c r="RUN212" s="260"/>
      <c r="RUO212" s="260"/>
      <c r="RUP212" s="260"/>
      <c r="RUQ212" s="260"/>
      <c r="RUR212" s="308"/>
      <c r="RUS212" s="290"/>
      <c r="RUT212" s="290"/>
      <c r="RUU212" s="260"/>
      <c r="RUV212" s="260"/>
      <c r="RUW212" s="260"/>
      <c r="RUX212" s="260"/>
      <c r="RUY212" s="260"/>
      <c r="RUZ212" s="2"/>
      <c r="RVA212" s="2"/>
      <c r="RVB212" s="2"/>
      <c r="RVC212" s="2"/>
      <c r="RVD212" s="2"/>
      <c r="RVE212" s="2"/>
      <c r="RVF212" s="260"/>
      <c r="RVG212" s="2"/>
      <c r="RVH212" s="2"/>
      <c r="RVI212" s="2"/>
      <c r="RVJ212" s="2"/>
      <c r="RVK212" s="2"/>
      <c r="RVL212" s="2"/>
      <c r="RVM212" s="2"/>
      <c r="RVN212" s="260"/>
      <c r="RVO212" s="260"/>
      <c r="RVP212" s="260"/>
      <c r="RVQ212" s="380"/>
      <c r="RVR212" s="380"/>
      <c r="RVS212" s="380"/>
      <c r="RVT212" s="2"/>
      <c r="RVU212" s="442"/>
      <c r="RVV212" s="442"/>
      <c r="RVW212" s="443"/>
      <c r="RVX212" s="442"/>
      <c r="RVY212" s="442"/>
      <c r="RVZ212" s="2"/>
      <c r="RWA212" s="2"/>
      <c r="RWB212" s="2"/>
      <c r="RWC212" s="2"/>
      <c r="RWD212" s="260"/>
      <c r="RWE212" s="260"/>
      <c r="RWF212" s="260"/>
      <c r="RWG212" s="260"/>
      <c r="RWH212" s="260"/>
      <c r="RWI212" s="260"/>
      <c r="RWJ212" s="308"/>
      <c r="RWK212" s="290"/>
      <c r="RWL212" s="290"/>
      <c r="RWM212" s="260"/>
      <c r="RWN212" s="260"/>
      <c r="RWO212" s="260"/>
      <c r="RWP212" s="260"/>
      <c r="RWQ212" s="260"/>
      <c r="RWR212" s="2"/>
      <c r="RWS212" s="2"/>
      <c r="RWT212" s="2"/>
      <c r="RWU212" s="2"/>
      <c r="RWV212" s="2"/>
      <c r="RWW212" s="2"/>
      <c r="RWX212" s="260"/>
      <c r="RWY212" s="2"/>
      <c r="RWZ212" s="2"/>
      <c r="RXA212" s="2"/>
      <c r="RXB212" s="2"/>
      <c r="RXC212" s="2"/>
      <c r="RXD212" s="2"/>
      <c r="RXE212" s="2"/>
      <c r="RXF212" s="260"/>
      <c r="RXG212" s="260"/>
      <c r="RXH212" s="260"/>
      <c r="RXI212" s="380"/>
      <c r="RXJ212" s="380"/>
      <c r="RXK212" s="380"/>
      <c r="RXL212" s="2"/>
      <c r="RXM212" s="442"/>
      <c r="RXN212" s="442"/>
      <c r="RXO212" s="443"/>
      <c r="RXP212" s="442"/>
      <c r="RXQ212" s="442"/>
      <c r="RXR212" s="2"/>
      <c r="RXS212" s="2"/>
      <c r="RXT212" s="2"/>
      <c r="RXU212" s="2"/>
      <c r="RXV212" s="260"/>
      <c r="RXW212" s="260"/>
      <c r="RXX212" s="260"/>
      <c r="RXY212" s="260"/>
      <c r="RXZ212" s="260"/>
      <c r="RYA212" s="260"/>
      <c r="RYB212" s="308"/>
      <c r="RYC212" s="290"/>
      <c r="RYD212" s="290"/>
      <c r="RYE212" s="260"/>
      <c r="RYF212" s="260"/>
      <c r="RYG212" s="260"/>
      <c r="RYH212" s="260"/>
      <c r="RYI212" s="260"/>
      <c r="RYJ212" s="2"/>
      <c r="RYK212" s="2"/>
      <c r="RYL212" s="2"/>
      <c r="RYM212" s="2"/>
      <c r="RYN212" s="2"/>
      <c r="RYO212" s="2"/>
      <c r="RYP212" s="260"/>
      <c r="RYQ212" s="2"/>
      <c r="RYR212" s="2"/>
      <c r="RYS212" s="2"/>
      <c r="RYT212" s="2"/>
      <c r="RYU212" s="2"/>
      <c r="RYV212" s="2"/>
      <c r="RYW212" s="2"/>
      <c r="RYX212" s="260"/>
      <c r="RYY212" s="260"/>
      <c r="RYZ212" s="260"/>
      <c r="RZA212" s="380"/>
      <c r="RZB212" s="380"/>
      <c r="RZC212" s="380"/>
      <c r="RZD212" s="2"/>
      <c r="RZE212" s="442"/>
      <c r="RZF212" s="442"/>
      <c r="RZG212" s="443"/>
      <c r="RZH212" s="442"/>
      <c r="RZI212" s="442"/>
      <c r="RZJ212" s="2"/>
      <c r="RZK212" s="2"/>
      <c r="RZL212" s="2"/>
      <c r="RZM212" s="2"/>
      <c r="RZN212" s="260"/>
      <c r="RZO212" s="260"/>
      <c r="RZP212" s="260"/>
      <c r="RZQ212" s="260"/>
      <c r="RZR212" s="260"/>
      <c r="RZS212" s="260"/>
      <c r="RZT212" s="308"/>
      <c r="RZU212" s="290"/>
      <c r="RZV212" s="290"/>
      <c r="RZW212" s="260"/>
      <c r="RZX212" s="260"/>
      <c r="RZY212" s="260"/>
      <c r="RZZ212" s="260"/>
      <c r="SAA212" s="260"/>
      <c r="SAB212" s="2"/>
      <c r="SAC212" s="2"/>
      <c r="SAD212" s="2"/>
      <c r="SAE212" s="2"/>
      <c r="SAF212" s="2"/>
      <c r="SAG212" s="2"/>
      <c r="SAH212" s="260"/>
      <c r="SAI212" s="2"/>
      <c r="SAJ212" s="2"/>
      <c r="SAK212" s="2"/>
      <c r="SAL212" s="2"/>
      <c r="SAM212" s="2"/>
      <c r="SAN212" s="2"/>
      <c r="SAO212" s="2"/>
      <c r="SAP212" s="260"/>
      <c r="SAQ212" s="260"/>
      <c r="SAR212" s="260"/>
      <c r="SAS212" s="380"/>
      <c r="SAT212" s="380"/>
      <c r="SAU212" s="380"/>
      <c r="SAV212" s="2"/>
      <c r="SAW212" s="442"/>
      <c r="SAX212" s="442"/>
      <c r="SAY212" s="443"/>
      <c r="SAZ212" s="442"/>
      <c r="SBA212" s="442"/>
      <c r="SBB212" s="2"/>
      <c r="SBC212" s="2"/>
      <c r="SBD212" s="2"/>
      <c r="SBE212" s="2"/>
      <c r="SBF212" s="260"/>
      <c r="SBG212" s="260"/>
      <c r="SBH212" s="260"/>
      <c r="SBI212" s="260"/>
      <c r="SBJ212" s="260"/>
      <c r="SBK212" s="260"/>
      <c r="SBL212" s="308"/>
      <c r="SBM212" s="290"/>
      <c r="SBN212" s="290"/>
      <c r="SBO212" s="260"/>
      <c r="SBP212" s="260"/>
      <c r="SBQ212" s="260"/>
      <c r="SBR212" s="260"/>
      <c r="SBS212" s="260"/>
      <c r="SBT212" s="2"/>
      <c r="SBU212" s="2"/>
      <c r="SBV212" s="2"/>
      <c r="SBW212" s="2"/>
      <c r="SBX212" s="2"/>
      <c r="SBY212" s="2"/>
      <c r="SBZ212" s="260"/>
      <c r="SCA212" s="2"/>
      <c r="SCB212" s="2"/>
      <c r="SCC212" s="2"/>
      <c r="SCD212" s="2"/>
      <c r="SCE212" s="2"/>
      <c r="SCF212" s="2"/>
      <c r="SCG212" s="2"/>
      <c r="SCH212" s="260"/>
      <c r="SCI212" s="260"/>
      <c r="SCJ212" s="260"/>
      <c r="SCK212" s="380"/>
      <c r="SCL212" s="380"/>
      <c r="SCM212" s="380"/>
      <c r="SCN212" s="2"/>
      <c r="SCO212" s="442"/>
      <c r="SCP212" s="442"/>
      <c r="SCQ212" s="443"/>
      <c r="SCR212" s="442"/>
      <c r="SCS212" s="442"/>
      <c r="SCT212" s="2"/>
      <c r="SCU212" s="2"/>
      <c r="SCV212" s="2"/>
      <c r="SCW212" s="2"/>
      <c r="SCX212" s="260"/>
      <c r="SCY212" s="260"/>
      <c r="SCZ212" s="260"/>
      <c r="SDA212" s="260"/>
      <c r="SDB212" s="260"/>
      <c r="SDC212" s="260"/>
      <c r="SDD212" s="308"/>
      <c r="SDE212" s="290"/>
      <c r="SDF212" s="290"/>
      <c r="SDG212" s="260"/>
      <c r="SDH212" s="260"/>
      <c r="SDI212" s="260"/>
      <c r="SDJ212" s="260"/>
      <c r="SDK212" s="260"/>
      <c r="SDL212" s="2"/>
      <c r="SDM212" s="2"/>
      <c r="SDN212" s="2"/>
      <c r="SDO212" s="2"/>
      <c r="SDP212" s="2"/>
      <c r="SDQ212" s="2"/>
      <c r="SDR212" s="260"/>
      <c r="SDS212" s="2"/>
      <c r="SDT212" s="2"/>
      <c r="SDU212" s="2"/>
      <c r="SDV212" s="2"/>
      <c r="SDW212" s="2"/>
      <c r="SDX212" s="2"/>
      <c r="SDY212" s="2"/>
      <c r="SDZ212" s="260"/>
      <c r="SEA212" s="260"/>
      <c r="SEB212" s="260"/>
      <c r="SEC212" s="380"/>
      <c r="SED212" s="380"/>
      <c r="SEE212" s="380"/>
      <c r="SEF212" s="2"/>
      <c r="SEG212" s="442"/>
      <c r="SEH212" s="442"/>
      <c r="SEI212" s="443"/>
      <c r="SEJ212" s="442"/>
      <c r="SEK212" s="442"/>
      <c r="SEL212" s="2"/>
      <c r="SEM212" s="2"/>
      <c r="SEN212" s="2"/>
      <c r="SEO212" s="2"/>
      <c r="SEP212" s="260"/>
      <c r="SEQ212" s="260"/>
      <c r="SER212" s="260"/>
      <c r="SES212" s="260"/>
      <c r="SET212" s="260"/>
      <c r="SEU212" s="260"/>
      <c r="SEV212" s="308"/>
      <c r="SEW212" s="290"/>
      <c r="SEX212" s="290"/>
      <c r="SEY212" s="260"/>
      <c r="SEZ212" s="260"/>
      <c r="SFA212" s="260"/>
      <c r="SFB212" s="260"/>
      <c r="SFC212" s="260"/>
      <c r="SFD212" s="2"/>
      <c r="SFE212" s="2"/>
      <c r="SFF212" s="2"/>
      <c r="SFG212" s="2"/>
      <c r="SFH212" s="2"/>
      <c r="SFI212" s="2"/>
      <c r="SFJ212" s="260"/>
      <c r="SFK212" s="2"/>
      <c r="SFL212" s="2"/>
      <c r="SFM212" s="2"/>
      <c r="SFN212" s="2"/>
      <c r="SFO212" s="2"/>
      <c r="SFP212" s="2"/>
      <c r="SFQ212" s="2"/>
      <c r="SFR212" s="260"/>
      <c r="SFS212" s="260"/>
      <c r="SFT212" s="260"/>
      <c r="SFU212" s="380"/>
      <c r="SFV212" s="380"/>
      <c r="SFW212" s="380"/>
      <c r="SFX212" s="2"/>
      <c r="SFY212" s="442"/>
      <c r="SFZ212" s="442"/>
      <c r="SGA212" s="443"/>
      <c r="SGB212" s="442"/>
      <c r="SGC212" s="442"/>
      <c r="SGD212" s="2"/>
      <c r="SGE212" s="2"/>
      <c r="SGF212" s="2"/>
      <c r="SGG212" s="2"/>
      <c r="SGH212" s="260"/>
      <c r="SGI212" s="260"/>
      <c r="SGJ212" s="260"/>
      <c r="SGK212" s="260"/>
      <c r="SGL212" s="260"/>
      <c r="SGM212" s="260"/>
      <c r="SGN212" s="308"/>
      <c r="SGO212" s="290"/>
      <c r="SGP212" s="290"/>
      <c r="SGQ212" s="260"/>
      <c r="SGR212" s="260"/>
      <c r="SGS212" s="260"/>
      <c r="SGT212" s="260"/>
      <c r="SGU212" s="260"/>
      <c r="SGV212" s="2"/>
      <c r="SGW212" s="2"/>
      <c r="SGX212" s="2"/>
      <c r="SGY212" s="2"/>
      <c r="SGZ212" s="2"/>
      <c r="SHA212" s="2"/>
      <c r="SHB212" s="260"/>
      <c r="SHC212" s="2"/>
      <c r="SHD212" s="2"/>
      <c r="SHE212" s="2"/>
      <c r="SHF212" s="2"/>
      <c r="SHG212" s="2"/>
      <c r="SHH212" s="2"/>
      <c r="SHI212" s="2"/>
      <c r="SHJ212" s="260"/>
      <c r="SHK212" s="260"/>
      <c r="SHL212" s="260"/>
      <c r="SHM212" s="380"/>
      <c r="SHN212" s="380"/>
      <c r="SHO212" s="380"/>
      <c r="SHP212" s="2"/>
      <c r="SHQ212" s="442"/>
      <c r="SHR212" s="442"/>
      <c r="SHS212" s="443"/>
      <c r="SHT212" s="442"/>
      <c r="SHU212" s="442"/>
      <c r="SHV212" s="2"/>
      <c r="SHW212" s="2"/>
      <c r="SHX212" s="2"/>
      <c r="SHY212" s="2"/>
      <c r="SHZ212" s="260"/>
      <c r="SIA212" s="260"/>
      <c r="SIB212" s="260"/>
      <c r="SIC212" s="260"/>
      <c r="SID212" s="260"/>
      <c r="SIE212" s="260"/>
      <c r="SIF212" s="308"/>
      <c r="SIG212" s="290"/>
      <c r="SIH212" s="290"/>
      <c r="SII212" s="260"/>
      <c r="SIJ212" s="260"/>
      <c r="SIK212" s="260"/>
      <c r="SIL212" s="260"/>
      <c r="SIM212" s="260"/>
      <c r="SIN212" s="2"/>
      <c r="SIO212" s="2"/>
      <c r="SIP212" s="2"/>
      <c r="SIQ212" s="2"/>
      <c r="SIR212" s="2"/>
      <c r="SIS212" s="2"/>
      <c r="SIT212" s="260"/>
      <c r="SIU212" s="2"/>
      <c r="SIV212" s="2"/>
      <c r="SIW212" s="2"/>
      <c r="SIX212" s="2"/>
      <c r="SIY212" s="2"/>
      <c r="SIZ212" s="2"/>
      <c r="SJA212" s="2"/>
      <c r="SJB212" s="260"/>
      <c r="SJC212" s="260"/>
      <c r="SJD212" s="260"/>
      <c r="SJE212" s="380"/>
      <c r="SJF212" s="380"/>
      <c r="SJG212" s="380"/>
      <c r="SJH212" s="2"/>
      <c r="SJI212" s="442"/>
      <c r="SJJ212" s="442"/>
      <c r="SJK212" s="443"/>
      <c r="SJL212" s="442"/>
      <c r="SJM212" s="442"/>
      <c r="SJN212" s="2"/>
      <c r="SJO212" s="2"/>
      <c r="SJP212" s="2"/>
      <c r="SJQ212" s="2"/>
      <c r="SJR212" s="260"/>
      <c r="SJS212" s="260"/>
      <c r="SJT212" s="260"/>
      <c r="SJU212" s="260"/>
      <c r="SJV212" s="260"/>
      <c r="SJW212" s="260"/>
      <c r="SJX212" s="308"/>
      <c r="SJY212" s="290"/>
      <c r="SJZ212" s="290"/>
      <c r="SKA212" s="260"/>
      <c r="SKB212" s="260"/>
      <c r="SKC212" s="260"/>
      <c r="SKD212" s="260"/>
      <c r="SKE212" s="260"/>
      <c r="SKF212" s="2"/>
      <c r="SKG212" s="2"/>
      <c r="SKH212" s="2"/>
      <c r="SKI212" s="2"/>
      <c r="SKJ212" s="2"/>
      <c r="SKK212" s="2"/>
      <c r="SKL212" s="260"/>
      <c r="SKM212" s="2"/>
      <c r="SKN212" s="2"/>
      <c r="SKO212" s="2"/>
      <c r="SKP212" s="2"/>
      <c r="SKQ212" s="2"/>
      <c r="SKR212" s="2"/>
      <c r="SKS212" s="2"/>
      <c r="SKT212" s="260"/>
      <c r="SKU212" s="260"/>
      <c r="SKV212" s="260"/>
      <c r="SKW212" s="380"/>
      <c r="SKX212" s="380"/>
      <c r="SKY212" s="380"/>
      <c r="SKZ212" s="2"/>
      <c r="SLA212" s="442"/>
      <c r="SLB212" s="442"/>
      <c r="SLC212" s="443"/>
      <c r="SLD212" s="442"/>
      <c r="SLE212" s="442"/>
      <c r="SLF212" s="2"/>
      <c r="SLG212" s="2"/>
      <c r="SLH212" s="2"/>
      <c r="SLI212" s="2"/>
      <c r="SLJ212" s="260"/>
      <c r="SLK212" s="260"/>
      <c r="SLL212" s="260"/>
      <c r="SLM212" s="260"/>
      <c r="SLN212" s="260"/>
      <c r="SLO212" s="260"/>
      <c r="SLP212" s="308"/>
      <c r="SLQ212" s="290"/>
      <c r="SLR212" s="290"/>
      <c r="SLS212" s="260"/>
      <c r="SLT212" s="260"/>
      <c r="SLU212" s="260"/>
      <c r="SLV212" s="260"/>
      <c r="SLW212" s="260"/>
      <c r="SLX212" s="2"/>
      <c r="SLY212" s="2"/>
      <c r="SLZ212" s="2"/>
      <c r="SMA212" s="2"/>
      <c r="SMB212" s="2"/>
      <c r="SMC212" s="2"/>
      <c r="SMD212" s="260"/>
      <c r="SME212" s="2"/>
      <c r="SMF212" s="2"/>
      <c r="SMG212" s="2"/>
      <c r="SMH212" s="2"/>
      <c r="SMI212" s="2"/>
      <c r="SMJ212" s="2"/>
      <c r="SMK212" s="2"/>
      <c r="SML212" s="260"/>
      <c r="SMM212" s="260"/>
      <c r="SMN212" s="260"/>
      <c r="SMO212" s="380"/>
      <c r="SMP212" s="380"/>
      <c r="SMQ212" s="380"/>
      <c r="SMR212" s="2"/>
      <c r="SMS212" s="442"/>
      <c r="SMT212" s="442"/>
      <c r="SMU212" s="443"/>
      <c r="SMV212" s="442"/>
      <c r="SMW212" s="442"/>
      <c r="SMX212" s="2"/>
      <c r="SMY212" s="2"/>
      <c r="SMZ212" s="2"/>
      <c r="SNA212" s="2"/>
      <c r="SNB212" s="260"/>
      <c r="SNC212" s="260"/>
      <c r="SND212" s="260"/>
      <c r="SNE212" s="260"/>
      <c r="SNF212" s="260"/>
      <c r="SNG212" s="260"/>
      <c r="SNH212" s="308"/>
      <c r="SNI212" s="290"/>
      <c r="SNJ212" s="290"/>
      <c r="SNK212" s="260"/>
      <c r="SNL212" s="260"/>
      <c r="SNM212" s="260"/>
      <c r="SNN212" s="260"/>
      <c r="SNO212" s="260"/>
      <c r="SNP212" s="2"/>
      <c r="SNQ212" s="2"/>
      <c r="SNR212" s="2"/>
      <c r="SNS212" s="2"/>
      <c r="SNT212" s="2"/>
      <c r="SNU212" s="2"/>
      <c r="SNV212" s="260"/>
      <c r="SNW212" s="2"/>
      <c r="SNX212" s="2"/>
      <c r="SNY212" s="2"/>
      <c r="SNZ212" s="2"/>
      <c r="SOA212" s="2"/>
      <c r="SOB212" s="2"/>
      <c r="SOC212" s="2"/>
      <c r="SOD212" s="260"/>
      <c r="SOE212" s="260"/>
      <c r="SOF212" s="260"/>
      <c r="SOG212" s="380"/>
      <c r="SOH212" s="380"/>
      <c r="SOI212" s="380"/>
      <c r="SOJ212" s="2"/>
      <c r="SOK212" s="442"/>
      <c r="SOL212" s="442"/>
      <c r="SOM212" s="443"/>
      <c r="SON212" s="442"/>
      <c r="SOO212" s="442"/>
      <c r="SOP212" s="2"/>
      <c r="SOQ212" s="2"/>
      <c r="SOR212" s="2"/>
      <c r="SOS212" s="2"/>
      <c r="SOT212" s="260"/>
      <c r="SOU212" s="260"/>
      <c r="SOV212" s="260"/>
      <c r="SOW212" s="260"/>
      <c r="SOX212" s="260"/>
      <c r="SOY212" s="260"/>
      <c r="SOZ212" s="308"/>
      <c r="SPA212" s="290"/>
      <c r="SPB212" s="290"/>
      <c r="SPC212" s="260"/>
      <c r="SPD212" s="260"/>
      <c r="SPE212" s="260"/>
      <c r="SPF212" s="260"/>
      <c r="SPG212" s="260"/>
      <c r="SPH212" s="2"/>
      <c r="SPI212" s="2"/>
      <c r="SPJ212" s="2"/>
      <c r="SPK212" s="2"/>
      <c r="SPL212" s="2"/>
      <c r="SPM212" s="2"/>
      <c r="SPN212" s="260"/>
      <c r="SPO212" s="2"/>
      <c r="SPP212" s="2"/>
      <c r="SPQ212" s="2"/>
      <c r="SPR212" s="2"/>
      <c r="SPS212" s="2"/>
      <c r="SPT212" s="2"/>
      <c r="SPU212" s="2"/>
      <c r="SPV212" s="260"/>
      <c r="SPW212" s="260"/>
      <c r="SPX212" s="260"/>
      <c r="SPY212" s="380"/>
      <c r="SPZ212" s="380"/>
      <c r="SQA212" s="380"/>
      <c r="SQB212" s="2"/>
      <c r="SQC212" s="442"/>
      <c r="SQD212" s="442"/>
      <c r="SQE212" s="443"/>
      <c r="SQF212" s="442"/>
      <c r="SQG212" s="442"/>
      <c r="SQH212" s="2"/>
      <c r="SQI212" s="2"/>
      <c r="SQJ212" s="2"/>
      <c r="SQK212" s="2"/>
      <c r="SQL212" s="260"/>
      <c r="SQM212" s="260"/>
      <c r="SQN212" s="260"/>
      <c r="SQO212" s="260"/>
      <c r="SQP212" s="260"/>
      <c r="SQQ212" s="260"/>
      <c r="SQR212" s="308"/>
      <c r="SQS212" s="290"/>
      <c r="SQT212" s="290"/>
      <c r="SQU212" s="260"/>
      <c r="SQV212" s="260"/>
      <c r="SQW212" s="260"/>
      <c r="SQX212" s="260"/>
      <c r="SQY212" s="260"/>
      <c r="SQZ212" s="2"/>
      <c r="SRA212" s="2"/>
      <c r="SRB212" s="2"/>
      <c r="SRC212" s="2"/>
      <c r="SRD212" s="2"/>
      <c r="SRE212" s="2"/>
      <c r="SRF212" s="260"/>
      <c r="SRG212" s="2"/>
      <c r="SRH212" s="2"/>
      <c r="SRI212" s="2"/>
      <c r="SRJ212" s="2"/>
      <c r="SRK212" s="2"/>
      <c r="SRL212" s="2"/>
      <c r="SRM212" s="2"/>
      <c r="SRN212" s="260"/>
      <c r="SRO212" s="260"/>
      <c r="SRP212" s="260"/>
      <c r="SRQ212" s="380"/>
      <c r="SRR212" s="380"/>
      <c r="SRS212" s="380"/>
      <c r="SRT212" s="2"/>
      <c r="SRU212" s="442"/>
      <c r="SRV212" s="442"/>
      <c r="SRW212" s="443"/>
      <c r="SRX212" s="442"/>
      <c r="SRY212" s="442"/>
      <c r="SRZ212" s="2"/>
      <c r="SSA212" s="2"/>
      <c r="SSB212" s="2"/>
      <c r="SSC212" s="2"/>
      <c r="SSD212" s="260"/>
      <c r="SSE212" s="260"/>
      <c r="SSF212" s="260"/>
      <c r="SSG212" s="260"/>
      <c r="SSH212" s="260"/>
      <c r="SSI212" s="260"/>
      <c r="SSJ212" s="308"/>
      <c r="SSK212" s="290"/>
      <c r="SSL212" s="290"/>
      <c r="SSM212" s="260"/>
      <c r="SSN212" s="260"/>
      <c r="SSO212" s="260"/>
      <c r="SSP212" s="260"/>
      <c r="SSQ212" s="260"/>
      <c r="SSR212" s="2"/>
      <c r="SSS212" s="2"/>
      <c r="SST212" s="2"/>
      <c r="SSU212" s="2"/>
      <c r="SSV212" s="2"/>
      <c r="SSW212" s="2"/>
      <c r="SSX212" s="260"/>
      <c r="SSY212" s="2"/>
      <c r="SSZ212" s="2"/>
      <c r="STA212" s="2"/>
      <c r="STB212" s="2"/>
      <c r="STC212" s="2"/>
      <c r="STD212" s="2"/>
      <c r="STE212" s="2"/>
      <c r="STF212" s="260"/>
      <c r="STG212" s="260"/>
      <c r="STH212" s="260"/>
      <c r="STI212" s="380"/>
      <c r="STJ212" s="380"/>
      <c r="STK212" s="380"/>
      <c r="STL212" s="2"/>
      <c r="STM212" s="442"/>
      <c r="STN212" s="442"/>
      <c r="STO212" s="443"/>
      <c r="STP212" s="442"/>
      <c r="STQ212" s="442"/>
      <c r="STR212" s="2"/>
      <c r="STS212" s="2"/>
      <c r="STT212" s="2"/>
      <c r="STU212" s="2"/>
      <c r="STV212" s="260"/>
      <c r="STW212" s="260"/>
      <c r="STX212" s="260"/>
      <c r="STY212" s="260"/>
      <c r="STZ212" s="260"/>
      <c r="SUA212" s="260"/>
      <c r="SUB212" s="308"/>
      <c r="SUC212" s="290"/>
      <c r="SUD212" s="290"/>
      <c r="SUE212" s="260"/>
      <c r="SUF212" s="260"/>
      <c r="SUG212" s="260"/>
      <c r="SUH212" s="260"/>
      <c r="SUI212" s="260"/>
      <c r="SUJ212" s="2"/>
      <c r="SUK212" s="2"/>
      <c r="SUL212" s="2"/>
      <c r="SUM212" s="2"/>
      <c r="SUN212" s="2"/>
      <c r="SUO212" s="2"/>
      <c r="SUP212" s="260"/>
      <c r="SUQ212" s="2"/>
      <c r="SUR212" s="2"/>
      <c r="SUS212" s="2"/>
      <c r="SUT212" s="2"/>
      <c r="SUU212" s="2"/>
      <c r="SUV212" s="2"/>
      <c r="SUW212" s="2"/>
      <c r="SUX212" s="260"/>
      <c r="SUY212" s="260"/>
      <c r="SUZ212" s="260"/>
      <c r="SVA212" s="380"/>
      <c r="SVB212" s="380"/>
      <c r="SVC212" s="380"/>
      <c r="SVD212" s="2"/>
      <c r="SVE212" s="442"/>
      <c r="SVF212" s="442"/>
      <c r="SVG212" s="443"/>
      <c r="SVH212" s="442"/>
      <c r="SVI212" s="442"/>
      <c r="SVJ212" s="2"/>
      <c r="SVK212" s="2"/>
      <c r="SVL212" s="2"/>
      <c r="SVM212" s="2"/>
      <c r="SVN212" s="260"/>
      <c r="SVO212" s="260"/>
      <c r="SVP212" s="260"/>
      <c r="SVQ212" s="260"/>
      <c r="SVR212" s="260"/>
      <c r="SVS212" s="260"/>
      <c r="SVT212" s="308"/>
      <c r="SVU212" s="290"/>
      <c r="SVV212" s="290"/>
      <c r="SVW212" s="260"/>
      <c r="SVX212" s="260"/>
      <c r="SVY212" s="260"/>
      <c r="SVZ212" s="260"/>
      <c r="SWA212" s="260"/>
      <c r="SWB212" s="2"/>
      <c r="SWC212" s="2"/>
      <c r="SWD212" s="2"/>
      <c r="SWE212" s="2"/>
      <c r="SWF212" s="2"/>
      <c r="SWG212" s="2"/>
      <c r="SWH212" s="260"/>
      <c r="SWI212" s="2"/>
      <c r="SWJ212" s="2"/>
      <c r="SWK212" s="2"/>
      <c r="SWL212" s="2"/>
      <c r="SWM212" s="2"/>
      <c r="SWN212" s="2"/>
      <c r="SWO212" s="2"/>
      <c r="SWP212" s="260"/>
      <c r="SWQ212" s="260"/>
      <c r="SWR212" s="260"/>
      <c r="SWS212" s="380"/>
      <c r="SWT212" s="380"/>
      <c r="SWU212" s="380"/>
      <c r="SWV212" s="2"/>
      <c r="SWW212" s="442"/>
      <c r="SWX212" s="442"/>
      <c r="SWY212" s="443"/>
      <c r="SWZ212" s="442"/>
      <c r="SXA212" s="442"/>
      <c r="SXB212" s="2"/>
      <c r="SXC212" s="2"/>
      <c r="SXD212" s="2"/>
      <c r="SXE212" s="2"/>
      <c r="SXF212" s="260"/>
      <c r="SXG212" s="260"/>
      <c r="SXH212" s="260"/>
      <c r="SXI212" s="260"/>
      <c r="SXJ212" s="260"/>
      <c r="SXK212" s="260"/>
      <c r="SXL212" s="308"/>
      <c r="SXM212" s="290"/>
      <c r="SXN212" s="290"/>
      <c r="SXO212" s="260"/>
      <c r="SXP212" s="260"/>
      <c r="SXQ212" s="260"/>
      <c r="SXR212" s="260"/>
      <c r="SXS212" s="260"/>
      <c r="SXT212" s="2"/>
      <c r="SXU212" s="2"/>
      <c r="SXV212" s="2"/>
      <c r="SXW212" s="2"/>
      <c r="SXX212" s="2"/>
      <c r="SXY212" s="2"/>
      <c r="SXZ212" s="260"/>
      <c r="SYA212" s="2"/>
      <c r="SYB212" s="2"/>
      <c r="SYC212" s="2"/>
      <c r="SYD212" s="2"/>
      <c r="SYE212" s="2"/>
      <c r="SYF212" s="2"/>
      <c r="SYG212" s="2"/>
      <c r="SYH212" s="260"/>
      <c r="SYI212" s="260"/>
      <c r="SYJ212" s="260"/>
      <c r="SYK212" s="380"/>
      <c r="SYL212" s="380"/>
      <c r="SYM212" s="380"/>
      <c r="SYN212" s="2"/>
      <c r="SYO212" s="442"/>
      <c r="SYP212" s="442"/>
      <c r="SYQ212" s="443"/>
      <c r="SYR212" s="442"/>
      <c r="SYS212" s="442"/>
      <c r="SYT212" s="2"/>
      <c r="SYU212" s="2"/>
      <c r="SYV212" s="2"/>
      <c r="SYW212" s="2"/>
      <c r="SYX212" s="260"/>
      <c r="SYY212" s="260"/>
      <c r="SYZ212" s="260"/>
      <c r="SZA212" s="260"/>
      <c r="SZB212" s="260"/>
      <c r="SZC212" s="260"/>
      <c r="SZD212" s="308"/>
      <c r="SZE212" s="290"/>
      <c r="SZF212" s="290"/>
      <c r="SZG212" s="260"/>
      <c r="SZH212" s="260"/>
      <c r="SZI212" s="260"/>
      <c r="SZJ212" s="260"/>
      <c r="SZK212" s="260"/>
      <c r="SZL212" s="2"/>
      <c r="SZM212" s="2"/>
      <c r="SZN212" s="2"/>
      <c r="SZO212" s="2"/>
      <c r="SZP212" s="2"/>
      <c r="SZQ212" s="2"/>
      <c r="SZR212" s="260"/>
      <c r="SZS212" s="2"/>
      <c r="SZT212" s="2"/>
      <c r="SZU212" s="2"/>
      <c r="SZV212" s="2"/>
      <c r="SZW212" s="2"/>
      <c r="SZX212" s="2"/>
      <c r="SZY212" s="2"/>
      <c r="SZZ212" s="260"/>
      <c r="TAA212" s="260"/>
      <c r="TAB212" s="260"/>
      <c r="TAC212" s="380"/>
      <c r="TAD212" s="380"/>
      <c r="TAE212" s="380"/>
      <c r="TAF212" s="2"/>
      <c r="TAG212" s="442"/>
      <c r="TAH212" s="442"/>
      <c r="TAI212" s="443"/>
      <c r="TAJ212" s="442"/>
      <c r="TAK212" s="442"/>
      <c r="TAL212" s="2"/>
      <c r="TAM212" s="2"/>
      <c r="TAN212" s="2"/>
      <c r="TAO212" s="2"/>
      <c r="TAP212" s="260"/>
      <c r="TAQ212" s="260"/>
      <c r="TAR212" s="260"/>
      <c r="TAS212" s="260"/>
      <c r="TAT212" s="260"/>
      <c r="TAU212" s="260"/>
      <c r="TAV212" s="308"/>
      <c r="TAW212" s="290"/>
      <c r="TAX212" s="290"/>
      <c r="TAY212" s="260"/>
      <c r="TAZ212" s="260"/>
      <c r="TBA212" s="260"/>
      <c r="TBB212" s="260"/>
      <c r="TBC212" s="260"/>
      <c r="TBD212" s="2"/>
      <c r="TBE212" s="2"/>
      <c r="TBF212" s="2"/>
      <c r="TBG212" s="2"/>
      <c r="TBH212" s="2"/>
      <c r="TBI212" s="2"/>
      <c r="TBJ212" s="260"/>
      <c r="TBK212" s="2"/>
      <c r="TBL212" s="2"/>
      <c r="TBM212" s="2"/>
      <c r="TBN212" s="2"/>
      <c r="TBO212" s="2"/>
      <c r="TBP212" s="2"/>
      <c r="TBQ212" s="2"/>
      <c r="TBR212" s="260"/>
      <c r="TBS212" s="260"/>
      <c r="TBT212" s="260"/>
      <c r="TBU212" s="380"/>
      <c r="TBV212" s="380"/>
      <c r="TBW212" s="380"/>
      <c r="TBX212" s="2"/>
      <c r="TBY212" s="442"/>
      <c r="TBZ212" s="442"/>
      <c r="TCA212" s="443"/>
      <c r="TCB212" s="442"/>
      <c r="TCC212" s="442"/>
      <c r="TCD212" s="2"/>
      <c r="TCE212" s="2"/>
      <c r="TCF212" s="2"/>
      <c r="TCG212" s="2"/>
      <c r="TCH212" s="260"/>
      <c r="TCI212" s="260"/>
      <c r="TCJ212" s="260"/>
      <c r="TCK212" s="260"/>
      <c r="TCL212" s="260"/>
      <c r="TCM212" s="260"/>
      <c r="TCN212" s="308"/>
      <c r="TCO212" s="290"/>
      <c r="TCP212" s="290"/>
      <c r="TCQ212" s="260"/>
      <c r="TCR212" s="260"/>
      <c r="TCS212" s="260"/>
      <c r="TCT212" s="260"/>
      <c r="TCU212" s="260"/>
      <c r="TCV212" s="2"/>
      <c r="TCW212" s="2"/>
      <c r="TCX212" s="2"/>
      <c r="TCY212" s="2"/>
      <c r="TCZ212" s="2"/>
      <c r="TDA212" s="2"/>
      <c r="TDB212" s="260"/>
      <c r="TDC212" s="2"/>
      <c r="TDD212" s="2"/>
      <c r="TDE212" s="2"/>
      <c r="TDF212" s="2"/>
      <c r="TDG212" s="2"/>
      <c r="TDH212" s="2"/>
      <c r="TDI212" s="2"/>
      <c r="TDJ212" s="260"/>
      <c r="TDK212" s="260"/>
      <c r="TDL212" s="260"/>
      <c r="TDM212" s="380"/>
      <c r="TDN212" s="380"/>
      <c r="TDO212" s="380"/>
      <c r="TDP212" s="2"/>
      <c r="TDQ212" s="442"/>
      <c r="TDR212" s="442"/>
      <c r="TDS212" s="443"/>
      <c r="TDT212" s="442"/>
      <c r="TDU212" s="442"/>
      <c r="TDV212" s="2"/>
      <c r="TDW212" s="2"/>
      <c r="TDX212" s="2"/>
      <c r="TDY212" s="2"/>
      <c r="TDZ212" s="260"/>
      <c r="TEA212" s="260"/>
      <c r="TEB212" s="260"/>
      <c r="TEC212" s="260"/>
      <c r="TED212" s="260"/>
      <c r="TEE212" s="260"/>
      <c r="TEF212" s="308"/>
      <c r="TEG212" s="290"/>
      <c r="TEH212" s="290"/>
      <c r="TEI212" s="260"/>
      <c r="TEJ212" s="260"/>
      <c r="TEK212" s="260"/>
      <c r="TEL212" s="260"/>
      <c r="TEM212" s="260"/>
      <c r="TEN212" s="2"/>
      <c r="TEO212" s="2"/>
      <c r="TEP212" s="2"/>
      <c r="TEQ212" s="2"/>
      <c r="TER212" s="2"/>
      <c r="TES212" s="2"/>
      <c r="TET212" s="260"/>
      <c r="TEU212" s="2"/>
      <c r="TEV212" s="2"/>
      <c r="TEW212" s="2"/>
      <c r="TEX212" s="2"/>
      <c r="TEY212" s="2"/>
      <c r="TEZ212" s="2"/>
      <c r="TFA212" s="2"/>
      <c r="TFB212" s="260"/>
      <c r="TFC212" s="260"/>
      <c r="TFD212" s="260"/>
      <c r="TFE212" s="380"/>
      <c r="TFF212" s="380"/>
      <c r="TFG212" s="380"/>
      <c r="TFH212" s="2"/>
      <c r="TFI212" s="442"/>
      <c r="TFJ212" s="442"/>
      <c r="TFK212" s="443"/>
      <c r="TFL212" s="442"/>
      <c r="TFM212" s="442"/>
      <c r="TFN212" s="2"/>
      <c r="TFO212" s="2"/>
      <c r="TFP212" s="2"/>
      <c r="TFQ212" s="2"/>
      <c r="TFR212" s="260"/>
      <c r="TFS212" s="260"/>
      <c r="TFT212" s="260"/>
      <c r="TFU212" s="260"/>
      <c r="TFV212" s="260"/>
      <c r="TFW212" s="260"/>
      <c r="TFX212" s="308"/>
      <c r="TFY212" s="290"/>
      <c r="TFZ212" s="290"/>
      <c r="TGA212" s="260"/>
      <c r="TGB212" s="260"/>
      <c r="TGC212" s="260"/>
      <c r="TGD212" s="260"/>
      <c r="TGE212" s="260"/>
      <c r="TGF212" s="2"/>
      <c r="TGG212" s="2"/>
      <c r="TGH212" s="2"/>
      <c r="TGI212" s="2"/>
      <c r="TGJ212" s="2"/>
      <c r="TGK212" s="2"/>
      <c r="TGL212" s="260"/>
      <c r="TGM212" s="2"/>
      <c r="TGN212" s="2"/>
      <c r="TGO212" s="2"/>
      <c r="TGP212" s="2"/>
      <c r="TGQ212" s="2"/>
      <c r="TGR212" s="2"/>
      <c r="TGS212" s="2"/>
      <c r="TGT212" s="260"/>
      <c r="TGU212" s="260"/>
      <c r="TGV212" s="260"/>
      <c r="TGW212" s="380"/>
      <c r="TGX212" s="380"/>
      <c r="TGY212" s="380"/>
      <c r="TGZ212" s="2"/>
      <c r="THA212" s="442"/>
      <c r="THB212" s="442"/>
      <c r="THC212" s="443"/>
      <c r="THD212" s="442"/>
      <c r="THE212" s="442"/>
      <c r="THF212" s="2"/>
      <c r="THG212" s="2"/>
      <c r="THH212" s="2"/>
      <c r="THI212" s="2"/>
      <c r="THJ212" s="260"/>
      <c r="THK212" s="260"/>
      <c r="THL212" s="260"/>
      <c r="THM212" s="260"/>
      <c r="THN212" s="260"/>
      <c r="THO212" s="260"/>
      <c r="THP212" s="308"/>
      <c r="THQ212" s="290"/>
      <c r="THR212" s="290"/>
      <c r="THS212" s="260"/>
      <c r="THT212" s="260"/>
      <c r="THU212" s="260"/>
      <c r="THV212" s="260"/>
      <c r="THW212" s="260"/>
      <c r="THX212" s="2"/>
      <c r="THY212" s="2"/>
      <c r="THZ212" s="2"/>
      <c r="TIA212" s="2"/>
      <c r="TIB212" s="2"/>
      <c r="TIC212" s="2"/>
      <c r="TID212" s="260"/>
      <c r="TIE212" s="2"/>
      <c r="TIF212" s="2"/>
      <c r="TIG212" s="2"/>
      <c r="TIH212" s="2"/>
      <c r="TII212" s="2"/>
      <c r="TIJ212" s="2"/>
      <c r="TIK212" s="2"/>
      <c r="TIL212" s="260"/>
      <c r="TIM212" s="260"/>
      <c r="TIN212" s="260"/>
      <c r="TIO212" s="380"/>
      <c r="TIP212" s="380"/>
      <c r="TIQ212" s="380"/>
      <c r="TIR212" s="2"/>
      <c r="TIS212" s="442"/>
      <c r="TIT212" s="442"/>
      <c r="TIU212" s="443"/>
      <c r="TIV212" s="442"/>
      <c r="TIW212" s="442"/>
      <c r="TIX212" s="2"/>
      <c r="TIY212" s="2"/>
      <c r="TIZ212" s="2"/>
      <c r="TJA212" s="2"/>
      <c r="TJB212" s="260"/>
      <c r="TJC212" s="260"/>
      <c r="TJD212" s="260"/>
      <c r="TJE212" s="260"/>
      <c r="TJF212" s="260"/>
      <c r="TJG212" s="260"/>
      <c r="TJH212" s="308"/>
      <c r="TJI212" s="290"/>
      <c r="TJJ212" s="290"/>
      <c r="TJK212" s="260"/>
      <c r="TJL212" s="260"/>
      <c r="TJM212" s="260"/>
      <c r="TJN212" s="260"/>
      <c r="TJO212" s="260"/>
      <c r="TJP212" s="2"/>
      <c r="TJQ212" s="2"/>
      <c r="TJR212" s="2"/>
      <c r="TJS212" s="2"/>
      <c r="TJT212" s="2"/>
      <c r="TJU212" s="2"/>
      <c r="TJV212" s="260"/>
      <c r="TJW212" s="2"/>
      <c r="TJX212" s="2"/>
      <c r="TJY212" s="2"/>
      <c r="TJZ212" s="2"/>
      <c r="TKA212" s="2"/>
      <c r="TKB212" s="2"/>
      <c r="TKC212" s="2"/>
      <c r="TKD212" s="260"/>
      <c r="TKE212" s="260"/>
      <c r="TKF212" s="260"/>
      <c r="TKG212" s="380"/>
      <c r="TKH212" s="380"/>
      <c r="TKI212" s="380"/>
      <c r="TKJ212" s="2"/>
      <c r="TKK212" s="442"/>
      <c r="TKL212" s="442"/>
      <c r="TKM212" s="443"/>
      <c r="TKN212" s="442"/>
      <c r="TKO212" s="442"/>
      <c r="TKP212" s="2"/>
      <c r="TKQ212" s="2"/>
      <c r="TKR212" s="2"/>
      <c r="TKS212" s="2"/>
      <c r="TKT212" s="260"/>
      <c r="TKU212" s="260"/>
      <c r="TKV212" s="260"/>
      <c r="TKW212" s="260"/>
      <c r="TKX212" s="260"/>
      <c r="TKY212" s="260"/>
      <c r="TKZ212" s="308"/>
      <c r="TLA212" s="290"/>
      <c r="TLB212" s="290"/>
      <c r="TLC212" s="260"/>
      <c r="TLD212" s="260"/>
      <c r="TLE212" s="260"/>
      <c r="TLF212" s="260"/>
      <c r="TLG212" s="260"/>
      <c r="TLH212" s="2"/>
      <c r="TLI212" s="2"/>
      <c r="TLJ212" s="2"/>
      <c r="TLK212" s="2"/>
      <c r="TLL212" s="2"/>
      <c r="TLM212" s="2"/>
      <c r="TLN212" s="260"/>
      <c r="TLO212" s="2"/>
      <c r="TLP212" s="2"/>
      <c r="TLQ212" s="2"/>
      <c r="TLR212" s="2"/>
      <c r="TLS212" s="2"/>
      <c r="TLT212" s="2"/>
      <c r="TLU212" s="2"/>
      <c r="TLV212" s="260"/>
      <c r="TLW212" s="260"/>
      <c r="TLX212" s="260"/>
      <c r="TLY212" s="380"/>
      <c r="TLZ212" s="380"/>
      <c r="TMA212" s="380"/>
      <c r="TMB212" s="2"/>
      <c r="TMC212" s="442"/>
      <c r="TMD212" s="442"/>
      <c r="TME212" s="443"/>
      <c r="TMF212" s="442"/>
      <c r="TMG212" s="442"/>
      <c r="TMH212" s="2"/>
      <c r="TMI212" s="2"/>
      <c r="TMJ212" s="2"/>
      <c r="TMK212" s="2"/>
      <c r="TML212" s="260"/>
      <c r="TMM212" s="260"/>
      <c r="TMN212" s="260"/>
      <c r="TMO212" s="260"/>
      <c r="TMP212" s="260"/>
      <c r="TMQ212" s="260"/>
      <c r="TMR212" s="308"/>
      <c r="TMS212" s="290"/>
      <c r="TMT212" s="290"/>
      <c r="TMU212" s="260"/>
      <c r="TMV212" s="260"/>
      <c r="TMW212" s="260"/>
      <c r="TMX212" s="260"/>
      <c r="TMY212" s="260"/>
      <c r="TMZ212" s="2"/>
      <c r="TNA212" s="2"/>
      <c r="TNB212" s="2"/>
      <c r="TNC212" s="2"/>
      <c r="TND212" s="2"/>
      <c r="TNE212" s="2"/>
      <c r="TNF212" s="260"/>
      <c r="TNG212" s="2"/>
      <c r="TNH212" s="2"/>
      <c r="TNI212" s="2"/>
      <c r="TNJ212" s="2"/>
      <c r="TNK212" s="2"/>
      <c r="TNL212" s="2"/>
      <c r="TNM212" s="2"/>
      <c r="TNN212" s="260"/>
      <c r="TNO212" s="260"/>
      <c r="TNP212" s="260"/>
      <c r="TNQ212" s="380"/>
      <c r="TNR212" s="380"/>
      <c r="TNS212" s="380"/>
      <c r="TNT212" s="2"/>
      <c r="TNU212" s="442"/>
      <c r="TNV212" s="442"/>
      <c r="TNW212" s="443"/>
      <c r="TNX212" s="442"/>
      <c r="TNY212" s="442"/>
      <c r="TNZ212" s="2"/>
      <c r="TOA212" s="2"/>
      <c r="TOB212" s="2"/>
      <c r="TOC212" s="2"/>
      <c r="TOD212" s="260"/>
      <c r="TOE212" s="260"/>
      <c r="TOF212" s="260"/>
      <c r="TOG212" s="260"/>
      <c r="TOH212" s="260"/>
      <c r="TOI212" s="260"/>
      <c r="TOJ212" s="308"/>
      <c r="TOK212" s="290"/>
      <c r="TOL212" s="290"/>
      <c r="TOM212" s="260"/>
      <c r="TON212" s="260"/>
      <c r="TOO212" s="260"/>
      <c r="TOP212" s="260"/>
      <c r="TOQ212" s="260"/>
      <c r="TOR212" s="2"/>
      <c r="TOS212" s="2"/>
      <c r="TOT212" s="2"/>
      <c r="TOU212" s="2"/>
      <c r="TOV212" s="2"/>
      <c r="TOW212" s="2"/>
      <c r="TOX212" s="260"/>
      <c r="TOY212" s="2"/>
      <c r="TOZ212" s="2"/>
      <c r="TPA212" s="2"/>
      <c r="TPB212" s="2"/>
      <c r="TPC212" s="2"/>
      <c r="TPD212" s="2"/>
      <c r="TPE212" s="2"/>
      <c r="TPF212" s="260"/>
      <c r="TPG212" s="260"/>
      <c r="TPH212" s="260"/>
      <c r="TPI212" s="380"/>
      <c r="TPJ212" s="380"/>
      <c r="TPK212" s="380"/>
      <c r="TPL212" s="2"/>
      <c r="TPM212" s="442"/>
      <c r="TPN212" s="442"/>
      <c r="TPO212" s="443"/>
      <c r="TPP212" s="442"/>
      <c r="TPQ212" s="442"/>
      <c r="TPR212" s="2"/>
      <c r="TPS212" s="2"/>
      <c r="TPT212" s="2"/>
      <c r="TPU212" s="2"/>
      <c r="TPV212" s="260"/>
      <c r="TPW212" s="260"/>
      <c r="TPX212" s="260"/>
      <c r="TPY212" s="260"/>
      <c r="TPZ212" s="260"/>
      <c r="TQA212" s="260"/>
      <c r="TQB212" s="308"/>
      <c r="TQC212" s="290"/>
      <c r="TQD212" s="290"/>
      <c r="TQE212" s="260"/>
      <c r="TQF212" s="260"/>
      <c r="TQG212" s="260"/>
      <c r="TQH212" s="260"/>
      <c r="TQI212" s="260"/>
      <c r="TQJ212" s="2"/>
      <c r="TQK212" s="2"/>
      <c r="TQL212" s="2"/>
      <c r="TQM212" s="2"/>
      <c r="TQN212" s="2"/>
      <c r="TQO212" s="2"/>
      <c r="TQP212" s="260"/>
      <c r="TQQ212" s="2"/>
      <c r="TQR212" s="2"/>
      <c r="TQS212" s="2"/>
      <c r="TQT212" s="2"/>
      <c r="TQU212" s="2"/>
      <c r="TQV212" s="2"/>
      <c r="TQW212" s="2"/>
      <c r="TQX212" s="260"/>
      <c r="TQY212" s="260"/>
      <c r="TQZ212" s="260"/>
      <c r="TRA212" s="380"/>
      <c r="TRB212" s="380"/>
      <c r="TRC212" s="380"/>
      <c r="TRD212" s="2"/>
      <c r="TRE212" s="442"/>
      <c r="TRF212" s="442"/>
      <c r="TRG212" s="443"/>
      <c r="TRH212" s="442"/>
      <c r="TRI212" s="442"/>
      <c r="TRJ212" s="2"/>
      <c r="TRK212" s="2"/>
      <c r="TRL212" s="2"/>
      <c r="TRM212" s="2"/>
      <c r="TRN212" s="260"/>
      <c r="TRO212" s="260"/>
      <c r="TRP212" s="260"/>
      <c r="TRQ212" s="260"/>
      <c r="TRR212" s="260"/>
      <c r="TRS212" s="260"/>
      <c r="TRT212" s="308"/>
      <c r="TRU212" s="290"/>
      <c r="TRV212" s="290"/>
      <c r="TRW212" s="260"/>
      <c r="TRX212" s="260"/>
      <c r="TRY212" s="260"/>
      <c r="TRZ212" s="260"/>
      <c r="TSA212" s="260"/>
      <c r="TSB212" s="2"/>
      <c r="TSC212" s="2"/>
      <c r="TSD212" s="2"/>
      <c r="TSE212" s="2"/>
      <c r="TSF212" s="2"/>
      <c r="TSG212" s="2"/>
      <c r="TSH212" s="260"/>
      <c r="TSI212" s="2"/>
      <c r="TSJ212" s="2"/>
      <c r="TSK212" s="2"/>
      <c r="TSL212" s="2"/>
      <c r="TSM212" s="2"/>
      <c r="TSN212" s="2"/>
      <c r="TSO212" s="2"/>
      <c r="TSP212" s="260"/>
      <c r="TSQ212" s="260"/>
      <c r="TSR212" s="260"/>
      <c r="TSS212" s="380"/>
      <c r="TST212" s="380"/>
      <c r="TSU212" s="380"/>
      <c r="TSV212" s="2"/>
      <c r="TSW212" s="442"/>
      <c r="TSX212" s="442"/>
      <c r="TSY212" s="443"/>
      <c r="TSZ212" s="442"/>
      <c r="TTA212" s="442"/>
      <c r="TTB212" s="2"/>
      <c r="TTC212" s="2"/>
      <c r="TTD212" s="2"/>
      <c r="TTE212" s="2"/>
      <c r="TTF212" s="260"/>
      <c r="TTG212" s="260"/>
      <c r="TTH212" s="260"/>
      <c r="TTI212" s="260"/>
      <c r="TTJ212" s="260"/>
      <c r="TTK212" s="260"/>
      <c r="TTL212" s="308"/>
      <c r="TTM212" s="290"/>
      <c r="TTN212" s="290"/>
      <c r="TTO212" s="260"/>
      <c r="TTP212" s="260"/>
      <c r="TTQ212" s="260"/>
      <c r="TTR212" s="260"/>
      <c r="TTS212" s="260"/>
      <c r="TTT212" s="2"/>
      <c r="TTU212" s="2"/>
      <c r="TTV212" s="2"/>
      <c r="TTW212" s="2"/>
      <c r="TTX212" s="2"/>
      <c r="TTY212" s="2"/>
      <c r="TTZ212" s="260"/>
      <c r="TUA212" s="2"/>
      <c r="TUB212" s="2"/>
      <c r="TUC212" s="2"/>
      <c r="TUD212" s="2"/>
      <c r="TUE212" s="2"/>
      <c r="TUF212" s="2"/>
      <c r="TUG212" s="2"/>
      <c r="TUH212" s="260"/>
      <c r="TUI212" s="260"/>
      <c r="TUJ212" s="260"/>
      <c r="TUK212" s="380"/>
      <c r="TUL212" s="380"/>
      <c r="TUM212" s="380"/>
      <c r="TUN212" s="2"/>
      <c r="TUO212" s="442"/>
      <c r="TUP212" s="442"/>
      <c r="TUQ212" s="443"/>
      <c r="TUR212" s="442"/>
      <c r="TUS212" s="442"/>
      <c r="TUT212" s="2"/>
      <c r="TUU212" s="2"/>
      <c r="TUV212" s="2"/>
      <c r="TUW212" s="2"/>
      <c r="TUX212" s="260"/>
      <c r="TUY212" s="260"/>
      <c r="TUZ212" s="260"/>
      <c r="TVA212" s="260"/>
      <c r="TVB212" s="260"/>
      <c r="TVC212" s="260"/>
      <c r="TVD212" s="308"/>
      <c r="TVE212" s="290"/>
      <c r="TVF212" s="290"/>
      <c r="TVG212" s="260"/>
      <c r="TVH212" s="260"/>
      <c r="TVI212" s="260"/>
      <c r="TVJ212" s="260"/>
      <c r="TVK212" s="260"/>
      <c r="TVL212" s="2"/>
      <c r="TVM212" s="2"/>
      <c r="TVN212" s="2"/>
      <c r="TVO212" s="2"/>
      <c r="TVP212" s="2"/>
      <c r="TVQ212" s="2"/>
      <c r="TVR212" s="260"/>
      <c r="TVS212" s="2"/>
      <c r="TVT212" s="2"/>
      <c r="TVU212" s="2"/>
      <c r="TVV212" s="2"/>
      <c r="TVW212" s="2"/>
      <c r="TVX212" s="2"/>
      <c r="TVY212" s="2"/>
      <c r="TVZ212" s="260"/>
      <c r="TWA212" s="260"/>
      <c r="TWB212" s="260"/>
      <c r="TWC212" s="380"/>
      <c r="TWD212" s="380"/>
      <c r="TWE212" s="380"/>
      <c r="TWF212" s="2"/>
      <c r="TWG212" s="442"/>
      <c r="TWH212" s="442"/>
      <c r="TWI212" s="443"/>
      <c r="TWJ212" s="442"/>
      <c r="TWK212" s="442"/>
      <c r="TWL212" s="2"/>
      <c r="TWM212" s="2"/>
      <c r="TWN212" s="2"/>
      <c r="TWO212" s="2"/>
      <c r="TWP212" s="260"/>
      <c r="TWQ212" s="260"/>
      <c r="TWR212" s="260"/>
      <c r="TWS212" s="260"/>
      <c r="TWT212" s="260"/>
      <c r="TWU212" s="260"/>
      <c r="TWV212" s="308"/>
      <c r="TWW212" s="290"/>
      <c r="TWX212" s="290"/>
      <c r="TWY212" s="260"/>
      <c r="TWZ212" s="260"/>
      <c r="TXA212" s="260"/>
      <c r="TXB212" s="260"/>
      <c r="TXC212" s="260"/>
      <c r="TXD212" s="2"/>
      <c r="TXE212" s="2"/>
      <c r="TXF212" s="2"/>
      <c r="TXG212" s="2"/>
      <c r="TXH212" s="2"/>
      <c r="TXI212" s="2"/>
      <c r="TXJ212" s="260"/>
      <c r="TXK212" s="2"/>
      <c r="TXL212" s="2"/>
      <c r="TXM212" s="2"/>
      <c r="TXN212" s="2"/>
      <c r="TXO212" s="2"/>
      <c r="TXP212" s="2"/>
      <c r="TXQ212" s="2"/>
      <c r="TXR212" s="260"/>
      <c r="TXS212" s="260"/>
      <c r="TXT212" s="260"/>
      <c r="TXU212" s="380"/>
      <c r="TXV212" s="380"/>
      <c r="TXW212" s="380"/>
      <c r="TXX212" s="2"/>
      <c r="TXY212" s="442"/>
      <c r="TXZ212" s="442"/>
      <c r="TYA212" s="443"/>
      <c r="TYB212" s="442"/>
      <c r="TYC212" s="442"/>
      <c r="TYD212" s="2"/>
      <c r="TYE212" s="2"/>
      <c r="TYF212" s="2"/>
      <c r="TYG212" s="2"/>
      <c r="TYH212" s="260"/>
      <c r="TYI212" s="260"/>
      <c r="TYJ212" s="260"/>
      <c r="TYK212" s="260"/>
      <c r="TYL212" s="260"/>
      <c r="TYM212" s="260"/>
      <c r="TYN212" s="308"/>
      <c r="TYO212" s="290"/>
      <c r="TYP212" s="290"/>
      <c r="TYQ212" s="260"/>
      <c r="TYR212" s="260"/>
      <c r="TYS212" s="260"/>
      <c r="TYT212" s="260"/>
      <c r="TYU212" s="260"/>
      <c r="TYV212" s="2"/>
      <c r="TYW212" s="2"/>
      <c r="TYX212" s="2"/>
      <c r="TYY212" s="2"/>
      <c r="TYZ212" s="2"/>
      <c r="TZA212" s="2"/>
      <c r="TZB212" s="260"/>
      <c r="TZC212" s="2"/>
      <c r="TZD212" s="2"/>
      <c r="TZE212" s="2"/>
      <c r="TZF212" s="2"/>
      <c r="TZG212" s="2"/>
      <c r="TZH212" s="2"/>
      <c r="TZI212" s="2"/>
      <c r="TZJ212" s="260"/>
      <c r="TZK212" s="260"/>
      <c r="TZL212" s="260"/>
      <c r="TZM212" s="380"/>
      <c r="TZN212" s="380"/>
      <c r="TZO212" s="380"/>
      <c r="TZP212" s="2"/>
      <c r="TZQ212" s="442"/>
      <c r="TZR212" s="442"/>
      <c r="TZS212" s="443"/>
      <c r="TZT212" s="442"/>
      <c r="TZU212" s="442"/>
      <c r="TZV212" s="2"/>
      <c r="TZW212" s="2"/>
      <c r="TZX212" s="2"/>
      <c r="TZY212" s="2"/>
      <c r="TZZ212" s="260"/>
      <c r="UAA212" s="260"/>
      <c r="UAB212" s="260"/>
      <c r="UAC212" s="260"/>
      <c r="UAD212" s="260"/>
      <c r="UAE212" s="260"/>
      <c r="UAF212" s="308"/>
      <c r="UAG212" s="290"/>
      <c r="UAH212" s="290"/>
      <c r="UAI212" s="260"/>
      <c r="UAJ212" s="260"/>
      <c r="UAK212" s="260"/>
      <c r="UAL212" s="260"/>
      <c r="UAM212" s="260"/>
      <c r="UAN212" s="2"/>
      <c r="UAO212" s="2"/>
      <c r="UAP212" s="2"/>
      <c r="UAQ212" s="2"/>
      <c r="UAR212" s="2"/>
      <c r="UAS212" s="2"/>
      <c r="UAT212" s="260"/>
      <c r="UAU212" s="2"/>
      <c r="UAV212" s="2"/>
      <c r="UAW212" s="2"/>
      <c r="UAX212" s="2"/>
      <c r="UAY212" s="2"/>
      <c r="UAZ212" s="2"/>
      <c r="UBA212" s="2"/>
      <c r="UBB212" s="260"/>
      <c r="UBC212" s="260"/>
      <c r="UBD212" s="260"/>
      <c r="UBE212" s="380"/>
      <c r="UBF212" s="380"/>
      <c r="UBG212" s="380"/>
      <c r="UBH212" s="2"/>
      <c r="UBI212" s="442"/>
      <c r="UBJ212" s="442"/>
      <c r="UBK212" s="443"/>
      <c r="UBL212" s="442"/>
      <c r="UBM212" s="442"/>
      <c r="UBN212" s="2"/>
      <c r="UBO212" s="2"/>
      <c r="UBP212" s="2"/>
      <c r="UBQ212" s="2"/>
      <c r="UBR212" s="260"/>
      <c r="UBS212" s="260"/>
      <c r="UBT212" s="260"/>
      <c r="UBU212" s="260"/>
      <c r="UBV212" s="260"/>
      <c r="UBW212" s="260"/>
      <c r="UBX212" s="308"/>
      <c r="UBY212" s="290"/>
      <c r="UBZ212" s="290"/>
      <c r="UCA212" s="260"/>
      <c r="UCB212" s="260"/>
      <c r="UCC212" s="260"/>
      <c r="UCD212" s="260"/>
      <c r="UCE212" s="260"/>
      <c r="UCF212" s="2"/>
      <c r="UCG212" s="2"/>
      <c r="UCH212" s="2"/>
      <c r="UCI212" s="2"/>
      <c r="UCJ212" s="2"/>
      <c r="UCK212" s="2"/>
      <c r="UCL212" s="260"/>
      <c r="UCM212" s="2"/>
      <c r="UCN212" s="2"/>
      <c r="UCO212" s="2"/>
      <c r="UCP212" s="2"/>
      <c r="UCQ212" s="2"/>
      <c r="UCR212" s="2"/>
      <c r="UCS212" s="2"/>
      <c r="UCT212" s="260"/>
      <c r="UCU212" s="260"/>
      <c r="UCV212" s="260"/>
      <c r="UCW212" s="380"/>
      <c r="UCX212" s="380"/>
      <c r="UCY212" s="380"/>
      <c r="UCZ212" s="2"/>
      <c r="UDA212" s="442"/>
      <c r="UDB212" s="442"/>
      <c r="UDC212" s="443"/>
      <c r="UDD212" s="442"/>
      <c r="UDE212" s="442"/>
      <c r="UDF212" s="2"/>
      <c r="UDG212" s="2"/>
      <c r="UDH212" s="2"/>
      <c r="UDI212" s="2"/>
      <c r="UDJ212" s="260"/>
      <c r="UDK212" s="260"/>
      <c r="UDL212" s="260"/>
      <c r="UDM212" s="260"/>
      <c r="UDN212" s="260"/>
      <c r="UDO212" s="260"/>
      <c r="UDP212" s="308"/>
      <c r="UDQ212" s="290"/>
      <c r="UDR212" s="290"/>
      <c r="UDS212" s="260"/>
      <c r="UDT212" s="260"/>
      <c r="UDU212" s="260"/>
      <c r="UDV212" s="260"/>
      <c r="UDW212" s="260"/>
      <c r="UDX212" s="2"/>
      <c r="UDY212" s="2"/>
      <c r="UDZ212" s="2"/>
      <c r="UEA212" s="2"/>
      <c r="UEB212" s="2"/>
      <c r="UEC212" s="2"/>
      <c r="UED212" s="260"/>
      <c r="UEE212" s="2"/>
      <c r="UEF212" s="2"/>
      <c r="UEG212" s="2"/>
      <c r="UEH212" s="2"/>
      <c r="UEI212" s="2"/>
      <c r="UEJ212" s="2"/>
      <c r="UEK212" s="2"/>
      <c r="UEL212" s="260"/>
      <c r="UEM212" s="260"/>
      <c r="UEN212" s="260"/>
      <c r="UEO212" s="380"/>
      <c r="UEP212" s="380"/>
      <c r="UEQ212" s="380"/>
      <c r="UER212" s="2"/>
      <c r="UES212" s="442"/>
      <c r="UET212" s="442"/>
      <c r="UEU212" s="443"/>
      <c r="UEV212" s="442"/>
      <c r="UEW212" s="442"/>
      <c r="UEX212" s="2"/>
      <c r="UEY212" s="2"/>
      <c r="UEZ212" s="2"/>
      <c r="UFA212" s="2"/>
      <c r="UFB212" s="260"/>
      <c r="UFC212" s="260"/>
      <c r="UFD212" s="260"/>
      <c r="UFE212" s="260"/>
      <c r="UFF212" s="260"/>
      <c r="UFG212" s="260"/>
      <c r="UFH212" s="308"/>
      <c r="UFI212" s="290"/>
      <c r="UFJ212" s="290"/>
      <c r="UFK212" s="260"/>
      <c r="UFL212" s="260"/>
      <c r="UFM212" s="260"/>
      <c r="UFN212" s="260"/>
      <c r="UFO212" s="260"/>
      <c r="UFP212" s="2"/>
      <c r="UFQ212" s="2"/>
      <c r="UFR212" s="2"/>
      <c r="UFS212" s="2"/>
      <c r="UFT212" s="2"/>
      <c r="UFU212" s="2"/>
      <c r="UFV212" s="260"/>
      <c r="UFW212" s="2"/>
      <c r="UFX212" s="2"/>
      <c r="UFY212" s="2"/>
      <c r="UFZ212" s="2"/>
      <c r="UGA212" s="2"/>
      <c r="UGB212" s="2"/>
      <c r="UGC212" s="2"/>
      <c r="UGD212" s="260"/>
      <c r="UGE212" s="260"/>
      <c r="UGF212" s="260"/>
      <c r="UGG212" s="380"/>
      <c r="UGH212" s="380"/>
      <c r="UGI212" s="380"/>
      <c r="UGJ212" s="2"/>
      <c r="UGK212" s="442"/>
      <c r="UGL212" s="442"/>
      <c r="UGM212" s="443"/>
      <c r="UGN212" s="442"/>
      <c r="UGO212" s="442"/>
      <c r="UGP212" s="2"/>
      <c r="UGQ212" s="2"/>
      <c r="UGR212" s="2"/>
      <c r="UGS212" s="2"/>
      <c r="UGT212" s="260"/>
      <c r="UGU212" s="260"/>
      <c r="UGV212" s="260"/>
      <c r="UGW212" s="260"/>
      <c r="UGX212" s="260"/>
      <c r="UGY212" s="260"/>
      <c r="UGZ212" s="308"/>
      <c r="UHA212" s="290"/>
      <c r="UHB212" s="290"/>
      <c r="UHC212" s="260"/>
      <c r="UHD212" s="260"/>
      <c r="UHE212" s="260"/>
      <c r="UHF212" s="260"/>
      <c r="UHG212" s="260"/>
      <c r="UHH212" s="2"/>
      <c r="UHI212" s="2"/>
      <c r="UHJ212" s="2"/>
      <c r="UHK212" s="2"/>
      <c r="UHL212" s="2"/>
      <c r="UHM212" s="2"/>
      <c r="UHN212" s="260"/>
      <c r="UHO212" s="2"/>
      <c r="UHP212" s="2"/>
      <c r="UHQ212" s="2"/>
      <c r="UHR212" s="2"/>
      <c r="UHS212" s="2"/>
      <c r="UHT212" s="2"/>
      <c r="UHU212" s="2"/>
      <c r="UHV212" s="260"/>
      <c r="UHW212" s="260"/>
      <c r="UHX212" s="260"/>
      <c r="UHY212" s="380"/>
      <c r="UHZ212" s="380"/>
      <c r="UIA212" s="380"/>
      <c r="UIB212" s="2"/>
      <c r="UIC212" s="442"/>
      <c r="UID212" s="442"/>
      <c r="UIE212" s="443"/>
      <c r="UIF212" s="442"/>
      <c r="UIG212" s="442"/>
      <c r="UIH212" s="2"/>
      <c r="UII212" s="2"/>
      <c r="UIJ212" s="2"/>
      <c r="UIK212" s="2"/>
      <c r="UIL212" s="260"/>
      <c r="UIM212" s="260"/>
      <c r="UIN212" s="260"/>
      <c r="UIO212" s="260"/>
      <c r="UIP212" s="260"/>
      <c r="UIQ212" s="260"/>
      <c r="UIR212" s="308"/>
      <c r="UIS212" s="290"/>
      <c r="UIT212" s="290"/>
      <c r="UIU212" s="260"/>
      <c r="UIV212" s="260"/>
      <c r="UIW212" s="260"/>
      <c r="UIX212" s="260"/>
      <c r="UIY212" s="260"/>
      <c r="UIZ212" s="2"/>
      <c r="UJA212" s="2"/>
      <c r="UJB212" s="2"/>
      <c r="UJC212" s="2"/>
      <c r="UJD212" s="2"/>
      <c r="UJE212" s="2"/>
      <c r="UJF212" s="260"/>
      <c r="UJG212" s="2"/>
      <c r="UJH212" s="2"/>
      <c r="UJI212" s="2"/>
      <c r="UJJ212" s="2"/>
      <c r="UJK212" s="2"/>
      <c r="UJL212" s="2"/>
      <c r="UJM212" s="2"/>
      <c r="UJN212" s="260"/>
      <c r="UJO212" s="260"/>
      <c r="UJP212" s="260"/>
      <c r="UJQ212" s="380"/>
      <c r="UJR212" s="380"/>
      <c r="UJS212" s="380"/>
      <c r="UJT212" s="2"/>
      <c r="UJU212" s="442"/>
      <c r="UJV212" s="442"/>
      <c r="UJW212" s="443"/>
      <c r="UJX212" s="442"/>
      <c r="UJY212" s="442"/>
      <c r="UJZ212" s="2"/>
      <c r="UKA212" s="2"/>
      <c r="UKB212" s="2"/>
      <c r="UKC212" s="2"/>
      <c r="UKD212" s="260"/>
      <c r="UKE212" s="260"/>
      <c r="UKF212" s="260"/>
      <c r="UKG212" s="260"/>
      <c r="UKH212" s="260"/>
      <c r="UKI212" s="260"/>
      <c r="UKJ212" s="308"/>
      <c r="UKK212" s="290"/>
      <c r="UKL212" s="290"/>
      <c r="UKM212" s="260"/>
      <c r="UKN212" s="260"/>
      <c r="UKO212" s="260"/>
      <c r="UKP212" s="260"/>
      <c r="UKQ212" s="260"/>
      <c r="UKR212" s="2"/>
      <c r="UKS212" s="2"/>
      <c r="UKT212" s="2"/>
      <c r="UKU212" s="2"/>
      <c r="UKV212" s="2"/>
      <c r="UKW212" s="2"/>
      <c r="UKX212" s="260"/>
      <c r="UKY212" s="2"/>
      <c r="UKZ212" s="2"/>
      <c r="ULA212" s="2"/>
      <c r="ULB212" s="2"/>
      <c r="ULC212" s="2"/>
      <c r="ULD212" s="2"/>
      <c r="ULE212" s="2"/>
      <c r="ULF212" s="260"/>
      <c r="ULG212" s="260"/>
      <c r="ULH212" s="260"/>
      <c r="ULI212" s="380"/>
      <c r="ULJ212" s="380"/>
      <c r="ULK212" s="380"/>
      <c r="ULL212" s="2"/>
      <c r="ULM212" s="442"/>
      <c r="ULN212" s="442"/>
      <c r="ULO212" s="443"/>
      <c r="ULP212" s="442"/>
      <c r="ULQ212" s="442"/>
      <c r="ULR212" s="2"/>
      <c r="ULS212" s="2"/>
      <c r="ULT212" s="2"/>
      <c r="ULU212" s="2"/>
      <c r="ULV212" s="260"/>
      <c r="ULW212" s="260"/>
      <c r="ULX212" s="260"/>
      <c r="ULY212" s="260"/>
      <c r="ULZ212" s="260"/>
      <c r="UMA212" s="260"/>
      <c r="UMB212" s="308"/>
      <c r="UMC212" s="290"/>
      <c r="UMD212" s="290"/>
      <c r="UME212" s="260"/>
      <c r="UMF212" s="260"/>
      <c r="UMG212" s="260"/>
      <c r="UMH212" s="260"/>
      <c r="UMI212" s="260"/>
      <c r="UMJ212" s="2"/>
      <c r="UMK212" s="2"/>
      <c r="UML212" s="2"/>
      <c r="UMM212" s="2"/>
      <c r="UMN212" s="2"/>
      <c r="UMO212" s="2"/>
      <c r="UMP212" s="260"/>
      <c r="UMQ212" s="2"/>
      <c r="UMR212" s="2"/>
      <c r="UMS212" s="2"/>
      <c r="UMT212" s="2"/>
      <c r="UMU212" s="2"/>
      <c r="UMV212" s="2"/>
      <c r="UMW212" s="2"/>
      <c r="UMX212" s="260"/>
      <c r="UMY212" s="260"/>
      <c r="UMZ212" s="260"/>
      <c r="UNA212" s="380"/>
      <c r="UNB212" s="380"/>
      <c r="UNC212" s="380"/>
      <c r="UND212" s="2"/>
      <c r="UNE212" s="442"/>
      <c r="UNF212" s="442"/>
      <c r="UNG212" s="443"/>
      <c r="UNH212" s="442"/>
      <c r="UNI212" s="442"/>
      <c r="UNJ212" s="2"/>
      <c r="UNK212" s="2"/>
      <c r="UNL212" s="2"/>
      <c r="UNM212" s="2"/>
      <c r="UNN212" s="260"/>
      <c r="UNO212" s="260"/>
      <c r="UNP212" s="260"/>
      <c r="UNQ212" s="260"/>
      <c r="UNR212" s="260"/>
      <c r="UNS212" s="260"/>
      <c r="UNT212" s="308"/>
      <c r="UNU212" s="290"/>
      <c r="UNV212" s="290"/>
      <c r="UNW212" s="260"/>
      <c r="UNX212" s="260"/>
      <c r="UNY212" s="260"/>
      <c r="UNZ212" s="260"/>
      <c r="UOA212" s="260"/>
      <c r="UOB212" s="2"/>
      <c r="UOC212" s="2"/>
      <c r="UOD212" s="2"/>
      <c r="UOE212" s="2"/>
      <c r="UOF212" s="2"/>
      <c r="UOG212" s="2"/>
      <c r="UOH212" s="260"/>
      <c r="UOI212" s="2"/>
      <c r="UOJ212" s="2"/>
      <c r="UOK212" s="2"/>
      <c r="UOL212" s="2"/>
      <c r="UOM212" s="2"/>
      <c r="UON212" s="2"/>
      <c r="UOO212" s="2"/>
      <c r="UOP212" s="260"/>
      <c r="UOQ212" s="260"/>
      <c r="UOR212" s="260"/>
      <c r="UOS212" s="380"/>
      <c r="UOT212" s="380"/>
      <c r="UOU212" s="380"/>
      <c r="UOV212" s="2"/>
      <c r="UOW212" s="442"/>
      <c r="UOX212" s="442"/>
      <c r="UOY212" s="443"/>
      <c r="UOZ212" s="442"/>
      <c r="UPA212" s="442"/>
      <c r="UPB212" s="2"/>
      <c r="UPC212" s="2"/>
      <c r="UPD212" s="2"/>
      <c r="UPE212" s="2"/>
      <c r="UPF212" s="260"/>
      <c r="UPG212" s="260"/>
      <c r="UPH212" s="260"/>
      <c r="UPI212" s="260"/>
      <c r="UPJ212" s="260"/>
      <c r="UPK212" s="260"/>
      <c r="UPL212" s="308"/>
      <c r="UPM212" s="290"/>
      <c r="UPN212" s="290"/>
      <c r="UPO212" s="260"/>
      <c r="UPP212" s="260"/>
      <c r="UPQ212" s="260"/>
      <c r="UPR212" s="260"/>
      <c r="UPS212" s="260"/>
      <c r="UPT212" s="2"/>
      <c r="UPU212" s="2"/>
      <c r="UPV212" s="2"/>
      <c r="UPW212" s="2"/>
      <c r="UPX212" s="2"/>
      <c r="UPY212" s="2"/>
      <c r="UPZ212" s="260"/>
      <c r="UQA212" s="2"/>
      <c r="UQB212" s="2"/>
      <c r="UQC212" s="2"/>
      <c r="UQD212" s="2"/>
      <c r="UQE212" s="2"/>
      <c r="UQF212" s="2"/>
      <c r="UQG212" s="2"/>
      <c r="UQH212" s="260"/>
      <c r="UQI212" s="260"/>
      <c r="UQJ212" s="260"/>
      <c r="UQK212" s="380"/>
      <c r="UQL212" s="380"/>
      <c r="UQM212" s="380"/>
      <c r="UQN212" s="2"/>
      <c r="UQO212" s="442"/>
      <c r="UQP212" s="442"/>
      <c r="UQQ212" s="443"/>
      <c r="UQR212" s="442"/>
      <c r="UQS212" s="442"/>
      <c r="UQT212" s="2"/>
      <c r="UQU212" s="2"/>
      <c r="UQV212" s="2"/>
      <c r="UQW212" s="2"/>
      <c r="UQX212" s="260"/>
      <c r="UQY212" s="260"/>
      <c r="UQZ212" s="260"/>
      <c r="URA212" s="260"/>
      <c r="URB212" s="260"/>
      <c r="URC212" s="260"/>
      <c r="URD212" s="308"/>
      <c r="URE212" s="290"/>
      <c r="URF212" s="290"/>
      <c r="URG212" s="260"/>
      <c r="URH212" s="260"/>
      <c r="URI212" s="260"/>
      <c r="URJ212" s="260"/>
      <c r="URK212" s="260"/>
      <c r="URL212" s="2"/>
      <c r="URM212" s="2"/>
      <c r="URN212" s="2"/>
      <c r="URO212" s="2"/>
      <c r="URP212" s="2"/>
      <c r="URQ212" s="2"/>
      <c r="URR212" s="260"/>
      <c r="URS212" s="2"/>
      <c r="URT212" s="2"/>
      <c r="URU212" s="2"/>
      <c r="URV212" s="2"/>
      <c r="URW212" s="2"/>
      <c r="URX212" s="2"/>
      <c r="URY212" s="2"/>
      <c r="URZ212" s="260"/>
      <c r="USA212" s="260"/>
      <c r="USB212" s="260"/>
      <c r="USC212" s="380"/>
      <c r="USD212" s="380"/>
      <c r="USE212" s="380"/>
      <c r="USF212" s="2"/>
      <c r="USG212" s="442"/>
      <c r="USH212" s="442"/>
      <c r="USI212" s="443"/>
      <c r="USJ212" s="442"/>
      <c r="USK212" s="442"/>
      <c r="USL212" s="2"/>
      <c r="USM212" s="2"/>
      <c r="USN212" s="2"/>
      <c r="USO212" s="2"/>
      <c r="USP212" s="260"/>
      <c r="USQ212" s="260"/>
      <c r="USR212" s="260"/>
      <c r="USS212" s="260"/>
      <c r="UST212" s="260"/>
      <c r="USU212" s="260"/>
      <c r="USV212" s="308"/>
      <c r="USW212" s="290"/>
      <c r="USX212" s="290"/>
      <c r="USY212" s="260"/>
      <c r="USZ212" s="260"/>
      <c r="UTA212" s="260"/>
      <c r="UTB212" s="260"/>
      <c r="UTC212" s="260"/>
      <c r="UTD212" s="2"/>
      <c r="UTE212" s="2"/>
      <c r="UTF212" s="2"/>
      <c r="UTG212" s="2"/>
      <c r="UTH212" s="2"/>
      <c r="UTI212" s="2"/>
      <c r="UTJ212" s="260"/>
      <c r="UTK212" s="2"/>
      <c r="UTL212" s="2"/>
      <c r="UTM212" s="2"/>
      <c r="UTN212" s="2"/>
      <c r="UTO212" s="2"/>
      <c r="UTP212" s="2"/>
      <c r="UTQ212" s="2"/>
      <c r="UTR212" s="260"/>
      <c r="UTS212" s="260"/>
      <c r="UTT212" s="260"/>
      <c r="UTU212" s="380"/>
      <c r="UTV212" s="380"/>
      <c r="UTW212" s="380"/>
      <c r="UTX212" s="2"/>
      <c r="UTY212" s="442"/>
      <c r="UTZ212" s="442"/>
      <c r="UUA212" s="443"/>
      <c r="UUB212" s="442"/>
      <c r="UUC212" s="442"/>
      <c r="UUD212" s="2"/>
      <c r="UUE212" s="2"/>
      <c r="UUF212" s="2"/>
      <c r="UUG212" s="2"/>
      <c r="UUH212" s="260"/>
      <c r="UUI212" s="260"/>
      <c r="UUJ212" s="260"/>
      <c r="UUK212" s="260"/>
      <c r="UUL212" s="260"/>
      <c r="UUM212" s="260"/>
      <c r="UUN212" s="308"/>
      <c r="UUO212" s="290"/>
      <c r="UUP212" s="290"/>
      <c r="UUQ212" s="260"/>
      <c r="UUR212" s="260"/>
      <c r="UUS212" s="260"/>
      <c r="UUT212" s="260"/>
      <c r="UUU212" s="260"/>
      <c r="UUV212" s="2"/>
      <c r="UUW212" s="2"/>
      <c r="UUX212" s="2"/>
      <c r="UUY212" s="2"/>
      <c r="UUZ212" s="2"/>
      <c r="UVA212" s="2"/>
      <c r="UVB212" s="260"/>
      <c r="UVC212" s="2"/>
      <c r="UVD212" s="2"/>
      <c r="UVE212" s="2"/>
      <c r="UVF212" s="2"/>
      <c r="UVG212" s="2"/>
      <c r="UVH212" s="2"/>
      <c r="UVI212" s="2"/>
      <c r="UVJ212" s="260"/>
      <c r="UVK212" s="260"/>
      <c r="UVL212" s="260"/>
      <c r="UVM212" s="380"/>
      <c r="UVN212" s="380"/>
      <c r="UVO212" s="380"/>
      <c r="UVP212" s="2"/>
      <c r="UVQ212" s="442"/>
      <c r="UVR212" s="442"/>
      <c r="UVS212" s="443"/>
      <c r="UVT212" s="442"/>
      <c r="UVU212" s="442"/>
      <c r="UVV212" s="2"/>
      <c r="UVW212" s="2"/>
      <c r="UVX212" s="2"/>
      <c r="UVY212" s="2"/>
      <c r="UVZ212" s="260"/>
      <c r="UWA212" s="260"/>
      <c r="UWB212" s="260"/>
      <c r="UWC212" s="260"/>
      <c r="UWD212" s="260"/>
      <c r="UWE212" s="260"/>
      <c r="UWF212" s="308"/>
      <c r="UWG212" s="290"/>
      <c r="UWH212" s="290"/>
      <c r="UWI212" s="260"/>
      <c r="UWJ212" s="260"/>
      <c r="UWK212" s="260"/>
      <c r="UWL212" s="260"/>
      <c r="UWM212" s="260"/>
      <c r="UWN212" s="2"/>
      <c r="UWO212" s="2"/>
      <c r="UWP212" s="2"/>
      <c r="UWQ212" s="2"/>
      <c r="UWR212" s="2"/>
      <c r="UWS212" s="2"/>
      <c r="UWT212" s="260"/>
      <c r="UWU212" s="2"/>
      <c r="UWV212" s="2"/>
      <c r="UWW212" s="2"/>
      <c r="UWX212" s="2"/>
      <c r="UWY212" s="2"/>
      <c r="UWZ212" s="2"/>
      <c r="UXA212" s="2"/>
      <c r="UXB212" s="260"/>
      <c r="UXC212" s="260"/>
      <c r="UXD212" s="260"/>
      <c r="UXE212" s="380"/>
      <c r="UXF212" s="380"/>
      <c r="UXG212" s="380"/>
      <c r="UXH212" s="2"/>
      <c r="UXI212" s="442"/>
      <c r="UXJ212" s="442"/>
      <c r="UXK212" s="443"/>
      <c r="UXL212" s="442"/>
      <c r="UXM212" s="442"/>
      <c r="UXN212" s="2"/>
      <c r="UXO212" s="2"/>
      <c r="UXP212" s="2"/>
      <c r="UXQ212" s="2"/>
      <c r="UXR212" s="260"/>
      <c r="UXS212" s="260"/>
      <c r="UXT212" s="260"/>
      <c r="UXU212" s="260"/>
      <c r="UXV212" s="260"/>
      <c r="UXW212" s="260"/>
      <c r="UXX212" s="308"/>
      <c r="UXY212" s="290"/>
      <c r="UXZ212" s="290"/>
      <c r="UYA212" s="260"/>
      <c r="UYB212" s="260"/>
      <c r="UYC212" s="260"/>
      <c r="UYD212" s="260"/>
      <c r="UYE212" s="260"/>
      <c r="UYF212" s="2"/>
      <c r="UYG212" s="2"/>
      <c r="UYH212" s="2"/>
      <c r="UYI212" s="2"/>
      <c r="UYJ212" s="2"/>
      <c r="UYK212" s="2"/>
      <c r="UYL212" s="260"/>
      <c r="UYM212" s="2"/>
      <c r="UYN212" s="2"/>
      <c r="UYO212" s="2"/>
      <c r="UYP212" s="2"/>
      <c r="UYQ212" s="2"/>
      <c r="UYR212" s="2"/>
      <c r="UYS212" s="2"/>
      <c r="UYT212" s="260"/>
      <c r="UYU212" s="260"/>
      <c r="UYV212" s="260"/>
      <c r="UYW212" s="380"/>
      <c r="UYX212" s="380"/>
      <c r="UYY212" s="380"/>
      <c r="UYZ212" s="2"/>
      <c r="UZA212" s="442"/>
      <c r="UZB212" s="442"/>
      <c r="UZC212" s="443"/>
      <c r="UZD212" s="442"/>
      <c r="UZE212" s="442"/>
      <c r="UZF212" s="2"/>
      <c r="UZG212" s="2"/>
      <c r="UZH212" s="2"/>
      <c r="UZI212" s="2"/>
      <c r="UZJ212" s="260"/>
      <c r="UZK212" s="260"/>
      <c r="UZL212" s="260"/>
      <c r="UZM212" s="260"/>
      <c r="UZN212" s="260"/>
      <c r="UZO212" s="260"/>
      <c r="UZP212" s="308"/>
      <c r="UZQ212" s="290"/>
      <c r="UZR212" s="290"/>
      <c r="UZS212" s="260"/>
      <c r="UZT212" s="260"/>
      <c r="UZU212" s="260"/>
      <c r="UZV212" s="260"/>
      <c r="UZW212" s="260"/>
      <c r="UZX212" s="2"/>
      <c r="UZY212" s="2"/>
      <c r="UZZ212" s="2"/>
      <c r="VAA212" s="2"/>
      <c r="VAB212" s="2"/>
      <c r="VAC212" s="2"/>
      <c r="VAD212" s="260"/>
      <c r="VAE212" s="2"/>
      <c r="VAF212" s="2"/>
      <c r="VAG212" s="2"/>
      <c r="VAH212" s="2"/>
      <c r="VAI212" s="2"/>
      <c r="VAJ212" s="2"/>
      <c r="VAK212" s="2"/>
      <c r="VAL212" s="260"/>
      <c r="VAM212" s="260"/>
      <c r="VAN212" s="260"/>
      <c r="VAO212" s="380"/>
      <c r="VAP212" s="380"/>
      <c r="VAQ212" s="380"/>
      <c r="VAR212" s="2"/>
      <c r="VAS212" s="442"/>
      <c r="VAT212" s="442"/>
      <c r="VAU212" s="443"/>
      <c r="VAV212" s="442"/>
      <c r="VAW212" s="442"/>
      <c r="VAX212" s="2"/>
      <c r="VAY212" s="2"/>
      <c r="VAZ212" s="2"/>
      <c r="VBA212" s="2"/>
      <c r="VBB212" s="260"/>
      <c r="VBC212" s="260"/>
      <c r="VBD212" s="260"/>
      <c r="VBE212" s="260"/>
      <c r="VBF212" s="260"/>
      <c r="VBG212" s="260"/>
      <c r="VBH212" s="308"/>
      <c r="VBI212" s="290"/>
      <c r="VBJ212" s="290"/>
      <c r="VBK212" s="260"/>
      <c r="VBL212" s="260"/>
      <c r="VBM212" s="260"/>
      <c r="VBN212" s="260"/>
      <c r="VBO212" s="260"/>
      <c r="VBP212" s="2"/>
      <c r="VBQ212" s="2"/>
      <c r="VBR212" s="2"/>
      <c r="VBS212" s="2"/>
      <c r="VBT212" s="2"/>
      <c r="VBU212" s="2"/>
      <c r="VBV212" s="260"/>
      <c r="VBW212" s="2"/>
      <c r="VBX212" s="2"/>
      <c r="VBY212" s="2"/>
      <c r="VBZ212" s="2"/>
      <c r="VCA212" s="2"/>
      <c r="VCB212" s="2"/>
      <c r="VCC212" s="2"/>
      <c r="VCD212" s="260"/>
      <c r="VCE212" s="260"/>
      <c r="VCF212" s="260"/>
      <c r="VCG212" s="380"/>
      <c r="VCH212" s="380"/>
      <c r="VCI212" s="380"/>
      <c r="VCJ212" s="2"/>
      <c r="VCK212" s="442"/>
      <c r="VCL212" s="442"/>
      <c r="VCM212" s="443"/>
      <c r="VCN212" s="442"/>
      <c r="VCO212" s="442"/>
      <c r="VCP212" s="2"/>
      <c r="VCQ212" s="2"/>
      <c r="VCR212" s="2"/>
      <c r="VCS212" s="2"/>
      <c r="VCT212" s="260"/>
      <c r="VCU212" s="260"/>
      <c r="VCV212" s="260"/>
      <c r="VCW212" s="260"/>
      <c r="VCX212" s="260"/>
      <c r="VCY212" s="260"/>
      <c r="VCZ212" s="308"/>
      <c r="VDA212" s="290"/>
      <c r="VDB212" s="290"/>
      <c r="VDC212" s="260"/>
      <c r="VDD212" s="260"/>
      <c r="VDE212" s="260"/>
      <c r="VDF212" s="260"/>
      <c r="VDG212" s="260"/>
      <c r="VDH212" s="2"/>
      <c r="VDI212" s="2"/>
      <c r="VDJ212" s="2"/>
      <c r="VDK212" s="2"/>
      <c r="VDL212" s="2"/>
      <c r="VDM212" s="2"/>
      <c r="VDN212" s="260"/>
      <c r="VDO212" s="2"/>
      <c r="VDP212" s="2"/>
      <c r="VDQ212" s="2"/>
      <c r="VDR212" s="2"/>
      <c r="VDS212" s="2"/>
      <c r="VDT212" s="2"/>
      <c r="VDU212" s="2"/>
      <c r="VDV212" s="260"/>
      <c r="VDW212" s="260"/>
      <c r="VDX212" s="260"/>
      <c r="VDY212" s="380"/>
      <c r="VDZ212" s="380"/>
      <c r="VEA212" s="380"/>
      <c r="VEB212" s="2"/>
      <c r="VEC212" s="442"/>
      <c r="VED212" s="442"/>
      <c r="VEE212" s="443"/>
      <c r="VEF212" s="442"/>
      <c r="VEG212" s="442"/>
      <c r="VEH212" s="2"/>
      <c r="VEI212" s="2"/>
      <c r="VEJ212" s="2"/>
      <c r="VEK212" s="2"/>
      <c r="VEL212" s="260"/>
      <c r="VEM212" s="260"/>
      <c r="VEN212" s="260"/>
      <c r="VEO212" s="260"/>
      <c r="VEP212" s="260"/>
      <c r="VEQ212" s="260"/>
      <c r="VER212" s="308"/>
      <c r="VES212" s="290"/>
      <c r="VET212" s="290"/>
      <c r="VEU212" s="260"/>
      <c r="VEV212" s="260"/>
      <c r="VEW212" s="260"/>
      <c r="VEX212" s="260"/>
      <c r="VEY212" s="260"/>
      <c r="VEZ212" s="2"/>
      <c r="VFA212" s="2"/>
      <c r="VFB212" s="2"/>
      <c r="VFC212" s="2"/>
      <c r="VFD212" s="2"/>
      <c r="VFE212" s="2"/>
      <c r="VFF212" s="260"/>
      <c r="VFG212" s="2"/>
      <c r="VFH212" s="2"/>
      <c r="VFI212" s="2"/>
      <c r="VFJ212" s="2"/>
      <c r="VFK212" s="2"/>
      <c r="VFL212" s="2"/>
      <c r="VFM212" s="2"/>
      <c r="VFN212" s="260"/>
      <c r="VFO212" s="260"/>
      <c r="VFP212" s="260"/>
      <c r="VFQ212" s="380"/>
      <c r="VFR212" s="380"/>
      <c r="VFS212" s="380"/>
      <c r="VFT212" s="2"/>
      <c r="VFU212" s="442"/>
      <c r="VFV212" s="442"/>
      <c r="VFW212" s="443"/>
      <c r="VFX212" s="442"/>
      <c r="VFY212" s="442"/>
      <c r="VFZ212" s="2"/>
      <c r="VGA212" s="2"/>
      <c r="VGB212" s="2"/>
      <c r="VGC212" s="2"/>
      <c r="VGD212" s="260"/>
      <c r="VGE212" s="260"/>
      <c r="VGF212" s="260"/>
      <c r="VGG212" s="260"/>
      <c r="VGH212" s="260"/>
      <c r="VGI212" s="260"/>
      <c r="VGJ212" s="308"/>
      <c r="VGK212" s="290"/>
      <c r="VGL212" s="290"/>
      <c r="VGM212" s="260"/>
      <c r="VGN212" s="260"/>
      <c r="VGO212" s="260"/>
      <c r="VGP212" s="260"/>
      <c r="VGQ212" s="260"/>
      <c r="VGR212" s="2"/>
      <c r="VGS212" s="2"/>
      <c r="VGT212" s="2"/>
      <c r="VGU212" s="2"/>
      <c r="VGV212" s="2"/>
      <c r="VGW212" s="2"/>
      <c r="VGX212" s="260"/>
      <c r="VGY212" s="2"/>
      <c r="VGZ212" s="2"/>
      <c r="VHA212" s="2"/>
      <c r="VHB212" s="2"/>
      <c r="VHC212" s="2"/>
      <c r="VHD212" s="2"/>
      <c r="VHE212" s="2"/>
      <c r="VHF212" s="260"/>
      <c r="VHG212" s="260"/>
      <c r="VHH212" s="260"/>
      <c r="VHI212" s="380"/>
      <c r="VHJ212" s="380"/>
      <c r="VHK212" s="380"/>
      <c r="VHL212" s="2"/>
      <c r="VHM212" s="442"/>
      <c r="VHN212" s="442"/>
      <c r="VHO212" s="443"/>
      <c r="VHP212" s="442"/>
      <c r="VHQ212" s="442"/>
      <c r="VHR212" s="2"/>
      <c r="VHS212" s="2"/>
      <c r="VHT212" s="2"/>
      <c r="VHU212" s="2"/>
      <c r="VHV212" s="260"/>
      <c r="VHW212" s="260"/>
      <c r="VHX212" s="260"/>
      <c r="VHY212" s="260"/>
      <c r="VHZ212" s="260"/>
      <c r="VIA212" s="260"/>
      <c r="VIB212" s="308"/>
      <c r="VIC212" s="290"/>
      <c r="VID212" s="290"/>
      <c r="VIE212" s="260"/>
      <c r="VIF212" s="260"/>
      <c r="VIG212" s="260"/>
      <c r="VIH212" s="260"/>
      <c r="VII212" s="260"/>
      <c r="VIJ212" s="2"/>
      <c r="VIK212" s="2"/>
      <c r="VIL212" s="2"/>
      <c r="VIM212" s="2"/>
      <c r="VIN212" s="2"/>
      <c r="VIO212" s="2"/>
      <c r="VIP212" s="260"/>
      <c r="VIQ212" s="2"/>
      <c r="VIR212" s="2"/>
      <c r="VIS212" s="2"/>
      <c r="VIT212" s="2"/>
      <c r="VIU212" s="2"/>
      <c r="VIV212" s="2"/>
      <c r="VIW212" s="2"/>
      <c r="VIX212" s="260"/>
      <c r="VIY212" s="260"/>
      <c r="VIZ212" s="260"/>
      <c r="VJA212" s="380"/>
      <c r="VJB212" s="380"/>
      <c r="VJC212" s="380"/>
      <c r="VJD212" s="2"/>
      <c r="VJE212" s="442"/>
      <c r="VJF212" s="442"/>
      <c r="VJG212" s="443"/>
      <c r="VJH212" s="442"/>
      <c r="VJI212" s="442"/>
      <c r="VJJ212" s="2"/>
      <c r="VJK212" s="2"/>
      <c r="VJL212" s="2"/>
      <c r="VJM212" s="2"/>
      <c r="VJN212" s="260"/>
      <c r="VJO212" s="260"/>
      <c r="VJP212" s="260"/>
      <c r="VJQ212" s="260"/>
      <c r="VJR212" s="260"/>
      <c r="VJS212" s="260"/>
      <c r="VJT212" s="308"/>
      <c r="VJU212" s="290"/>
      <c r="VJV212" s="290"/>
      <c r="VJW212" s="260"/>
      <c r="VJX212" s="260"/>
      <c r="VJY212" s="260"/>
      <c r="VJZ212" s="260"/>
      <c r="VKA212" s="260"/>
      <c r="VKB212" s="2"/>
      <c r="VKC212" s="2"/>
      <c r="VKD212" s="2"/>
      <c r="VKE212" s="2"/>
      <c r="VKF212" s="2"/>
      <c r="VKG212" s="2"/>
      <c r="VKH212" s="260"/>
      <c r="VKI212" s="2"/>
      <c r="VKJ212" s="2"/>
      <c r="VKK212" s="2"/>
      <c r="VKL212" s="2"/>
      <c r="VKM212" s="2"/>
      <c r="VKN212" s="2"/>
      <c r="VKO212" s="2"/>
      <c r="VKP212" s="260"/>
      <c r="VKQ212" s="260"/>
      <c r="VKR212" s="260"/>
      <c r="VKS212" s="380"/>
      <c r="VKT212" s="380"/>
      <c r="VKU212" s="380"/>
      <c r="VKV212" s="2"/>
      <c r="VKW212" s="442"/>
      <c r="VKX212" s="442"/>
      <c r="VKY212" s="443"/>
      <c r="VKZ212" s="442"/>
      <c r="VLA212" s="442"/>
      <c r="VLB212" s="2"/>
      <c r="VLC212" s="2"/>
      <c r="VLD212" s="2"/>
      <c r="VLE212" s="2"/>
      <c r="VLF212" s="260"/>
      <c r="VLG212" s="260"/>
      <c r="VLH212" s="260"/>
      <c r="VLI212" s="260"/>
      <c r="VLJ212" s="260"/>
      <c r="VLK212" s="260"/>
      <c r="VLL212" s="308"/>
      <c r="VLM212" s="290"/>
      <c r="VLN212" s="290"/>
      <c r="VLO212" s="260"/>
      <c r="VLP212" s="260"/>
      <c r="VLQ212" s="260"/>
      <c r="VLR212" s="260"/>
      <c r="VLS212" s="260"/>
      <c r="VLT212" s="2"/>
      <c r="VLU212" s="2"/>
      <c r="VLV212" s="2"/>
      <c r="VLW212" s="2"/>
      <c r="VLX212" s="2"/>
      <c r="VLY212" s="2"/>
      <c r="VLZ212" s="260"/>
      <c r="VMA212" s="2"/>
      <c r="VMB212" s="2"/>
      <c r="VMC212" s="2"/>
      <c r="VMD212" s="2"/>
      <c r="VME212" s="2"/>
      <c r="VMF212" s="2"/>
      <c r="VMG212" s="2"/>
      <c r="VMH212" s="260"/>
      <c r="VMI212" s="260"/>
      <c r="VMJ212" s="260"/>
      <c r="VMK212" s="380"/>
      <c r="VML212" s="380"/>
      <c r="VMM212" s="380"/>
      <c r="VMN212" s="2"/>
      <c r="VMO212" s="442"/>
      <c r="VMP212" s="442"/>
      <c r="VMQ212" s="443"/>
      <c r="VMR212" s="442"/>
      <c r="VMS212" s="442"/>
      <c r="VMT212" s="2"/>
      <c r="VMU212" s="2"/>
      <c r="VMV212" s="2"/>
      <c r="VMW212" s="2"/>
      <c r="VMX212" s="260"/>
      <c r="VMY212" s="260"/>
      <c r="VMZ212" s="260"/>
      <c r="VNA212" s="260"/>
      <c r="VNB212" s="260"/>
      <c r="VNC212" s="260"/>
      <c r="VND212" s="308"/>
      <c r="VNE212" s="290"/>
      <c r="VNF212" s="290"/>
      <c r="VNG212" s="260"/>
      <c r="VNH212" s="260"/>
      <c r="VNI212" s="260"/>
      <c r="VNJ212" s="260"/>
      <c r="VNK212" s="260"/>
      <c r="VNL212" s="2"/>
      <c r="VNM212" s="2"/>
      <c r="VNN212" s="2"/>
      <c r="VNO212" s="2"/>
      <c r="VNP212" s="2"/>
      <c r="VNQ212" s="2"/>
      <c r="VNR212" s="260"/>
      <c r="VNS212" s="2"/>
      <c r="VNT212" s="2"/>
      <c r="VNU212" s="2"/>
      <c r="VNV212" s="2"/>
      <c r="VNW212" s="2"/>
      <c r="VNX212" s="2"/>
      <c r="VNY212" s="2"/>
      <c r="VNZ212" s="260"/>
      <c r="VOA212" s="260"/>
      <c r="VOB212" s="260"/>
      <c r="VOC212" s="380"/>
      <c r="VOD212" s="380"/>
      <c r="VOE212" s="380"/>
      <c r="VOF212" s="2"/>
      <c r="VOG212" s="442"/>
      <c r="VOH212" s="442"/>
      <c r="VOI212" s="443"/>
      <c r="VOJ212" s="442"/>
      <c r="VOK212" s="442"/>
      <c r="VOL212" s="2"/>
      <c r="VOM212" s="2"/>
      <c r="VON212" s="2"/>
      <c r="VOO212" s="2"/>
      <c r="VOP212" s="260"/>
      <c r="VOQ212" s="260"/>
      <c r="VOR212" s="260"/>
      <c r="VOS212" s="260"/>
      <c r="VOT212" s="260"/>
      <c r="VOU212" s="260"/>
      <c r="VOV212" s="308"/>
      <c r="VOW212" s="290"/>
      <c r="VOX212" s="290"/>
      <c r="VOY212" s="260"/>
      <c r="VOZ212" s="260"/>
      <c r="VPA212" s="260"/>
      <c r="VPB212" s="260"/>
      <c r="VPC212" s="260"/>
      <c r="VPD212" s="2"/>
      <c r="VPE212" s="2"/>
      <c r="VPF212" s="2"/>
      <c r="VPG212" s="2"/>
      <c r="VPH212" s="2"/>
      <c r="VPI212" s="2"/>
      <c r="VPJ212" s="260"/>
      <c r="VPK212" s="2"/>
      <c r="VPL212" s="2"/>
      <c r="VPM212" s="2"/>
      <c r="VPN212" s="2"/>
      <c r="VPO212" s="2"/>
      <c r="VPP212" s="2"/>
      <c r="VPQ212" s="2"/>
      <c r="VPR212" s="260"/>
      <c r="VPS212" s="260"/>
      <c r="VPT212" s="260"/>
      <c r="VPU212" s="380"/>
      <c r="VPV212" s="380"/>
      <c r="VPW212" s="380"/>
      <c r="VPX212" s="2"/>
      <c r="VPY212" s="442"/>
      <c r="VPZ212" s="442"/>
      <c r="VQA212" s="443"/>
      <c r="VQB212" s="442"/>
      <c r="VQC212" s="442"/>
      <c r="VQD212" s="2"/>
      <c r="VQE212" s="2"/>
      <c r="VQF212" s="2"/>
      <c r="VQG212" s="2"/>
      <c r="VQH212" s="260"/>
      <c r="VQI212" s="260"/>
      <c r="VQJ212" s="260"/>
      <c r="VQK212" s="260"/>
      <c r="VQL212" s="260"/>
      <c r="VQM212" s="260"/>
      <c r="VQN212" s="308"/>
      <c r="VQO212" s="290"/>
      <c r="VQP212" s="290"/>
      <c r="VQQ212" s="260"/>
      <c r="VQR212" s="260"/>
      <c r="VQS212" s="260"/>
      <c r="VQT212" s="260"/>
      <c r="VQU212" s="260"/>
      <c r="VQV212" s="2"/>
      <c r="VQW212" s="2"/>
      <c r="VQX212" s="2"/>
      <c r="VQY212" s="2"/>
      <c r="VQZ212" s="2"/>
      <c r="VRA212" s="2"/>
      <c r="VRB212" s="260"/>
      <c r="VRC212" s="2"/>
      <c r="VRD212" s="2"/>
      <c r="VRE212" s="2"/>
      <c r="VRF212" s="2"/>
      <c r="VRG212" s="2"/>
      <c r="VRH212" s="2"/>
      <c r="VRI212" s="2"/>
      <c r="VRJ212" s="260"/>
      <c r="VRK212" s="260"/>
      <c r="VRL212" s="260"/>
      <c r="VRM212" s="380"/>
      <c r="VRN212" s="380"/>
      <c r="VRO212" s="380"/>
      <c r="VRP212" s="2"/>
      <c r="VRQ212" s="442"/>
      <c r="VRR212" s="442"/>
      <c r="VRS212" s="443"/>
      <c r="VRT212" s="442"/>
      <c r="VRU212" s="442"/>
      <c r="VRV212" s="2"/>
      <c r="VRW212" s="2"/>
      <c r="VRX212" s="2"/>
      <c r="VRY212" s="2"/>
      <c r="VRZ212" s="260"/>
      <c r="VSA212" s="260"/>
      <c r="VSB212" s="260"/>
      <c r="VSC212" s="260"/>
      <c r="VSD212" s="260"/>
      <c r="VSE212" s="260"/>
      <c r="VSF212" s="308"/>
      <c r="VSG212" s="290"/>
      <c r="VSH212" s="290"/>
      <c r="VSI212" s="260"/>
      <c r="VSJ212" s="260"/>
      <c r="VSK212" s="260"/>
      <c r="VSL212" s="260"/>
      <c r="VSM212" s="260"/>
      <c r="VSN212" s="2"/>
      <c r="VSO212" s="2"/>
      <c r="VSP212" s="2"/>
      <c r="VSQ212" s="2"/>
      <c r="VSR212" s="2"/>
      <c r="VSS212" s="2"/>
      <c r="VST212" s="260"/>
      <c r="VSU212" s="2"/>
      <c r="VSV212" s="2"/>
      <c r="VSW212" s="2"/>
      <c r="VSX212" s="2"/>
      <c r="VSY212" s="2"/>
      <c r="VSZ212" s="2"/>
      <c r="VTA212" s="2"/>
      <c r="VTB212" s="260"/>
      <c r="VTC212" s="260"/>
      <c r="VTD212" s="260"/>
      <c r="VTE212" s="380"/>
      <c r="VTF212" s="380"/>
      <c r="VTG212" s="380"/>
      <c r="VTH212" s="2"/>
      <c r="VTI212" s="442"/>
      <c r="VTJ212" s="442"/>
      <c r="VTK212" s="443"/>
      <c r="VTL212" s="442"/>
      <c r="VTM212" s="442"/>
      <c r="VTN212" s="2"/>
      <c r="VTO212" s="2"/>
      <c r="VTP212" s="2"/>
      <c r="VTQ212" s="2"/>
      <c r="VTR212" s="260"/>
      <c r="VTS212" s="260"/>
      <c r="VTT212" s="260"/>
      <c r="VTU212" s="260"/>
      <c r="VTV212" s="260"/>
      <c r="VTW212" s="260"/>
      <c r="VTX212" s="308"/>
      <c r="VTY212" s="290"/>
      <c r="VTZ212" s="290"/>
      <c r="VUA212" s="260"/>
      <c r="VUB212" s="260"/>
      <c r="VUC212" s="260"/>
      <c r="VUD212" s="260"/>
      <c r="VUE212" s="260"/>
      <c r="VUF212" s="2"/>
      <c r="VUG212" s="2"/>
      <c r="VUH212" s="2"/>
      <c r="VUI212" s="2"/>
      <c r="VUJ212" s="2"/>
      <c r="VUK212" s="2"/>
      <c r="VUL212" s="260"/>
      <c r="VUM212" s="2"/>
      <c r="VUN212" s="2"/>
      <c r="VUO212" s="2"/>
      <c r="VUP212" s="2"/>
      <c r="VUQ212" s="2"/>
      <c r="VUR212" s="2"/>
      <c r="VUS212" s="2"/>
      <c r="VUT212" s="260"/>
      <c r="VUU212" s="260"/>
      <c r="VUV212" s="260"/>
      <c r="VUW212" s="380"/>
      <c r="VUX212" s="380"/>
      <c r="VUY212" s="380"/>
      <c r="VUZ212" s="2"/>
      <c r="VVA212" s="442"/>
      <c r="VVB212" s="442"/>
      <c r="VVC212" s="443"/>
      <c r="VVD212" s="442"/>
      <c r="VVE212" s="442"/>
      <c r="VVF212" s="2"/>
      <c r="VVG212" s="2"/>
      <c r="VVH212" s="2"/>
      <c r="VVI212" s="2"/>
      <c r="VVJ212" s="260"/>
      <c r="VVK212" s="260"/>
      <c r="VVL212" s="260"/>
      <c r="VVM212" s="260"/>
      <c r="VVN212" s="260"/>
      <c r="VVO212" s="260"/>
      <c r="VVP212" s="308"/>
      <c r="VVQ212" s="290"/>
      <c r="VVR212" s="290"/>
      <c r="VVS212" s="260"/>
      <c r="VVT212" s="260"/>
      <c r="VVU212" s="260"/>
      <c r="VVV212" s="260"/>
      <c r="VVW212" s="260"/>
      <c r="VVX212" s="2"/>
      <c r="VVY212" s="2"/>
      <c r="VVZ212" s="2"/>
      <c r="VWA212" s="2"/>
      <c r="VWB212" s="2"/>
      <c r="VWC212" s="2"/>
      <c r="VWD212" s="260"/>
      <c r="VWE212" s="2"/>
      <c r="VWF212" s="2"/>
      <c r="VWG212" s="2"/>
      <c r="VWH212" s="2"/>
      <c r="VWI212" s="2"/>
      <c r="VWJ212" s="2"/>
      <c r="VWK212" s="2"/>
      <c r="VWL212" s="260"/>
      <c r="VWM212" s="260"/>
      <c r="VWN212" s="260"/>
      <c r="VWO212" s="380"/>
      <c r="VWP212" s="380"/>
      <c r="VWQ212" s="380"/>
      <c r="VWR212" s="2"/>
      <c r="VWS212" s="442"/>
      <c r="VWT212" s="442"/>
      <c r="VWU212" s="443"/>
      <c r="VWV212" s="442"/>
      <c r="VWW212" s="442"/>
      <c r="VWX212" s="2"/>
      <c r="VWY212" s="2"/>
      <c r="VWZ212" s="2"/>
      <c r="VXA212" s="2"/>
      <c r="VXB212" s="260"/>
      <c r="VXC212" s="260"/>
      <c r="VXD212" s="260"/>
      <c r="VXE212" s="260"/>
      <c r="VXF212" s="260"/>
      <c r="VXG212" s="260"/>
      <c r="VXH212" s="308"/>
      <c r="VXI212" s="290"/>
      <c r="VXJ212" s="290"/>
      <c r="VXK212" s="260"/>
      <c r="VXL212" s="260"/>
      <c r="VXM212" s="260"/>
      <c r="VXN212" s="260"/>
      <c r="VXO212" s="260"/>
      <c r="VXP212" s="2"/>
      <c r="VXQ212" s="2"/>
      <c r="VXR212" s="2"/>
      <c r="VXS212" s="2"/>
      <c r="VXT212" s="2"/>
      <c r="VXU212" s="2"/>
      <c r="VXV212" s="260"/>
      <c r="VXW212" s="2"/>
      <c r="VXX212" s="2"/>
      <c r="VXY212" s="2"/>
      <c r="VXZ212" s="2"/>
      <c r="VYA212" s="2"/>
      <c r="VYB212" s="2"/>
      <c r="VYC212" s="2"/>
      <c r="VYD212" s="260"/>
      <c r="VYE212" s="260"/>
      <c r="VYF212" s="260"/>
      <c r="VYG212" s="380"/>
      <c r="VYH212" s="380"/>
      <c r="VYI212" s="380"/>
      <c r="VYJ212" s="2"/>
      <c r="VYK212" s="442"/>
      <c r="VYL212" s="442"/>
      <c r="VYM212" s="443"/>
      <c r="VYN212" s="442"/>
      <c r="VYO212" s="442"/>
      <c r="VYP212" s="2"/>
      <c r="VYQ212" s="2"/>
      <c r="VYR212" s="2"/>
      <c r="VYS212" s="2"/>
      <c r="VYT212" s="260"/>
      <c r="VYU212" s="260"/>
      <c r="VYV212" s="260"/>
      <c r="VYW212" s="260"/>
      <c r="VYX212" s="260"/>
      <c r="VYY212" s="260"/>
      <c r="VYZ212" s="308"/>
      <c r="VZA212" s="290"/>
      <c r="VZB212" s="290"/>
      <c r="VZC212" s="260"/>
      <c r="VZD212" s="260"/>
      <c r="VZE212" s="260"/>
      <c r="VZF212" s="260"/>
      <c r="VZG212" s="260"/>
      <c r="VZH212" s="2"/>
      <c r="VZI212" s="2"/>
      <c r="VZJ212" s="2"/>
      <c r="VZK212" s="2"/>
      <c r="VZL212" s="2"/>
      <c r="VZM212" s="2"/>
      <c r="VZN212" s="260"/>
      <c r="VZO212" s="2"/>
      <c r="VZP212" s="2"/>
      <c r="VZQ212" s="2"/>
      <c r="VZR212" s="2"/>
      <c r="VZS212" s="2"/>
      <c r="VZT212" s="2"/>
      <c r="VZU212" s="2"/>
      <c r="VZV212" s="260"/>
      <c r="VZW212" s="260"/>
      <c r="VZX212" s="260"/>
      <c r="VZY212" s="380"/>
      <c r="VZZ212" s="380"/>
      <c r="WAA212" s="380"/>
      <c r="WAB212" s="2"/>
      <c r="WAC212" s="442"/>
      <c r="WAD212" s="442"/>
      <c r="WAE212" s="443"/>
      <c r="WAF212" s="442"/>
      <c r="WAG212" s="442"/>
      <c r="WAH212" s="2"/>
      <c r="WAI212" s="2"/>
      <c r="WAJ212" s="2"/>
      <c r="WAK212" s="2"/>
      <c r="WAL212" s="260"/>
      <c r="WAM212" s="260"/>
      <c r="WAN212" s="260"/>
      <c r="WAO212" s="260"/>
      <c r="WAP212" s="260"/>
      <c r="WAQ212" s="260"/>
      <c r="WAR212" s="308"/>
      <c r="WAS212" s="290"/>
      <c r="WAT212" s="290"/>
      <c r="WAU212" s="260"/>
      <c r="WAV212" s="260"/>
      <c r="WAW212" s="260"/>
      <c r="WAX212" s="260"/>
      <c r="WAY212" s="260"/>
      <c r="WAZ212" s="2"/>
      <c r="WBA212" s="2"/>
      <c r="WBB212" s="2"/>
      <c r="WBC212" s="2"/>
      <c r="WBD212" s="2"/>
      <c r="WBE212" s="2"/>
      <c r="WBF212" s="260"/>
      <c r="WBG212" s="2"/>
      <c r="WBH212" s="2"/>
      <c r="WBI212" s="2"/>
      <c r="WBJ212" s="2"/>
      <c r="WBK212" s="2"/>
      <c r="WBL212" s="2"/>
      <c r="WBM212" s="2"/>
      <c r="WBN212" s="260"/>
      <c r="WBO212" s="260"/>
      <c r="WBP212" s="260"/>
      <c r="WBQ212" s="380"/>
      <c r="WBR212" s="380"/>
      <c r="WBS212" s="380"/>
      <c r="WBT212" s="2"/>
      <c r="WBU212" s="442"/>
      <c r="WBV212" s="442"/>
      <c r="WBW212" s="443"/>
      <c r="WBX212" s="442"/>
      <c r="WBY212" s="442"/>
      <c r="WBZ212" s="2"/>
      <c r="WCA212" s="2"/>
      <c r="WCB212" s="2"/>
      <c r="WCC212" s="2"/>
      <c r="WCD212" s="260"/>
      <c r="WCE212" s="260"/>
      <c r="WCF212" s="260"/>
      <c r="WCG212" s="260"/>
      <c r="WCH212" s="260"/>
      <c r="WCI212" s="260"/>
      <c r="WCJ212" s="308"/>
      <c r="WCK212" s="290"/>
      <c r="WCL212" s="290"/>
      <c r="WCM212" s="260"/>
      <c r="WCN212" s="260"/>
      <c r="WCO212" s="260"/>
      <c r="WCP212" s="260"/>
      <c r="WCQ212" s="260"/>
      <c r="WCR212" s="2"/>
      <c r="WCS212" s="2"/>
      <c r="WCT212" s="2"/>
      <c r="WCU212" s="2"/>
      <c r="WCV212" s="2"/>
      <c r="WCW212" s="2"/>
      <c r="WCX212" s="260"/>
      <c r="WCY212" s="2"/>
      <c r="WCZ212" s="2"/>
      <c r="WDA212" s="2"/>
      <c r="WDB212" s="2"/>
      <c r="WDC212" s="2"/>
      <c r="WDD212" s="2"/>
      <c r="WDE212" s="2"/>
      <c r="WDF212" s="260"/>
      <c r="WDG212" s="260"/>
      <c r="WDH212" s="260"/>
      <c r="WDI212" s="380"/>
      <c r="WDJ212" s="380"/>
      <c r="WDK212" s="380"/>
      <c r="WDL212" s="2"/>
      <c r="WDM212" s="442"/>
      <c r="WDN212" s="442"/>
      <c r="WDO212" s="443"/>
      <c r="WDP212" s="442"/>
      <c r="WDQ212" s="442"/>
      <c r="WDR212" s="2"/>
      <c r="WDS212" s="2"/>
      <c r="WDT212" s="2"/>
      <c r="WDU212" s="2"/>
      <c r="WDV212" s="260"/>
      <c r="WDW212" s="260"/>
      <c r="WDX212" s="260"/>
      <c r="WDY212" s="260"/>
      <c r="WDZ212" s="260"/>
      <c r="WEA212" s="260"/>
      <c r="WEB212" s="308"/>
      <c r="WEC212" s="290"/>
      <c r="WED212" s="290"/>
      <c r="WEE212" s="260"/>
      <c r="WEF212" s="260"/>
      <c r="WEG212" s="260"/>
      <c r="WEH212" s="260"/>
      <c r="WEI212" s="260"/>
      <c r="WEJ212" s="2"/>
      <c r="WEK212" s="2"/>
      <c r="WEL212" s="2"/>
      <c r="WEM212" s="2"/>
      <c r="WEN212" s="2"/>
      <c r="WEO212" s="2"/>
      <c r="WEP212" s="260"/>
      <c r="WEQ212" s="2"/>
      <c r="WER212" s="2"/>
      <c r="WES212" s="2"/>
      <c r="WET212" s="2"/>
      <c r="WEU212" s="2"/>
      <c r="WEV212" s="2"/>
      <c r="WEW212" s="2"/>
      <c r="WEX212" s="260"/>
      <c r="WEY212" s="260"/>
      <c r="WEZ212" s="260"/>
      <c r="WFA212" s="380"/>
      <c r="WFB212" s="380"/>
      <c r="WFC212" s="380"/>
      <c r="WFD212" s="2"/>
      <c r="WFE212" s="442"/>
      <c r="WFF212" s="442"/>
      <c r="WFG212" s="443"/>
      <c r="WFH212" s="442"/>
      <c r="WFI212" s="442"/>
      <c r="WFJ212" s="2"/>
      <c r="WFK212" s="2"/>
      <c r="WFL212" s="2"/>
      <c r="WFM212" s="2"/>
      <c r="WFN212" s="260"/>
      <c r="WFO212" s="260"/>
      <c r="WFP212" s="260"/>
      <c r="WFQ212" s="260"/>
      <c r="WFR212" s="260"/>
      <c r="WFS212" s="260"/>
      <c r="WFT212" s="308"/>
      <c r="WFU212" s="290"/>
      <c r="WFV212" s="290"/>
      <c r="WFW212" s="260"/>
      <c r="WFX212" s="260"/>
      <c r="WFY212" s="260"/>
      <c r="WFZ212" s="260"/>
      <c r="WGA212" s="260"/>
      <c r="WGB212" s="2"/>
      <c r="WGC212" s="2"/>
      <c r="WGD212" s="2"/>
      <c r="WGE212" s="2"/>
      <c r="WGF212" s="2"/>
      <c r="WGG212" s="2"/>
      <c r="WGH212" s="260"/>
      <c r="WGI212" s="2"/>
      <c r="WGJ212" s="2"/>
      <c r="WGK212" s="2"/>
      <c r="WGL212" s="2"/>
      <c r="WGM212" s="2"/>
      <c r="WGN212" s="2"/>
      <c r="WGO212" s="2"/>
      <c r="WGP212" s="260"/>
      <c r="WGQ212" s="260"/>
      <c r="WGR212" s="260"/>
      <c r="WGS212" s="380"/>
      <c r="WGT212" s="380"/>
      <c r="WGU212" s="380"/>
      <c r="WGV212" s="2"/>
      <c r="WGW212" s="442"/>
      <c r="WGX212" s="442"/>
      <c r="WGY212" s="443"/>
      <c r="WGZ212" s="442"/>
      <c r="WHA212" s="442"/>
      <c r="WHB212" s="2"/>
      <c r="WHC212" s="2"/>
      <c r="WHD212" s="2"/>
      <c r="WHE212" s="2"/>
      <c r="WHF212" s="260"/>
      <c r="WHG212" s="260"/>
      <c r="WHH212" s="260"/>
      <c r="WHI212" s="260"/>
      <c r="WHJ212" s="260"/>
      <c r="WHK212" s="260"/>
      <c r="WHL212" s="308"/>
      <c r="WHM212" s="290"/>
      <c r="WHN212" s="290"/>
      <c r="WHO212" s="260"/>
      <c r="WHP212" s="260"/>
      <c r="WHQ212" s="260"/>
      <c r="WHR212" s="260"/>
      <c r="WHS212" s="260"/>
      <c r="WHT212" s="2"/>
      <c r="WHU212" s="2"/>
      <c r="WHV212" s="2"/>
      <c r="WHW212" s="2"/>
      <c r="WHX212" s="2"/>
      <c r="WHY212" s="2"/>
      <c r="WHZ212" s="260"/>
      <c r="WIA212" s="2"/>
      <c r="WIB212" s="2"/>
      <c r="WIC212" s="2"/>
      <c r="WID212" s="2"/>
      <c r="WIE212" s="2"/>
      <c r="WIF212" s="2"/>
      <c r="WIG212" s="2"/>
      <c r="WIH212" s="260"/>
      <c r="WII212" s="260"/>
      <c r="WIJ212" s="260"/>
      <c r="WIK212" s="380"/>
      <c r="WIL212" s="380"/>
      <c r="WIM212" s="380"/>
      <c r="WIN212" s="2"/>
      <c r="WIO212" s="442"/>
      <c r="WIP212" s="442"/>
      <c r="WIQ212" s="443"/>
      <c r="WIR212" s="442"/>
      <c r="WIS212" s="442"/>
      <c r="WIT212" s="2"/>
      <c r="WIU212" s="2"/>
      <c r="WIV212" s="2"/>
      <c r="WIW212" s="2"/>
      <c r="WIX212" s="260"/>
      <c r="WIY212" s="260"/>
      <c r="WIZ212" s="260"/>
      <c r="WJA212" s="260"/>
      <c r="WJB212" s="260"/>
      <c r="WJC212" s="260"/>
      <c r="WJD212" s="308"/>
      <c r="WJE212" s="290"/>
      <c r="WJF212" s="290"/>
      <c r="WJG212" s="260"/>
      <c r="WJH212" s="260"/>
      <c r="WJI212" s="260"/>
      <c r="WJJ212" s="260"/>
      <c r="WJK212" s="260"/>
      <c r="WJL212" s="2"/>
      <c r="WJM212" s="2"/>
      <c r="WJN212" s="2"/>
      <c r="WJO212" s="2"/>
      <c r="WJP212" s="2"/>
      <c r="WJQ212" s="2"/>
      <c r="WJR212" s="260"/>
      <c r="WJS212" s="2"/>
      <c r="WJT212" s="2"/>
      <c r="WJU212" s="2"/>
      <c r="WJV212" s="2"/>
      <c r="WJW212" s="2"/>
      <c r="WJX212" s="2"/>
      <c r="WJY212" s="2"/>
      <c r="WJZ212" s="260"/>
      <c r="WKA212" s="260"/>
      <c r="WKB212" s="260"/>
      <c r="WKC212" s="380"/>
      <c r="WKD212" s="380"/>
      <c r="WKE212" s="380"/>
      <c r="WKF212" s="2"/>
      <c r="WKG212" s="442"/>
      <c r="WKH212" s="442"/>
      <c r="WKI212" s="443"/>
      <c r="WKJ212" s="442"/>
      <c r="WKK212" s="442"/>
      <c r="WKL212" s="2"/>
      <c r="WKM212" s="2"/>
      <c r="WKN212" s="2"/>
      <c r="WKO212" s="2"/>
      <c r="WKP212" s="260"/>
      <c r="WKQ212" s="260"/>
      <c r="WKR212" s="260"/>
      <c r="WKS212" s="260"/>
      <c r="WKT212" s="260"/>
      <c r="WKU212" s="260"/>
      <c r="WKV212" s="308"/>
      <c r="WKW212" s="290"/>
      <c r="WKX212" s="290"/>
      <c r="WKY212" s="260"/>
      <c r="WKZ212" s="260"/>
      <c r="WLA212" s="260"/>
      <c r="WLB212" s="260"/>
      <c r="WLC212" s="260"/>
      <c r="WLD212" s="2"/>
      <c r="WLE212" s="2"/>
      <c r="WLF212" s="2"/>
      <c r="WLG212" s="2"/>
      <c r="WLH212" s="2"/>
      <c r="WLI212" s="2"/>
      <c r="WLJ212" s="260"/>
      <c r="WLK212" s="2"/>
      <c r="WLL212" s="2"/>
      <c r="WLM212" s="2"/>
      <c r="WLN212" s="2"/>
      <c r="WLO212" s="2"/>
      <c r="WLP212" s="2"/>
      <c r="WLQ212" s="2"/>
      <c r="WLR212" s="260"/>
      <c r="WLS212" s="260"/>
      <c r="WLT212" s="260"/>
      <c r="WLU212" s="380"/>
      <c r="WLV212" s="380"/>
      <c r="WLW212" s="380"/>
      <c r="WLX212" s="2"/>
      <c r="WLY212" s="442"/>
      <c r="WLZ212" s="442"/>
      <c r="WMA212" s="443"/>
      <c r="WMB212" s="442"/>
      <c r="WMC212" s="442"/>
      <c r="WMD212" s="2"/>
      <c r="WME212" s="2"/>
      <c r="WMF212" s="2"/>
      <c r="WMG212" s="2"/>
      <c r="WMH212" s="260"/>
      <c r="WMI212" s="260"/>
      <c r="WMJ212" s="260"/>
      <c r="WMK212" s="260"/>
      <c r="WML212" s="260"/>
      <c r="WMM212" s="260"/>
      <c r="WMN212" s="308"/>
      <c r="WMO212" s="290"/>
      <c r="WMP212" s="290"/>
      <c r="WMQ212" s="260"/>
      <c r="WMR212" s="260"/>
      <c r="WMS212" s="260"/>
      <c r="WMT212" s="260"/>
      <c r="WMU212" s="260"/>
      <c r="WMV212" s="2"/>
      <c r="WMW212" s="2"/>
      <c r="WMX212" s="2"/>
      <c r="WMY212" s="2"/>
      <c r="WMZ212" s="2"/>
      <c r="WNA212" s="2"/>
      <c r="WNB212" s="260"/>
      <c r="WNC212" s="2"/>
      <c r="WND212" s="2"/>
      <c r="WNE212" s="2"/>
      <c r="WNF212" s="2"/>
      <c r="WNG212" s="2"/>
      <c r="WNH212" s="2"/>
      <c r="WNI212" s="2"/>
      <c r="WNJ212" s="260"/>
      <c r="WNK212" s="260"/>
      <c r="WNL212" s="260"/>
      <c r="WNM212" s="380"/>
      <c r="WNN212" s="380"/>
      <c r="WNO212" s="380"/>
      <c r="WNP212" s="2"/>
      <c r="WNQ212" s="442"/>
      <c r="WNR212" s="442"/>
      <c r="WNS212" s="443"/>
      <c r="WNT212" s="442"/>
      <c r="WNU212" s="442"/>
      <c r="WNV212" s="2"/>
      <c r="WNW212" s="2"/>
      <c r="WNX212" s="2"/>
      <c r="WNY212" s="2"/>
      <c r="WNZ212" s="260"/>
      <c r="WOA212" s="260"/>
      <c r="WOB212" s="260"/>
      <c r="WOC212" s="260"/>
      <c r="WOD212" s="260"/>
      <c r="WOE212" s="260"/>
      <c r="WOF212" s="308"/>
      <c r="WOG212" s="290"/>
      <c r="WOH212" s="290"/>
      <c r="WOI212" s="260"/>
      <c r="WOJ212" s="260"/>
      <c r="WOK212" s="260"/>
      <c r="WOL212" s="260"/>
      <c r="WOM212" s="260"/>
      <c r="WON212" s="2"/>
      <c r="WOO212" s="2"/>
      <c r="WOP212" s="2"/>
      <c r="WOQ212" s="2"/>
      <c r="WOR212" s="2"/>
      <c r="WOS212" s="2"/>
      <c r="WOT212" s="260"/>
      <c r="WOU212" s="2"/>
      <c r="WOV212" s="2"/>
      <c r="WOW212" s="2"/>
      <c r="WOX212" s="2"/>
      <c r="WOY212" s="2"/>
      <c r="WOZ212" s="2"/>
      <c r="WPA212" s="2"/>
      <c r="WPB212" s="260"/>
      <c r="WPC212" s="260"/>
      <c r="WPD212" s="260"/>
      <c r="WPE212" s="380"/>
      <c r="WPF212" s="380"/>
      <c r="WPG212" s="380"/>
      <c r="WPH212" s="2"/>
      <c r="WPI212" s="442"/>
      <c r="WPJ212" s="442"/>
      <c r="WPK212" s="443"/>
      <c r="WPL212" s="442"/>
      <c r="WPM212" s="442"/>
      <c r="WPN212" s="2"/>
      <c r="WPO212" s="2"/>
      <c r="WPP212" s="2"/>
      <c r="WPQ212" s="2"/>
      <c r="WPR212" s="260"/>
      <c r="WPS212" s="260"/>
      <c r="WPT212" s="260"/>
      <c r="WPU212" s="260"/>
      <c r="WPV212" s="260"/>
      <c r="WPW212" s="260"/>
      <c r="WPX212" s="308"/>
      <c r="WPY212" s="290"/>
      <c r="WPZ212" s="290"/>
      <c r="WQA212" s="260"/>
      <c r="WQB212" s="260"/>
      <c r="WQC212" s="260"/>
      <c r="WQD212" s="260"/>
      <c r="WQE212" s="260"/>
      <c r="WQF212" s="2"/>
      <c r="WQG212" s="2"/>
      <c r="WQH212" s="2"/>
      <c r="WQI212" s="2"/>
      <c r="WQJ212" s="2"/>
      <c r="WQK212" s="2"/>
      <c r="WQL212" s="260"/>
      <c r="WQM212" s="2"/>
      <c r="WQN212" s="2"/>
      <c r="WQO212" s="2"/>
      <c r="WQP212" s="2"/>
      <c r="WQQ212" s="2"/>
      <c r="WQR212" s="2"/>
      <c r="WQS212" s="2"/>
      <c r="WQT212" s="260"/>
      <c r="WQU212" s="260"/>
      <c r="WQV212" s="260"/>
      <c r="WQW212" s="380"/>
      <c r="WQX212" s="380"/>
      <c r="WQY212" s="380"/>
      <c r="WQZ212" s="2"/>
      <c r="WRA212" s="442"/>
      <c r="WRB212" s="442"/>
      <c r="WRC212" s="443"/>
      <c r="WRD212" s="442"/>
      <c r="WRE212" s="442"/>
      <c r="WRF212" s="2"/>
      <c r="WRG212" s="2"/>
      <c r="WRH212" s="2"/>
      <c r="WRI212" s="2"/>
      <c r="WRJ212" s="260"/>
      <c r="WRK212" s="260"/>
      <c r="WRL212" s="260"/>
      <c r="WRM212" s="260"/>
      <c r="WRN212" s="260"/>
      <c r="WRO212" s="260"/>
      <c r="WRP212" s="308"/>
      <c r="WRQ212" s="290"/>
      <c r="WRR212" s="290"/>
      <c r="WRS212" s="260"/>
      <c r="WRT212" s="260"/>
      <c r="WRU212" s="260"/>
      <c r="WRV212" s="260"/>
      <c r="WRW212" s="260"/>
      <c r="WRX212" s="2"/>
      <c r="WRY212" s="2"/>
      <c r="WRZ212" s="2"/>
      <c r="WSA212" s="2"/>
      <c r="WSB212" s="2"/>
      <c r="WSC212" s="2"/>
      <c r="WSD212" s="260"/>
      <c r="WSE212" s="2"/>
      <c r="WSF212" s="2"/>
      <c r="WSG212" s="2"/>
      <c r="WSH212" s="2"/>
      <c r="WSI212" s="2"/>
      <c r="WSJ212" s="2"/>
      <c r="WSK212" s="2"/>
      <c r="WSL212" s="260"/>
      <c r="WSM212" s="260"/>
      <c r="WSN212" s="260"/>
      <c r="WSO212" s="380"/>
      <c r="WSP212" s="380"/>
      <c r="WSQ212" s="380"/>
      <c r="WSR212" s="2"/>
      <c r="WSS212" s="442"/>
      <c r="WST212" s="442"/>
      <c r="WSU212" s="443"/>
      <c r="WSV212" s="442"/>
      <c r="WSW212" s="442"/>
      <c r="WSX212" s="2"/>
      <c r="WSY212" s="2"/>
      <c r="WSZ212" s="2"/>
      <c r="WTA212" s="2"/>
      <c r="WTB212" s="260"/>
      <c r="WTC212" s="260"/>
      <c r="WTD212" s="260"/>
      <c r="WTE212" s="260"/>
      <c r="WTF212" s="260"/>
      <c r="WTG212" s="260"/>
      <c r="WTH212" s="308"/>
      <c r="WTI212" s="290"/>
      <c r="WTJ212" s="290"/>
      <c r="WTK212" s="260"/>
      <c r="WTL212" s="260"/>
      <c r="WTM212" s="260"/>
      <c r="WTN212" s="260"/>
      <c r="WTO212" s="260"/>
      <c r="WTP212" s="2"/>
      <c r="WTQ212" s="2"/>
      <c r="WTR212" s="2"/>
      <c r="WTS212" s="2"/>
      <c r="WTT212" s="2"/>
      <c r="WTU212" s="2"/>
      <c r="WTV212" s="260"/>
      <c r="WTW212" s="2"/>
      <c r="WTX212" s="2"/>
      <c r="WTY212" s="2"/>
      <c r="WTZ212" s="2"/>
      <c r="WUA212" s="2"/>
      <c r="WUB212" s="2"/>
      <c r="WUC212" s="2"/>
      <c r="WUD212" s="260"/>
      <c r="WUE212" s="260"/>
      <c r="WUF212" s="260"/>
      <c r="WUG212" s="380"/>
      <c r="WUH212" s="380"/>
      <c r="WUI212" s="380"/>
      <c r="WUJ212" s="2"/>
      <c r="WUK212" s="442"/>
      <c r="WUL212" s="442"/>
      <c r="WUM212" s="443"/>
      <c r="WUN212" s="442"/>
      <c r="WUO212" s="442"/>
      <c r="WUP212" s="2"/>
      <c r="WUQ212" s="2"/>
      <c r="WUR212" s="2"/>
      <c r="WUS212" s="2"/>
      <c r="WUT212" s="260"/>
      <c r="WUU212" s="260"/>
      <c r="WUV212" s="260"/>
      <c r="WUW212" s="260"/>
      <c r="WUX212" s="260"/>
      <c r="WUY212" s="260"/>
      <c r="WUZ212" s="308"/>
      <c r="WVA212" s="290"/>
      <c r="WVB212" s="290"/>
      <c r="WVC212" s="260"/>
      <c r="WVD212" s="260"/>
      <c r="WVE212" s="260"/>
      <c r="WVF212" s="260"/>
      <c r="WVG212" s="260"/>
      <c r="WVH212" s="2"/>
      <c r="WVI212" s="2"/>
      <c r="WVJ212" s="2"/>
      <c r="WVK212" s="2"/>
      <c r="WVL212" s="2"/>
      <c r="WVM212" s="2"/>
      <c r="WVN212" s="260"/>
      <c r="WVO212" s="2"/>
      <c r="WVP212" s="2"/>
      <c r="WVQ212" s="2"/>
      <c r="WVR212" s="2"/>
      <c r="WVS212" s="2"/>
      <c r="WVT212" s="2"/>
      <c r="WVU212" s="2"/>
      <c r="WVV212" s="260"/>
      <c r="WVW212" s="260"/>
      <c r="WVX212" s="260"/>
      <c r="WVY212" s="380"/>
      <c r="WVZ212" s="380"/>
      <c r="WWA212" s="380"/>
      <c r="WWB212" s="2"/>
      <c r="WWC212" s="442"/>
      <c r="WWD212" s="442"/>
      <c r="WWE212" s="443"/>
      <c r="WWF212" s="442"/>
      <c r="WWG212" s="442"/>
      <c r="WWH212" s="2"/>
      <c r="WWI212" s="2"/>
      <c r="WWJ212" s="2"/>
      <c r="WWK212" s="2"/>
      <c r="WWL212" s="260"/>
      <c r="WWM212" s="260"/>
      <c r="WWN212" s="260"/>
      <c r="WWO212" s="260"/>
      <c r="WWP212" s="260"/>
      <c r="WWQ212" s="260"/>
      <c r="WWR212" s="308"/>
      <c r="WWS212" s="290"/>
      <c r="WWT212" s="290"/>
      <c r="WWU212" s="260"/>
      <c r="WWV212" s="260"/>
      <c r="WWW212" s="260"/>
      <c r="WWX212" s="260"/>
      <c r="WWY212" s="260"/>
      <c r="WWZ212" s="2"/>
      <c r="WXA212" s="2"/>
      <c r="WXB212" s="2"/>
      <c r="WXC212" s="2"/>
      <c r="WXD212" s="2"/>
      <c r="WXE212" s="2"/>
      <c r="WXF212" s="260"/>
      <c r="WXG212" s="2"/>
      <c r="WXH212" s="2"/>
      <c r="WXI212" s="2"/>
      <c r="WXJ212" s="2"/>
      <c r="WXK212" s="2"/>
      <c r="WXL212" s="2"/>
      <c r="WXM212" s="2"/>
      <c r="WXN212" s="260"/>
      <c r="WXO212" s="260"/>
      <c r="WXP212" s="260"/>
      <c r="WXQ212" s="380"/>
      <c r="WXR212" s="380"/>
      <c r="WXS212" s="380"/>
      <c r="WXT212" s="2"/>
      <c r="WXU212" s="442"/>
      <c r="WXV212" s="442"/>
      <c r="WXW212" s="443"/>
      <c r="WXX212" s="442"/>
      <c r="WXY212" s="442"/>
      <c r="WXZ212" s="2"/>
      <c r="WYA212" s="2"/>
      <c r="WYB212" s="2"/>
      <c r="WYC212" s="2"/>
      <c r="WYD212" s="260"/>
      <c r="WYE212" s="260"/>
      <c r="WYF212" s="260"/>
      <c r="WYG212" s="260"/>
      <c r="WYH212" s="260"/>
      <c r="WYI212" s="260"/>
      <c r="WYJ212" s="308"/>
      <c r="WYK212" s="290"/>
      <c r="WYL212" s="290"/>
      <c r="WYM212" s="260"/>
      <c r="WYN212" s="260"/>
      <c r="WYO212" s="260"/>
      <c r="WYP212" s="260"/>
      <c r="WYQ212" s="260"/>
      <c r="WYR212" s="2"/>
      <c r="WYS212" s="2"/>
      <c r="WYT212" s="2"/>
      <c r="WYU212" s="2"/>
      <c r="WYV212" s="2"/>
      <c r="WYW212" s="2"/>
      <c r="WYX212" s="260"/>
      <c r="WYY212" s="2"/>
      <c r="WYZ212" s="2"/>
      <c r="WZA212" s="2"/>
      <c r="WZB212" s="2"/>
      <c r="WZC212" s="2"/>
      <c r="WZD212" s="2"/>
      <c r="WZE212" s="2"/>
      <c r="WZF212" s="260"/>
      <c r="WZG212" s="260"/>
      <c r="WZH212" s="260"/>
      <c r="WZI212" s="380"/>
      <c r="WZJ212" s="380"/>
      <c r="WZK212" s="380"/>
      <c r="WZL212" s="2"/>
      <c r="WZM212" s="442"/>
      <c r="WZN212" s="442"/>
      <c r="WZO212" s="443"/>
      <c r="WZP212" s="442"/>
      <c r="WZQ212" s="442"/>
      <c r="WZR212" s="2"/>
      <c r="WZS212" s="2"/>
      <c r="WZT212" s="2"/>
      <c r="WZU212" s="2"/>
      <c r="WZV212" s="260"/>
      <c r="WZW212" s="260"/>
      <c r="WZX212" s="260"/>
      <c r="WZY212" s="260"/>
      <c r="WZZ212" s="260"/>
      <c r="XAA212" s="260"/>
      <c r="XAB212" s="308"/>
      <c r="XAC212" s="290"/>
      <c r="XAD212" s="290"/>
      <c r="XAE212" s="260"/>
      <c r="XAF212" s="260"/>
      <c r="XAG212" s="260"/>
      <c r="XAH212" s="260"/>
      <c r="XAI212" s="260"/>
      <c r="XAJ212" s="2"/>
      <c r="XAK212" s="2"/>
      <c r="XAL212" s="2"/>
      <c r="XAM212" s="2"/>
      <c r="XAN212" s="2"/>
      <c r="XAO212" s="2"/>
      <c r="XAP212" s="260"/>
      <c r="XAQ212" s="2"/>
      <c r="XAR212" s="2"/>
      <c r="XAS212" s="2"/>
      <c r="XAT212" s="2"/>
      <c r="XAU212" s="2"/>
      <c r="XAV212" s="2"/>
      <c r="XAW212" s="2"/>
      <c r="XAX212" s="260"/>
      <c r="XAY212" s="260"/>
      <c r="XAZ212" s="260"/>
      <c r="XBA212" s="380"/>
      <c r="XBB212" s="380"/>
      <c r="XBC212" s="380"/>
      <c r="XBD212" s="2"/>
      <c r="XBE212" s="442"/>
      <c r="XBF212" s="442"/>
      <c r="XBG212" s="443"/>
      <c r="XBH212" s="442"/>
      <c r="XBI212" s="442"/>
      <c r="XBJ212" s="2"/>
      <c r="XBK212" s="2"/>
      <c r="XBL212" s="2"/>
      <c r="XBM212" s="2"/>
      <c r="XBN212" s="260"/>
      <c r="XBO212" s="260"/>
      <c r="XBP212" s="260"/>
      <c r="XBQ212" s="260"/>
      <c r="XBR212" s="260"/>
      <c r="XBS212" s="260"/>
      <c r="XBT212" s="308"/>
      <c r="XBU212" s="290"/>
      <c r="XBV212" s="290"/>
      <c r="XBW212" s="260"/>
      <c r="XBX212" s="260"/>
      <c r="XBY212" s="260"/>
      <c r="XBZ212" s="260"/>
      <c r="XCA212" s="260"/>
      <c r="XCB212" s="2"/>
      <c r="XCC212" s="2"/>
      <c r="XCD212" s="2"/>
      <c r="XCE212" s="2"/>
      <c r="XCF212" s="2"/>
      <c r="XCG212" s="2"/>
      <c r="XCH212" s="260"/>
      <c r="XCI212" s="2"/>
      <c r="XCJ212" s="2"/>
      <c r="XCK212" s="2"/>
      <c r="XCL212" s="2"/>
      <c r="XCM212" s="2"/>
      <c r="XCN212" s="2"/>
      <c r="XCO212" s="2"/>
      <c r="XCP212" s="260"/>
      <c r="XCQ212" s="260"/>
      <c r="XCR212" s="260"/>
      <c r="XCS212" s="380"/>
      <c r="XCT212" s="380"/>
      <c r="XCU212" s="380"/>
      <c r="XCV212" s="2"/>
      <c r="XCW212" s="442"/>
      <c r="XCX212" s="442"/>
      <c r="XCY212" s="443"/>
      <c r="XCZ212" s="442"/>
      <c r="XDA212" s="442"/>
      <c r="XDB212" s="2"/>
      <c r="XDC212" s="2"/>
      <c r="XDD212" s="2"/>
      <c r="XDE212" s="2"/>
      <c r="XDF212" s="260"/>
      <c r="XDG212" s="260"/>
      <c r="XDH212" s="260"/>
      <c r="XDI212" s="260"/>
      <c r="XDJ212" s="260"/>
      <c r="XDK212" s="260"/>
      <c r="XDL212" s="308"/>
      <c r="XDM212" s="290"/>
      <c r="XDN212" s="290"/>
      <c r="XDO212" s="260"/>
      <c r="XDP212" s="260"/>
      <c r="XDQ212" s="260"/>
      <c r="XDR212" s="260"/>
      <c r="XDS212" s="260"/>
      <c r="XDT212" s="2"/>
      <c r="XDU212" s="2"/>
      <c r="XDV212" s="2"/>
      <c r="XDW212" s="2"/>
      <c r="XDX212" s="2"/>
      <c r="XDY212" s="2"/>
      <c r="XDZ212" s="260"/>
      <c r="XEA212" s="2"/>
      <c r="XEB212" s="2"/>
      <c r="XEC212" s="2"/>
      <c r="XED212" s="2"/>
      <c r="XEE212" s="2"/>
      <c r="XEF212" s="2"/>
      <c r="XEG212" s="2"/>
      <c r="XEH212" s="260"/>
      <c r="XEI212" s="260"/>
      <c r="XEJ212" s="260"/>
      <c r="XEK212" s="380"/>
      <c r="XEL212" s="380"/>
      <c r="XEM212" s="380"/>
      <c r="XEN212" s="2"/>
      <c r="XEO212" s="442"/>
      <c r="XEP212" s="442"/>
      <c r="XEQ212" s="443"/>
      <c r="XER212" s="442"/>
      <c r="XES212" s="442"/>
      <c r="XET212" s="2"/>
      <c r="XEU212" s="2"/>
      <c r="XEV212" s="2"/>
      <c r="XEW212" s="2"/>
      <c r="XEX212" s="260"/>
      <c r="XEY212" s="260"/>
      <c r="XEZ212" s="260"/>
      <c r="XFA212" s="260"/>
      <c r="XFB212" s="260"/>
      <c r="XFC212" s="260"/>
      <c r="XFD212" s="308"/>
    </row>
    <row r="213" spans="1:16384" customFormat="1" ht="18" hidden="1" customHeight="1" x14ac:dyDescent="0.25">
      <c r="A213" s="448" t="s">
        <v>501</v>
      </c>
      <c r="B213" s="254"/>
      <c r="C213" s="496">
        <v>5355249</v>
      </c>
      <c r="D213" s="254" t="s">
        <v>565</v>
      </c>
      <c r="E213" s="450">
        <v>39992</v>
      </c>
      <c r="F213" s="2" t="s">
        <v>566</v>
      </c>
      <c r="G213" s="2" t="s">
        <v>567</v>
      </c>
      <c r="H213" s="2"/>
      <c r="I213" s="2"/>
      <c r="J213" s="260">
        <v>8228</v>
      </c>
      <c r="K213" s="260">
        <v>8285</v>
      </c>
      <c r="L213" s="260"/>
      <c r="M213" s="260"/>
      <c r="N213" s="260"/>
      <c r="O213" s="260"/>
      <c r="P213" s="308"/>
      <c r="Q213" s="290"/>
      <c r="R213" s="290"/>
      <c r="S213" s="260"/>
      <c r="T213" s="260"/>
      <c r="U213" s="260"/>
      <c r="V213" s="260"/>
      <c r="W213" s="260"/>
      <c r="X213" s="2"/>
      <c r="Y213" s="2">
        <f t="shared" si="94"/>
        <v>1140</v>
      </c>
      <c r="Z213" s="2" t="str">
        <f t="shared" si="95"/>
        <v/>
      </c>
      <c r="AA213" s="2" t="str">
        <f t="shared" si="96"/>
        <v/>
      </c>
      <c r="AB213" s="2" t="str">
        <f t="shared" si="97"/>
        <v/>
      </c>
      <c r="AC213" s="2" t="str">
        <f t="shared" si="98"/>
        <v/>
      </c>
      <c r="AD213" s="260" t="str">
        <f t="shared" si="99"/>
        <v/>
      </c>
      <c r="AE213" s="2" t="str">
        <f t="shared" si="100"/>
        <v/>
      </c>
      <c r="AF213" s="2" t="str">
        <f t="shared" si="101"/>
        <v/>
      </c>
      <c r="AG213" s="2" t="str">
        <f t="shared" si="102"/>
        <v/>
      </c>
      <c r="AH213" s="2" t="str">
        <f t="shared" si="103"/>
        <v/>
      </c>
      <c r="AI213" s="2" t="str">
        <f t="shared" si="104"/>
        <v/>
      </c>
      <c r="AJ213" s="2" t="str">
        <f t="shared" si="105"/>
        <v/>
      </c>
      <c r="AK213" s="2">
        <v>20</v>
      </c>
      <c r="AL213" s="260">
        <f t="shared" ca="1" si="106"/>
        <v>0</v>
      </c>
      <c r="AM213" s="260">
        <f t="shared" ca="1" si="107"/>
        <v>0</v>
      </c>
      <c r="AN213" s="260" t="str">
        <f ca="1">IF(AND(Tabla7[[#This Row],[UltLec]]&lt;&gt;0,Tabla7[[#This Row],[PenLect]]&lt;&gt;0),(AM213-AL213)*Tabla7[[#This Row],[RT]],"N/A")</f>
        <v>N/A</v>
      </c>
      <c r="AO213" s="380" t="s">
        <v>1020</v>
      </c>
      <c r="AP213" s="380" t="s">
        <v>1075</v>
      </c>
      <c r="AQ213" s="380" t="s">
        <v>1074</v>
      </c>
      <c r="AR213" s="2">
        <f t="shared" si="108"/>
        <v>0</v>
      </c>
      <c r="AS213" s="442"/>
      <c r="AT213" s="2" t="e">
        <f t="shared" ca="1" si="109"/>
        <v>#VALUE!</v>
      </c>
      <c r="AU213" s="443"/>
      <c r="AV213" s="442"/>
      <c r="AW213" s="442"/>
      <c r="AX213" s="2"/>
      <c r="AY213" s="2"/>
      <c r="AZ213" s="2"/>
      <c r="BA213" s="2"/>
      <c r="BB213" s="260"/>
      <c r="BC213" s="260"/>
      <c r="BD213" s="260"/>
      <c r="BE213" s="260"/>
      <c r="BF213" s="260"/>
      <c r="BG213" s="260"/>
      <c r="BH213" s="308"/>
      <c r="BI213" s="290"/>
      <c r="BJ213" s="290"/>
      <c r="BK213" s="260"/>
      <c r="BL213" s="260"/>
      <c r="BM213" s="260"/>
      <c r="BN213" s="260"/>
      <c r="BO213" s="260"/>
      <c r="BP213" s="2"/>
      <c r="BQ213" s="2"/>
      <c r="BR213" s="2"/>
      <c r="BS213" s="2"/>
      <c r="BT213" s="2"/>
      <c r="BU213" s="2"/>
      <c r="BV213" s="260"/>
      <c r="BW213" s="2"/>
      <c r="BX213" s="2"/>
      <c r="BY213" s="2"/>
      <c r="BZ213" s="2"/>
      <c r="CA213" s="2"/>
      <c r="CB213" s="2"/>
      <c r="CC213" s="2"/>
      <c r="CD213" s="260"/>
      <c r="CE213" s="260"/>
      <c r="CF213" s="260"/>
      <c r="CG213" s="380"/>
      <c r="CH213" s="380"/>
      <c r="CI213" s="380"/>
      <c r="CJ213" s="2"/>
      <c r="CK213" s="442"/>
      <c r="CL213" s="442"/>
      <c r="CM213" s="443"/>
      <c r="CN213" s="442"/>
      <c r="CO213" s="442"/>
      <c r="CP213" s="2"/>
      <c r="CQ213" s="2"/>
      <c r="CR213" s="2"/>
      <c r="CS213" s="2"/>
      <c r="CT213" s="260"/>
      <c r="CU213" s="260"/>
      <c r="CV213" s="260"/>
      <c r="CW213" s="260"/>
      <c r="CX213" s="260"/>
      <c r="CY213" s="260"/>
      <c r="CZ213" s="308"/>
      <c r="DA213" s="290"/>
      <c r="DB213" s="290"/>
      <c r="DC213" s="260"/>
      <c r="DD213" s="260"/>
      <c r="DE213" s="260"/>
      <c r="DF213" s="260"/>
      <c r="DG213" s="260"/>
      <c r="DH213" s="2"/>
      <c r="DI213" s="2"/>
      <c r="DJ213" s="2"/>
      <c r="DK213" s="2"/>
      <c r="DL213" s="2"/>
      <c r="DM213" s="2"/>
      <c r="DN213" s="260"/>
      <c r="DO213" s="2"/>
      <c r="DP213" s="2"/>
      <c r="DQ213" s="2"/>
      <c r="DR213" s="2"/>
      <c r="DS213" s="2"/>
      <c r="DT213" s="2"/>
      <c r="DU213" s="2"/>
      <c r="DV213" s="260"/>
      <c r="DW213" s="260"/>
      <c r="DX213" s="260"/>
      <c r="DY213" s="380"/>
      <c r="DZ213" s="380"/>
      <c r="EA213" s="380"/>
      <c r="EB213" s="2"/>
      <c r="EC213" s="442"/>
      <c r="ED213" s="442"/>
      <c r="EE213" s="443"/>
      <c r="EF213" s="442"/>
      <c r="EG213" s="442"/>
      <c r="EH213" s="2"/>
      <c r="EI213" s="2"/>
      <c r="EJ213" s="2"/>
      <c r="EK213" s="2"/>
      <c r="EL213" s="260"/>
      <c r="EM213" s="260"/>
      <c r="EN213" s="260"/>
      <c r="EO213" s="260"/>
      <c r="EP213" s="260"/>
      <c r="EQ213" s="260"/>
      <c r="ER213" s="308"/>
      <c r="ES213" s="290"/>
      <c r="ET213" s="290"/>
      <c r="EU213" s="260"/>
      <c r="EV213" s="260"/>
      <c r="EW213" s="260"/>
      <c r="EX213" s="260"/>
      <c r="EY213" s="260"/>
      <c r="EZ213" s="2"/>
      <c r="FA213" s="2"/>
      <c r="FB213" s="2"/>
      <c r="FC213" s="2"/>
      <c r="FD213" s="2"/>
      <c r="FE213" s="2"/>
      <c r="FF213" s="260"/>
      <c r="FG213" s="2"/>
      <c r="FH213" s="2"/>
      <c r="FI213" s="2"/>
      <c r="FJ213" s="2"/>
      <c r="FK213" s="2"/>
      <c r="FL213" s="2"/>
      <c r="FM213" s="2"/>
      <c r="FN213" s="260"/>
      <c r="FO213" s="260"/>
      <c r="FP213" s="260"/>
      <c r="FQ213" s="380"/>
      <c r="FR213" s="380"/>
      <c r="FS213" s="380"/>
      <c r="FT213" s="2"/>
      <c r="FU213" s="442"/>
      <c r="FV213" s="442"/>
      <c r="FW213" s="443"/>
      <c r="FX213" s="442"/>
      <c r="FY213" s="442"/>
      <c r="FZ213" s="2"/>
      <c r="GA213" s="2"/>
      <c r="GB213" s="2"/>
      <c r="GC213" s="2"/>
      <c r="GD213" s="260"/>
      <c r="GE213" s="260"/>
      <c r="GF213" s="260"/>
      <c r="GG213" s="260"/>
      <c r="GH213" s="260"/>
      <c r="GI213" s="260"/>
      <c r="GJ213" s="308"/>
      <c r="GK213" s="290"/>
      <c r="GL213" s="290"/>
      <c r="GM213" s="260"/>
      <c r="GN213" s="260"/>
      <c r="GO213" s="260"/>
      <c r="GP213" s="260"/>
      <c r="GQ213" s="260"/>
      <c r="GR213" s="2"/>
      <c r="GS213" s="2"/>
      <c r="GT213" s="2"/>
      <c r="GU213" s="2"/>
      <c r="GV213" s="2"/>
      <c r="GW213" s="2"/>
      <c r="GX213" s="260"/>
      <c r="GY213" s="2"/>
      <c r="GZ213" s="2"/>
      <c r="HA213" s="2"/>
      <c r="HB213" s="2"/>
      <c r="HC213" s="2"/>
      <c r="HD213" s="2"/>
      <c r="HE213" s="2"/>
      <c r="HF213" s="260"/>
      <c r="HG213" s="260"/>
      <c r="HH213" s="260"/>
      <c r="HI213" s="380"/>
      <c r="HJ213" s="380"/>
      <c r="HK213" s="380"/>
      <c r="HL213" s="2"/>
      <c r="HM213" s="442"/>
      <c r="HN213" s="442"/>
      <c r="HO213" s="443"/>
      <c r="HP213" s="442"/>
      <c r="HQ213" s="442"/>
      <c r="HR213" s="2"/>
      <c r="HS213" s="2"/>
      <c r="HT213" s="2"/>
      <c r="HU213" s="2"/>
      <c r="HV213" s="260"/>
      <c r="HW213" s="260"/>
      <c r="HX213" s="260"/>
      <c r="HY213" s="260"/>
      <c r="HZ213" s="260"/>
      <c r="IA213" s="260"/>
      <c r="IB213" s="308"/>
      <c r="IC213" s="290"/>
      <c r="ID213" s="290"/>
      <c r="IE213" s="260"/>
      <c r="IF213" s="260"/>
      <c r="IG213" s="260"/>
      <c r="IH213" s="260"/>
      <c r="II213" s="260"/>
      <c r="IJ213" s="2"/>
      <c r="IK213" s="2"/>
      <c r="IL213" s="2"/>
      <c r="IM213" s="2"/>
      <c r="IN213" s="2"/>
      <c r="IO213" s="2"/>
      <c r="IP213" s="260"/>
      <c r="IQ213" s="2"/>
      <c r="IR213" s="2"/>
      <c r="IS213" s="2"/>
      <c r="IT213" s="2"/>
      <c r="IU213" s="2"/>
      <c r="IV213" s="2"/>
      <c r="IW213" s="2"/>
      <c r="IX213" s="260"/>
      <c r="IY213" s="260"/>
      <c r="IZ213" s="260"/>
      <c r="JA213" s="380"/>
      <c r="JB213" s="380"/>
      <c r="JC213" s="380"/>
      <c r="JD213" s="2"/>
      <c r="JE213" s="442"/>
      <c r="JF213" s="442"/>
      <c r="JG213" s="443"/>
      <c r="JH213" s="442"/>
      <c r="JI213" s="442"/>
      <c r="JJ213" s="2"/>
      <c r="JK213" s="2"/>
      <c r="JL213" s="2"/>
      <c r="JM213" s="2"/>
      <c r="JN213" s="260"/>
      <c r="JO213" s="260"/>
      <c r="JP213" s="260"/>
      <c r="JQ213" s="260"/>
      <c r="JR213" s="260"/>
      <c r="JS213" s="260"/>
      <c r="JT213" s="308"/>
      <c r="JU213" s="290"/>
      <c r="JV213" s="290"/>
      <c r="JW213" s="260"/>
      <c r="JX213" s="260"/>
      <c r="JY213" s="260"/>
      <c r="JZ213" s="260"/>
      <c r="KA213" s="260"/>
      <c r="KB213" s="2"/>
      <c r="KC213" s="2"/>
      <c r="KD213" s="2"/>
      <c r="KE213" s="2"/>
      <c r="KF213" s="2"/>
      <c r="KG213" s="2"/>
      <c r="KH213" s="260"/>
      <c r="KI213" s="2"/>
      <c r="KJ213" s="2"/>
      <c r="KK213" s="2"/>
      <c r="KL213" s="2"/>
      <c r="KM213" s="2"/>
      <c r="KN213" s="2"/>
      <c r="KO213" s="2"/>
      <c r="KP213" s="260"/>
      <c r="KQ213" s="260"/>
      <c r="KR213" s="260"/>
      <c r="KS213" s="380"/>
      <c r="KT213" s="380"/>
      <c r="KU213" s="380"/>
      <c r="KV213" s="2"/>
      <c r="KW213" s="442"/>
      <c r="KX213" s="442"/>
      <c r="KY213" s="443"/>
      <c r="KZ213" s="442"/>
      <c r="LA213" s="442"/>
      <c r="LB213" s="2"/>
      <c r="LC213" s="2"/>
      <c r="LD213" s="2"/>
      <c r="LE213" s="2"/>
      <c r="LF213" s="260"/>
      <c r="LG213" s="260"/>
      <c r="LH213" s="260"/>
      <c r="LI213" s="260"/>
      <c r="LJ213" s="260"/>
      <c r="LK213" s="260"/>
      <c r="LL213" s="308"/>
      <c r="LM213" s="290"/>
      <c r="LN213" s="290"/>
      <c r="LO213" s="260"/>
      <c r="LP213" s="260"/>
      <c r="LQ213" s="260"/>
      <c r="LR213" s="260"/>
      <c r="LS213" s="260"/>
      <c r="LT213" s="2"/>
      <c r="LU213" s="2"/>
      <c r="LV213" s="2"/>
      <c r="LW213" s="2"/>
      <c r="LX213" s="2"/>
      <c r="LY213" s="2"/>
      <c r="LZ213" s="260"/>
      <c r="MA213" s="2"/>
      <c r="MB213" s="2"/>
      <c r="MC213" s="2"/>
      <c r="MD213" s="2"/>
      <c r="ME213" s="2"/>
      <c r="MF213" s="2"/>
      <c r="MG213" s="2"/>
      <c r="MH213" s="260"/>
      <c r="MI213" s="260"/>
      <c r="MJ213" s="260"/>
      <c r="MK213" s="380"/>
      <c r="ML213" s="380"/>
      <c r="MM213" s="380"/>
      <c r="MN213" s="2"/>
      <c r="MO213" s="442"/>
      <c r="MP213" s="442"/>
      <c r="MQ213" s="443"/>
      <c r="MR213" s="442"/>
      <c r="MS213" s="442"/>
      <c r="MT213" s="2"/>
      <c r="MU213" s="2"/>
      <c r="MV213" s="2"/>
      <c r="MW213" s="2"/>
      <c r="MX213" s="260"/>
      <c r="MY213" s="260"/>
      <c r="MZ213" s="260"/>
      <c r="NA213" s="260"/>
      <c r="NB213" s="260"/>
      <c r="NC213" s="260"/>
      <c r="ND213" s="308"/>
      <c r="NE213" s="290"/>
      <c r="NF213" s="290"/>
      <c r="NG213" s="260"/>
      <c r="NH213" s="260"/>
      <c r="NI213" s="260"/>
      <c r="NJ213" s="260"/>
      <c r="NK213" s="260"/>
      <c r="NL213" s="2"/>
      <c r="NM213" s="2"/>
      <c r="NN213" s="2"/>
      <c r="NO213" s="2"/>
      <c r="NP213" s="2"/>
      <c r="NQ213" s="2"/>
      <c r="NR213" s="260"/>
      <c r="NS213" s="2"/>
      <c r="NT213" s="2"/>
      <c r="NU213" s="2"/>
      <c r="NV213" s="2"/>
      <c r="NW213" s="2"/>
      <c r="NX213" s="2"/>
      <c r="NY213" s="2"/>
      <c r="NZ213" s="260"/>
      <c r="OA213" s="260"/>
      <c r="OB213" s="260"/>
      <c r="OC213" s="380"/>
      <c r="OD213" s="380"/>
      <c r="OE213" s="380"/>
      <c r="OF213" s="2"/>
      <c r="OG213" s="442"/>
      <c r="OH213" s="442"/>
      <c r="OI213" s="443"/>
      <c r="OJ213" s="442"/>
      <c r="OK213" s="442"/>
      <c r="OL213" s="2"/>
      <c r="OM213" s="2"/>
      <c r="ON213" s="2"/>
      <c r="OO213" s="2"/>
      <c r="OP213" s="260"/>
      <c r="OQ213" s="260"/>
      <c r="OR213" s="260"/>
      <c r="OS213" s="260"/>
      <c r="OT213" s="260"/>
      <c r="OU213" s="260"/>
      <c r="OV213" s="308"/>
      <c r="OW213" s="290"/>
      <c r="OX213" s="290"/>
      <c r="OY213" s="260"/>
      <c r="OZ213" s="260"/>
      <c r="PA213" s="260"/>
      <c r="PB213" s="260"/>
      <c r="PC213" s="260"/>
      <c r="PD213" s="2"/>
      <c r="PE213" s="2"/>
      <c r="PF213" s="2"/>
      <c r="PG213" s="2"/>
      <c r="PH213" s="2"/>
      <c r="PI213" s="2"/>
      <c r="PJ213" s="260"/>
      <c r="PK213" s="2"/>
      <c r="PL213" s="2"/>
      <c r="PM213" s="2"/>
      <c r="PN213" s="2"/>
      <c r="PO213" s="2"/>
      <c r="PP213" s="2"/>
      <c r="PQ213" s="2"/>
      <c r="PR213" s="260"/>
      <c r="PS213" s="260"/>
      <c r="PT213" s="260"/>
      <c r="PU213" s="380"/>
      <c r="PV213" s="380"/>
      <c r="PW213" s="380"/>
      <c r="PX213" s="2"/>
      <c r="PY213" s="442"/>
      <c r="PZ213" s="442"/>
      <c r="QA213" s="443"/>
      <c r="QB213" s="442"/>
      <c r="QC213" s="442"/>
      <c r="QD213" s="2"/>
      <c r="QE213" s="2"/>
      <c r="QF213" s="2"/>
      <c r="QG213" s="2"/>
      <c r="QH213" s="260"/>
      <c r="QI213" s="260"/>
      <c r="QJ213" s="260"/>
      <c r="QK213" s="260"/>
      <c r="QL213" s="260"/>
      <c r="QM213" s="260"/>
      <c r="QN213" s="308"/>
      <c r="QO213" s="290"/>
      <c r="QP213" s="290"/>
      <c r="QQ213" s="260"/>
      <c r="QR213" s="260"/>
      <c r="QS213" s="260"/>
      <c r="QT213" s="260"/>
      <c r="QU213" s="260"/>
      <c r="QV213" s="2"/>
      <c r="QW213" s="2"/>
      <c r="QX213" s="2"/>
      <c r="QY213" s="2"/>
      <c r="QZ213" s="2"/>
      <c r="RA213" s="2"/>
      <c r="RB213" s="260"/>
      <c r="RC213" s="2"/>
      <c r="RD213" s="2"/>
      <c r="RE213" s="2"/>
      <c r="RF213" s="2"/>
      <c r="RG213" s="2"/>
      <c r="RH213" s="2"/>
      <c r="RI213" s="2"/>
      <c r="RJ213" s="260"/>
      <c r="RK213" s="260"/>
      <c r="RL213" s="260"/>
      <c r="RM213" s="380"/>
      <c r="RN213" s="380"/>
      <c r="RO213" s="380"/>
      <c r="RP213" s="2"/>
      <c r="RQ213" s="442"/>
      <c r="RR213" s="442"/>
      <c r="RS213" s="443"/>
      <c r="RT213" s="442"/>
      <c r="RU213" s="442"/>
      <c r="RV213" s="2"/>
      <c r="RW213" s="2"/>
      <c r="RX213" s="2"/>
      <c r="RY213" s="2"/>
      <c r="RZ213" s="260"/>
      <c r="SA213" s="260"/>
      <c r="SB213" s="260"/>
      <c r="SC213" s="260"/>
      <c r="SD213" s="260"/>
      <c r="SE213" s="260"/>
      <c r="SF213" s="308"/>
      <c r="SG213" s="290"/>
      <c r="SH213" s="290"/>
      <c r="SI213" s="260"/>
      <c r="SJ213" s="260"/>
      <c r="SK213" s="260"/>
      <c r="SL213" s="260"/>
      <c r="SM213" s="260"/>
      <c r="SN213" s="2"/>
      <c r="SO213" s="2"/>
      <c r="SP213" s="2"/>
      <c r="SQ213" s="2"/>
      <c r="SR213" s="2"/>
      <c r="SS213" s="2"/>
      <c r="ST213" s="260"/>
      <c r="SU213" s="2"/>
      <c r="SV213" s="2"/>
      <c r="SW213" s="2"/>
      <c r="SX213" s="2"/>
      <c r="SY213" s="2"/>
      <c r="SZ213" s="2"/>
      <c r="TA213" s="2"/>
      <c r="TB213" s="260"/>
      <c r="TC213" s="260"/>
      <c r="TD213" s="260"/>
      <c r="TE213" s="380"/>
      <c r="TF213" s="380"/>
      <c r="TG213" s="380"/>
      <c r="TH213" s="2"/>
      <c r="TI213" s="442"/>
      <c r="TJ213" s="442"/>
      <c r="TK213" s="443"/>
      <c r="TL213" s="442"/>
      <c r="TM213" s="442"/>
      <c r="TN213" s="2"/>
      <c r="TO213" s="2"/>
      <c r="TP213" s="2"/>
      <c r="TQ213" s="2"/>
      <c r="TR213" s="260"/>
      <c r="TS213" s="260"/>
      <c r="TT213" s="260"/>
      <c r="TU213" s="260"/>
      <c r="TV213" s="260"/>
      <c r="TW213" s="260"/>
      <c r="TX213" s="308"/>
      <c r="TY213" s="290"/>
      <c r="TZ213" s="290"/>
      <c r="UA213" s="260"/>
      <c r="UB213" s="260"/>
      <c r="UC213" s="260"/>
      <c r="UD213" s="260"/>
      <c r="UE213" s="260"/>
      <c r="UF213" s="2"/>
      <c r="UG213" s="2"/>
      <c r="UH213" s="2"/>
      <c r="UI213" s="2"/>
      <c r="UJ213" s="2"/>
      <c r="UK213" s="2"/>
      <c r="UL213" s="260"/>
      <c r="UM213" s="2"/>
      <c r="UN213" s="2"/>
      <c r="UO213" s="2"/>
      <c r="UP213" s="2"/>
      <c r="UQ213" s="2"/>
      <c r="UR213" s="2"/>
      <c r="US213" s="2"/>
      <c r="UT213" s="260"/>
      <c r="UU213" s="260"/>
      <c r="UV213" s="260"/>
      <c r="UW213" s="380"/>
      <c r="UX213" s="380"/>
      <c r="UY213" s="380"/>
      <c r="UZ213" s="2"/>
      <c r="VA213" s="442"/>
      <c r="VB213" s="442"/>
      <c r="VC213" s="443"/>
      <c r="VD213" s="442"/>
      <c r="VE213" s="442"/>
      <c r="VF213" s="2"/>
      <c r="VG213" s="2"/>
      <c r="VH213" s="2"/>
      <c r="VI213" s="2"/>
      <c r="VJ213" s="260"/>
      <c r="VK213" s="260"/>
      <c r="VL213" s="260"/>
      <c r="VM213" s="260"/>
      <c r="VN213" s="260"/>
      <c r="VO213" s="260"/>
      <c r="VP213" s="308"/>
      <c r="VQ213" s="290"/>
      <c r="VR213" s="290"/>
      <c r="VS213" s="260"/>
      <c r="VT213" s="260"/>
      <c r="VU213" s="260"/>
      <c r="VV213" s="260"/>
      <c r="VW213" s="260"/>
      <c r="VX213" s="2"/>
      <c r="VY213" s="2"/>
      <c r="VZ213" s="2"/>
      <c r="WA213" s="2"/>
      <c r="WB213" s="2"/>
      <c r="WC213" s="2"/>
      <c r="WD213" s="260"/>
      <c r="WE213" s="2"/>
      <c r="WF213" s="2"/>
      <c r="WG213" s="2"/>
      <c r="WH213" s="2"/>
      <c r="WI213" s="2"/>
      <c r="WJ213" s="2"/>
      <c r="WK213" s="2"/>
      <c r="WL213" s="260"/>
      <c r="WM213" s="260"/>
      <c r="WN213" s="260"/>
      <c r="WO213" s="380"/>
      <c r="WP213" s="380"/>
      <c r="WQ213" s="380"/>
      <c r="WR213" s="2"/>
      <c r="WS213" s="442"/>
      <c r="WT213" s="442"/>
      <c r="WU213" s="443"/>
      <c r="WV213" s="442"/>
      <c r="WW213" s="442"/>
      <c r="WX213" s="2"/>
      <c r="WY213" s="2"/>
      <c r="WZ213" s="2"/>
      <c r="XA213" s="2"/>
      <c r="XB213" s="260"/>
      <c r="XC213" s="260"/>
      <c r="XD213" s="260"/>
      <c r="XE213" s="260"/>
      <c r="XF213" s="260"/>
      <c r="XG213" s="260"/>
      <c r="XH213" s="308"/>
      <c r="XI213" s="290"/>
      <c r="XJ213" s="290"/>
      <c r="XK213" s="260"/>
      <c r="XL213" s="260"/>
      <c r="XM213" s="260"/>
      <c r="XN213" s="260"/>
      <c r="XO213" s="260"/>
      <c r="XP213" s="2"/>
      <c r="XQ213" s="2"/>
      <c r="XR213" s="2"/>
      <c r="XS213" s="2"/>
      <c r="XT213" s="2"/>
      <c r="XU213" s="2"/>
      <c r="XV213" s="260"/>
      <c r="XW213" s="2"/>
      <c r="XX213" s="2"/>
      <c r="XY213" s="2"/>
      <c r="XZ213" s="2"/>
      <c r="YA213" s="2"/>
      <c r="YB213" s="2"/>
      <c r="YC213" s="2"/>
      <c r="YD213" s="260"/>
      <c r="YE213" s="260"/>
      <c r="YF213" s="260"/>
      <c r="YG213" s="380"/>
      <c r="YH213" s="380"/>
      <c r="YI213" s="380"/>
      <c r="YJ213" s="2"/>
      <c r="YK213" s="442"/>
      <c r="YL213" s="442"/>
      <c r="YM213" s="443"/>
      <c r="YN213" s="442"/>
      <c r="YO213" s="442"/>
      <c r="YP213" s="2"/>
      <c r="YQ213" s="2"/>
      <c r="YR213" s="2"/>
      <c r="YS213" s="2"/>
      <c r="YT213" s="260"/>
      <c r="YU213" s="260"/>
      <c r="YV213" s="260"/>
      <c r="YW213" s="260"/>
      <c r="YX213" s="260"/>
      <c r="YY213" s="260"/>
      <c r="YZ213" s="308"/>
      <c r="ZA213" s="290"/>
      <c r="ZB213" s="290"/>
      <c r="ZC213" s="260"/>
      <c r="ZD213" s="260"/>
      <c r="ZE213" s="260"/>
      <c r="ZF213" s="260"/>
      <c r="ZG213" s="260"/>
      <c r="ZH213" s="2"/>
      <c r="ZI213" s="2"/>
      <c r="ZJ213" s="2"/>
      <c r="ZK213" s="2"/>
      <c r="ZL213" s="2"/>
      <c r="ZM213" s="2"/>
      <c r="ZN213" s="260"/>
      <c r="ZO213" s="2"/>
      <c r="ZP213" s="2"/>
      <c r="ZQ213" s="2"/>
      <c r="ZR213" s="2"/>
      <c r="ZS213" s="2"/>
      <c r="ZT213" s="2"/>
      <c r="ZU213" s="2"/>
      <c r="ZV213" s="260"/>
      <c r="ZW213" s="260"/>
      <c r="ZX213" s="260"/>
      <c r="ZY213" s="380"/>
      <c r="ZZ213" s="380"/>
      <c r="AAA213" s="380"/>
      <c r="AAB213" s="2"/>
      <c r="AAC213" s="442"/>
      <c r="AAD213" s="442"/>
      <c r="AAE213" s="443"/>
      <c r="AAF213" s="442"/>
      <c r="AAG213" s="442"/>
      <c r="AAH213" s="2"/>
      <c r="AAI213" s="2"/>
      <c r="AAJ213" s="2"/>
      <c r="AAK213" s="2"/>
      <c r="AAL213" s="260"/>
      <c r="AAM213" s="260"/>
      <c r="AAN213" s="260"/>
      <c r="AAO213" s="260"/>
      <c r="AAP213" s="260"/>
      <c r="AAQ213" s="260"/>
      <c r="AAR213" s="308"/>
      <c r="AAS213" s="290"/>
      <c r="AAT213" s="290"/>
      <c r="AAU213" s="260"/>
      <c r="AAV213" s="260"/>
      <c r="AAW213" s="260"/>
      <c r="AAX213" s="260"/>
      <c r="AAY213" s="260"/>
      <c r="AAZ213" s="2"/>
      <c r="ABA213" s="2"/>
      <c r="ABB213" s="2"/>
      <c r="ABC213" s="2"/>
      <c r="ABD213" s="2"/>
      <c r="ABE213" s="2"/>
      <c r="ABF213" s="260"/>
      <c r="ABG213" s="2"/>
      <c r="ABH213" s="2"/>
      <c r="ABI213" s="2"/>
      <c r="ABJ213" s="2"/>
      <c r="ABK213" s="2"/>
      <c r="ABL213" s="2"/>
      <c r="ABM213" s="2"/>
      <c r="ABN213" s="260"/>
      <c r="ABO213" s="260"/>
      <c r="ABP213" s="260"/>
      <c r="ABQ213" s="380"/>
      <c r="ABR213" s="380"/>
      <c r="ABS213" s="380"/>
      <c r="ABT213" s="2"/>
      <c r="ABU213" s="442"/>
      <c r="ABV213" s="442"/>
      <c r="ABW213" s="443"/>
      <c r="ABX213" s="442"/>
      <c r="ABY213" s="442"/>
      <c r="ABZ213" s="2"/>
      <c r="ACA213" s="2"/>
      <c r="ACB213" s="2"/>
      <c r="ACC213" s="2"/>
      <c r="ACD213" s="260"/>
      <c r="ACE213" s="260"/>
      <c r="ACF213" s="260"/>
      <c r="ACG213" s="260"/>
      <c r="ACH213" s="260"/>
      <c r="ACI213" s="260"/>
      <c r="ACJ213" s="308"/>
      <c r="ACK213" s="290"/>
      <c r="ACL213" s="290"/>
      <c r="ACM213" s="260"/>
      <c r="ACN213" s="260"/>
      <c r="ACO213" s="260"/>
      <c r="ACP213" s="260"/>
      <c r="ACQ213" s="260"/>
      <c r="ACR213" s="2"/>
      <c r="ACS213" s="2"/>
      <c r="ACT213" s="2"/>
      <c r="ACU213" s="2"/>
      <c r="ACV213" s="2"/>
      <c r="ACW213" s="2"/>
      <c r="ACX213" s="260"/>
      <c r="ACY213" s="2"/>
      <c r="ACZ213" s="2"/>
      <c r="ADA213" s="2"/>
      <c r="ADB213" s="2"/>
      <c r="ADC213" s="2"/>
      <c r="ADD213" s="2"/>
      <c r="ADE213" s="2"/>
      <c r="ADF213" s="260"/>
      <c r="ADG213" s="260"/>
      <c r="ADH213" s="260"/>
      <c r="ADI213" s="380"/>
      <c r="ADJ213" s="380"/>
      <c r="ADK213" s="380"/>
      <c r="ADL213" s="2"/>
      <c r="ADM213" s="442"/>
      <c r="ADN213" s="442"/>
      <c r="ADO213" s="443"/>
      <c r="ADP213" s="442"/>
      <c r="ADQ213" s="442"/>
      <c r="ADR213" s="2"/>
      <c r="ADS213" s="2"/>
      <c r="ADT213" s="2"/>
      <c r="ADU213" s="2"/>
      <c r="ADV213" s="260"/>
      <c r="ADW213" s="260"/>
      <c r="ADX213" s="260"/>
      <c r="ADY213" s="260"/>
      <c r="ADZ213" s="260"/>
      <c r="AEA213" s="260"/>
      <c r="AEB213" s="308"/>
      <c r="AEC213" s="290"/>
      <c r="AED213" s="290"/>
      <c r="AEE213" s="260"/>
      <c r="AEF213" s="260"/>
      <c r="AEG213" s="260"/>
      <c r="AEH213" s="260"/>
      <c r="AEI213" s="260"/>
      <c r="AEJ213" s="2"/>
      <c r="AEK213" s="2"/>
      <c r="AEL213" s="2"/>
      <c r="AEM213" s="2"/>
      <c r="AEN213" s="2"/>
      <c r="AEO213" s="2"/>
      <c r="AEP213" s="260"/>
      <c r="AEQ213" s="2"/>
      <c r="AER213" s="2"/>
      <c r="AES213" s="2"/>
      <c r="AET213" s="2"/>
      <c r="AEU213" s="2"/>
      <c r="AEV213" s="2"/>
      <c r="AEW213" s="2"/>
      <c r="AEX213" s="260"/>
      <c r="AEY213" s="260"/>
      <c r="AEZ213" s="260"/>
      <c r="AFA213" s="380"/>
      <c r="AFB213" s="380"/>
      <c r="AFC213" s="380"/>
      <c r="AFD213" s="2"/>
      <c r="AFE213" s="442"/>
      <c r="AFF213" s="442"/>
      <c r="AFG213" s="443"/>
      <c r="AFH213" s="442"/>
      <c r="AFI213" s="442"/>
      <c r="AFJ213" s="2"/>
      <c r="AFK213" s="2"/>
      <c r="AFL213" s="2"/>
      <c r="AFM213" s="2"/>
      <c r="AFN213" s="260"/>
      <c r="AFO213" s="260"/>
      <c r="AFP213" s="260"/>
      <c r="AFQ213" s="260"/>
      <c r="AFR213" s="260"/>
      <c r="AFS213" s="260"/>
      <c r="AFT213" s="308"/>
      <c r="AFU213" s="290"/>
      <c r="AFV213" s="290"/>
      <c r="AFW213" s="260"/>
      <c r="AFX213" s="260"/>
      <c r="AFY213" s="260"/>
      <c r="AFZ213" s="260"/>
      <c r="AGA213" s="260"/>
      <c r="AGB213" s="2"/>
      <c r="AGC213" s="2"/>
      <c r="AGD213" s="2"/>
      <c r="AGE213" s="2"/>
      <c r="AGF213" s="2"/>
      <c r="AGG213" s="2"/>
      <c r="AGH213" s="260"/>
      <c r="AGI213" s="2"/>
      <c r="AGJ213" s="2"/>
      <c r="AGK213" s="2"/>
      <c r="AGL213" s="2"/>
      <c r="AGM213" s="2"/>
      <c r="AGN213" s="2"/>
      <c r="AGO213" s="2"/>
      <c r="AGP213" s="260"/>
      <c r="AGQ213" s="260"/>
      <c r="AGR213" s="260"/>
      <c r="AGS213" s="380"/>
      <c r="AGT213" s="380"/>
      <c r="AGU213" s="380"/>
      <c r="AGV213" s="2"/>
      <c r="AGW213" s="442"/>
      <c r="AGX213" s="442"/>
      <c r="AGY213" s="443"/>
      <c r="AGZ213" s="442"/>
      <c r="AHA213" s="442"/>
      <c r="AHB213" s="2"/>
      <c r="AHC213" s="2"/>
      <c r="AHD213" s="2"/>
      <c r="AHE213" s="2"/>
      <c r="AHF213" s="260"/>
      <c r="AHG213" s="260"/>
      <c r="AHH213" s="260"/>
      <c r="AHI213" s="260"/>
      <c r="AHJ213" s="260"/>
      <c r="AHK213" s="260"/>
      <c r="AHL213" s="308"/>
      <c r="AHM213" s="290"/>
      <c r="AHN213" s="290"/>
      <c r="AHO213" s="260"/>
      <c r="AHP213" s="260"/>
      <c r="AHQ213" s="260"/>
      <c r="AHR213" s="260"/>
      <c r="AHS213" s="260"/>
      <c r="AHT213" s="2"/>
      <c r="AHU213" s="2"/>
      <c r="AHV213" s="2"/>
      <c r="AHW213" s="2"/>
      <c r="AHX213" s="2"/>
      <c r="AHY213" s="2"/>
      <c r="AHZ213" s="260"/>
      <c r="AIA213" s="2"/>
      <c r="AIB213" s="2"/>
      <c r="AIC213" s="2"/>
      <c r="AID213" s="2"/>
      <c r="AIE213" s="2"/>
      <c r="AIF213" s="2"/>
      <c r="AIG213" s="2"/>
      <c r="AIH213" s="260"/>
      <c r="AII213" s="260"/>
      <c r="AIJ213" s="260"/>
      <c r="AIK213" s="380"/>
      <c r="AIL213" s="380"/>
      <c r="AIM213" s="380"/>
      <c r="AIN213" s="2"/>
      <c r="AIO213" s="442"/>
      <c r="AIP213" s="442"/>
      <c r="AIQ213" s="443"/>
      <c r="AIR213" s="442"/>
      <c r="AIS213" s="442"/>
      <c r="AIT213" s="2"/>
      <c r="AIU213" s="2"/>
      <c r="AIV213" s="2"/>
      <c r="AIW213" s="2"/>
      <c r="AIX213" s="260"/>
      <c r="AIY213" s="260"/>
      <c r="AIZ213" s="260"/>
      <c r="AJA213" s="260"/>
      <c r="AJB213" s="260"/>
      <c r="AJC213" s="260"/>
      <c r="AJD213" s="308"/>
      <c r="AJE213" s="290"/>
      <c r="AJF213" s="290"/>
      <c r="AJG213" s="260"/>
      <c r="AJH213" s="260"/>
      <c r="AJI213" s="260"/>
      <c r="AJJ213" s="260"/>
      <c r="AJK213" s="260"/>
      <c r="AJL213" s="2"/>
      <c r="AJM213" s="2"/>
      <c r="AJN213" s="2"/>
      <c r="AJO213" s="2"/>
      <c r="AJP213" s="2"/>
      <c r="AJQ213" s="2"/>
      <c r="AJR213" s="260"/>
      <c r="AJS213" s="2"/>
      <c r="AJT213" s="2"/>
      <c r="AJU213" s="2"/>
      <c r="AJV213" s="2"/>
      <c r="AJW213" s="2"/>
      <c r="AJX213" s="2"/>
      <c r="AJY213" s="2"/>
      <c r="AJZ213" s="260"/>
      <c r="AKA213" s="260"/>
      <c r="AKB213" s="260"/>
      <c r="AKC213" s="380"/>
      <c r="AKD213" s="380"/>
      <c r="AKE213" s="380"/>
      <c r="AKF213" s="2"/>
      <c r="AKG213" s="442"/>
      <c r="AKH213" s="442"/>
      <c r="AKI213" s="443"/>
      <c r="AKJ213" s="442"/>
      <c r="AKK213" s="442"/>
      <c r="AKL213" s="2"/>
      <c r="AKM213" s="2"/>
      <c r="AKN213" s="2"/>
      <c r="AKO213" s="2"/>
      <c r="AKP213" s="260"/>
      <c r="AKQ213" s="260"/>
      <c r="AKR213" s="260"/>
      <c r="AKS213" s="260"/>
      <c r="AKT213" s="260"/>
      <c r="AKU213" s="260"/>
      <c r="AKV213" s="308"/>
      <c r="AKW213" s="290"/>
      <c r="AKX213" s="290"/>
      <c r="AKY213" s="260"/>
      <c r="AKZ213" s="260"/>
      <c r="ALA213" s="260"/>
      <c r="ALB213" s="260"/>
      <c r="ALC213" s="260"/>
      <c r="ALD213" s="2"/>
      <c r="ALE213" s="2"/>
      <c r="ALF213" s="2"/>
      <c r="ALG213" s="2"/>
      <c r="ALH213" s="2"/>
      <c r="ALI213" s="2"/>
      <c r="ALJ213" s="260"/>
      <c r="ALK213" s="2"/>
      <c r="ALL213" s="2"/>
      <c r="ALM213" s="2"/>
      <c r="ALN213" s="2"/>
      <c r="ALO213" s="2"/>
      <c r="ALP213" s="2"/>
      <c r="ALQ213" s="2"/>
      <c r="ALR213" s="260"/>
      <c r="ALS213" s="260"/>
      <c r="ALT213" s="260"/>
      <c r="ALU213" s="380"/>
      <c r="ALV213" s="380"/>
      <c r="ALW213" s="380"/>
      <c r="ALX213" s="2"/>
      <c r="ALY213" s="442"/>
      <c r="ALZ213" s="442"/>
      <c r="AMA213" s="443"/>
      <c r="AMB213" s="442"/>
      <c r="AMC213" s="442"/>
      <c r="AMD213" s="2"/>
      <c r="AME213" s="2"/>
      <c r="AMF213" s="2"/>
      <c r="AMG213" s="2"/>
      <c r="AMH213" s="260"/>
      <c r="AMI213" s="260"/>
      <c r="AMJ213" s="260"/>
      <c r="AMK213" s="260"/>
      <c r="AML213" s="260"/>
      <c r="AMM213" s="260"/>
      <c r="AMN213" s="308"/>
      <c r="AMO213" s="290"/>
      <c r="AMP213" s="290"/>
      <c r="AMQ213" s="260"/>
      <c r="AMR213" s="260"/>
      <c r="AMS213" s="260"/>
      <c r="AMT213" s="260"/>
      <c r="AMU213" s="260"/>
      <c r="AMV213" s="2"/>
      <c r="AMW213" s="2"/>
      <c r="AMX213" s="2"/>
      <c r="AMY213" s="2"/>
      <c r="AMZ213" s="2"/>
      <c r="ANA213" s="2"/>
      <c r="ANB213" s="260"/>
      <c r="ANC213" s="2"/>
      <c r="AND213" s="2"/>
      <c r="ANE213" s="2"/>
      <c r="ANF213" s="2"/>
      <c r="ANG213" s="2"/>
      <c r="ANH213" s="2"/>
      <c r="ANI213" s="2"/>
      <c r="ANJ213" s="260"/>
      <c r="ANK213" s="260"/>
      <c r="ANL213" s="260"/>
      <c r="ANM213" s="380"/>
      <c r="ANN213" s="380"/>
      <c r="ANO213" s="380"/>
      <c r="ANP213" s="2"/>
      <c r="ANQ213" s="442"/>
      <c r="ANR213" s="442"/>
      <c r="ANS213" s="443"/>
      <c r="ANT213" s="442"/>
      <c r="ANU213" s="442"/>
      <c r="ANV213" s="2"/>
      <c r="ANW213" s="2"/>
      <c r="ANX213" s="2"/>
      <c r="ANY213" s="2"/>
      <c r="ANZ213" s="260"/>
      <c r="AOA213" s="260"/>
      <c r="AOB213" s="260"/>
      <c r="AOC213" s="260"/>
      <c r="AOD213" s="260"/>
      <c r="AOE213" s="260"/>
      <c r="AOF213" s="308"/>
      <c r="AOG213" s="290"/>
      <c r="AOH213" s="290"/>
      <c r="AOI213" s="260"/>
      <c r="AOJ213" s="260"/>
      <c r="AOK213" s="260"/>
      <c r="AOL213" s="260"/>
      <c r="AOM213" s="260"/>
      <c r="AON213" s="2"/>
      <c r="AOO213" s="2"/>
      <c r="AOP213" s="2"/>
      <c r="AOQ213" s="2"/>
      <c r="AOR213" s="2"/>
      <c r="AOS213" s="2"/>
      <c r="AOT213" s="260"/>
      <c r="AOU213" s="2"/>
      <c r="AOV213" s="2"/>
      <c r="AOW213" s="2"/>
      <c r="AOX213" s="2"/>
      <c r="AOY213" s="2"/>
      <c r="AOZ213" s="2"/>
      <c r="APA213" s="2"/>
      <c r="APB213" s="260"/>
      <c r="APC213" s="260"/>
      <c r="APD213" s="260"/>
      <c r="APE213" s="380"/>
      <c r="APF213" s="380"/>
      <c r="APG213" s="380"/>
      <c r="APH213" s="2"/>
      <c r="API213" s="442"/>
      <c r="APJ213" s="442"/>
      <c r="APK213" s="443"/>
      <c r="APL213" s="442"/>
      <c r="APM213" s="442"/>
      <c r="APN213" s="2"/>
      <c r="APO213" s="2"/>
      <c r="APP213" s="2"/>
      <c r="APQ213" s="2"/>
      <c r="APR213" s="260"/>
      <c r="APS213" s="260"/>
      <c r="APT213" s="260"/>
      <c r="APU213" s="260"/>
      <c r="APV213" s="260"/>
      <c r="APW213" s="260"/>
      <c r="APX213" s="308"/>
      <c r="APY213" s="290"/>
      <c r="APZ213" s="290"/>
      <c r="AQA213" s="260"/>
      <c r="AQB213" s="260"/>
      <c r="AQC213" s="260"/>
      <c r="AQD213" s="260"/>
      <c r="AQE213" s="260"/>
      <c r="AQF213" s="2"/>
      <c r="AQG213" s="2"/>
      <c r="AQH213" s="2"/>
      <c r="AQI213" s="2"/>
      <c r="AQJ213" s="2"/>
      <c r="AQK213" s="2"/>
      <c r="AQL213" s="260"/>
      <c r="AQM213" s="2"/>
      <c r="AQN213" s="2"/>
      <c r="AQO213" s="2"/>
      <c r="AQP213" s="2"/>
      <c r="AQQ213" s="2"/>
      <c r="AQR213" s="2"/>
      <c r="AQS213" s="2"/>
      <c r="AQT213" s="260"/>
      <c r="AQU213" s="260"/>
      <c r="AQV213" s="260"/>
      <c r="AQW213" s="380"/>
      <c r="AQX213" s="380"/>
      <c r="AQY213" s="380"/>
      <c r="AQZ213" s="2"/>
      <c r="ARA213" s="442"/>
      <c r="ARB213" s="442"/>
      <c r="ARC213" s="443"/>
      <c r="ARD213" s="442"/>
      <c r="ARE213" s="442"/>
      <c r="ARF213" s="2"/>
      <c r="ARG213" s="2"/>
      <c r="ARH213" s="2"/>
      <c r="ARI213" s="2"/>
      <c r="ARJ213" s="260"/>
      <c r="ARK213" s="260"/>
      <c r="ARL213" s="260"/>
      <c r="ARM213" s="260"/>
      <c r="ARN213" s="260"/>
      <c r="ARO213" s="260"/>
      <c r="ARP213" s="308"/>
      <c r="ARQ213" s="290"/>
      <c r="ARR213" s="290"/>
      <c r="ARS213" s="260"/>
      <c r="ART213" s="260"/>
      <c r="ARU213" s="260"/>
      <c r="ARV213" s="260"/>
      <c r="ARW213" s="260"/>
      <c r="ARX213" s="2"/>
      <c r="ARY213" s="2"/>
      <c r="ARZ213" s="2"/>
      <c r="ASA213" s="2"/>
      <c r="ASB213" s="2"/>
      <c r="ASC213" s="2"/>
      <c r="ASD213" s="260"/>
      <c r="ASE213" s="2"/>
      <c r="ASF213" s="2"/>
      <c r="ASG213" s="2"/>
      <c r="ASH213" s="2"/>
      <c r="ASI213" s="2"/>
      <c r="ASJ213" s="2"/>
      <c r="ASK213" s="2"/>
      <c r="ASL213" s="260"/>
      <c r="ASM213" s="260"/>
      <c r="ASN213" s="260"/>
      <c r="ASO213" s="380"/>
      <c r="ASP213" s="380"/>
      <c r="ASQ213" s="380"/>
      <c r="ASR213" s="2"/>
      <c r="ASS213" s="442"/>
      <c r="AST213" s="442"/>
      <c r="ASU213" s="443"/>
      <c r="ASV213" s="442"/>
      <c r="ASW213" s="442"/>
      <c r="ASX213" s="2"/>
      <c r="ASY213" s="2"/>
      <c r="ASZ213" s="2"/>
      <c r="ATA213" s="2"/>
      <c r="ATB213" s="260"/>
      <c r="ATC213" s="260"/>
      <c r="ATD213" s="260"/>
      <c r="ATE213" s="260"/>
      <c r="ATF213" s="260"/>
      <c r="ATG213" s="260"/>
      <c r="ATH213" s="308"/>
      <c r="ATI213" s="290"/>
      <c r="ATJ213" s="290"/>
      <c r="ATK213" s="260"/>
      <c r="ATL213" s="260"/>
      <c r="ATM213" s="260"/>
      <c r="ATN213" s="260"/>
      <c r="ATO213" s="260"/>
      <c r="ATP213" s="2"/>
      <c r="ATQ213" s="2"/>
      <c r="ATR213" s="2"/>
      <c r="ATS213" s="2"/>
      <c r="ATT213" s="2"/>
      <c r="ATU213" s="2"/>
      <c r="ATV213" s="260"/>
      <c r="ATW213" s="2"/>
      <c r="ATX213" s="2"/>
      <c r="ATY213" s="2"/>
      <c r="ATZ213" s="2"/>
      <c r="AUA213" s="2"/>
      <c r="AUB213" s="2"/>
      <c r="AUC213" s="2"/>
      <c r="AUD213" s="260"/>
      <c r="AUE213" s="260"/>
      <c r="AUF213" s="260"/>
      <c r="AUG213" s="380"/>
      <c r="AUH213" s="380"/>
      <c r="AUI213" s="380"/>
      <c r="AUJ213" s="2"/>
      <c r="AUK213" s="442"/>
      <c r="AUL213" s="442"/>
      <c r="AUM213" s="443"/>
      <c r="AUN213" s="442"/>
      <c r="AUO213" s="442"/>
      <c r="AUP213" s="2"/>
      <c r="AUQ213" s="2"/>
      <c r="AUR213" s="2"/>
      <c r="AUS213" s="2"/>
      <c r="AUT213" s="260"/>
      <c r="AUU213" s="260"/>
      <c r="AUV213" s="260"/>
      <c r="AUW213" s="260"/>
      <c r="AUX213" s="260"/>
      <c r="AUY213" s="260"/>
      <c r="AUZ213" s="308"/>
      <c r="AVA213" s="290"/>
      <c r="AVB213" s="290"/>
      <c r="AVC213" s="260"/>
      <c r="AVD213" s="260"/>
      <c r="AVE213" s="260"/>
      <c r="AVF213" s="260"/>
      <c r="AVG213" s="260"/>
      <c r="AVH213" s="2"/>
      <c r="AVI213" s="2"/>
      <c r="AVJ213" s="2"/>
      <c r="AVK213" s="2"/>
      <c r="AVL213" s="2"/>
      <c r="AVM213" s="2"/>
      <c r="AVN213" s="260"/>
      <c r="AVO213" s="2"/>
      <c r="AVP213" s="2"/>
      <c r="AVQ213" s="2"/>
      <c r="AVR213" s="2"/>
      <c r="AVS213" s="2"/>
      <c r="AVT213" s="2"/>
      <c r="AVU213" s="2"/>
      <c r="AVV213" s="260"/>
      <c r="AVW213" s="260"/>
      <c r="AVX213" s="260"/>
      <c r="AVY213" s="380"/>
      <c r="AVZ213" s="380"/>
      <c r="AWA213" s="380"/>
      <c r="AWB213" s="2"/>
      <c r="AWC213" s="442"/>
      <c r="AWD213" s="442"/>
      <c r="AWE213" s="443"/>
      <c r="AWF213" s="442"/>
      <c r="AWG213" s="442"/>
      <c r="AWH213" s="2"/>
      <c r="AWI213" s="2"/>
      <c r="AWJ213" s="2"/>
      <c r="AWK213" s="2"/>
      <c r="AWL213" s="260"/>
      <c r="AWM213" s="260"/>
      <c r="AWN213" s="260"/>
      <c r="AWO213" s="260"/>
      <c r="AWP213" s="260"/>
      <c r="AWQ213" s="260"/>
      <c r="AWR213" s="308"/>
      <c r="AWS213" s="290"/>
      <c r="AWT213" s="290"/>
      <c r="AWU213" s="260"/>
      <c r="AWV213" s="260"/>
      <c r="AWW213" s="260"/>
      <c r="AWX213" s="260"/>
      <c r="AWY213" s="260"/>
      <c r="AWZ213" s="2"/>
      <c r="AXA213" s="2"/>
      <c r="AXB213" s="2"/>
      <c r="AXC213" s="2"/>
      <c r="AXD213" s="2"/>
      <c r="AXE213" s="2"/>
      <c r="AXF213" s="260"/>
      <c r="AXG213" s="2"/>
      <c r="AXH213" s="2"/>
      <c r="AXI213" s="2"/>
      <c r="AXJ213" s="2"/>
      <c r="AXK213" s="2"/>
      <c r="AXL213" s="2"/>
      <c r="AXM213" s="2"/>
      <c r="AXN213" s="260"/>
      <c r="AXO213" s="260"/>
      <c r="AXP213" s="260"/>
      <c r="AXQ213" s="380"/>
      <c r="AXR213" s="380"/>
      <c r="AXS213" s="380"/>
      <c r="AXT213" s="2"/>
      <c r="AXU213" s="442"/>
      <c r="AXV213" s="442"/>
      <c r="AXW213" s="443"/>
      <c r="AXX213" s="442"/>
      <c r="AXY213" s="442"/>
      <c r="AXZ213" s="2"/>
      <c r="AYA213" s="2"/>
      <c r="AYB213" s="2"/>
      <c r="AYC213" s="2"/>
      <c r="AYD213" s="260"/>
      <c r="AYE213" s="260"/>
      <c r="AYF213" s="260"/>
      <c r="AYG213" s="260"/>
      <c r="AYH213" s="260"/>
      <c r="AYI213" s="260"/>
      <c r="AYJ213" s="308"/>
      <c r="AYK213" s="290"/>
      <c r="AYL213" s="290"/>
      <c r="AYM213" s="260"/>
      <c r="AYN213" s="260"/>
      <c r="AYO213" s="260"/>
      <c r="AYP213" s="260"/>
      <c r="AYQ213" s="260"/>
      <c r="AYR213" s="2"/>
      <c r="AYS213" s="2"/>
      <c r="AYT213" s="2"/>
      <c r="AYU213" s="2"/>
      <c r="AYV213" s="2"/>
      <c r="AYW213" s="2"/>
      <c r="AYX213" s="260"/>
      <c r="AYY213" s="2"/>
      <c r="AYZ213" s="2"/>
      <c r="AZA213" s="2"/>
      <c r="AZB213" s="2"/>
      <c r="AZC213" s="2"/>
      <c r="AZD213" s="2"/>
      <c r="AZE213" s="2"/>
      <c r="AZF213" s="260"/>
      <c r="AZG213" s="260"/>
      <c r="AZH213" s="260"/>
      <c r="AZI213" s="380"/>
      <c r="AZJ213" s="380"/>
      <c r="AZK213" s="380"/>
      <c r="AZL213" s="2"/>
      <c r="AZM213" s="442"/>
      <c r="AZN213" s="442"/>
      <c r="AZO213" s="443"/>
      <c r="AZP213" s="442"/>
      <c r="AZQ213" s="442"/>
      <c r="AZR213" s="2"/>
      <c r="AZS213" s="2"/>
      <c r="AZT213" s="2"/>
      <c r="AZU213" s="2"/>
      <c r="AZV213" s="260"/>
      <c r="AZW213" s="260"/>
      <c r="AZX213" s="260"/>
      <c r="AZY213" s="260"/>
      <c r="AZZ213" s="260"/>
      <c r="BAA213" s="260"/>
      <c r="BAB213" s="308"/>
      <c r="BAC213" s="290"/>
      <c r="BAD213" s="290"/>
      <c r="BAE213" s="260"/>
      <c r="BAF213" s="260"/>
      <c r="BAG213" s="260"/>
      <c r="BAH213" s="260"/>
      <c r="BAI213" s="260"/>
      <c r="BAJ213" s="2"/>
      <c r="BAK213" s="2"/>
      <c r="BAL213" s="2"/>
      <c r="BAM213" s="2"/>
      <c r="BAN213" s="2"/>
      <c r="BAO213" s="2"/>
      <c r="BAP213" s="260"/>
      <c r="BAQ213" s="2"/>
      <c r="BAR213" s="2"/>
      <c r="BAS213" s="2"/>
      <c r="BAT213" s="2"/>
      <c r="BAU213" s="2"/>
      <c r="BAV213" s="2"/>
      <c r="BAW213" s="2"/>
      <c r="BAX213" s="260"/>
      <c r="BAY213" s="260"/>
      <c r="BAZ213" s="260"/>
      <c r="BBA213" s="380"/>
      <c r="BBB213" s="380"/>
      <c r="BBC213" s="380"/>
      <c r="BBD213" s="2"/>
      <c r="BBE213" s="442"/>
      <c r="BBF213" s="442"/>
      <c r="BBG213" s="443"/>
      <c r="BBH213" s="442"/>
      <c r="BBI213" s="442"/>
      <c r="BBJ213" s="2"/>
      <c r="BBK213" s="2"/>
      <c r="BBL213" s="2"/>
      <c r="BBM213" s="2"/>
      <c r="BBN213" s="260"/>
      <c r="BBO213" s="260"/>
      <c r="BBP213" s="260"/>
      <c r="BBQ213" s="260"/>
      <c r="BBR213" s="260"/>
      <c r="BBS213" s="260"/>
      <c r="BBT213" s="308"/>
      <c r="BBU213" s="290"/>
      <c r="BBV213" s="290"/>
      <c r="BBW213" s="260"/>
      <c r="BBX213" s="260"/>
      <c r="BBY213" s="260"/>
      <c r="BBZ213" s="260"/>
      <c r="BCA213" s="260"/>
      <c r="BCB213" s="2"/>
      <c r="BCC213" s="2"/>
      <c r="BCD213" s="2"/>
      <c r="BCE213" s="2"/>
      <c r="BCF213" s="2"/>
      <c r="BCG213" s="2"/>
      <c r="BCH213" s="260"/>
      <c r="BCI213" s="2"/>
      <c r="BCJ213" s="2"/>
      <c r="BCK213" s="2"/>
      <c r="BCL213" s="2"/>
      <c r="BCM213" s="2"/>
      <c r="BCN213" s="2"/>
      <c r="BCO213" s="2"/>
      <c r="BCP213" s="260"/>
      <c r="BCQ213" s="260"/>
      <c r="BCR213" s="260"/>
      <c r="BCS213" s="380"/>
      <c r="BCT213" s="380"/>
      <c r="BCU213" s="380"/>
      <c r="BCV213" s="2"/>
      <c r="BCW213" s="442"/>
      <c r="BCX213" s="442"/>
      <c r="BCY213" s="443"/>
      <c r="BCZ213" s="442"/>
      <c r="BDA213" s="442"/>
      <c r="BDB213" s="2"/>
      <c r="BDC213" s="2"/>
      <c r="BDD213" s="2"/>
      <c r="BDE213" s="2"/>
      <c r="BDF213" s="260"/>
      <c r="BDG213" s="260"/>
      <c r="BDH213" s="260"/>
      <c r="BDI213" s="260"/>
      <c r="BDJ213" s="260"/>
      <c r="BDK213" s="260"/>
      <c r="BDL213" s="308"/>
      <c r="BDM213" s="290"/>
      <c r="BDN213" s="290"/>
      <c r="BDO213" s="260"/>
      <c r="BDP213" s="260"/>
      <c r="BDQ213" s="260"/>
      <c r="BDR213" s="260"/>
      <c r="BDS213" s="260"/>
      <c r="BDT213" s="2"/>
      <c r="BDU213" s="2"/>
      <c r="BDV213" s="2"/>
      <c r="BDW213" s="2"/>
      <c r="BDX213" s="2"/>
      <c r="BDY213" s="2"/>
      <c r="BDZ213" s="260"/>
      <c r="BEA213" s="2"/>
      <c r="BEB213" s="2"/>
      <c r="BEC213" s="2"/>
      <c r="BED213" s="2"/>
      <c r="BEE213" s="2"/>
      <c r="BEF213" s="2"/>
      <c r="BEG213" s="2"/>
      <c r="BEH213" s="260"/>
      <c r="BEI213" s="260"/>
      <c r="BEJ213" s="260"/>
      <c r="BEK213" s="380"/>
      <c r="BEL213" s="380"/>
      <c r="BEM213" s="380"/>
      <c r="BEN213" s="2"/>
      <c r="BEO213" s="442"/>
      <c r="BEP213" s="442"/>
      <c r="BEQ213" s="443"/>
      <c r="BER213" s="442"/>
      <c r="BES213" s="442"/>
      <c r="BET213" s="2"/>
      <c r="BEU213" s="2"/>
      <c r="BEV213" s="2"/>
      <c r="BEW213" s="2"/>
      <c r="BEX213" s="260"/>
      <c r="BEY213" s="260"/>
      <c r="BEZ213" s="260"/>
      <c r="BFA213" s="260"/>
      <c r="BFB213" s="260"/>
      <c r="BFC213" s="260"/>
      <c r="BFD213" s="308"/>
      <c r="BFE213" s="290"/>
      <c r="BFF213" s="290"/>
      <c r="BFG213" s="260"/>
      <c r="BFH213" s="260"/>
      <c r="BFI213" s="260"/>
      <c r="BFJ213" s="260"/>
      <c r="BFK213" s="260"/>
      <c r="BFL213" s="2"/>
      <c r="BFM213" s="2"/>
      <c r="BFN213" s="2"/>
      <c r="BFO213" s="2"/>
      <c r="BFP213" s="2"/>
      <c r="BFQ213" s="2"/>
      <c r="BFR213" s="260"/>
      <c r="BFS213" s="2"/>
      <c r="BFT213" s="2"/>
      <c r="BFU213" s="2"/>
      <c r="BFV213" s="2"/>
      <c r="BFW213" s="2"/>
      <c r="BFX213" s="2"/>
      <c r="BFY213" s="2"/>
      <c r="BFZ213" s="260"/>
      <c r="BGA213" s="260"/>
      <c r="BGB213" s="260"/>
      <c r="BGC213" s="380"/>
      <c r="BGD213" s="380"/>
      <c r="BGE213" s="380"/>
      <c r="BGF213" s="2"/>
      <c r="BGG213" s="442"/>
      <c r="BGH213" s="442"/>
      <c r="BGI213" s="443"/>
      <c r="BGJ213" s="442"/>
      <c r="BGK213" s="442"/>
      <c r="BGL213" s="2"/>
      <c r="BGM213" s="2"/>
      <c r="BGN213" s="2"/>
      <c r="BGO213" s="2"/>
      <c r="BGP213" s="260"/>
      <c r="BGQ213" s="260"/>
      <c r="BGR213" s="260"/>
      <c r="BGS213" s="260"/>
      <c r="BGT213" s="260"/>
      <c r="BGU213" s="260"/>
      <c r="BGV213" s="308"/>
      <c r="BGW213" s="290"/>
      <c r="BGX213" s="290"/>
      <c r="BGY213" s="260"/>
      <c r="BGZ213" s="260"/>
      <c r="BHA213" s="260"/>
      <c r="BHB213" s="260"/>
      <c r="BHC213" s="260"/>
      <c r="BHD213" s="2"/>
      <c r="BHE213" s="2"/>
      <c r="BHF213" s="2"/>
      <c r="BHG213" s="2"/>
      <c r="BHH213" s="2"/>
      <c r="BHI213" s="2"/>
      <c r="BHJ213" s="260"/>
      <c r="BHK213" s="2"/>
      <c r="BHL213" s="2"/>
      <c r="BHM213" s="2"/>
      <c r="BHN213" s="2"/>
      <c r="BHO213" s="2"/>
      <c r="BHP213" s="2"/>
      <c r="BHQ213" s="2"/>
      <c r="BHR213" s="260"/>
      <c r="BHS213" s="260"/>
      <c r="BHT213" s="260"/>
      <c r="BHU213" s="380"/>
      <c r="BHV213" s="380"/>
      <c r="BHW213" s="380"/>
      <c r="BHX213" s="2"/>
      <c r="BHY213" s="442"/>
      <c r="BHZ213" s="442"/>
      <c r="BIA213" s="443"/>
      <c r="BIB213" s="442"/>
      <c r="BIC213" s="442"/>
      <c r="BID213" s="2"/>
      <c r="BIE213" s="2"/>
      <c r="BIF213" s="2"/>
      <c r="BIG213" s="2"/>
      <c r="BIH213" s="260"/>
      <c r="BII213" s="260"/>
      <c r="BIJ213" s="260"/>
      <c r="BIK213" s="260"/>
      <c r="BIL213" s="260"/>
      <c r="BIM213" s="260"/>
      <c r="BIN213" s="308"/>
      <c r="BIO213" s="290"/>
      <c r="BIP213" s="290"/>
      <c r="BIQ213" s="260"/>
      <c r="BIR213" s="260"/>
      <c r="BIS213" s="260"/>
      <c r="BIT213" s="260"/>
      <c r="BIU213" s="260"/>
      <c r="BIV213" s="2"/>
      <c r="BIW213" s="2"/>
      <c r="BIX213" s="2"/>
      <c r="BIY213" s="2"/>
      <c r="BIZ213" s="2"/>
      <c r="BJA213" s="2"/>
      <c r="BJB213" s="260"/>
      <c r="BJC213" s="2"/>
      <c r="BJD213" s="2"/>
      <c r="BJE213" s="2"/>
      <c r="BJF213" s="2"/>
      <c r="BJG213" s="2"/>
      <c r="BJH213" s="2"/>
      <c r="BJI213" s="2"/>
      <c r="BJJ213" s="260"/>
      <c r="BJK213" s="260"/>
      <c r="BJL213" s="260"/>
      <c r="BJM213" s="380"/>
      <c r="BJN213" s="380"/>
      <c r="BJO213" s="380"/>
      <c r="BJP213" s="2"/>
      <c r="BJQ213" s="442"/>
      <c r="BJR213" s="442"/>
      <c r="BJS213" s="443"/>
      <c r="BJT213" s="442"/>
      <c r="BJU213" s="442"/>
      <c r="BJV213" s="2"/>
      <c r="BJW213" s="2"/>
      <c r="BJX213" s="2"/>
      <c r="BJY213" s="2"/>
      <c r="BJZ213" s="260"/>
      <c r="BKA213" s="260"/>
      <c r="BKB213" s="260"/>
      <c r="BKC213" s="260"/>
      <c r="BKD213" s="260"/>
      <c r="BKE213" s="260"/>
      <c r="BKF213" s="308"/>
      <c r="BKG213" s="290"/>
      <c r="BKH213" s="290"/>
      <c r="BKI213" s="260"/>
      <c r="BKJ213" s="260"/>
      <c r="BKK213" s="260"/>
      <c r="BKL213" s="260"/>
      <c r="BKM213" s="260"/>
      <c r="BKN213" s="2"/>
      <c r="BKO213" s="2"/>
      <c r="BKP213" s="2"/>
      <c r="BKQ213" s="2"/>
      <c r="BKR213" s="2"/>
      <c r="BKS213" s="2"/>
      <c r="BKT213" s="260"/>
      <c r="BKU213" s="2"/>
      <c r="BKV213" s="2"/>
      <c r="BKW213" s="2"/>
      <c r="BKX213" s="2"/>
      <c r="BKY213" s="2"/>
      <c r="BKZ213" s="2"/>
      <c r="BLA213" s="2"/>
      <c r="BLB213" s="260"/>
      <c r="BLC213" s="260"/>
      <c r="BLD213" s="260"/>
      <c r="BLE213" s="380"/>
      <c r="BLF213" s="380"/>
      <c r="BLG213" s="380"/>
      <c r="BLH213" s="2"/>
      <c r="BLI213" s="442"/>
      <c r="BLJ213" s="442"/>
      <c r="BLK213" s="443"/>
      <c r="BLL213" s="442"/>
      <c r="BLM213" s="442"/>
      <c r="BLN213" s="2"/>
      <c r="BLO213" s="2"/>
      <c r="BLP213" s="2"/>
      <c r="BLQ213" s="2"/>
      <c r="BLR213" s="260"/>
      <c r="BLS213" s="260"/>
      <c r="BLT213" s="260"/>
      <c r="BLU213" s="260"/>
      <c r="BLV213" s="260"/>
      <c r="BLW213" s="260"/>
      <c r="BLX213" s="308"/>
      <c r="BLY213" s="290"/>
      <c r="BLZ213" s="290"/>
      <c r="BMA213" s="260"/>
      <c r="BMB213" s="260"/>
      <c r="BMC213" s="260"/>
      <c r="BMD213" s="260"/>
      <c r="BME213" s="260"/>
      <c r="BMF213" s="2"/>
      <c r="BMG213" s="2"/>
      <c r="BMH213" s="2"/>
      <c r="BMI213" s="2"/>
      <c r="BMJ213" s="2"/>
      <c r="BMK213" s="2"/>
      <c r="BML213" s="260"/>
      <c r="BMM213" s="2"/>
      <c r="BMN213" s="2"/>
      <c r="BMO213" s="2"/>
      <c r="BMP213" s="2"/>
      <c r="BMQ213" s="2"/>
      <c r="BMR213" s="2"/>
      <c r="BMS213" s="2"/>
      <c r="BMT213" s="260"/>
      <c r="BMU213" s="260"/>
      <c r="BMV213" s="260"/>
      <c r="BMW213" s="380"/>
      <c r="BMX213" s="380"/>
      <c r="BMY213" s="380"/>
      <c r="BMZ213" s="2"/>
      <c r="BNA213" s="442"/>
      <c r="BNB213" s="442"/>
      <c r="BNC213" s="443"/>
      <c r="BND213" s="442"/>
      <c r="BNE213" s="442"/>
      <c r="BNF213" s="2"/>
      <c r="BNG213" s="2"/>
      <c r="BNH213" s="2"/>
      <c r="BNI213" s="2"/>
      <c r="BNJ213" s="260"/>
      <c r="BNK213" s="260"/>
      <c r="BNL213" s="260"/>
      <c r="BNM213" s="260"/>
      <c r="BNN213" s="260"/>
      <c r="BNO213" s="260"/>
      <c r="BNP213" s="308"/>
      <c r="BNQ213" s="290"/>
      <c r="BNR213" s="290"/>
      <c r="BNS213" s="260"/>
      <c r="BNT213" s="260"/>
      <c r="BNU213" s="260"/>
      <c r="BNV213" s="260"/>
      <c r="BNW213" s="260"/>
      <c r="BNX213" s="2"/>
      <c r="BNY213" s="2"/>
      <c r="BNZ213" s="2"/>
      <c r="BOA213" s="2"/>
      <c r="BOB213" s="2"/>
      <c r="BOC213" s="2"/>
      <c r="BOD213" s="260"/>
      <c r="BOE213" s="2"/>
      <c r="BOF213" s="2"/>
      <c r="BOG213" s="2"/>
      <c r="BOH213" s="2"/>
      <c r="BOI213" s="2"/>
      <c r="BOJ213" s="2"/>
      <c r="BOK213" s="2"/>
      <c r="BOL213" s="260"/>
      <c r="BOM213" s="260"/>
      <c r="BON213" s="260"/>
      <c r="BOO213" s="380"/>
      <c r="BOP213" s="380"/>
      <c r="BOQ213" s="380"/>
      <c r="BOR213" s="2"/>
      <c r="BOS213" s="442"/>
      <c r="BOT213" s="442"/>
      <c r="BOU213" s="443"/>
      <c r="BOV213" s="442"/>
      <c r="BOW213" s="442"/>
      <c r="BOX213" s="2"/>
      <c r="BOY213" s="2"/>
      <c r="BOZ213" s="2"/>
      <c r="BPA213" s="2"/>
      <c r="BPB213" s="260"/>
      <c r="BPC213" s="260"/>
      <c r="BPD213" s="260"/>
      <c r="BPE213" s="260"/>
      <c r="BPF213" s="260"/>
      <c r="BPG213" s="260"/>
      <c r="BPH213" s="308"/>
      <c r="BPI213" s="290"/>
      <c r="BPJ213" s="290"/>
      <c r="BPK213" s="260"/>
      <c r="BPL213" s="260"/>
      <c r="BPM213" s="260"/>
      <c r="BPN213" s="260"/>
      <c r="BPO213" s="260"/>
      <c r="BPP213" s="2"/>
      <c r="BPQ213" s="2"/>
      <c r="BPR213" s="2"/>
      <c r="BPS213" s="2"/>
      <c r="BPT213" s="2"/>
      <c r="BPU213" s="2"/>
      <c r="BPV213" s="260"/>
      <c r="BPW213" s="2"/>
      <c r="BPX213" s="2"/>
      <c r="BPY213" s="2"/>
      <c r="BPZ213" s="2"/>
      <c r="BQA213" s="2"/>
      <c r="BQB213" s="2"/>
      <c r="BQC213" s="2"/>
      <c r="BQD213" s="260"/>
      <c r="BQE213" s="260"/>
      <c r="BQF213" s="260"/>
      <c r="BQG213" s="380"/>
      <c r="BQH213" s="380"/>
      <c r="BQI213" s="380"/>
      <c r="BQJ213" s="2"/>
      <c r="BQK213" s="442"/>
      <c r="BQL213" s="442"/>
      <c r="BQM213" s="443"/>
      <c r="BQN213" s="442"/>
      <c r="BQO213" s="442"/>
      <c r="BQP213" s="2"/>
      <c r="BQQ213" s="2"/>
      <c r="BQR213" s="2"/>
      <c r="BQS213" s="2"/>
      <c r="BQT213" s="260"/>
      <c r="BQU213" s="260"/>
      <c r="BQV213" s="260"/>
      <c r="BQW213" s="260"/>
      <c r="BQX213" s="260"/>
      <c r="BQY213" s="260"/>
      <c r="BQZ213" s="308"/>
      <c r="BRA213" s="290"/>
      <c r="BRB213" s="290"/>
      <c r="BRC213" s="260"/>
      <c r="BRD213" s="260"/>
      <c r="BRE213" s="260"/>
      <c r="BRF213" s="260"/>
      <c r="BRG213" s="260"/>
      <c r="BRH213" s="2"/>
      <c r="BRI213" s="2"/>
      <c r="BRJ213" s="2"/>
      <c r="BRK213" s="2"/>
      <c r="BRL213" s="2"/>
      <c r="BRM213" s="2"/>
      <c r="BRN213" s="260"/>
      <c r="BRO213" s="2"/>
      <c r="BRP213" s="2"/>
      <c r="BRQ213" s="2"/>
      <c r="BRR213" s="2"/>
      <c r="BRS213" s="2"/>
      <c r="BRT213" s="2"/>
      <c r="BRU213" s="2"/>
      <c r="BRV213" s="260"/>
      <c r="BRW213" s="260"/>
      <c r="BRX213" s="260"/>
      <c r="BRY213" s="380"/>
      <c r="BRZ213" s="380"/>
      <c r="BSA213" s="380"/>
      <c r="BSB213" s="2"/>
      <c r="BSC213" s="442"/>
      <c r="BSD213" s="442"/>
      <c r="BSE213" s="443"/>
      <c r="BSF213" s="442"/>
      <c r="BSG213" s="442"/>
      <c r="BSH213" s="2"/>
      <c r="BSI213" s="2"/>
      <c r="BSJ213" s="2"/>
      <c r="BSK213" s="2"/>
      <c r="BSL213" s="260"/>
      <c r="BSM213" s="260"/>
      <c r="BSN213" s="260"/>
      <c r="BSO213" s="260"/>
      <c r="BSP213" s="260"/>
      <c r="BSQ213" s="260"/>
      <c r="BSR213" s="308"/>
      <c r="BSS213" s="290"/>
      <c r="BST213" s="290"/>
      <c r="BSU213" s="260"/>
      <c r="BSV213" s="260"/>
      <c r="BSW213" s="260"/>
      <c r="BSX213" s="260"/>
      <c r="BSY213" s="260"/>
      <c r="BSZ213" s="2"/>
      <c r="BTA213" s="2"/>
      <c r="BTB213" s="2"/>
      <c r="BTC213" s="2"/>
      <c r="BTD213" s="2"/>
      <c r="BTE213" s="2"/>
      <c r="BTF213" s="260"/>
      <c r="BTG213" s="2"/>
      <c r="BTH213" s="2"/>
      <c r="BTI213" s="2"/>
      <c r="BTJ213" s="2"/>
      <c r="BTK213" s="2"/>
      <c r="BTL213" s="2"/>
      <c r="BTM213" s="2"/>
      <c r="BTN213" s="260"/>
      <c r="BTO213" s="260"/>
      <c r="BTP213" s="260"/>
      <c r="BTQ213" s="380"/>
      <c r="BTR213" s="380"/>
      <c r="BTS213" s="380"/>
      <c r="BTT213" s="2"/>
      <c r="BTU213" s="442"/>
      <c r="BTV213" s="442"/>
      <c r="BTW213" s="443"/>
      <c r="BTX213" s="442"/>
      <c r="BTY213" s="442"/>
      <c r="BTZ213" s="2"/>
      <c r="BUA213" s="2"/>
      <c r="BUB213" s="2"/>
      <c r="BUC213" s="2"/>
      <c r="BUD213" s="260"/>
      <c r="BUE213" s="260"/>
      <c r="BUF213" s="260"/>
      <c r="BUG213" s="260"/>
      <c r="BUH213" s="260"/>
      <c r="BUI213" s="260"/>
      <c r="BUJ213" s="308"/>
      <c r="BUK213" s="290"/>
      <c r="BUL213" s="290"/>
      <c r="BUM213" s="260"/>
      <c r="BUN213" s="260"/>
      <c r="BUO213" s="260"/>
      <c r="BUP213" s="260"/>
      <c r="BUQ213" s="260"/>
      <c r="BUR213" s="2"/>
      <c r="BUS213" s="2"/>
      <c r="BUT213" s="2"/>
      <c r="BUU213" s="2"/>
      <c r="BUV213" s="2"/>
      <c r="BUW213" s="2"/>
      <c r="BUX213" s="260"/>
      <c r="BUY213" s="2"/>
      <c r="BUZ213" s="2"/>
      <c r="BVA213" s="2"/>
      <c r="BVB213" s="2"/>
      <c r="BVC213" s="2"/>
      <c r="BVD213" s="2"/>
      <c r="BVE213" s="2"/>
      <c r="BVF213" s="260"/>
      <c r="BVG213" s="260"/>
      <c r="BVH213" s="260"/>
      <c r="BVI213" s="380"/>
      <c r="BVJ213" s="380"/>
      <c r="BVK213" s="380"/>
      <c r="BVL213" s="2"/>
      <c r="BVM213" s="442"/>
      <c r="BVN213" s="442"/>
      <c r="BVO213" s="443"/>
      <c r="BVP213" s="442"/>
      <c r="BVQ213" s="442"/>
      <c r="BVR213" s="2"/>
      <c r="BVS213" s="2"/>
      <c r="BVT213" s="2"/>
      <c r="BVU213" s="2"/>
      <c r="BVV213" s="260"/>
      <c r="BVW213" s="260"/>
      <c r="BVX213" s="260"/>
      <c r="BVY213" s="260"/>
      <c r="BVZ213" s="260"/>
      <c r="BWA213" s="260"/>
      <c r="BWB213" s="308"/>
      <c r="BWC213" s="290"/>
      <c r="BWD213" s="290"/>
      <c r="BWE213" s="260"/>
      <c r="BWF213" s="260"/>
      <c r="BWG213" s="260"/>
      <c r="BWH213" s="260"/>
      <c r="BWI213" s="260"/>
      <c r="BWJ213" s="2"/>
      <c r="BWK213" s="2"/>
      <c r="BWL213" s="2"/>
      <c r="BWM213" s="2"/>
      <c r="BWN213" s="2"/>
      <c r="BWO213" s="2"/>
      <c r="BWP213" s="260"/>
      <c r="BWQ213" s="2"/>
      <c r="BWR213" s="2"/>
      <c r="BWS213" s="2"/>
      <c r="BWT213" s="2"/>
      <c r="BWU213" s="2"/>
      <c r="BWV213" s="2"/>
      <c r="BWW213" s="2"/>
      <c r="BWX213" s="260"/>
      <c r="BWY213" s="260"/>
      <c r="BWZ213" s="260"/>
      <c r="BXA213" s="380"/>
      <c r="BXB213" s="380"/>
      <c r="BXC213" s="380"/>
      <c r="BXD213" s="2"/>
      <c r="BXE213" s="442"/>
      <c r="BXF213" s="442"/>
      <c r="BXG213" s="443"/>
      <c r="BXH213" s="442"/>
      <c r="BXI213" s="442"/>
      <c r="BXJ213" s="2"/>
      <c r="BXK213" s="2"/>
      <c r="BXL213" s="2"/>
      <c r="BXM213" s="2"/>
      <c r="BXN213" s="260"/>
      <c r="BXO213" s="260"/>
      <c r="BXP213" s="260"/>
      <c r="BXQ213" s="260"/>
      <c r="BXR213" s="260"/>
      <c r="BXS213" s="260"/>
      <c r="BXT213" s="308"/>
      <c r="BXU213" s="290"/>
      <c r="BXV213" s="290"/>
      <c r="BXW213" s="260"/>
      <c r="BXX213" s="260"/>
      <c r="BXY213" s="260"/>
      <c r="BXZ213" s="260"/>
      <c r="BYA213" s="260"/>
      <c r="BYB213" s="2"/>
      <c r="BYC213" s="2"/>
      <c r="BYD213" s="2"/>
      <c r="BYE213" s="2"/>
      <c r="BYF213" s="2"/>
      <c r="BYG213" s="2"/>
      <c r="BYH213" s="260"/>
      <c r="BYI213" s="2"/>
      <c r="BYJ213" s="2"/>
      <c r="BYK213" s="2"/>
      <c r="BYL213" s="2"/>
      <c r="BYM213" s="2"/>
      <c r="BYN213" s="2"/>
      <c r="BYO213" s="2"/>
      <c r="BYP213" s="260"/>
      <c r="BYQ213" s="260"/>
      <c r="BYR213" s="260"/>
      <c r="BYS213" s="380"/>
      <c r="BYT213" s="380"/>
      <c r="BYU213" s="380"/>
      <c r="BYV213" s="2"/>
      <c r="BYW213" s="442"/>
      <c r="BYX213" s="442"/>
      <c r="BYY213" s="443"/>
      <c r="BYZ213" s="442"/>
      <c r="BZA213" s="442"/>
      <c r="BZB213" s="2"/>
      <c r="BZC213" s="2"/>
      <c r="BZD213" s="2"/>
      <c r="BZE213" s="2"/>
      <c r="BZF213" s="260"/>
      <c r="BZG213" s="260"/>
      <c r="BZH213" s="260"/>
      <c r="BZI213" s="260"/>
      <c r="BZJ213" s="260"/>
      <c r="BZK213" s="260"/>
      <c r="BZL213" s="308"/>
      <c r="BZM213" s="290"/>
      <c r="BZN213" s="290"/>
      <c r="BZO213" s="260"/>
      <c r="BZP213" s="260"/>
      <c r="BZQ213" s="260"/>
      <c r="BZR213" s="260"/>
      <c r="BZS213" s="260"/>
      <c r="BZT213" s="2"/>
      <c r="BZU213" s="2"/>
      <c r="BZV213" s="2"/>
      <c r="BZW213" s="2"/>
      <c r="BZX213" s="2"/>
      <c r="BZY213" s="2"/>
      <c r="BZZ213" s="260"/>
      <c r="CAA213" s="2"/>
      <c r="CAB213" s="2"/>
      <c r="CAC213" s="2"/>
      <c r="CAD213" s="2"/>
      <c r="CAE213" s="2"/>
      <c r="CAF213" s="2"/>
      <c r="CAG213" s="2"/>
      <c r="CAH213" s="260"/>
      <c r="CAI213" s="260"/>
      <c r="CAJ213" s="260"/>
      <c r="CAK213" s="380"/>
      <c r="CAL213" s="380"/>
      <c r="CAM213" s="380"/>
      <c r="CAN213" s="2"/>
      <c r="CAO213" s="442"/>
      <c r="CAP213" s="442"/>
      <c r="CAQ213" s="443"/>
      <c r="CAR213" s="442"/>
      <c r="CAS213" s="442"/>
      <c r="CAT213" s="2"/>
      <c r="CAU213" s="2"/>
      <c r="CAV213" s="2"/>
      <c r="CAW213" s="2"/>
      <c r="CAX213" s="260"/>
      <c r="CAY213" s="260"/>
      <c r="CAZ213" s="260"/>
      <c r="CBA213" s="260"/>
      <c r="CBB213" s="260"/>
      <c r="CBC213" s="260"/>
      <c r="CBD213" s="308"/>
      <c r="CBE213" s="290"/>
      <c r="CBF213" s="290"/>
      <c r="CBG213" s="260"/>
      <c r="CBH213" s="260"/>
      <c r="CBI213" s="260"/>
      <c r="CBJ213" s="260"/>
      <c r="CBK213" s="260"/>
      <c r="CBL213" s="2"/>
      <c r="CBM213" s="2"/>
      <c r="CBN213" s="2"/>
      <c r="CBO213" s="2"/>
      <c r="CBP213" s="2"/>
      <c r="CBQ213" s="2"/>
      <c r="CBR213" s="260"/>
      <c r="CBS213" s="2"/>
      <c r="CBT213" s="2"/>
      <c r="CBU213" s="2"/>
      <c r="CBV213" s="2"/>
      <c r="CBW213" s="2"/>
      <c r="CBX213" s="2"/>
      <c r="CBY213" s="2"/>
      <c r="CBZ213" s="260"/>
      <c r="CCA213" s="260"/>
      <c r="CCB213" s="260"/>
      <c r="CCC213" s="380"/>
      <c r="CCD213" s="380"/>
      <c r="CCE213" s="380"/>
      <c r="CCF213" s="2"/>
      <c r="CCG213" s="442"/>
      <c r="CCH213" s="442"/>
      <c r="CCI213" s="443"/>
      <c r="CCJ213" s="442"/>
      <c r="CCK213" s="442"/>
      <c r="CCL213" s="2"/>
      <c r="CCM213" s="2"/>
      <c r="CCN213" s="2"/>
      <c r="CCO213" s="2"/>
      <c r="CCP213" s="260"/>
      <c r="CCQ213" s="260"/>
      <c r="CCR213" s="260"/>
      <c r="CCS213" s="260"/>
      <c r="CCT213" s="260"/>
      <c r="CCU213" s="260"/>
      <c r="CCV213" s="308"/>
      <c r="CCW213" s="290"/>
      <c r="CCX213" s="290"/>
      <c r="CCY213" s="260"/>
      <c r="CCZ213" s="260"/>
      <c r="CDA213" s="260"/>
      <c r="CDB213" s="260"/>
      <c r="CDC213" s="260"/>
      <c r="CDD213" s="2"/>
      <c r="CDE213" s="2"/>
      <c r="CDF213" s="2"/>
      <c r="CDG213" s="2"/>
      <c r="CDH213" s="2"/>
      <c r="CDI213" s="2"/>
      <c r="CDJ213" s="260"/>
      <c r="CDK213" s="2"/>
      <c r="CDL213" s="2"/>
      <c r="CDM213" s="2"/>
      <c r="CDN213" s="2"/>
      <c r="CDO213" s="2"/>
      <c r="CDP213" s="2"/>
      <c r="CDQ213" s="2"/>
      <c r="CDR213" s="260"/>
      <c r="CDS213" s="260"/>
      <c r="CDT213" s="260"/>
      <c r="CDU213" s="380"/>
      <c r="CDV213" s="380"/>
      <c r="CDW213" s="380"/>
      <c r="CDX213" s="2"/>
      <c r="CDY213" s="442"/>
      <c r="CDZ213" s="442"/>
      <c r="CEA213" s="443"/>
      <c r="CEB213" s="442"/>
      <c r="CEC213" s="442"/>
      <c r="CED213" s="2"/>
      <c r="CEE213" s="2"/>
      <c r="CEF213" s="2"/>
      <c r="CEG213" s="2"/>
      <c r="CEH213" s="260"/>
      <c r="CEI213" s="260"/>
      <c r="CEJ213" s="260"/>
      <c r="CEK213" s="260"/>
      <c r="CEL213" s="260"/>
      <c r="CEM213" s="260"/>
      <c r="CEN213" s="308"/>
      <c r="CEO213" s="290"/>
      <c r="CEP213" s="290"/>
      <c r="CEQ213" s="260"/>
      <c r="CER213" s="260"/>
      <c r="CES213" s="260"/>
      <c r="CET213" s="260"/>
      <c r="CEU213" s="260"/>
      <c r="CEV213" s="2"/>
      <c r="CEW213" s="2"/>
      <c r="CEX213" s="2"/>
      <c r="CEY213" s="2"/>
      <c r="CEZ213" s="2"/>
      <c r="CFA213" s="2"/>
      <c r="CFB213" s="260"/>
      <c r="CFC213" s="2"/>
      <c r="CFD213" s="2"/>
      <c r="CFE213" s="2"/>
      <c r="CFF213" s="2"/>
      <c r="CFG213" s="2"/>
      <c r="CFH213" s="2"/>
      <c r="CFI213" s="2"/>
      <c r="CFJ213" s="260"/>
      <c r="CFK213" s="260"/>
      <c r="CFL213" s="260"/>
      <c r="CFM213" s="380"/>
      <c r="CFN213" s="380"/>
      <c r="CFO213" s="380"/>
      <c r="CFP213" s="2"/>
      <c r="CFQ213" s="442"/>
      <c r="CFR213" s="442"/>
      <c r="CFS213" s="443"/>
      <c r="CFT213" s="442"/>
      <c r="CFU213" s="442"/>
      <c r="CFV213" s="2"/>
      <c r="CFW213" s="2"/>
      <c r="CFX213" s="2"/>
      <c r="CFY213" s="2"/>
      <c r="CFZ213" s="260"/>
      <c r="CGA213" s="260"/>
      <c r="CGB213" s="260"/>
      <c r="CGC213" s="260"/>
      <c r="CGD213" s="260"/>
      <c r="CGE213" s="260"/>
      <c r="CGF213" s="308"/>
      <c r="CGG213" s="290"/>
      <c r="CGH213" s="290"/>
      <c r="CGI213" s="260"/>
      <c r="CGJ213" s="260"/>
      <c r="CGK213" s="260"/>
      <c r="CGL213" s="260"/>
      <c r="CGM213" s="260"/>
      <c r="CGN213" s="2"/>
      <c r="CGO213" s="2"/>
      <c r="CGP213" s="2"/>
      <c r="CGQ213" s="2"/>
      <c r="CGR213" s="2"/>
      <c r="CGS213" s="2"/>
      <c r="CGT213" s="260"/>
      <c r="CGU213" s="2"/>
      <c r="CGV213" s="2"/>
      <c r="CGW213" s="2"/>
      <c r="CGX213" s="2"/>
      <c r="CGY213" s="2"/>
      <c r="CGZ213" s="2"/>
      <c r="CHA213" s="2"/>
      <c r="CHB213" s="260"/>
      <c r="CHC213" s="260"/>
      <c r="CHD213" s="260"/>
      <c r="CHE213" s="380"/>
      <c r="CHF213" s="380"/>
      <c r="CHG213" s="380"/>
      <c r="CHH213" s="2"/>
      <c r="CHI213" s="442"/>
      <c r="CHJ213" s="442"/>
      <c r="CHK213" s="443"/>
      <c r="CHL213" s="442"/>
      <c r="CHM213" s="442"/>
      <c r="CHN213" s="2"/>
      <c r="CHO213" s="2"/>
      <c r="CHP213" s="2"/>
      <c r="CHQ213" s="2"/>
      <c r="CHR213" s="260"/>
      <c r="CHS213" s="260"/>
      <c r="CHT213" s="260"/>
      <c r="CHU213" s="260"/>
      <c r="CHV213" s="260"/>
      <c r="CHW213" s="260"/>
      <c r="CHX213" s="308"/>
      <c r="CHY213" s="290"/>
      <c r="CHZ213" s="290"/>
      <c r="CIA213" s="260"/>
      <c r="CIB213" s="260"/>
      <c r="CIC213" s="260"/>
      <c r="CID213" s="260"/>
      <c r="CIE213" s="260"/>
      <c r="CIF213" s="2"/>
      <c r="CIG213" s="2"/>
      <c r="CIH213" s="2"/>
      <c r="CII213" s="2"/>
      <c r="CIJ213" s="2"/>
      <c r="CIK213" s="2"/>
      <c r="CIL213" s="260"/>
      <c r="CIM213" s="2"/>
      <c r="CIN213" s="2"/>
      <c r="CIO213" s="2"/>
      <c r="CIP213" s="2"/>
      <c r="CIQ213" s="2"/>
      <c r="CIR213" s="2"/>
      <c r="CIS213" s="2"/>
      <c r="CIT213" s="260"/>
      <c r="CIU213" s="260"/>
      <c r="CIV213" s="260"/>
      <c r="CIW213" s="380"/>
      <c r="CIX213" s="380"/>
      <c r="CIY213" s="380"/>
      <c r="CIZ213" s="2"/>
      <c r="CJA213" s="442"/>
      <c r="CJB213" s="442"/>
      <c r="CJC213" s="443"/>
      <c r="CJD213" s="442"/>
      <c r="CJE213" s="442"/>
      <c r="CJF213" s="2"/>
      <c r="CJG213" s="2"/>
      <c r="CJH213" s="2"/>
      <c r="CJI213" s="2"/>
      <c r="CJJ213" s="260"/>
      <c r="CJK213" s="260"/>
      <c r="CJL213" s="260"/>
      <c r="CJM213" s="260"/>
      <c r="CJN213" s="260"/>
      <c r="CJO213" s="260"/>
      <c r="CJP213" s="308"/>
      <c r="CJQ213" s="290"/>
      <c r="CJR213" s="290"/>
      <c r="CJS213" s="260"/>
      <c r="CJT213" s="260"/>
      <c r="CJU213" s="260"/>
      <c r="CJV213" s="260"/>
      <c r="CJW213" s="260"/>
      <c r="CJX213" s="2"/>
      <c r="CJY213" s="2"/>
      <c r="CJZ213" s="2"/>
      <c r="CKA213" s="2"/>
      <c r="CKB213" s="2"/>
      <c r="CKC213" s="2"/>
      <c r="CKD213" s="260"/>
      <c r="CKE213" s="2"/>
      <c r="CKF213" s="2"/>
      <c r="CKG213" s="2"/>
      <c r="CKH213" s="2"/>
      <c r="CKI213" s="2"/>
      <c r="CKJ213" s="2"/>
      <c r="CKK213" s="2"/>
      <c r="CKL213" s="260"/>
      <c r="CKM213" s="260"/>
      <c r="CKN213" s="260"/>
      <c r="CKO213" s="380"/>
      <c r="CKP213" s="380"/>
      <c r="CKQ213" s="380"/>
      <c r="CKR213" s="2"/>
      <c r="CKS213" s="442"/>
      <c r="CKT213" s="442"/>
      <c r="CKU213" s="443"/>
      <c r="CKV213" s="442"/>
      <c r="CKW213" s="442"/>
      <c r="CKX213" s="2"/>
      <c r="CKY213" s="2"/>
      <c r="CKZ213" s="2"/>
      <c r="CLA213" s="2"/>
      <c r="CLB213" s="260"/>
      <c r="CLC213" s="260"/>
      <c r="CLD213" s="260"/>
      <c r="CLE213" s="260"/>
      <c r="CLF213" s="260"/>
      <c r="CLG213" s="260"/>
      <c r="CLH213" s="308"/>
      <c r="CLI213" s="290"/>
      <c r="CLJ213" s="290"/>
      <c r="CLK213" s="260"/>
      <c r="CLL213" s="260"/>
      <c r="CLM213" s="260"/>
      <c r="CLN213" s="260"/>
      <c r="CLO213" s="260"/>
      <c r="CLP213" s="2"/>
      <c r="CLQ213" s="2"/>
      <c r="CLR213" s="2"/>
      <c r="CLS213" s="2"/>
      <c r="CLT213" s="2"/>
      <c r="CLU213" s="2"/>
      <c r="CLV213" s="260"/>
      <c r="CLW213" s="2"/>
      <c r="CLX213" s="2"/>
      <c r="CLY213" s="2"/>
      <c r="CLZ213" s="2"/>
      <c r="CMA213" s="2"/>
      <c r="CMB213" s="2"/>
      <c r="CMC213" s="2"/>
      <c r="CMD213" s="260"/>
      <c r="CME213" s="260"/>
      <c r="CMF213" s="260"/>
      <c r="CMG213" s="380"/>
      <c r="CMH213" s="380"/>
      <c r="CMI213" s="380"/>
      <c r="CMJ213" s="2"/>
      <c r="CMK213" s="442"/>
      <c r="CML213" s="442"/>
      <c r="CMM213" s="443"/>
      <c r="CMN213" s="442"/>
      <c r="CMO213" s="442"/>
      <c r="CMP213" s="2"/>
      <c r="CMQ213" s="2"/>
      <c r="CMR213" s="2"/>
      <c r="CMS213" s="2"/>
      <c r="CMT213" s="260"/>
      <c r="CMU213" s="260"/>
      <c r="CMV213" s="260"/>
      <c r="CMW213" s="260"/>
      <c r="CMX213" s="260"/>
      <c r="CMY213" s="260"/>
      <c r="CMZ213" s="308"/>
      <c r="CNA213" s="290"/>
      <c r="CNB213" s="290"/>
      <c r="CNC213" s="260"/>
      <c r="CND213" s="260"/>
      <c r="CNE213" s="260"/>
      <c r="CNF213" s="260"/>
      <c r="CNG213" s="260"/>
      <c r="CNH213" s="2"/>
      <c r="CNI213" s="2"/>
      <c r="CNJ213" s="2"/>
      <c r="CNK213" s="2"/>
      <c r="CNL213" s="2"/>
      <c r="CNM213" s="2"/>
      <c r="CNN213" s="260"/>
      <c r="CNO213" s="2"/>
      <c r="CNP213" s="2"/>
      <c r="CNQ213" s="2"/>
      <c r="CNR213" s="2"/>
      <c r="CNS213" s="2"/>
      <c r="CNT213" s="2"/>
      <c r="CNU213" s="2"/>
      <c r="CNV213" s="260"/>
      <c r="CNW213" s="260"/>
      <c r="CNX213" s="260"/>
      <c r="CNY213" s="380"/>
      <c r="CNZ213" s="380"/>
      <c r="COA213" s="380"/>
      <c r="COB213" s="2"/>
      <c r="COC213" s="442"/>
      <c r="COD213" s="442"/>
      <c r="COE213" s="443"/>
      <c r="COF213" s="442"/>
      <c r="COG213" s="442"/>
      <c r="COH213" s="2"/>
      <c r="COI213" s="2"/>
      <c r="COJ213" s="2"/>
      <c r="COK213" s="2"/>
      <c r="COL213" s="260"/>
      <c r="COM213" s="260"/>
      <c r="CON213" s="260"/>
      <c r="COO213" s="260"/>
      <c r="COP213" s="260"/>
      <c r="COQ213" s="260"/>
      <c r="COR213" s="308"/>
      <c r="COS213" s="290"/>
      <c r="COT213" s="290"/>
      <c r="COU213" s="260"/>
      <c r="COV213" s="260"/>
      <c r="COW213" s="260"/>
      <c r="COX213" s="260"/>
      <c r="COY213" s="260"/>
      <c r="COZ213" s="2"/>
      <c r="CPA213" s="2"/>
      <c r="CPB213" s="2"/>
      <c r="CPC213" s="2"/>
      <c r="CPD213" s="2"/>
      <c r="CPE213" s="2"/>
      <c r="CPF213" s="260"/>
      <c r="CPG213" s="2"/>
      <c r="CPH213" s="2"/>
      <c r="CPI213" s="2"/>
      <c r="CPJ213" s="2"/>
      <c r="CPK213" s="2"/>
      <c r="CPL213" s="2"/>
      <c r="CPM213" s="2"/>
      <c r="CPN213" s="260"/>
      <c r="CPO213" s="260"/>
      <c r="CPP213" s="260"/>
      <c r="CPQ213" s="380"/>
      <c r="CPR213" s="380"/>
      <c r="CPS213" s="380"/>
      <c r="CPT213" s="2"/>
      <c r="CPU213" s="442"/>
      <c r="CPV213" s="442"/>
      <c r="CPW213" s="443"/>
      <c r="CPX213" s="442"/>
      <c r="CPY213" s="442"/>
      <c r="CPZ213" s="2"/>
      <c r="CQA213" s="2"/>
      <c r="CQB213" s="2"/>
      <c r="CQC213" s="2"/>
      <c r="CQD213" s="260"/>
      <c r="CQE213" s="260"/>
      <c r="CQF213" s="260"/>
      <c r="CQG213" s="260"/>
      <c r="CQH213" s="260"/>
      <c r="CQI213" s="260"/>
      <c r="CQJ213" s="308"/>
      <c r="CQK213" s="290"/>
      <c r="CQL213" s="290"/>
      <c r="CQM213" s="260"/>
      <c r="CQN213" s="260"/>
      <c r="CQO213" s="260"/>
      <c r="CQP213" s="260"/>
      <c r="CQQ213" s="260"/>
      <c r="CQR213" s="2"/>
      <c r="CQS213" s="2"/>
      <c r="CQT213" s="2"/>
      <c r="CQU213" s="2"/>
      <c r="CQV213" s="2"/>
      <c r="CQW213" s="2"/>
      <c r="CQX213" s="260"/>
      <c r="CQY213" s="2"/>
      <c r="CQZ213" s="2"/>
      <c r="CRA213" s="2"/>
      <c r="CRB213" s="2"/>
      <c r="CRC213" s="2"/>
      <c r="CRD213" s="2"/>
      <c r="CRE213" s="2"/>
      <c r="CRF213" s="260"/>
      <c r="CRG213" s="260"/>
      <c r="CRH213" s="260"/>
      <c r="CRI213" s="380"/>
      <c r="CRJ213" s="380"/>
      <c r="CRK213" s="380"/>
      <c r="CRL213" s="2"/>
      <c r="CRM213" s="442"/>
      <c r="CRN213" s="442"/>
      <c r="CRO213" s="443"/>
      <c r="CRP213" s="442"/>
      <c r="CRQ213" s="442"/>
      <c r="CRR213" s="2"/>
      <c r="CRS213" s="2"/>
      <c r="CRT213" s="2"/>
      <c r="CRU213" s="2"/>
      <c r="CRV213" s="260"/>
      <c r="CRW213" s="260"/>
      <c r="CRX213" s="260"/>
      <c r="CRY213" s="260"/>
      <c r="CRZ213" s="260"/>
      <c r="CSA213" s="260"/>
      <c r="CSB213" s="308"/>
      <c r="CSC213" s="290"/>
      <c r="CSD213" s="290"/>
      <c r="CSE213" s="260"/>
      <c r="CSF213" s="260"/>
      <c r="CSG213" s="260"/>
      <c r="CSH213" s="260"/>
      <c r="CSI213" s="260"/>
      <c r="CSJ213" s="2"/>
      <c r="CSK213" s="2"/>
      <c r="CSL213" s="2"/>
      <c r="CSM213" s="2"/>
      <c r="CSN213" s="2"/>
      <c r="CSO213" s="2"/>
      <c r="CSP213" s="260"/>
      <c r="CSQ213" s="2"/>
      <c r="CSR213" s="2"/>
      <c r="CSS213" s="2"/>
      <c r="CST213" s="2"/>
      <c r="CSU213" s="2"/>
      <c r="CSV213" s="2"/>
      <c r="CSW213" s="2"/>
      <c r="CSX213" s="260"/>
      <c r="CSY213" s="260"/>
      <c r="CSZ213" s="260"/>
      <c r="CTA213" s="380"/>
      <c r="CTB213" s="380"/>
      <c r="CTC213" s="380"/>
      <c r="CTD213" s="2"/>
      <c r="CTE213" s="442"/>
      <c r="CTF213" s="442"/>
      <c r="CTG213" s="443"/>
      <c r="CTH213" s="442"/>
      <c r="CTI213" s="442"/>
      <c r="CTJ213" s="2"/>
      <c r="CTK213" s="2"/>
      <c r="CTL213" s="2"/>
      <c r="CTM213" s="2"/>
      <c r="CTN213" s="260"/>
      <c r="CTO213" s="260"/>
      <c r="CTP213" s="260"/>
      <c r="CTQ213" s="260"/>
      <c r="CTR213" s="260"/>
      <c r="CTS213" s="260"/>
      <c r="CTT213" s="308"/>
      <c r="CTU213" s="290"/>
      <c r="CTV213" s="290"/>
      <c r="CTW213" s="260"/>
      <c r="CTX213" s="260"/>
      <c r="CTY213" s="260"/>
      <c r="CTZ213" s="260"/>
      <c r="CUA213" s="260"/>
      <c r="CUB213" s="2"/>
      <c r="CUC213" s="2"/>
      <c r="CUD213" s="2"/>
      <c r="CUE213" s="2"/>
      <c r="CUF213" s="2"/>
      <c r="CUG213" s="2"/>
      <c r="CUH213" s="260"/>
      <c r="CUI213" s="2"/>
      <c r="CUJ213" s="2"/>
      <c r="CUK213" s="2"/>
      <c r="CUL213" s="2"/>
      <c r="CUM213" s="2"/>
      <c r="CUN213" s="2"/>
      <c r="CUO213" s="2"/>
      <c r="CUP213" s="260"/>
      <c r="CUQ213" s="260"/>
      <c r="CUR213" s="260"/>
      <c r="CUS213" s="380"/>
      <c r="CUT213" s="380"/>
      <c r="CUU213" s="380"/>
      <c r="CUV213" s="2"/>
      <c r="CUW213" s="442"/>
      <c r="CUX213" s="442"/>
      <c r="CUY213" s="443"/>
      <c r="CUZ213" s="442"/>
      <c r="CVA213" s="442"/>
      <c r="CVB213" s="2"/>
      <c r="CVC213" s="2"/>
      <c r="CVD213" s="2"/>
      <c r="CVE213" s="2"/>
      <c r="CVF213" s="260"/>
      <c r="CVG213" s="260"/>
      <c r="CVH213" s="260"/>
      <c r="CVI213" s="260"/>
      <c r="CVJ213" s="260"/>
      <c r="CVK213" s="260"/>
      <c r="CVL213" s="308"/>
      <c r="CVM213" s="290"/>
      <c r="CVN213" s="290"/>
      <c r="CVO213" s="260"/>
      <c r="CVP213" s="260"/>
      <c r="CVQ213" s="260"/>
      <c r="CVR213" s="260"/>
      <c r="CVS213" s="260"/>
      <c r="CVT213" s="2"/>
      <c r="CVU213" s="2"/>
      <c r="CVV213" s="2"/>
      <c r="CVW213" s="2"/>
      <c r="CVX213" s="2"/>
      <c r="CVY213" s="2"/>
      <c r="CVZ213" s="260"/>
      <c r="CWA213" s="2"/>
      <c r="CWB213" s="2"/>
      <c r="CWC213" s="2"/>
      <c r="CWD213" s="2"/>
      <c r="CWE213" s="2"/>
      <c r="CWF213" s="2"/>
      <c r="CWG213" s="2"/>
      <c r="CWH213" s="260"/>
      <c r="CWI213" s="260"/>
      <c r="CWJ213" s="260"/>
      <c r="CWK213" s="380"/>
      <c r="CWL213" s="380"/>
      <c r="CWM213" s="380"/>
      <c r="CWN213" s="2"/>
      <c r="CWO213" s="442"/>
      <c r="CWP213" s="442"/>
      <c r="CWQ213" s="443"/>
      <c r="CWR213" s="442"/>
      <c r="CWS213" s="442"/>
      <c r="CWT213" s="2"/>
      <c r="CWU213" s="2"/>
      <c r="CWV213" s="2"/>
      <c r="CWW213" s="2"/>
      <c r="CWX213" s="260"/>
      <c r="CWY213" s="260"/>
      <c r="CWZ213" s="260"/>
      <c r="CXA213" s="260"/>
      <c r="CXB213" s="260"/>
      <c r="CXC213" s="260"/>
      <c r="CXD213" s="308"/>
      <c r="CXE213" s="290"/>
      <c r="CXF213" s="290"/>
      <c r="CXG213" s="260"/>
      <c r="CXH213" s="260"/>
      <c r="CXI213" s="260"/>
      <c r="CXJ213" s="260"/>
      <c r="CXK213" s="260"/>
      <c r="CXL213" s="2"/>
      <c r="CXM213" s="2"/>
      <c r="CXN213" s="2"/>
      <c r="CXO213" s="2"/>
      <c r="CXP213" s="2"/>
      <c r="CXQ213" s="2"/>
      <c r="CXR213" s="260"/>
      <c r="CXS213" s="2"/>
      <c r="CXT213" s="2"/>
      <c r="CXU213" s="2"/>
      <c r="CXV213" s="2"/>
      <c r="CXW213" s="2"/>
      <c r="CXX213" s="2"/>
      <c r="CXY213" s="2"/>
      <c r="CXZ213" s="260"/>
      <c r="CYA213" s="260"/>
      <c r="CYB213" s="260"/>
      <c r="CYC213" s="380"/>
      <c r="CYD213" s="380"/>
      <c r="CYE213" s="380"/>
      <c r="CYF213" s="2"/>
      <c r="CYG213" s="442"/>
      <c r="CYH213" s="442"/>
      <c r="CYI213" s="443"/>
      <c r="CYJ213" s="442"/>
      <c r="CYK213" s="442"/>
      <c r="CYL213" s="2"/>
      <c r="CYM213" s="2"/>
      <c r="CYN213" s="2"/>
      <c r="CYO213" s="2"/>
      <c r="CYP213" s="260"/>
      <c r="CYQ213" s="260"/>
      <c r="CYR213" s="260"/>
      <c r="CYS213" s="260"/>
      <c r="CYT213" s="260"/>
      <c r="CYU213" s="260"/>
      <c r="CYV213" s="308"/>
      <c r="CYW213" s="290"/>
      <c r="CYX213" s="290"/>
      <c r="CYY213" s="260"/>
      <c r="CYZ213" s="260"/>
      <c r="CZA213" s="260"/>
      <c r="CZB213" s="260"/>
      <c r="CZC213" s="260"/>
      <c r="CZD213" s="2"/>
      <c r="CZE213" s="2"/>
      <c r="CZF213" s="2"/>
      <c r="CZG213" s="2"/>
      <c r="CZH213" s="2"/>
      <c r="CZI213" s="2"/>
      <c r="CZJ213" s="260"/>
      <c r="CZK213" s="2"/>
      <c r="CZL213" s="2"/>
      <c r="CZM213" s="2"/>
      <c r="CZN213" s="2"/>
      <c r="CZO213" s="2"/>
      <c r="CZP213" s="2"/>
      <c r="CZQ213" s="2"/>
      <c r="CZR213" s="260"/>
      <c r="CZS213" s="260"/>
      <c r="CZT213" s="260"/>
      <c r="CZU213" s="380"/>
      <c r="CZV213" s="380"/>
      <c r="CZW213" s="380"/>
      <c r="CZX213" s="2"/>
      <c r="CZY213" s="442"/>
      <c r="CZZ213" s="442"/>
      <c r="DAA213" s="443"/>
      <c r="DAB213" s="442"/>
      <c r="DAC213" s="442"/>
      <c r="DAD213" s="2"/>
      <c r="DAE213" s="2"/>
      <c r="DAF213" s="2"/>
      <c r="DAG213" s="2"/>
      <c r="DAH213" s="260"/>
      <c r="DAI213" s="260"/>
      <c r="DAJ213" s="260"/>
      <c r="DAK213" s="260"/>
      <c r="DAL213" s="260"/>
      <c r="DAM213" s="260"/>
      <c r="DAN213" s="308"/>
      <c r="DAO213" s="290"/>
      <c r="DAP213" s="290"/>
      <c r="DAQ213" s="260"/>
      <c r="DAR213" s="260"/>
      <c r="DAS213" s="260"/>
      <c r="DAT213" s="260"/>
      <c r="DAU213" s="260"/>
      <c r="DAV213" s="2"/>
      <c r="DAW213" s="2"/>
      <c r="DAX213" s="2"/>
      <c r="DAY213" s="2"/>
      <c r="DAZ213" s="2"/>
      <c r="DBA213" s="2"/>
      <c r="DBB213" s="260"/>
      <c r="DBC213" s="2"/>
      <c r="DBD213" s="2"/>
      <c r="DBE213" s="2"/>
      <c r="DBF213" s="2"/>
      <c r="DBG213" s="2"/>
      <c r="DBH213" s="2"/>
      <c r="DBI213" s="2"/>
      <c r="DBJ213" s="260"/>
      <c r="DBK213" s="260"/>
      <c r="DBL213" s="260"/>
      <c r="DBM213" s="380"/>
      <c r="DBN213" s="380"/>
      <c r="DBO213" s="380"/>
      <c r="DBP213" s="2"/>
      <c r="DBQ213" s="442"/>
      <c r="DBR213" s="442"/>
      <c r="DBS213" s="443"/>
      <c r="DBT213" s="442"/>
      <c r="DBU213" s="442"/>
      <c r="DBV213" s="2"/>
      <c r="DBW213" s="2"/>
      <c r="DBX213" s="2"/>
      <c r="DBY213" s="2"/>
      <c r="DBZ213" s="260"/>
      <c r="DCA213" s="260"/>
      <c r="DCB213" s="260"/>
      <c r="DCC213" s="260"/>
      <c r="DCD213" s="260"/>
      <c r="DCE213" s="260"/>
      <c r="DCF213" s="308"/>
      <c r="DCG213" s="290"/>
      <c r="DCH213" s="290"/>
      <c r="DCI213" s="260"/>
      <c r="DCJ213" s="260"/>
      <c r="DCK213" s="260"/>
      <c r="DCL213" s="260"/>
      <c r="DCM213" s="260"/>
      <c r="DCN213" s="2"/>
      <c r="DCO213" s="2"/>
      <c r="DCP213" s="2"/>
      <c r="DCQ213" s="2"/>
      <c r="DCR213" s="2"/>
      <c r="DCS213" s="2"/>
      <c r="DCT213" s="260"/>
      <c r="DCU213" s="2"/>
      <c r="DCV213" s="2"/>
      <c r="DCW213" s="2"/>
      <c r="DCX213" s="2"/>
      <c r="DCY213" s="2"/>
      <c r="DCZ213" s="2"/>
      <c r="DDA213" s="2"/>
      <c r="DDB213" s="260"/>
      <c r="DDC213" s="260"/>
      <c r="DDD213" s="260"/>
      <c r="DDE213" s="380"/>
      <c r="DDF213" s="380"/>
      <c r="DDG213" s="380"/>
      <c r="DDH213" s="2"/>
      <c r="DDI213" s="442"/>
      <c r="DDJ213" s="442"/>
      <c r="DDK213" s="443"/>
      <c r="DDL213" s="442"/>
      <c r="DDM213" s="442"/>
      <c r="DDN213" s="2"/>
      <c r="DDO213" s="2"/>
      <c r="DDP213" s="2"/>
      <c r="DDQ213" s="2"/>
      <c r="DDR213" s="260"/>
      <c r="DDS213" s="260"/>
      <c r="DDT213" s="260"/>
      <c r="DDU213" s="260"/>
      <c r="DDV213" s="260"/>
      <c r="DDW213" s="260"/>
      <c r="DDX213" s="308"/>
      <c r="DDY213" s="290"/>
      <c r="DDZ213" s="290"/>
      <c r="DEA213" s="260"/>
      <c r="DEB213" s="260"/>
      <c r="DEC213" s="260"/>
      <c r="DED213" s="260"/>
      <c r="DEE213" s="260"/>
      <c r="DEF213" s="2"/>
      <c r="DEG213" s="2"/>
      <c r="DEH213" s="2"/>
      <c r="DEI213" s="2"/>
      <c r="DEJ213" s="2"/>
      <c r="DEK213" s="2"/>
      <c r="DEL213" s="260"/>
      <c r="DEM213" s="2"/>
      <c r="DEN213" s="2"/>
      <c r="DEO213" s="2"/>
      <c r="DEP213" s="2"/>
      <c r="DEQ213" s="2"/>
      <c r="DER213" s="2"/>
      <c r="DES213" s="2"/>
      <c r="DET213" s="260"/>
      <c r="DEU213" s="260"/>
      <c r="DEV213" s="260"/>
      <c r="DEW213" s="380"/>
      <c r="DEX213" s="380"/>
      <c r="DEY213" s="380"/>
      <c r="DEZ213" s="2"/>
      <c r="DFA213" s="442"/>
      <c r="DFB213" s="442"/>
      <c r="DFC213" s="443"/>
      <c r="DFD213" s="442"/>
      <c r="DFE213" s="442"/>
      <c r="DFF213" s="2"/>
      <c r="DFG213" s="2"/>
      <c r="DFH213" s="2"/>
      <c r="DFI213" s="2"/>
      <c r="DFJ213" s="260"/>
      <c r="DFK213" s="260"/>
      <c r="DFL213" s="260"/>
      <c r="DFM213" s="260"/>
      <c r="DFN213" s="260"/>
      <c r="DFO213" s="260"/>
      <c r="DFP213" s="308"/>
      <c r="DFQ213" s="290"/>
      <c r="DFR213" s="290"/>
      <c r="DFS213" s="260"/>
      <c r="DFT213" s="260"/>
      <c r="DFU213" s="260"/>
      <c r="DFV213" s="260"/>
      <c r="DFW213" s="260"/>
      <c r="DFX213" s="2"/>
      <c r="DFY213" s="2"/>
      <c r="DFZ213" s="2"/>
      <c r="DGA213" s="2"/>
      <c r="DGB213" s="2"/>
      <c r="DGC213" s="2"/>
      <c r="DGD213" s="260"/>
      <c r="DGE213" s="2"/>
      <c r="DGF213" s="2"/>
      <c r="DGG213" s="2"/>
      <c r="DGH213" s="2"/>
      <c r="DGI213" s="2"/>
      <c r="DGJ213" s="2"/>
      <c r="DGK213" s="2"/>
      <c r="DGL213" s="260"/>
      <c r="DGM213" s="260"/>
      <c r="DGN213" s="260"/>
      <c r="DGO213" s="380"/>
      <c r="DGP213" s="380"/>
      <c r="DGQ213" s="380"/>
      <c r="DGR213" s="2"/>
      <c r="DGS213" s="442"/>
      <c r="DGT213" s="442"/>
      <c r="DGU213" s="443"/>
      <c r="DGV213" s="442"/>
      <c r="DGW213" s="442"/>
      <c r="DGX213" s="2"/>
      <c r="DGY213" s="2"/>
      <c r="DGZ213" s="2"/>
      <c r="DHA213" s="2"/>
      <c r="DHB213" s="260"/>
      <c r="DHC213" s="260"/>
      <c r="DHD213" s="260"/>
      <c r="DHE213" s="260"/>
      <c r="DHF213" s="260"/>
      <c r="DHG213" s="260"/>
      <c r="DHH213" s="308"/>
      <c r="DHI213" s="290"/>
      <c r="DHJ213" s="290"/>
      <c r="DHK213" s="260"/>
      <c r="DHL213" s="260"/>
      <c r="DHM213" s="260"/>
      <c r="DHN213" s="260"/>
      <c r="DHO213" s="260"/>
      <c r="DHP213" s="2"/>
      <c r="DHQ213" s="2"/>
      <c r="DHR213" s="2"/>
      <c r="DHS213" s="2"/>
      <c r="DHT213" s="2"/>
      <c r="DHU213" s="2"/>
      <c r="DHV213" s="260"/>
      <c r="DHW213" s="2"/>
      <c r="DHX213" s="2"/>
      <c r="DHY213" s="2"/>
      <c r="DHZ213" s="2"/>
      <c r="DIA213" s="2"/>
      <c r="DIB213" s="2"/>
      <c r="DIC213" s="2"/>
      <c r="DID213" s="260"/>
      <c r="DIE213" s="260"/>
      <c r="DIF213" s="260"/>
      <c r="DIG213" s="380"/>
      <c r="DIH213" s="380"/>
      <c r="DII213" s="380"/>
      <c r="DIJ213" s="2"/>
      <c r="DIK213" s="442"/>
      <c r="DIL213" s="442"/>
      <c r="DIM213" s="443"/>
      <c r="DIN213" s="442"/>
      <c r="DIO213" s="442"/>
      <c r="DIP213" s="2"/>
      <c r="DIQ213" s="2"/>
      <c r="DIR213" s="2"/>
      <c r="DIS213" s="2"/>
      <c r="DIT213" s="260"/>
      <c r="DIU213" s="260"/>
      <c r="DIV213" s="260"/>
      <c r="DIW213" s="260"/>
      <c r="DIX213" s="260"/>
      <c r="DIY213" s="260"/>
      <c r="DIZ213" s="308"/>
      <c r="DJA213" s="290"/>
      <c r="DJB213" s="290"/>
      <c r="DJC213" s="260"/>
      <c r="DJD213" s="260"/>
      <c r="DJE213" s="260"/>
      <c r="DJF213" s="260"/>
      <c r="DJG213" s="260"/>
      <c r="DJH213" s="2"/>
      <c r="DJI213" s="2"/>
      <c r="DJJ213" s="2"/>
      <c r="DJK213" s="2"/>
      <c r="DJL213" s="2"/>
      <c r="DJM213" s="2"/>
      <c r="DJN213" s="260"/>
      <c r="DJO213" s="2"/>
      <c r="DJP213" s="2"/>
      <c r="DJQ213" s="2"/>
      <c r="DJR213" s="2"/>
      <c r="DJS213" s="2"/>
      <c r="DJT213" s="2"/>
      <c r="DJU213" s="2"/>
      <c r="DJV213" s="260"/>
      <c r="DJW213" s="260"/>
      <c r="DJX213" s="260"/>
      <c r="DJY213" s="380"/>
      <c r="DJZ213" s="380"/>
      <c r="DKA213" s="380"/>
      <c r="DKB213" s="2"/>
      <c r="DKC213" s="442"/>
      <c r="DKD213" s="442"/>
      <c r="DKE213" s="443"/>
      <c r="DKF213" s="442"/>
      <c r="DKG213" s="442"/>
      <c r="DKH213" s="2"/>
      <c r="DKI213" s="2"/>
      <c r="DKJ213" s="2"/>
      <c r="DKK213" s="2"/>
      <c r="DKL213" s="260"/>
      <c r="DKM213" s="260"/>
      <c r="DKN213" s="260"/>
      <c r="DKO213" s="260"/>
      <c r="DKP213" s="260"/>
      <c r="DKQ213" s="260"/>
      <c r="DKR213" s="308"/>
      <c r="DKS213" s="290"/>
      <c r="DKT213" s="290"/>
      <c r="DKU213" s="260"/>
      <c r="DKV213" s="260"/>
      <c r="DKW213" s="260"/>
      <c r="DKX213" s="260"/>
      <c r="DKY213" s="260"/>
      <c r="DKZ213" s="2"/>
      <c r="DLA213" s="2"/>
      <c r="DLB213" s="2"/>
      <c r="DLC213" s="2"/>
      <c r="DLD213" s="2"/>
      <c r="DLE213" s="2"/>
      <c r="DLF213" s="260"/>
      <c r="DLG213" s="2"/>
      <c r="DLH213" s="2"/>
      <c r="DLI213" s="2"/>
      <c r="DLJ213" s="2"/>
      <c r="DLK213" s="2"/>
      <c r="DLL213" s="2"/>
      <c r="DLM213" s="2"/>
      <c r="DLN213" s="260"/>
      <c r="DLO213" s="260"/>
      <c r="DLP213" s="260"/>
      <c r="DLQ213" s="380"/>
      <c r="DLR213" s="380"/>
      <c r="DLS213" s="380"/>
      <c r="DLT213" s="2"/>
      <c r="DLU213" s="442"/>
      <c r="DLV213" s="442"/>
      <c r="DLW213" s="443"/>
      <c r="DLX213" s="442"/>
      <c r="DLY213" s="442"/>
      <c r="DLZ213" s="2"/>
      <c r="DMA213" s="2"/>
      <c r="DMB213" s="2"/>
      <c r="DMC213" s="2"/>
      <c r="DMD213" s="260"/>
      <c r="DME213" s="260"/>
      <c r="DMF213" s="260"/>
      <c r="DMG213" s="260"/>
      <c r="DMH213" s="260"/>
      <c r="DMI213" s="260"/>
      <c r="DMJ213" s="308"/>
      <c r="DMK213" s="290"/>
      <c r="DML213" s="290"/>
      <c r="DMM213" s="260"/>
      <c r="DMN213" s="260"/>
      <c r="DMO213" s="260"/>
      <c r="DMP213" s="260"/>
      <c r="DMQ213" s="260"/>
      <c r="DMR213" s="2"/>
      <c r="DMS213" s="2"/>
      <c r="DMT213" s="2"/>
      <c r="DMU213" s="2"/>
      <c r="DMV213" s="2"/>
      <c r="DMW213" s="2"/>
      <c r="DMX213" s="260"/>
      <c r="DMY213" s="2"/>
      <c r="DMZ213" s="2"/>
      <c r="DNA213" s="2"/>
      <c r="DNB213" s="2"/>
      <c r="DNC213" s="2"/>
      <c r="DND213" s="2"/>
      <c r="DNE213" s="2"/>
      <c r="DNF213" s="260"/>
      <c r="DNG213" s="260"/>
      <c r="DNH213" s="260"/>
      <c r="DNI213" s="380"/>
      <c r="DNJ213" s="380"/>
      <c r="DNK213" s="380"/>
      <c r="DNL213" s="2"/>
      <c r="DNM213" s="442"/>
      <c r="DNN213" s="442"/>
      <c r="DNO213" s="443"/>
      <c r="DNP213" s="442"/>
      <c r="DNQ213" s="442"/>
      <c r="DNR213" s="2"/>
      <c r="DNS213" s="2"/>
      <c r="DNT213" s="2"/>
      <c r="DNU213" s="2"/>
      <c r="DNV213" s="260"/>
      <c r="DNW213" s="260"/>
      <c r="DNX213" s="260"/>
      <c r="DNY213" s="260"/>
      <c r="DNZ213" s="260"/>
      <c r="DOA213" s="260"/>
      <c r="DOB213" s="308"/>
      <c r="DOC213" s="290"/>
      <c r="DOD213" s="290"/>
      <c r="DOE213" s="260"/>
      <c r="DOF213" s="260"/>
      <c r="DOG213" s="260"/>
      <c r="DOH213" s="260"/>
      <c r="DOI213" s="260"/>
      <c r="DOJ213" s="2"/>
      <c r="DOK213" s="2"/>
      <c r="DOL213" s="2"/>
      <c r="DOM213" s="2"/>
      <c r="DON213" s="2"/>
      <c r="DOO213" s="2"/>
      <c r="DOP213" s="260"/>
      <c r="DOQ213" s="2"/>
      <c r="DOR213" s="2"/>
      <c r="DOS213" s="2"/>
      <c r="DOT213" s="2"/>
      <c r="DOU213" s="2"/>
      <c r="DOV213" s="2"/>
      <c r="DOW213" s="2"/>
      <c r="DOX213" s="260"/>
      <c r="DOY213" s="260"/>
      <c r="DOZ213" s="260"/>
      <c r="DPA213" s="380"/>
      <c r="DPB213" s="380"/>
      <c r="DPC213" s="380"/>
      <c r="DPD213" s="2"/>
      <c r="DPE213" s="442"/>
      <c r="DPF213" s="442"/>
      <c r="DPG213" s="443"/>
      <c r="DPH213" s="442"/>
      <c r="DPI213" s="442"/>
      <c r="DPJ213" s="2"/>
      <c r="DPK213" s="2"/>
      <c r="DPL213" s="2"/>
      <c r="DPM213" s="2"/>
      <c r="DPN213" s="260"/>
      <c r="DPO213" s="260"/>
      <c r="DPP213" s="260"/>
      <c r="DPQ213" s="260"/>
      <c r="DPR213" s="260"/>
      <c r="DPS213" s="260"/>
      <c r="DPT213" s="308"/>
      <c r="DPU213" s="290"/>
      <c r="DPV213" s="290"/>
      <c r="DPW213" s="260"/>
      <c r="DPX213" s="260"/>
      <c r="DPY213" s="260"/>
      <c r="DPZ213" s="260"/>
      <c r="DQA213" s="260"/>
      <c r="DQB213" s="2"/>
      <c r="DQC213" s="2"/>
      <c r="DQD213" s="2"/>
      <c r="DQE213" s="2"/>
      <c r="DQF213" s="2"/>
      <c r="DQG213" s="2"/>
      <c r="DQH213" s="260"/>
      <c r="DQI213" s="2"/>
      <c r="DQJ213" s="2"/>
      <c r="DQK213" s="2"/>
      <c r="DQL213" s="2"/>
      <c r="DQM213" s="2"/>
      <c r="DQN213" s="2"/>
      <c r="DQO213" s="2"/>
      <c r="DQP213" s="260"/>
      <c r="DQQ213" s="260"/>
      <c r="DQR213" s="260"/>
      <c r="DQS213" s="380"/>
      <c r="DQT213" s="380"/>
      <c r="DQU213" s="380"/>
      <c r="DQV213" s="2"/>
      <c r="DQW213" s="442"/>
      <c r="DQX213" s="442"/>
      <c r="DQY213" s="443"/>
      <c r="DQZ213" s="442"/>
      <c r="DRA213" s="442"/>
      <c r="DRB213" s="2"/>
      <c r="DRC213" s="2"/>
      <c r="DRD213" s="2"/>
      <c r="DRE213" s="2"/>
      <c r="DRF213" s="260"/>
      <c r="DRG213" s="260"/>
      <c r="DRH213" s="260"/>
      <c r="DRI213" s="260"/>
      <c r="DRJ213" s="260"/>
      <c r="DRK213" s="260"/>
      <c r="DRL213" s="308"/>
      <c r="DRM213" s="290"/>
      <c r="DRN213" s="290"/>
      <c r="DRO213" s="260"/>
      <c r="DRP213" s="260"/>
      <c r="DRQ213" s="260"/>
      <c r="DRR213" s="260"/>
      <c r="DRS213" s="260"/>
      <c r="DRT213" s="2"/>
      <c r="DRU213" s="2"/>
      <c r="DRV213" s="2"/>
      <c r="DRW213" s="2"/>
      <c r="DRX213" s="2"/>
      <c r="DRY213" s="2"/>
      <c r="DRZ213" s="260"/>
      <c r="DSA213" s="2"/>
      <c r="DSB213" s="2"/>
      <c r="DSC213" s="2"/>
      <c r="DSD213" s="2"/>
      <c r="DSE213" s="2"/>
      <c r="DSF213" s="2"/>
      <c r="DSG213" s="2"/>
      <c r="DSH213" s="260"/>
      <c r="DSI213" s="260"/>
      <c r="DSJ213" s="260"/>
      <c r="DSK213" s="380"/>
      <c r="DSL213" s="380"/>
      <c r="DSM213" s="380"/>
      <c r="DSN213" s="2"/>
      <c r="DSO213" s="442"/>
      <c r="DSP213" s="442"/>
      <c r="DSQ213" s="443"/>
      <c r="DSR213" s="442"/>
      <c r="DSS213" s="442"/>
      <c r="DST213" s="2"/>
      <c r="DSU213" s="2"/>
      <c r="DSV213" s="2"/>
      <c r="DSW213" s="2"/>
      <c r="DSX213" s="260"/>
      <c r="DSY213" s="260"/>
      <c r="DSZ213" s="260"/>
      <c r="DTA213" s="260"/>
      <c r="DTB213" s="260"/>
      <c r="DTC213" s="260"/>
      <c r="DTD213" s="308"/>
      <c r="DTE213" s="290"/>
      <c r="DTF213" s="290"/>
      <c r="DTG213" s="260"/>
      <c r="DTH213" s="260"/>
      <c r="DTI213" s="260"/>
      <c r="DTJ213" s="260"/>
      <c r="DTK213" s="260"/>
      <c r="DTL213" s="2"/>
      <c r="DTM213" s="2"/>
      <c r="DTN213" s="2"/>
      <c r="DTO213" s="2"/>
      <c r="DTP213" s="2"/>
      <c r="DTQ213" s="2"/>
      <c r="DTR213" s="260"/>
      <c r="DTS213" s="2"/>
      <c r="DTT213" s="2"/>
      <c r="DTU213" s="2"/>
      <c r="DTV213" s="2"/>
      <c r="DTW213" s="2"/>
      <c r="DTX213" s="2"/>
      <c r="DTY213" s="2"/>
      <c r="DTZ213" s="260"/>
      <c r="DUA213" s="260"/>
      <c r="DUB213" s="260"/>
      <c r="DUC213" s="380"/>
      <c r="DUD213" s="380"/>
      <c r="DUE213" s="380"/>
      <c r="DUF213" s="2"/>
      <c r="DUG213" s="442"/>
      <c r="DUH213" s="442"/>
      <c r="DUI213" s="443"/>
      <c r="DUJ213" s="442"/>
      <c r="DUK213" s="442"/>
      <c r="DUL213" s="2"/>
      <c r="DUM213" s="2"/>
      <c r="DUN213" s="2"/>
      <c r="DUO213" s="2"/>
      <c r="DUP213" s="260"/>
      <c r="DUQ213" s="260"/>
      <c r="DUR213" s="260"/>
      <c r="DUS213" s="260"/>
      <c r="DUT213" s="260"/>
      <c r="DUU213" s="260"/>
      <c r="DUV213" s="308"/>
      <c r="DUW213" s="290"/>
      <c r="DUX213" s="290"/>
      <c r="DUY213" s="260"/>
      <c r="DUZ213" s="260"/>
      <c r="DVA213" s="260"/>
      <c r="DVB213" s="260"/>
      <c r="DVC213" s="260"/>
      <c r="DVD213" s="2"/>
      <c r="DVE213" s="2"/>
      <c r="DVF213" s="2"/>
      <c r="DVG213" s="2"/>
      <c r="DVH213" s="2"/>
      <c r="DVI213" s="2"/>
      <c r="DVJ213" s="260"/>
      <c r="DVK213" s="2"/>
      <c r="DVL213" s="2"/>
      <c r="DVM213" s="2"/>
      <c r="DVN213" s="2"/>
      <c r="DVO213" s="2"/>
      <c r="DVP213" s="2"/>
      <c r="DVQ213" s="2"/>
      <c r="DVR213" s="260"/>
      <c r="DVS213" s="260"/>
      <c r="DVT213" s="260"/>
      <c r="DVU213" s="380"/>
      <c r="DVV213" s="380"/>
      <c r="DVW213" s="380"/>
      <c r="DVX213" s="2"/>
      <c r="DVY213" s="442"/>
      <c r="DVZ213" s="442"/>
      <c r="DWA213" s="443"/>
      <c r="DWB213" s="442"/>
      <c r="DWC213" s="442"/>
      <c r="DWD213" s="2"/>
      <c r="DWE213" s="2"/>
      <c r="DWF213" s="2"/>
      <c r="DWG213" s="2"/>
      <c r="DWH213" s="260"/>
      <c r="DWI213" s="260"/>
      <c r="DWJ213" s="260"/>
      <c r="DWK213" s="260"/>
      <c r="DWL213" s="260"/>
      <c r="DWM213" s="260"/>
      <c r="DWN213" s="308"/>
      <c r="DWO213" s="290"/>
      <c r="DWP213" s="290"/>
      <c r="DWQ213" s="260"/>
      <c r="DWR213" s="260"/>
      <c r="DWS213" s="260"/>
      <c r="DWT213" s="260"/>
      <c r="DWU213" s="260"/>
      <c r="DWV213" s="2"/>
      <c r="DWW213" s="2"/>
      <c r="DWX213" s="2"/>
      <c r="DWY213" s="2"/>
      <c r="DWZ213" s="2"/>
      <c r="DXA213" s="2"/>
      <c r="DXB213" s="260"/>
      <c r="DXC213" s="2"/>
      <c r="DXD213" s="2"/>
      <c r="DXE213" s="2"/>
      <c r="DXF213" s="2"/>
      <c r="DXG213" s="2"/>
      <c r="DXH213" s="2"/>
      <c r="DXI213" s="2"/>
      <c r="DXJ213" s="260"/>
      <c r="DXK213" s="260"/>
      <c r="DXL213" s="260"/>
      <c r="DXM213" s="380"/>
      <c r="DXN213" s="380"/>
      <c r="DXO213" s="380"/>
      <c r="DXP213" s="2"/>
      <c r="DXQ213" s="442"/>
      <c r="DXR213" s="442"/>
      <c r="DXS213" s="443"/>
      <c r="DXT213" s="442"/>
      <c r="DXU213" s="442"/>
      <c r="DXV213" s="2"/>
      <c r="DXW213" s="2"/>
      <c r="DXX213" s="2"/>
      <c r="DXY213" s="2"/>
      <c r="DXZ213" s="260"/>
      <c r="DYA213" s="260"/>
      <c r="DYB213" s="260"/>
      <c r="DYC213" s="260"/>
      <c r="DYD213" s="260"/>
      <c r="DYE213" s="260"/>
      <c r="DYF213" s="308"/>
      <c r="DYG213" s="290"/>
      <c r="DYH213" s="290"/>
      <c r="DYI213" s="260"/>
      <c r="DYJ213" s="260"/>
      <c r="DYK213" s="260"/>
      <c r="DYL213" s="260"/>
      <c r="DYM213" s="260"/>
      <c r="DYN213" s="2"/>
      <c r="DYO213" s="2"/>
      <c r="DYP213" s="2"/>
      <c r="DYQ213" s="2"/>
      <c r="DYR213" s="2"/>
      <c r="DYS213" s="2"/>
      <c r="DYT213" s="260"/>
      <c r="DYU213" s="2"/>
      <c r="DYV213" s="2"/>
      <c r="DYW213" s="2"/>
      <c r="DYX213" s="2"/>
      <c r="DYY213" s="2"/>
      <c r="DYZ213" s="2"/>
      <c r="DZA213" s="2"/>
      <c r="DZB213" s="260"/>
      <c r="DZC213" s="260"/>
      <c r="DZD213" s="260"/>
      <c r="DZE213" s="380"/>
      <c r="DZF213" s="380"/>
      <c r="DZG213" s="380"/>
      <c r="DZH213" s="2"/>
      <c r="DZI213" s="442"/>
      <c r="DZJ213" s="442"/>
      <c r="DZK213" s="443"/>
      <c r="DZL213" s="442"/>
      <c r="DZM213" s="442"/>
      <c r="DZN213" s="2"/>
      <c r="DZO213" s="2"/>
      <c r="DZP213" s="2"/>
      <c r="DZQ213" s="2"/>
      <c r="DZR213" s="260"/>
      <c r="DZS213" s="260"/>
      <c r="DZT213" s="260"/>
      <c r="DZU213" s="260"/>
      <c r="DZV213" s="260"/>
      <c r="DZW213" s="260"/>
      <c r="DZX213" s="308"/>
      <c r="DZY213" s="290"/>
      <c r="DZZ213" s="290"/>
      <c r="EAA213" s="260"/>
      <c r="EAB213" s="260"/>
      <c r="EAC213" s="260"/>
      <c r="EAD213" s="260"/>
      <c r="EAE213" s="260"/>
      <c r="EAF213" s="2"/>
      <c r="EAG213" s="2"/>
      <c r="EAH213" s="2"/>
      <c r="EAI213" s="2"/>
      <c r="EAJ213" s="2"/>
      <c r="EAK213" s="2"/>
      <c r="EAL213" s="260"/>
      <c r="EAM213" s="2"/>
      <c r="EAN213" s="2"/>
      <c r="EAO213" s="2"/>
      <c r="EAP213" s="2"/>
      <c r="EAQ213" s="2"/>
      <c r="EAR213" s="2"/>
      <c r="EAS213" s="2"/>
      <c r="EAT213" s="260"/>
      <c r="EAU213" s="260"/>
      <c r="EAV213" s="260"/>
      <c r="EAW213" s="380"/>
      <c r="EAX213" s="380"/>
      <c r="EAY213" s="380"/>
      <c r="EAZ213" s="2"/>
      <c r="EBA213" s="442"/>
      <c r="EBB213" s="442"/>
      <c r="EBC213" s="443"/>
      <c r="EBD213" s="442"/>
      <c r="EBE213" s="442"/>
      <c r="EBF213" s="2"/>
      <c r="EBG213" s="2"/>
      <c r="EBH213" s="2"/>
      <c r="EBI213" s="2"/>
      <c r="EBJ213" s="260"/>
      <c r="EBK213" s="260"/>
      <c r="EBL213" s="260"/>
      <c r="EBM213" s="260"/>
      <c r="EBN213" s="260"/>
      <c r="EBO213" s="260"/>
      <c r="EBP213" s="308"/>
      <c r="EBQ213" s="290"/>
      <c r="EBR213" s="290"/>
      <c r="EBS213" s="260"/>
      <c r="EBT213" s="260"/>
      <c r="EBU213" s="260"/>
      <c r="EBV213" s="260"/>
      <c r="EBW213" s="260"/>
      <c r="EBX213" s="2"/>
      <c r="EBY213" s="2"/>
      <c r="EBZ213" s="2"/>
      <c r="ECA213" s="2"/>
      <c r="ECB213" s="2"/>
      <c r="ECC213" s="2"/>
      <c r="ECD213" s="260"/>
      <c r="ECE213" s="2"/>
      <c r="ECF213" s="2"/>
      <c r="ECG213" s="2"/>
      <c r="ECH213" s="2"/>
      <c r="ECI213" s="2"/>
      <c r="ECJ213" s="2"/>
      <c r="ECK213" s="2"/>
      <c r="ECL213" s="260"/>
      <c r="ECM213" s="260"/>
      <c r="ECN213" s="260"/>
      <c r="ECO213" s="380"/>
      <c r="ECP213" s="380"/>
      <c r="ECQ213" s="380"/>
      <c r="ECR213" s="2"/>
      <c r="ECS213" s="442"/>
      <c r="ECT213" s="442"/>
      <c r="ECU213" s="443"/>
      <c r="ECV213" s="442"/>
      <c r="ECW213" s="442"/>
      <c r="ECX213" s="2"/>
      <c r="ECY213" s="2"/>
      <c r="ECZ213" s="2"/>
      <c r="EDA213" s="2"/>
      <c r="EDB213" s="260"/>
      <c r="EDC213" s="260"/>
      <c r="EDD213" s="260"/>
      <c r="EDE213" s="260"/>
      <c r="EDF213" s="260"/>
      <c r="EDG213" s="260"/>
      <c r="EDH213" s="308"/>
      <c r="EDI213" s="290"/>
      <c r="EDJ213" s="290"/>
      <c r="EDK213" s="260"/>
      <c r="EDL213" s="260"/>
      <c r="EDM213" s="260"/>
      <c r="EDN213" s="260"/>
      <c r="EDO213" s="260"/>
      <c r="EDP213" s="2"/>
      <c r="EDQ213" s="2"/>
      <c r="EDR213" s="2"/>
      <c r="EDS213" s="2"/>
      <c r="EDT213" s="2"/>
      <c r="EDU213" s="2"/>
      <c r="EDV213" s="260"/>
      <c r="EDW213" s="2"/>
      <c r="EDX213" s="2"/>
      <c r="EDY213" s="2"/>
      <c r="EDZ213" s="2"/>
      <c r="EEA213" s="2"/>
      <c r="EEB213" s="2"/>
      <c r="EEC213" s="2"/>
      <c r="EED213" s="260"/>
      <c r="EEE213" s="260"/>
      <c r="EEF213" s="260"/>
      <c r="EEG213" s="380"/>
      <c r="EEH213" s="380"/>
      <c r="EEI213" s="380"/>
      <c r="EEJ213" s="2"/>
      <c r="EEK213" s="442"/>
      <c r="EEL213" s="442"/>
      <c r="EEM213" s="443"/>
      <c r="EEN213" s="442"/>
      <c r="EEO213" s="442"/>
      <c r="EEP213" s="2"/>
      <c r="EEQ213" s="2"/>
      <c r="EER213" s="2"/>
      <c r="EES213" s="2"/>
      <c r="EET213" s="260"/>
      <c r="EEU213" s="260"/>
      <c r="EEV213" s="260"/>
      <c r="EEW213" s="260"/>
      <c r="EEX213" s="260"/>
      <c r="EEY213" s="260"/>
      <c r="EEZ213" s="308"/>
      <c r="EFA213" s="290"/>
      <c r="EFB213" s="290"/>
      <c r="EFC213" s="260"/>
      <c r="EFD213" s="260"/>
      <c r="EFE213" s="260"/>
      <c r="EFF213" s="260"/>
      <c r="EFG213" s="260"/>
      <c r="EFH213" s="2"/>
      <c r="EFI213" s="2"/>
      <c r="EFJ213" s="2"/>
      <c r="EFK213" s="2"/>
      <c r="EFL213" s="2"/>
      <c r="EFM213" s="2"/>
      <c r="EFN213" s="260"/>
      <c r="EFO213" s="2"/>
      <c r="EFP213" s="2"/>
      <c r="EFQ213" s="2"/>
      <c r="EFR213" s="2"/>
      <c r="EFS213" s="2"/>
      <c r="EFT213" s="2"/>
      <c r="EFU213" s="2"/>
      <c r="EFV213" s="260"/>
      <c r="EFW213" s="260"/>
      <c r="EFX213" s="260"/>
      <c r="EFY213" s="380"/>
      <c r="EFZ213" s="380"/>
      <c r="EGA213" s="380"/>
      <c r="EGB213" s="2"/>
      <c r="EGC213" s="442"/>
      <c r="EGD213" s="442"/>
      <c r="EGE213" s="443"/>
      <c r="EGF213" s="442"/>
      <c r="EGG213" s="442"/>
      <c r="EGH213" s="2"/>
      <c r="EGI213" s="2"/>
      <c r="EGJ213" s="2"/>
      <c r="EGK213" s="2"/>
      <c r="EGL213" s="260"/>
      <c r="EGM213" s="260"/>
      <c r="EGN213" s="260"/>
      <c r="EGO213" s="260"/>
      <c r="EGP213" s="260"/>
      <c r="EGQ213" s="260"/>
      <c r="EGR213" s="308"/>
      <c r="EGS213" s="290"/>
      <c r="EGT213" s="290"/>
      <c r="EGU213" s="260"/>
      <c r="EGV213" s="260"/>
      <c r="EGW213" s="260"/>
      <c r="EGX213" s="260"/>
      <c r="EGY213" s="260"/>
      <c r="EGZ213" s="2"/>
      <c r="EHA213" s="2"/>
      <c r="EHB213" s="2"/>
      <c r="EHC213" s="2"/>
      <c r="EHD213" s="2"/>
      <c r="EHE213" s="2"/>
      <c r="EHF213" s="260"/>
      <c r="EHG213" s="2"/>
      <c r="EHH213" s="2"/>
      <c r="EHI213" s="2"/>
      <c r="EHJ213" s="2"/>
      <c r="EHK213" s="2"/>
      <c r="EHL213" s="2"/>
      <c r="EHM213" s="2"/>
      <c r="EHN213" s="260"/>
      <c r="EHO213" s="260"/>
      <c r="EHP213" s="260"/>
      <c r="EHQ213" s="380"/>
      <c r="EHR213" s="380"/>
      <c r="EHS213" s="380"/>
      <c r="EHT213" s="2"/>
      <c r="EHU213" s="442"/>
      <c r="EHV213" s="442"/>
      <c r="EHW213" s="443"/>
      <c r="EHX213" s="442"/>
      <c r="EHY213" s="442"/>
      <c r="EHZ213" s="2"/>
      <c r="EIA213" s="2"/>
      <c r="EIB213" s="2"/>
      <c r="EIC213" s="2"/>
      <c r="EID213" s="260"/>
      <c r="EIE213" s="260"/>
      <c r="EIF213" s="260"/>
      <c r="EIG213" s="260"/>
      <c r="EIH213" s="260"/>
      <c r="EII213" s="260"/>
      <c r="EIJ213" s="308"/>
      <c r="EIK213" s="290"/>
      <c r="EIL213" s="290"/>
      <c r="EIM213" s="260"/>
      <c r="EIN213" s="260"/>
      <c r="EIO213" s="260"/>
      <c r="EIP213" s="260"/>
      <c r="EIQ213" s="260"/>
      <c r="EIR213" s="2"/>
      <c r="EIS213" s="2"/>
      <c r="EIT213" s="2"/>
      <c r="EIU213" s="2"/>
      <c r="EIV213" s="2"/>
      <c r="EIW213" s="2"/>
      <c r="EIX213" s="260"/>
      <c r="EIY213" s="2"/>
      <c r="EIZ213" s="2"/>
      <c r="EJA213" s="2"/>
      <c r="EJB213" s="2"/>
      <c r="EJC213" s="2"/>
      <c r="EJD213" s="2"/>
      <c r="EJE213" s="2"/>
      <c r="EJF213" s="260"/>
      <c r="EJG213" s="260"/>
      <c r="EJH213" s="260"/>
      <c r="EJI213" s="380"/>
      <c r="EJJ213" s="380"/>
      <c r="EJK213" s="380"/>
      <c r="EJL213" s="2"/>
      <c r="EJM213" s="442"/>
      <c r="EJN213" s="442"/>
      <c r="EJO213" s="443"/>
      <c r="EJP213" s="442"/>
      <c r="EJQ213" s="442"/>
      <c r="EJR213" s="2"/>
      <c r="EJS213" s="2"/>
      <c r="EJT213" s="2"/>
      <c r="EJU213" s="2"/>
      <c r="EJV213" s="260"/>
      <c r="EJW213" s="260"/>
      <c r="EJX213" s="260"/>
      <c r="EJY213" s="260"/>
      <c r="EJZ213" s="260"/>
      <c r="EKA213" s="260"/>
      <c r="EKB213" s="308"/>
      <c r="EKC213" s="290"/>
      <c r="EKD213" s="290"/>
      <c r="EKE213" s="260"/>
      <c r="EKF213" s="260"/>
      <c r="EKG213" s="260"/>
      <c r="EKH213" s="260"/>
      <c r="EKI213" s="260"/>
      <c r="EKJ213" s="2"/>
      <c r="EKK213" s="2"/>
      <c r="EKL213" s="2"/>
      <c r="EKM213" s="2"/>
      <c r="EKN213" s="2"/>
      <c r="EKO213" s="2"/>
      <c r="EKP213" s="260"/>
      <c r="EKQ213" s="2"/>
      <c r="EKR213" s="2"/>
      <c r="EKS213" s="2"/>
      <c r="EKT213" s="2"/>
      <c r="EKU213" s="2"/>
      <c r="EKV213" s="2"/>
      <c r="EKW213" s="2"/>
      <c r="EKX213" s="260"/>
      <c r="EKY213" s="260"/>
      <c r="EKZ213" s="260"/>
      <c r="ELA213" s="380"/>
      <c r="ELB213" s="380"/>
      <c r="ELC213" s="380"/>
      <c r="ELD213" s="2"/>
      <c r="ELE213" s="442"/>
      <c r="ELF213" s="442"/>
      <c r="ELG213" s="443"/>
      <c r="ELH213" s="442"/>
      <c r="ELI213" s="442"/>
      <c r="ELJ213" s="2"/>
      <c r="ELK213" s="2"/>
      <c r="ELL213" s="2"/>
      <c r="ELM213" s="2"/>
      <c r="ELN213" s="260"/>
      <c r="ELO213" s="260"/>
      <c r="ELP213" s="260"/>
      <c r="ELQ213" s="260"/>
      <c r="ELR213" s="260"/>
      <c r="ELS213" s="260"/>
      <c r="ELT213" s="308"/>
      <c r="ELU213" s="290"/>
      <c r="ELV213" s="290"/>
      <c r="ELW213" s="260"/>
      <c r="ELX213" s="260"/>
      <c r="ELY213" s="260"/>
      <c r="ELZ213" s="260"/>
      <c r="EMA213" s="260"/>
      <c r="EMB213" s="2"/>
      <c r="EMC213" s="2"/>
      <c r="EMD213" s="2"/>
      <c r="EME213" s="2"/>
      <c r="EMF213" s="2"/>
      <c r="EMG213" s="2"/>
      <c r="EMH213" s="260"/>
      <c r="EMI213" s="2"/>
      <c r="EMJ213" s="2"/>
      <c r="EMK213" s="2"/>
      <c r="EML213" s="2"/>
      <c r="EMM213" s="2"/>
      <c r="EMN213" s="2"/>
      <c r="EMO213" s="2"/>
      <c r="EMP213" s="260"/>
      <c r="EMQ213" s="260"/>
      <c r="EMR213" s="260"/>
      <c r="EMS213" s="380"/>
      <c r="EMT213" s="380"/>
      <c r="EMU213" s="380"/>
      <c r="EMV213" s="2"/>
      <c r="EMW213" s="442"/>
      <c r="EMX213" s="442"/>
      <c r="EMY213" s="443"/>
      <c r="EMZ213" s="442"/>
      <c r="ENA213" s="442"/>
      <c r="ENB213" s="2"/>
      <c r="ENC213" s="2"/>
      <c r="END213" s="2"/>
      <c r="ENE213" s="2"/>
      <c r="ENF213" s="260"/>
      <c r="ENG213" s="260"/>
      <c r="ENH213" s="260"/>
      <c r="ENI213" s="260"/>
      <c r="ENJ213" s="260"/>
      <c r="ENK213" s="260"/>
      <c r="ENL213" s="308"/>
      <c r="ENM213" s="290"/>
      <c r="ENN213" s="290"/>
      <c r="ENO213" s="260"/>
      <c r="ENP213" s="260"/>
      <c r="ENQ213" s="260"/>
      <c r="ENR213" s="260"/>
      <c r="ENS213" s="260"/>
      <c r="ENT213" s="2"/>
      <c r="ENU213" s="2"/>
      <c r="ENV213" s="2"/>
      <c r="ENW213" s="2"/>
      <c r="ENX213" s="2"/>
      <c r="ENY213" s="2"/>
      <c r="ENZ213" s="260"/>
      <c r="EOA213" s="2"/>
      <c r="EOB213" s="2"/>
      <c r="EOC213" s="2"/>
      <c r="EOD213" s="2"/>
      <c r="EOE213" s="2"/>
      <c r="EOF213" s="2"/>
      <c r="EOG213" s="2"/>
      <c r="EOH213" s="260"/>
      <c r="EOI213" s="260"/>
      <c r="EOJ213" s="260"/>
      <c r="EOK213" s="380"/>
      <c r="EOL213" s="380"/>
      <c r="EOM213" s="380"/>
      <c r="EON213" s="2"/>
      <c r="EOO213" s="442"/>
      <c r="EOP213" s="442"/>
      <c r="EOQ213" s="443"/>
      <c r="EOR213" s="442"/>
      <c r="EOS213" s="442"/>
      <c r="EOT213" s="2"/>
      <c r="EOU213" s="2"/>
      <c r="EOV213" s="2"/>
      <c r="EOW213" s="2"/>
      <c r="EOX213" s="260"/>
      <c r="EOY213" s="260"/>
      <c r="EOZ213" s="260"/>
      <c r="EPA213" s="260"/>
      <c r="EPB213" s="260"/>
      <c r="EPC213" s="260"/>
      <c r="EPD213" s="308"/>
      <c r="EPE213" s="290"/>
      <c r="EPF213" s="290"/>
      <c r="EPG213" s="260"/>
      <c r="EPH213" s="260"/>
      <c r="EPI213" s="260"/>
      <c r="EPJ213" s="260"/>
      <c r="EPK213" s="260"/>
      <c r="EPL213" s="2"/>
      <c r="EPM213" s="2"/>
      <c r="EPN213" s="2"/>
      <c r="EPO213" s="2"/>
      <c r="EPP213" s="2"/>
      <c r="EPQ213" s="2"/>
      <c r="EPR213" s="260"/>
      <c r="EPS213" s="2"/>
      <c r="EPT213" s="2"/>
      <c r="EPU213" s="2"/>
      <c r="EPV213" s="2"/>
      <c r="EPW213" s="2"/>
      <c r="EPX213" s="2"/>
      <c r="EPY213" s="2"/>
      <c r="EPZ213" s="260"/>
      <c r="EQA213" s="260"/>
      <c r="EQB213" s="260"/>
      <c r="EQC213" s="380"/>
      <c r="EQD213" s="380"/>
      <c r="EQE213" s="380"/>
      <c r="EQF213" s="2"/>
      <c r="EQG213" s="442"/>
      <c r="EQH213" s="442"/>
      <c r="EQI213" s="443"/>
      <c r="EQJ213" s="442"/>
      <c r="EQK213" s="442"/>
      <c r="EQL213" s="2"/>
      <c r="EQM213" s="2"/>
      <c r="EQN213" s="2"/>
      <c r="EQO213" s="2"/>
      <c r="EQP213" s="260"/>
      <c r="EQQ213" s="260"/>
      <c r="EQR213" s="260"/>
      <c r="EQS213" s="260"/>
      <c r="EQT213" s="260"/>
      <c r="EQU213" s="260"/>
      <c r="EQV213" s="308"/>
      <c r="EQW213" s="290"/>
      <c r="EQX213" s="290"/>
      <c r="EQY213" s="260"/>
      <c r="EQZ213" s="260"/>
      <c r="ERA213" s="260"/>
      <c r="ERB213" s="260"/>
      <c r="ERC213" s="260"/>
      <c r="ERD213" s="2"/>
      <c r="ERE213" s="2"/>
      <c r="ERF213" s="2"/>
      <c r="ERG213" s="2"/>
      <c r="ERH213" s="2"/>
      <c r="ERI213" s="2"/>
      <c r="ERJ213" s="260"/>
      <c r="ERK213" s="2"/>
      <c r="ERL213" s="2"/>
      <c r="ERM213" s="2"/>
      <c r="ERN213" s="2"/>
      <c r="ERO213" s="2"/>
      <c r="ERP213" s="2"/>
      <c r="ERQ213" s="2"/>
      <c r="ERR213" s="260"/>
      <c r="ERS213" s="260"/>
      <c r="ERT213" s="260"/>
      <c r="ERU213" s="380"/>
      <c r="ERV213" s="380"/>
      <c r="ERW213" s="380"/>
      <c r="ERX213" s="2"/>
      <c r="ERY213" s="442"/>
      <c r="ERZ213" s="442"/>
      <c r="ESA213" s="443"/>
      <c r="ESB213" s="442"/>
      <c r="ESC213" s="442"/>
      <c r="ESD213" s="2"/>
      <c r="ESE213" s="2"/>
      <c r="ESF213" s="2"/>
      <c r="ESG213" s="2"/>
      <c r="ESH213" s="260"/>
      <c r="ESI213" s="260"/>
      <c r="ESJ213" s="260"/>
      <c r="ESK213" s="260"/>
      <c r="ESL213" s="260"/>
      <c r="ESM213" s="260"/>
      <c r="ESN213" s="308"/>
      <c r="ESO213" s="290"/>
      <c r="ESP213" s="290"/>
      <c r="ESQ213" s="260"/>
      <c r="ESR213" s="260"/>
      <c r="ESS213" s="260"/>
      <c r="EST213" s="260"/>
      <c r="ESU213" s="260"/>
      <c r="ESV213" s="2"/>
      <c r="ESW213" s="2"/>
      <c r="ESX213" s="2"/>
      <c r="ESY213" s="2"/>
      <c r="ESZ213" s="2"/>
      <c r="ETA213" s="2"/>
      <c r="ETB213" s="260"/>
      <c r="ETC213" s="2"/>
      <c r="ETD213" s="2"/>
      <c r="ETE213" s="2"/>
      <c r="ETF213" s="2"/>
      <c r="ETG213" s="2"/>
      <c r="ETH213" s="2"/>
      <c r="ETI213" s="2"/>
      <c r="ETJ213" s="260"/>
      <c r="ETK213" s="260"/>
      <c r="ETL213" s="260"/>
      <c r="ETM213" s="380"/>
      <c r="ETN213" s="380"/>
      <c r="ETO213" s="380"/>
      <c r="ETP213" s="2"/>
      <c r="ETQ213" s="442"/>
      <c r="ETR213" s="442"/>
      <c r="ETS213" s="443"/>
      <c r="ETT213" s="442"/>
      <c r="ETU213" s="442"/>
      <c r="ETV213" s="2"/>
      <c r="ETW213" s="2"/>
      <c r="ETX213" s="2"/>
      <c r="ETY213" s="2"/>
      <c r="ETZ213" s="260"/>
      <c r="EUA213" s="260"/>
      <c r="EUB213" s="260"/>
      <c r="EUC213" s="260"/>
      <c r="EUD213" s="260"/>
      <c r="EUE213" s="260"/>
      <c r="EUF213" s="308"/>
      <c r="EUG213" s="290"/>
      <c r="EUH213" s="290"/>
      <c r="EUI213" s="260"/>
      <c r="EUJ213" s="260"/>
      <c r="EUK213" s="260"/>
      <c r="EUL213" s="260"/>
      <c r="EUM213" s="260"/>
      <c r="EUN213" s="2"/>
      <c r="EUO213" s="2"/>
      <c r="EUP213" s="2"/>
      <c r="EUQ213" s="2"/>
      <c r="EUR213" s="2"/>
      <c r="EUS213" s="2"/>
      <c r="EUT213" s="260"/>
      <c r="EUU213" s="2"/>
      <c r="EUV213" s="2"/>
      <c r="EUW213" s="2"/>
      <c r="EUX213" s="2"/>
      <c r="EUY213" s="2"/>
      <c r="EUZ213" s="2"/>
      <c r="EVA213" s="2"/>
      <c r="EVB213" s="260"/>
      <c r="EVC213" s="260"/>
      <c r="EVD213" s="260"/>
      <c r="EVE213" s="380"/>
      <c r="EVF213" s="380"/>
      <c r="EVG213" s="380"/>
      <c r="EVH213" s="2"/>
      <c r="EVI213" s="442"/>
      <c r="EVJ213" s="442"/>
      <c r="EVK213" s="443"/>
      <c r="EVL213" s="442"/>
      <c r="EVM213" s="442"/>
      <c r="EVN213" s="2"/>
      <c r="EVO213" s="2"/>
      <c r="EVP213" s="2"/>
      <c r="EVQ213" s="2"/>
      <c r="EVR213" s="260"/>
      <c r="EVS213" s="260"/>
      <c r="EVT213" s="260"/>
      <c r="EVU213" s="260"/>
      <c r="EVV213" s="260"/>
      <c r="EVW213" s="260"/>
      <c r="EVX213" s="308"/>
      <c r="EVY213" s="290"/>
      <c r="EVZ213" s="290"/>
      <c r="EWA213" s="260"/>
      <c r="EWB213" s="260"/>
      <c r="EWC213" s="260"/>
      <c r="EWD213" s="260"/>
      <c r="EWE213" s="260"/>
      <c r="EWF213" s="2"/>
      <c r="EWG213" s="2"/>
      <c r="EWH213" s="2"/>
      <c r="EWI213" s="2"/>
      <c r="EWJ213" s="2"/>
      <c r="EWK213" s="2"/>
      <c r="EWL213" s="260"/>
      <c r="EWM213" s="2"/>
      <c r="EWN213" s="2"/>
      <c r="EWO213" s="2"/>
      <c r="EWP213" s="2"/>
      <c r="EWQ213" s="2"/>
      <c r="EWR213" s="2"/>
      <c r="EWS213" s="2"/>
      <c r="EWT213" s="260"/>
      <c r="EWU213" s="260"/>
      <c r="EWV213" s="260"/>
      <c r="EWW213" s="380"/>
      <c r="EWX213" s="380"/>
      <c r="EWY213" s="380"/>
      <c r="EWZ213" s="2"/>
      <c r="EXA213" s="442"/>
      <c r="EXB213" s="442"/>
      <c r="EXC213" s="443"/>
      <c r="EXD213" s="442"/>
      <c r="EXE213" s="442"/>
      <c r="EXF213" s="2"/>
      <c r="EXG213" s="2"/>
      <c r="EXH213" s="2"/>
      <c r="EXI213" s="2"/>
      <c r="EXJ213" s="260"/>
      <c r="EXK213" s="260"/>
      <c r="EXL213" s="260"/>
      <c r="EXM213" s="260"/>
      <c r="EXN213" s="260"/>
      <c r="EXO213" s="260"/>
      <c r="EXP213" s="308"/>
      <c r="EXQ213" s="290"/>
      <c r="EXR213" s="290"/>
      <c r="EXS213" s="260"/>
      <c r="EXT213" s="260"/>
      <c r="EXU213" s="260"/>
      <c r="EXV213" s="260"/>
      <c r="EXW213" s="260"/>
      <c r="EXX213" s="2"/>
      <c r="EXY213" s="2"/>
      <c r="EXZ213" s="2"/>
      <c r="EYA213" s="2"/>
      <c r="EYB213" s="2"/>
      <c r="EYC213" s="2"/>
      <c r="EYD213" s="260"/>
      <c r="EYE213" s="2"/>
      <c r="EYF213" s="2"/>
      <c r="EYG213" s="2"/>
      <c r="EYH213" s="2"/>
      <c r="EYI213" s="2"/>
      <c r="EYJ213" s="2"/>
      <c r="EYK213" s="2"/>
      <c r="EYL213" s="260"/>
      <c r="EYM213" s="260"/>
      <c r="EYN213" s="260"/>
      <c r="EYO213" s="380"/>
      <c r="EYP213" s="380"/>
      <c r="EYQ213" s="380"/>
      <c r="EYR213" s="2"/>
      <c r="EYS213" s="442"/>
      <c r="EYT213" s="442"/>
      <c r="EYU213" s="443"/>
      <c r="EYV213" s="442"/>
      <c r="EYW213" s="442"/>
      <c r="EYX213" s="2"/>
      <c r="EYY213" s="2"/>
      <c r="EYZ213" s="2"/>
      <c r="EZA213" s="2"/>
      <c r="EZB213" s="260"/>
      <c r="EZC213" s="260"/>
      <c r="EZD213" s="260"/>
      <c r="EZE213" s="260"/>
      <c r="EZF213" s="260"/>
      <c r="EZG213" s="260"/>
      <c r="EZH213" s="308"/>
      <c r="EZI213" s="290"/>
      <c r="EZJ213" s="290"/>
      <c r="EZK213" s="260"/>
      <c r="EZL213" s="260"/>
      <c r="EZM213" s="260"/>
      <c r="EZN213" s="260"/>
      <c r="EZO213" s="260"/>
      <c r="EZP213" s="2"/>
      <c r="EZQ213" s="2"/>
      <c r="EZR213" s="2"/>
      <c r="EZS213" s="2"/>
      <c r="EZT213" s="2"/>
      <c r="EZU213" s="2"/>
      <c r="EZV213" s="260"/>
      <c r="EZW213" s="2"/>
      <c r="EZX213" s="2"/>
      <c r="EZY213" s="2"/>
      <c r="EZZ213" s="2"/>
      <c r="FAA213" s="2"/>
      <c r="FAB213" s="2"/>
      <c r="FAC213" s="2"/>
      <c r="FAD213" s="260"/>
      <c r="FAE213" s="260"/>
      <c r="FAF213" s="260"/>
      <c r="FAG213" s="380"/>
      <c r="FAH213" s="380"/>
      <c r="FAI213" s="380"/>
      <c r="FAJ213" s="2"/>
      <c r="FAK213" s="442"/>
      <c r="FAL213" s="442"/>
      <c r="FAM213" s="443"/>
      <c r="FAN213" s="442"/>
      <c r="FAO213" s="442"/>
      <c r="FAP213" s="2"/>
      <c r="FAQ213" s="2"/>
      <c r="FAR213" s="2"/>
      <c r="FAS213" s="2"/>
      <c r="FAT213" s="260"/>
      <c r="FAU213" s="260"/>
      <c r="FAV213" s="260"/>
      <c r="FAW213" s="260"/>
      <c r="FAX213" s="260"/>
      <c r="FAY213" s="260"/>
      <c r="FAZ213" s="308"/>
      <c r="FBA213" s="290"/>
      <c r="FBB213" s="290"/>
      <c r="FBC213" s="260"/>
      <c r="FBD213" s="260"/>
      <c r="FBE213" s="260"/>
      <c r="FBF213" s="260"/>
      <c r="FBG213" s="260"/>
      <c r="FBH213" s="2"/>
      <c r="FBI213" s="2"/>
      <c r="FBJ213" s="2"/>
      <c r="FBK213" s="2"/>
      <c r="FBL213" s="2"/>
      <c r="FBM213" s="2"/>
      <c r="FBN213" s="260"/>
      <c r="FBO213" s="2"/>
      <c r="FBP213" s="2"/>
      <c r="FBQ213" s="2"/>
      <c r="FBR213" s="2"/>
      <c r="FBS213" s="2"/>
      <c r="FBT213" s="2"/>
      <c r="FBU213" s="2"/>
      <c r="FBV213" s="260"/>
      <c r="FBW213" s="260"/>
      <c r="FBX213" s="260"/>
      <c r="FBY213" s="380"/>
      <c r="FBZ213" s="380"/>
      <c r="FCA213" s="380"/>
      <c r="FCB213" s="2"/>
      <c r="FCC213" s="442"/>
      <c r="FCD213" s="442"/>
      <c r="FCE213" s="443"/>
      <c r="FCF213" s="442"/>
      <c r="FCG213" s="442"/>
      <c r="FCH213" s="2"/>
      <c r="FCI213" s="2"/>
      <c r="FCJ213" s="2"/>
      <c r="FCK213" s="2"/>
      <c r="FCL213" s="260"/>
      <c r="FCM213" s="260"/>
      <c r="FCN213" s="260"/>
      <c r="FCO213" s="260"/>
      <c r="FCP213" s="260"/>
      <c r="FCQ213" s="260"/>
      <c r="FCR213" s="308"/>
      <c r="FCS213" s="290"/>
      <c r="FCT213" s="290"/>
      <c r="FCU213" s="260"/>
      <c r="FCV213" s="260"/>
      <c r="FCW213" s="260"/>
      <c r="FCX213" s="260"/>
      <c r="FCY213" s="260"/>
      <c r="FCZ213" s="2"/>
      <c r="FDA213" s="2"/>
      <c r="FDB213" s="2"/>
      <c r="FDC213" s="2"/>
      <c r="FDD213" s="2"/>
      <c r="FDE213" s="2"/>
      <c r="FDF213" s="260"/>
      <c r="FDG213" s="2"/>
      <c r="FDH213" s="2"/>
      <c r="FDI213" s="2"/>
      <c r="FDJ213" s="2"/>
      <c r="FDK213" s="2"/>
      <c r="FDL213" s="2"/>
      <c r="FDM213" s="2"/>
      <c r="FDN213" s="260"/>
      <c r="FDO213" s="260"/>
      <c r="FDP213" s="260"/>
      <c r="FDQ213" s="380"/>
      <c r="FDR213" s="380"/>
      <c r="FDS213" s="380"/>
      <c r="FDT213" s="2"/>
      <c r="FDU213" s="442"/>
      <c r="FDV213" s="442"/>
      <c r="FDW213" s="443"/>
      <c r="FDX213" s="442"/>
      <c r="FDY213" s="442"/>
      <c r="FDZ213" s="2"/>
      <c r="FEA213" s="2"/>
      <c r="FEB213" s="2"/>
      <c r="FEC213" s="2"/>
      <c r="FED213" s="260"/>
      <c r="FEE213" s="260"/>
      <c r="FEF213" s="260"/>
      <c r="FEG213" s="260"/>
      <c r="FEH213" s="260"/>
      <c r="FEI213" s="260"/>
      <c r="FEJ213" s="308"/>
      <c r="FEK213" s="290"/>
      <c r="FEL213" s="290"/>
      <c r="FEM213" s="260"/>
      <c r="FEN213" s="260"/>
      <c r="FEO213" s="260"/>
      <c r="FEP213" s="260"/>
      <c r="FEQ213" s="260"/>
      <c r="FER213" s="2"/>
      <c r="FES213" s="2"/>
      <c r="FET213" s="2"/>
      <c r="FEU213" s="2"/>
      <c r="FEV213" s="2"/>
      <c r="FEW213" s="2"/>
      <c r="FEX213" s="260"/>
      <c r="FEY213" s="2"/>
      <c r="FEZ213" s="2"/>
      <c r="FFA213" s="2"/>
      <c r="FFB213" s="2"/>
      <c r="FFC213" s="2"/>
      <c r="FFD213" s="2"/>
      <c r="FFE213" s="2"/>
      <c r="FFF213" s="260"/>
      <c r="FFG213" s="260"/>
      <c r="FFH213" s="260"/>
      <c r="FFI213" s="380"/>
      <c r="FFJ213" s="380"/>
      <c r="FFK213" s="380"/>
      <c r="FFL213" s="2"/>
      <c r="FFM213" s="442"/>
      <c r="FFN213" s="442"/>
      <c r="FFO213" s="443"/>
      <c r="FFP213" s="442"/>
      <c r="FFQ213" s="442"/>
      <c r="FFR213" s="2"/>
      <c r="FFS213" s="2"/>
      <c r="FFT213" s="2"/>
      <c r="FFU213" s="2"/>
      <c r="FFV213" s="260"/>
      <c r="FFW213" s="260"/>
      <c r="FFX213" s="260"/>
      <c r="FFY213" s="260"/>
      <c r="FFZ213" s="260"/>
      <c r="FGA213" s="260"/>
      <c r="FGB213" s="308"/>
      <c r="FGC213" s="290"/>
      <c r="FGD213" s="290"/>
      <c r="FGE213" s="260"/>
      <c r="FGF213" s="260"/>
      <c r="FGG213" s="260"/>
      <c r="FGH213" s="260"/>
      <c r="FGI213" s="260"/>
      <c r="FGJ213" s="2"/>
      <c r="FGK213" s="2"/>
      <c r="FGL213" s="2"/>
      <c r="FGM213" s="2"/>
      <c r="FGN213" s="2"/>
      <c r="FGO213" s="2"/>
      <c r="FGP213" s="260"/>
      <c r="FGQ213" s="2"/>
      <c r="FGR213" s="2"/>
      <c r="FGS213" s="2"/>
      <c r="FGT213" s="2"/>
      <c r="FGU213" s="2"/>
      <c r="FGV213" s="2"/>
      <c r="FGW213" s="2"/>
      <c r="FGX213" s="260"/>
      <c r="FGY213" s="260"/>
      <c r="FGZ213" s="260"/>
      <c r="FHA213" s="380"/>
      <c r="FHB213" s="380"/>
      <c r="FHC213" s="380"/>
      <c r="FHD213" s="2"/>
      <c r="FHE213" s="442"/>
      <c r="FHF213" s="442"/>
      <c r="FHG213" s="443"/>
      <c r="FHH213" s="442"/>
      <c r="FHI213" s="442"/>
      <c r="FHJ213" s="2"/>
      <c r="FHK213" s="2"/>
      <c r="FHL213" s="2"/>
      <c r="FHM213" s="2"/>
      <c r="FHN213" s="260"/>
      <c r="FHO213" s="260"/>
      <c r="FHP213" s="260"/>
      <c r="FHQ213" s="260"/>
      <c r="FHR213" s="260"/>
      <c r="FHS213" s="260"/>
      <c r="FHT213" s="308"/>
      <c r="FHU213" s="290"/>
      <c r="FHV213" s="290"/>
      <c r="FHW213" s="260"/>
      <c r="FHX213" s="260"/>
      <c r="FHY213" s="260"/>
      <c r="FHZ213" s="260"/>
      <c r="FIA213" s="260"/>
      <c r="FIB213" s="2"/>
      <c r="FIC213" s="2"/>
      <c r="FID213" s="2"/>
      <c r="FIE213" s="2"/>
      <c r="FIF213" s="2"/>
      <c r="FIG213" s="2"/>
      <c r="FIH213" s="260"/>
      <c r="FII213" s="2"/>
      <c r="FIJ213" s="2"/>
      <c r="FIK213" s="2"/>
      <c r="FIL213" s="2"/>
      <c r="FIM213" s="2"/>
      <c r="FIN213" s="2"/>
      <c r="FIO213" s="2"/>
      <c r="FIP213" s="260"/>
      <c r="FIQ213" s="260"/>
      <c r="FIR213" s="260"/>
      <c r="FIS213" s="380"/>
      <c r="FIT213" s="380"/>
      <c r="FIU213" s="380"/>
      <c r="FIV213" s="2"/>
      <c r="FIW213" s="442"/>
      <c r="FIX213" s="442"/>
      <c r="FIY213" s="443"/>
      <c r="FIZ213" s="442"/>
      <c r="FJA213" s="442"/>
      <c r="FJB213" s="2"/>
      <c r="FJC213" s="2"/>
      <c r="FJD213" s="2"/>
      <c r="FJE213" s="2"/>
      <c r="FJF213" s="260"/>
      <c r="FJG213" s="260"/>
      <c r="FJH213" s="260"/>
      <c r="FJI213" s="260"/>
      <c r="FJJ213" s="260"/>
      <c r="FJK213" s="260"/>
      <c r="FJL213" s="308"/>
      <c r="FJM213" s="290"/>
      <c r="FJN213" s="290"/>
      <c r="FJO213" s="260"/>
      <c r="FJP213" s="260"/>
      <c r="FJQ213" s="260"/>
      <c r="FJR213" s="260"/>
      <c r="FJS213" s="260"/>
      <c r="FJT213" s="2"/>
      <c r="FJU213" s="2"/>
      <c r="FJV213" s="2"/>
      <c r="FJW213" s="2"/>
      <c r="FJX213" s="2"/>
      <c r="FJY213" s="2"/>
      <c r="FJZ213" s="260"/>
      <c r="FKA213" s="2"/>
      <c r="FKB213" s="2"/>
      <c r="FKC213" s="2"/>
      <c r="FKD213" s="2"/>
      <c r="FKE213" s="2"/>
      <c r="FKF213" s="2"/>
      <c r="FKG213" s="2"/>
      <c r="FKH213" s="260"/>
      <c r="FKI213" s="260"/>
      <c r="FKJ213" s="260"/>
      <c r="FKK213" s="380"/>
      <c r="FKL213" s="380"/>
      <c r="FKM213" s="380"/>
      <c r="FKN213" s="2"/>
      <c r="FKO213" s="442"/>
      <c r="FKP213" s="442"/>
      <c r="FKQ213" s="443"/>
      <c r="FKR213" s="442"/>
      <c r="FKS213" s="442"/>
      <c r="FKT213" s="2"/>
      <c r="FKU213" s="2"/>
      <c r="FKV213" s="2"/>
      <c r="FKW213" s="2"/>
      <c r="FKX213" s="260"/>
      <c r="FKY213" s="260"/>
      <c r="FKZ213" s="260"/>
      <c r="FLA213" s="260"/>
      <c r="FLB213" s="260"/>
      <c r="FLC213" s="260"/>
      <c r="FLD213" s="308"/>
      <c r="FLE213" s="290"/>
      <c r="FLF213" s="290"/>
      <c r="FLG213" s="260"/>
      <c r="FLH213" s="260"/>
      <c r="FLI213" s="260"/>
      <c r="FLJ213" s="260"/>
      <c r="FLK213" s="260"/>
      <c r="FLL213" s="2"/>
      <c r="FLM213" s="2"/>
      <c r="FLN213" s="2"/>
      <c r="FLO213" s="2"/>
      <c r="FLP213" s="2"/>
      <c r="FLQ213" s="2"/>
      <c r="FLR213" s="260"/>
      <c r="FLS213" s="2"/>
      <c r="FLT213" s="2"/>
      <c r="FLU213" s="2"/>
      <c r="FLV213" s="2"/>
      <c r="FLW213" s="2"/>
      <c r="FLX213" s="2"/>
      <c r="FLY213" s="2"/>
      <c r="FLZ213" s="260"/>
      <c r="FMA213" s="260"/>
      <c r="FMB213" s="260"/>
      <c r="FMC213" s="380"/>
      <c r="FMD213" s="380"/>
      <c r="FME213" s="380"/>
      <c r="FMF213" s="2"/>
      <c r="FMG213" s="442"/>
      <c r="FMH213" s="442"/>
      <c r="FMI213" s="443"/>
      <c r="FMJ213" s="442"/>
      <c r="FMK213" s="442"/>
      <c r="FML213" s="2"/>
      <c r="FMM213" s="2"/>
      <c r="FMN213" s="2"/>
      <c r="FMO213" s="2"/>
      <c r="FMP213" s="260"/>
      <c r="FMQ213" s="260"/>
      <c r="FMR213" s="260"/>
      <c r="FMS213" s="260"/>
      <c r="FMT213" s="260"/>
      <c r="FMU213" s="260"/>
      <c r="FMV213" s="308"/>
      <c r="FMW213" s="290"/>
      <c r="FMX213" s="290"/>
      <c r="FMY213" s="260"/>
      <c r="FMZ213" s="260"/>
      <c r="FNA213" s="260"/>
      <c r="FNB213" s="260"/>
      <c r="FNC213" s="260"/>
      <c r="FND213" s="2"/>
      <c r="FNE213" s="2"/>
      <c r="FNF213" s="2"/>
      <c r="FNG213" s="2"/>
      <c r="FNH213" s="2"/>
      <c r="FNI213" s="2"/>
      <c r="FNJ213" s="260"/>
      <c r="FNK213" s="2"/>
      <c r="FNL213" s="2"/>
      <c r="FNM213" s="2"/>
      <c r="FNN213" s="2"/>
      <c r="FNO213" s="2"/>
      <c r="FNP213" s="2"/>
      <c r="FNQ213" s="2"/>
      <c r="FNR213" s="260"/>
      <c r="FNS213" s="260"/>
      <c r="FNT213" s="260"/>
      <c r="FNU213" s="380"/>
      <c r="FNV213" s="380"/>
      <c r="FNW213" s="380"/>
      <c r="FNX213" s="2"/>
      <c r="FNY213" s="442"/>
      <c r="FNZ213" s="442"/>
      <c r="FOA213" s="443"/>
      <c r="FOB213" s="442"/>
      <c r="FOC213" s="442"/>
      <c r="FOD213" s="2"/>
      <c r="FOE213" s="2"/>
      <c r="FOF213" s="2"/>
      <c r="FOG213" s="2"/>
      <c r="FOH213" s="260"/>
      <c r="FOI213" s="260"/>
      <c r="FOJ213" s="260"/>
      <c r="FOK213" s="260"/>
      <c r="FOL213" s="260"/>
      <c r="FOM213" s="260"/>
      <c r="FON213" s="308"/>
      <c r="FOO213" s="290"/>
      <c r="FOP213" s="290"/>
      <c r="FOQ213" s="260"/>
      <c r="FOR213" s="260"/>
      <c r="FOS213" s="260"/>
      <c r="FOT213" s="260"/>
      <c r="FOU213" s="260"/>
      <c r="FOV213" s="2"/>
      <c r="FOW213" s="2"/>
      <c r="FOX213" s="2"/>
      <c r="FOY213" s="2"/>
      <c r="FOZ213" s="2"/>
      <c r="FPA213" s="2"/>
      <c r="FPB213" s="260"/>
      <c r="FPC213" s="2"/>
      <c r="FPD213" s="2"/>
      <c r="FPE213" s="2"/>
      <c r="FPF213" s="2"/>
      <c r="FPG213" s="2"/>
      <c r="FPH213" s="2"/>
      <c r="FPI213" s="2"/>
      <c r="FPJ213" s="260"/>
      <c r="FPK213" s="260"/>
      <c r="FPL213" s="260"/>
      <c r="FPM213" s="380"/>
      <c r="FPN213" s="380"/>
      <c r="FPO213" s="380"/>
      <c r="FPP213" s="2"/>
      <c r="FPQ213" s="442"/>
      <c r="FPR213" s="442"/>
      <c r="FPS213" s="443"/>
      <c r="FPT213" s="442"/>
      <c r="FPU213" s="442"/>
      <c r="FPV213" s="2"/>
      <c r="FPW213" s="2"/>
      <c r="FPX213" s="2"/>
      <c r="FPY213" s="2"/>
      <c r="FPZ213" s="260"/>
      <c r="FQA213" s="260"/>
      <c r="FQB213" s="260"/>
      <c r="FQC213" s="260"/>
      <c r="FQD213" s="260"/>
      <c r="FQE213" s="260"/>
      <c r="FQF213" s="308"/>
      <c r="FQG213" s="290"/>
      <c r="FQH213" s="290"/>
      <c r="FQI213" s="260"/>
      <c r="FQJ213" s="260"/>
      <c r="FQK213" s="260"/>
      <c r="FQL213" s="260"/>
      <c r="FQM213" s="260"/>
      <c r="FQN213" s="2"/>
      <c r="FQO213" s="2"/>
      <c r="FQP213" s="2"/>
      <c r="FQQ213" s="2"/>
      <c r="FQR213" s="2"/>
      <c r="FQS213" s="2"/>
      <c r="FQT213" s="260"/>
      <c r="FQU213" s="2"/>
      <c r="FQV213" s="2"/>
      <c r="FQW213" s="2"/>
      <c r="FQX213" s="2"/>
      <c r="FQY213" s="2"/>
      <c r="FQZ213" s="2"/>
      <c r="FRA213" s="2"/>
      <c r="FRB213" s="260"/>
      <c r="FRC213" s="260"/>
      <c r="FRD213" s="260"/>
      <c r="FRE213" s="380"/>
      <c r="FRF213" s="380"/>
      <c r="FRG213" s="380"/>
      <c r="FRH213" s="2"/>
      <c r="FRI213" s="442"/>
      <c r="FRJ213" s="442"/>
      <c r="FRK213" s="443"/>
      <c r="FRL213" s="442"/>
      <c r="FRM213" s="442"/>
      <c r="FRN213" s="2"/>
      <c r="FRO213" s="2"/>
      <c r="FRP213" s="2"/>
      <c r="FRQ213" s="2"/>
      <c r="FRR213" s="260"/>
      <c r="FRS213" s="260"/>
      <c r="FRT213" s="260"/>
      <c r="FRU213" s="260"/>
      <c r="FRV213" s="260"/>
      <c r="FRW213" s="260"/>
      <c r="FRX213" s="308"/>
      <c r="FRY213" s="290"/>
      <c r="FRZ213" s="290"/>
      <c r="FSA213" s="260"/>
      <c r="FSB213" s="260"/>
      <c r="FSC213" s="260"/>
      <c r="FSD213" s="260"/>
      <c r="FSE213" s="260"/>
      <c r="FSF213" s="2"/>
      <c r="FSG213" s="2"/>
      <c r="FSH213" s="2"/>
      <c r="FSI213" s="2"/>
      <c r="FSJ213" s="2"/>
      <c r="FSK213" s="2"/>
      <c r="FSL213" s="260"/>
      <c r="FSM213" s="2"/>
      <c r="FSN213" s="2"/>
      <c r="FSO213" s="2"/>
      <c r="FSP213" s="2"/>
      <c r="FSQ213" s="2"/>
      <c r="FSR213" s="2"/>
      <c r="FSS213" s="2"/>
      <c r="FST213" s="260"/>
      <c r="FSU213" s="260"/>
      <c r="FSV213" s="260"/>
      <c r="FSW213" s="380"/>
      <c r="FSX213" s="380"/>
      <c r="FSY213" s="380"/>
      <c r="FSZ213" s="2"/>
      <c r="FTA213" s="442"/>
      <c r="FTB213" s="442"/>
      <c r="FTC213" s="443"/>
      <c r="FTD213" s="442"/>
      <c r="FTE213" s="442"/>
      <c r="FTF213" s="2"/>
      <c r="FTG213" s="2"/>
      <c r="FTH213" s="2"/>
      <c r="FTI213" s="2"/>
      <c r="FTJ213" s="260"/>
      <c r="FTK213" s="260"/>
      <c r="FTL213" s="260"/>
      <c r="FTM213" s="260"/>
      <c r="FTN213" s="260"/>
      <c r="FTO213" s="260"/>
      <c r="FTP213" s="308"/>
      <c r="FTQ213" s="290"/>
      <c r="FTR213" s="290"/>
      <c r="FTS213" s="260"/>
      <c r="FTT213" s="260"/>
      <c r="FTU213" s="260"/>
      <c r="FTV213" s="260"/>
      <c r="FTW213" s="260"/>
      <c r="FTX213" s="2"/>
      <c r="FTY213" s="2"/>
      <c r="FTZ213" s="2"/>
      <c r="FUA213" s="2"/>
      <c r="FUB213" s="2"/>
      <c r="FUC213" s="2"/>
      <c r="FUD213" s="260"/>
      <c r="FUE213" s="2"/>
      <c r="FUF213" s="2"/>
      <c r="FUG213" s="2"/>
      <c r="FUH213" s="2"/>
      <c r="FUI213" s="2"/>
      <c r="FUJ213" s="2"/>
      <c r="FUK213" s="2"/>
      <c r="FUL213" s="260"/>
      <c r="FUM213" s="260"/>
      <c r="FUN213" s="260"/>
      <c r="FUO213" s="380"/>
      <c r="FUP213" s="380"/>
      <c r="FUQ213" s="380"/>
      <c r="FUR213" s="2"/>
      <c r="FUS213" s="442"/>
      <c r="FUT213" s="442"/>
      <c r="FUU213" s="443"/>
      <c r="FUV213" s="442"/>
      <c r="FUW213" s="442"/>
      <c r="FUX213" s="2"/>
      <c r="FUY213" s="2"/>
      <c r="FUZ213" s="2"/>
      <c r="FVA213" s="2"/>
      <c r="FVB213" s="260"/>
      <c r="FVC213" s="260"/>
      <c r="FVD213" s="260"/>
      <c r="FVE213" s="260"/>
      <c r="FVF213" s="260"/>
      <c r="FVG213" s="260"/>
      <c r="FVH213" s="308"/>
      <c r="FVI213" s="290"/>
      <c r="FVJ213" s="290"/>
      <c r="FVK213" s="260"/>
      <c r="FVL213" s="260"/>
      <c r="FVM213" s="260"/>
      <c r="FVN213" s="260"/>
      <c r="FVO213" s="260"/>
      <c r="FVP213" s="2"/>
      <c r="FVQ213" s="2"/>
      <c r="FVR213" s="2"/>
      <c r="FVS213" s="2"/>
      <c r="FVT213" s="2"/>
      <c r="FVU213" s="2"/>
      <c r="FVV213" s="260"/>
      <c r="FVW213" s="2"/>
      <c r="FVX213" s="2"/>
      <c r="FVY213" s="2"/>
      <c r="FVZ213" s="2"/>
      <c r="FWA213" s="2"/>
      <c r="FWB213" s="2"/>
      <c r="FWC213" s="2"/>
      <c r="FWD213" s="260"/>
      <c r="FWE213" s="260"/>
      <c r="FWF213" s="260"/>
      <c r="FWG213" s="380"/>
      <c r="FWH213" s="380"/>
      <c r="FWI213" s="380"/>
      <c r="FWJ213" s="2"/>
      <c r="FWK213" s="442"/>
      <c r="FWL213" s="442"/>
      <c r="FWM213" s="443"/>
      <c r="FWN213" s="442"/>
      <c r="FWO213" s="442"/>
      <c r="FWP213" s="2"/>
      <c r="FWQ213" s="2"/>
      <c r="FWR213" s="2"/>
      <c r="FWS213" s="2"/>
      <c r="FWT213" s="260"/>
      <c r="FWU213" s="260"/>
      <c r="FWV213" s="260"/>
      <c r="FWW213" s="260"/>
      <c r="FWX213" s="260"/>
      <c r="FWY213" s="260"/>
      <c r="FWZ213" s="308"/>
      <c r="FXA213" s="290"/>
      <c r="FXB213" s="290"/>
      <c r="FXC213" s="260"/>
      <c r="FXD213" s="260"/>
      <c r="FXE213" s="260"/>
      <c r="FXF213" s="260"/>
      <c r="FXG213" s="260"/>
      <c r="FXH213" s="2"/>
      <c r="FXI213" s="2"/>
      <c r="FXJ213" s="2"/>
      <c r="FXK213" s="2"/>
      <c r="FXL213" s="2"/>
      <c r="FXM213" s="2"/>
      <c r="FXN213" s="260"/>
      <c r="FXO213" s="2"/>
      <c r="FXP213" s="2"/>
      <c r="FXQ213" s="2"/>
      <c r="FXR213" s="2"/>
      <c r="FXS213" s="2"/>
      <c r="FXT213" s="2"/>
      <c r="FXU213" s="2"/>
      <c r="FXV213" s="260"/>
      <c r="FXW213" s="260"/>
      <c r="FXX213" s="260"/>
      <c r="FXY213" s="380"/>
      <c r="FXZ213" s="380"/>
      <c r="FYA213" s="380"/>
      <c r="FYB213" s="2"/>
      <c r="FYC213" s="442"/>
      <c r="FYD213" s="442"/>
      <c r="FYE213" s="443"/>
      <c r="FYF213" s="442"/>
      <c r="FYG213" s="442"/>
      <c r="FYH213" s="2"/>
      <c r="FYI213" s="2"/>
      <c r="FYJ213" s="2"/>
      <c r="FYK213" s="2"/>
      <c r="FYL213" s="260"/>
      <c r="FYM213" s="260"/>
      <c r="FYN213" s="260"/>
      <c r="FYO213" s="260"/>
      <c r="FYP213" s="260"/>
      <c r="FYQ213" s="260"/>
      <c r="FYR213" s="308"/>
      <c r="FYS213" s="290"/>
      <c r="FYT213" s="290"/>
      <c r="FYU213" s="260"/>
      <c r="FYV213" s="260"/>
      <c r="FYW213" s="260"/>
      <c r="FYX213" s="260"/>
      <c r="FYY213" s="260"/>
      <c r="FYZ213" s="2"/>
      <c r="FZA213" s="2"/>
      <c r="FZB213" s="2"/>
      <c r="FZC213" s="2"/>
      <c r="FZD213" s="2"/>
      <c r="FZE213" s="2"/>
      <c r="FZF213" s="260"/>
      <c r="FZG213" s="2"/>
      <c r="FZH213" s="2"/>
      <c r="FZI213" s="2"/>
      <c r="FZJ213" s="2"/>
      <c r="FZK213" s="2"/>
      <c r="FZL213" s="2"/>
      <c r="FZM213" s="2"/>
      <c r="FZN213" s="260"/>
      <c r="FZO213" s="260"/>
      <c r="FZP213" s="260"/>
      <c r="FZQ213" s="380"/>
      <c r="FZR213" s="380"/>
      <c r="FZS213" s="380"/>
      <c r="FZT213" s="2"/>
      <c r="FZU213" s="442"/>
      <c r="FZV213" s="442"/>
      <c r="FZW213" s="443"/>
      <c r="FZX213" s="442"/>
      <c r="FZY213" s="442"/>
      <c r="FZZ213" s="2"/>
      <c r="GAA213" s="2"/>
      <c r="GAB213" s="2"/>
      <c r="GAC213" s="2"/>
      <c r="GAD213" s="260"/>
      <c r="GAE213" s="260"/>
      <c r="GAF213" s="260"/>
      <c r="GAG213" s="260"/>
      <c r="GAH213" s="260"/>
      <c r="GAI213" s="260"/>
      <c r="GAJ213" s="308"/>
      <c r="GAK213" s="290"/>
      <c r="GAL213" s="290"/>
      <c r="GAM213" s="260"/>
      <c r="GAN213" s="260"/>
      <c r="GAO213" s="260"/>
      <c r="GAP213" s="260"/>
      <c r="GAQ213" s="260"/>
      <c r="GAR213" s="2"/>
      <c r="GAS213" s="2"/>
      <c r="GAT213" s="2"/>
      <c r="GAU213" s="2"/>
      <c r="GAV213" s="2"/>
      <c r="GAW213" s="2"/>
      <c r="GAX213" s="260"/>
      <c r="GAY213" s="2"/>
      <c r="GAZ213" s="2"/>
      <c r="GBA213" s="2"/>
      <c r="GBB213" s="2"/>
      <c r="GBC213" s="2"/>
      <c r="GBD213" s="2"/>
      <c r="GBE213" s="2"/>
      <c r="GBF213" s="260"/>
      <c r="GBG213" s="260"/>
      <c r="GBH213" s="260"/>
      <c r="GBI213" s="380"/>
      <c r="GBJ213" s="380"/>
      <c r="GBK213" s="380"/>
      <c r="GBL213" s="2"/>
      <c r="GBM213" s="442"/>
      <c r="GBN213" s="442"/>
      <c r="GBO213" s="443"/>
      <c r="GBP213" s="442"/>
      <c r="GBQ213" s="442"/>
      <c r="GBR213" s="2"/>
      <c r="GBS213" s="2"/>
      <c r="GBT213" s="2"/>
      <c r="GBU213" s="2"/>
      <c r="GBV213" s="260"/>
      <c r="GBW213" s="260"/>
      <c r="GBX213" s="260"/>
      <c r="GBY213" s="260"/>
      <c r="GBZ213" s="260"/>
      <c r="GCA213" s="260"/>
      <c r="GCB213" s="308"/>
      <c r="GCC213" s="290"/>
      <c r="GCD213" s="290"/>
      <c r="GCE213" s="260"/>
      <c r="GCF213" s="260"/>
      <c r="GCG213" s="260"/>
      <c r="GCH213" s="260"/>
      <c r="GCI213" s="260"/>
      <c r="GCJ213" s="2"/>
      <c r="GCK213" s="2"/>
      <c r="GCL213" s="2"/>
      <c r="GCM213" s="2"/>
      <c r="GCN213" s="2"/>
      <c r="GCO213" s="2"/>
      <c r="GCP213" s="260"/>
      <c r="GCQ213" s="2"/>
      <c r="GCR213" s="2"/>
      <c r="GCS213" s="2"/>
      <c r="GCT213" s="2"/>
      <c r="GCU213" s="2"/>
      <c r="GCV213" s="2"/>
      <c r="GCW213" s="2"/>
      <c r="GCX213" s="260"/>
      <c r="GCY213" s="260"/>
      <c r="GCZ213" s="260"/>
      <c r="GDA213" s="380"/>
      <c r="GDB213" s="380"/>
      <c r="GDC213" s="380"/>
      <c r="GDD213" s="2"/>
      <c r="GDE213" s="442"/>
      <c r="GDF213" s="442"/>
      <c r="GDG213" s="443"/>
      <c r="GDH213" s="442"/>
      <c r="GDI213" s="442"/>
      <c r="GDJ213" s="2"/>
      <c r="GDK213" s="2"/>
      <c r="GDL213" s="2"/>
      <c r="GDM213" s="2"/>
      <c r="GDN213" s="260"/>
      <c r="GDO213" s="260"/>
      <c r="GDP213" s="260"/>
      <c r="GDQ213" s="260"/>
      <c r="GDR213" s="260"/>
      <c r="GDS213" s="260"/>
      <c r="GDT213" s="308"/>
      <c r="GDU213" s="290"/>
      <c r="GDV213" s="290"/>
      <c r="GDW213" s="260"/>
      <c r="GDX213" s="260"/>
      <c r="GDY213" s="260"/>
      <c r="GDZ213" s="260"/>
      <c r="GEA213" s="260"/>
      <c r="GEB213" s="2"/>
      <c r="GEC213" s="2"/>
      <c r="GED213" s="2"/>
      <c r="GEE213" s="2"/>
      <c r="GEF213" s="2"/>
      <c r="GEG213" s="2"/>
      <c r="GEH213" s="260"/>
      <c r="GEI213" s="2"/>
      <c r="GEJ213" s="2"/>
      <c r="GEK213" s="2"/>
      <c r="GEL213" s="2"/>
      <c r="GEM213" s="2"/>
      <c r="GEN213" s="2"/>
      <c r="GEO213" s="2"/>
      <c r="GEP213" s="260"/>
      <c r="GEQ213" s="260"/>
      <c r="GER213" s="260"/>
      <c r="GES213" s="380"/>
      <c r="GET213" s="380"/>
      <c r="GEU213" s="380"/>
      <c r="GEV213" s="2"/>
      <c r="GEW213" s="442"/>
      <c r="GEX213" s="442"/>
      <c r="GEY213" s="443"/>
      <c r="GEZ213" s="442"/>
      <c r="GFA213" s="442"/>
      <c r="GFB213" s="2"/>
      <c r="GFC213" s="2"/>
      <c r="GFD213" s="2"/>
      <c r="GFE213" s="2"/>
      <c r="GFF213" s="260"/>
      <c r="GFG213" s="260"/>
      <c r="GFH213" s="260"/>
      <c r="GFI213" s="260"/>
      <c r="GFJ213" s="260"/>
      <c r="GFK213" s="260"/>
      <c r="GFL213" s="308"/>
      <c r="GFM213" s="290"/>
      <c r="GFN213" s="290"/>
      <c r="GFO213" s="260"/>
      <c r="GFP213" s="260"/>
      <c r="GFQ213" s="260"/>
      <c r="GFR213" s="260"/>
      <c r="GFS213" s="260"/>
      <c r="GFT213" s="2"/>
      <c r="GFU213" s="2"/>
      <c r="GFV213" s="2"/>
      <c r="GFW213" s="2"/>
      <c r="GFX213" s="2"/>
      <c r="GFY213" s="2"/>
      <c r="GFZ213" s="260"/>
      <c r="GGA213" s="2"/>
      <c r="GGB213" s="2"/>
      <c r="GGC213" s="2"/>
      <c r="GGD213" s="2"/>
      <c r="GGE213" s="2"/>
      <c r="GGF213" s="2"/>
      <c r="GGG213" s="2"/>
      <c r="GGH213" s="260"/>
      <c r="GGI213" s="260"/>
      <c r="GGJ213" s="260"/>
      <c r="GGK213" s="380"/>
      <c r="GGL213" s="380"/>
      <c r="GGM213" s="380"/>
      <c r="GGN213" s="2"/>
      <c r="GGO213" s="442"/>
      <c r="GGP213" s="442"/>
      <c r="GGQ213" s="443"/>
      <c r="GGR213" s="442"/>
      <c r="GGS213" s="442"/>
      <c r="GGT213" s="2"/>
      <c r="GGU213" s="2"/>
      <c r="GGV213" s="2"/>
      <c r="GGW213" s="2"/>
      <c r="GGX213" s="260"/>
      <c r="GGY213" s="260"/>
      <c r="GGZ213" s="260"/>
      <c r="GHA213" s="260"/>
      <c r="GHB213" s="260"/>
      <c r="GHC213" s="260"/>
      <c r="GHD213" s="308"/>
      <c r="GHE213" s="290"/>
      <c r="GHF213" s="290"/>
      <c r="GHG213" s="260"/>
      <c r="GHH213" s="260"/>
      <c r="GHI213" s="260"/>
      <c r="GHJ213" s="260"/>
      <c r="GHK213" s="260"/>
      <c r="GHL213" s="2"/>
      <c r="GHM213" s="2"/>
      <c r="GHN213" s="2"/>
      <c r="GHO213" s="2"/>
      <c r="GHP213" s="2"/>
      <c r="GHQ213" s="2"/>
      <c r="GHR213" s="260"/>
      <c r="GHS213" s="2"/>
      <c r="GHT213" s="2"/>
      <c r="GHU213" s="2"/>
      <c r="GHV213" s="2"/>
      <c r="GHW213" s="2"/>
      <c r="GHX213" s="2"/>
      <c r="GHY213" s="2"/>
      <c r="GHZ213" s="260"/>
      <c r="GIA213" s="260"/>
      <c r="GIB213" s="260"/>
      <c r="GIC213" s="380"/>
      <c r="GID213" s="380"/>
      <c r="GIE213" s="380"/>
      <c r="GIF213" s="2"/>
      <c r="GIG213" s="442"/>
      <c r="GIH213" s="442"/>
      <c r="GII213" s="443"/>
      <c r="GIJ213" s="442"/>
      <c r="GIK213" s="442"/>
      <c r="GIL213" s="2"/>
      <c r="GIM213" s="2"/>
      <c r="GIN213" s="2"/>
      <c r="GIO213" s="2"/>
      <c r="GIP213" s="260"/>
      <c r="GIQ213" s="260"/>
      <c r="GIR213" s="260"/>
      <c r="GIS213" s="260"/>
      <c r="GIT213" s="260"/>
      <c r="GIU213" s="260"/>
      <c r="GIV213" s="308"/>
      <c r="GIW213" s="290"/>
      <c r="GIX213" s="290"/>
      <c r="GIY213" s="260"/>
      <c r="GIZ213" s="260"/>
      <c r="GJA213" s="260"/>
      <c r="GJB213" s="260"/>
      <c r="GJC213" s="260"/>
      <c r="GJD213" s="2"/>
      <c r="GJE213" s="2"/>
      <c r="GJF213" s="2"/>
      <c r="GJG213" s="2"/>
      <c r="GJH213" s="2"/>
      <c r="GJI213" s="2"/>
      <c r="GJJ213" s="260"/>
      <c r="GJK213" s="2"/>
      <c r="GJL213" s="2"/>
      <c r="GJM213" s="2"/>
      <c r="GJN213" s="2"/>
      <c r="GJO213" s="2"/>
      <c r="GJP213" s="2"/>
      <c r="GJQ213" s="2"/>
      <c r="GJR213" s="260"/>
      <c r="GJS213" s="260"/>
      <c r="GJT213" s="260"/>
      <c r="GJU213" s="380"/>
      <c r="GJV213" s="380"/>
      <c r="GJW213" s="380"/>
      <c r="GJX213" s="2"/>
      <c r="GJY213" s="442"/>
      <c r="GJZ213" s="442"/>
      <c r="GKA213" s="443"/>
      <c r="GKB213" s="442"/>
      <c r="GKC213" s="442"/>
      <c r="GKD213" s="2"/>
      <c r="GKE213" s="2"/>
      <c r="GKF213" s="2"/>
      <c r="GKG213" s="2"/>
      <c r="GKH213" s="260"/>
      <c r="GKI213" s="260"/>
      <c r="GKJ213" s="260"/>
      <c r="GKK213" s="260"/>
      <c r="GKL213" s="260"/>
      <c r="GKM213" s="260"/>
      <c r="GKN213" s="308"/>
      <c r="GKO213" s="290"/>
      <c r="GKP213" s="290"/>
      <c r="GKQ213" s="260"/>
      <c r="GKR213" s="260"/>
      <c r="GKS213" s="260"/>
      <c r="GKT213" s="260"/>
      <c r="GKU213" s="260"/>
      <c r="GKV213" s="2"/>
      <c r="GKW213" s="2"/>
      <c r="GKX213" s="2"/>
      <c r="GKY213" s="2"/>
      <c r="GKZ213" s="2"/>
      <c r="GLA213" s="2"/>
      <c r="GLB213" s="260"/>
      <c r="GLC213" s="2"/>
      <c r="GLD213" s="2"/>
      <c r="GLE213" s="2"/>
      <c r="GLF213" s="2"/>
      <c r="GLG213" s="2"/>
      <c r="GLH213" s="2"/>
      <c r="GLI213" s="2"/>
      <c r="GLJ213" s="260"/>
      <c r="GLK213" s="260"/>
      <c r="GLL213" s="260"/>
      <c r="GLM213" s="380"/>
      <c r="GLN213" s="380"/>
      <c r="GLO213" s="380"/>
      <c r="GLP213" s="2"/>
      <c r="GLQ213" s="442"/>
      <c r="GLR213" s="442"/>
      <c r="GLS213" s="443"/>
      <c r="GLT213" s="442"/>
      <c r="GLU213" s="442"/>
      <c r="GLV213" s="2"/>
      <c r="GLW213" s="2"/>
      <c r="GLX213" s="2"/>
      <c r="GLY213" s="2"/>
      <c r="GLZ213" s="260"/>
      <c r="GMA213" s="260"/>
      <c r="GMB213" s="260"/>
      <c r="GMC213" s="260"/>
      <c r="GMD213" s="260"/>
      <c r="GME213" s="260"/>
      <c r="GMF213" s="308"/>
      <c r="GMG213" s="290"/>
      <c r="GMH213" s="290"/>
      <c r="GMI213" s="260"/>
      <c r="GMJ213" s="260"/>
      <c r="GMK213" s="260"/>
      <c r="GML213" s="260"/>
      <c r="GMM213" s="260"/>
      <c r="GMN213" s="2"/>
      <c r="GMO213" s="2"/>
      <c r="GMP213" s="2"/>
      <c r="GMQ213" s="2"/>
      <c r="GMR213" s="2"/>
      <c r="GMS213" s="2"/>
      <c r="GMT213" s="260"/>
      <c r="GMU213" s="2"/>
      <c r="GMV213" s="2"/>
      <c r="GMW213" s="2"/>
      <c r="GMX213" s="2"/>
      <c r="GMY213" s="2"/>
      <c r="GMZ213" s="2"/>
      <c r="GNA213" s="2"/>
      <c r="GNB213" s="260"/>
      <c r="GNC213" s="260"/>
      <c r="GND213" s="260"/>
      <c r="GNE213" s="380"/>
      <c r="GNF213" s="380"/>
      <c r="GNG213" s="380"/>
      <c r="GNH213" s="2"/>
      <c r="GNI213" s="442"/>
      <c r="GNJ213" s="442"/>
      <c r="GNK213" s="443"/>
      <c r="GNL213" s="442"/>
      <c r="GNM213" s="442"/>
      <c r="GNN213" s="2"/>
      <c r="GNO213" s="2"/>
      <c r="GNP213" s="2"/>
      <c r="GNQ213" s="2"/>
      <c r="GNR213" s="260"/>
      <c r="GNS213" s="260"/>
      <c r="GNT213" s="260"/>
      <c r="GNU213" s="260"/>
      <c r="GNV213" s="260"/>
      <c r="GNW213" s="260"/>
      <c r="GNX213" s="308"/>
      <c r="GNY213" s="290"/>
      <c r="GNZ213" s="290"/>
      <c r="GOA213" s="260"/>
      <c r="GOB213" s="260"/>
      <c r="GOC213" s="260"/>
      <c r="GOD213" s="260"/>
      <c r="GOE213" s="260"/>
      <c r="GOF213" s="2"/>
      <c r="GOG213" s="2"/>
      <c r="GOH213" s="2"/>
      <c r="GOI213" s="2"/>
      <c r="GOJ213" s="2"/>
      <c r="GOK213" s="2"/>
      <c r="GOL213" s="260"/>
      <c r="GOM213" s="2"/>
      <c r="GON213" s="2"/>
      <c r="GOO213" s="2"/>
      <c r="GOP213" s="2"/>
      <c r="GOQ213" s="2"/>
      <c r="GOR213" s="2"/>
      <c r="GOS213" s="2"/>
      <c r="GOT213" s="260"/>
      <c r="GOU213" s="260"/>
      <c r="GOV213" s="260"/>
      <c r="GOW213" s="380"/>
      <c r="GOX213" s="380"/>
      <c r="GOY213" s="380"/>
      <c r="GOZ213" s="2"/>
      <c r="GPA213" s="442"/>
      <c r="GPB213" s="442"/>
      <c r="GPC213" s="443"/>
      <c r="GPD213" s="442"/>
      <c r="GPE213" s="442"/>
      <c r="GPF213" s="2"/>
      <c r="GPG213" s="2"/>
      <c r="GPH213" s="2"/>
      <c r="GPI213" s="2"/>
      <c r="GPJ213" s="260"/>
      <c r="GPK213" s="260"/>
      <c r="GPL213" s="260"/>
      <c r="GPM213" s="260"/>
      <c r="GPN213" s="260"/>
      <c r="GPO213" s="260"/>
      <c r="GPP213" s="308"/>
      <c r="GPQ213" s="290"/>
      <c r="GPR213" s="290"/>
      <c r="GPS213" s="260"/>
      <c r="GPT213" s="260"/>
      <c r="GPU213" s="260"/>
      <c r="GPV213" s="260"/>
      <c r="GPW213" s="260"/>
      <c r="GPX213" s="2"/>
      <c r="GPY213" s="2"/>
      <c r="GPZ213" s="2"/>
      <c r="GQA213" s="2"/>
      <c r="GQB213" s="2"/>
      <c r="GQC213" s="2"/>
      <c r="GQD213" s="260"/>
      <c r="GQE213" s="2"/>
      <c r="GQF213" s="2"/>
      <c r="GQG213" s="2"/>
      <c r="GQH213" s="2"/>
      <c r="GQI213" s="2"/>
      <c r="GQJ213" s="2"/>
      <c r="GQK213" s="2"/>
      <c r="GQL213" s="260"/>
      <c r="GQM213" s="260"/>
      <c r="GQN213" s="260"/>
      <c r="GQO213" s="380"/>
      <c r="GQP213" s="380"/>
      <c r="GQQ213" s="380"/>
      <c r="GQR213" s="2"/>
      <c r="GQS213" s="442"/>
      <c r="GQT213" s="442"/>
      <c r="GQU213" s="443"/>
      <c r="GQV213" s="442"/>
      <c r="GQW213" s="442"/>
      <c r="GQX213" s="2"/>
      <c r="GQY213" s="2"/>
      <c r="GQZ213" s="2"/>
      <c r="GRA213" s="2"/>
      <c r="GRB213" s="260"/>
      <c r="GRC213" s="260"/>
      <c r="GRD213" s="260"/>
      <c r="GRE213" s="260"/>
      <c r="GRF213" s="260"/>
      <c r="GRG213" s="260"/>
      <c r="GRH213" s="308"/>
      <c r="GRI213" s="290"/>
      <c r="GRJ213" s="290"/>
      <c r="GRK213" s="260"/>
      <c r="GRL213" s="260"/>
      <c r="GRM213" s="260"/>
      <c r="GRN213" s="260"/>
      <c r="GRO213" s="260"/>
      <c r="GRP213" s="2"/>
      <c r="GRQ213" s="2"/>
      <c r="GRR213" s="2"/>
      <c r="GRS213" s="2"/>
      <c r="GRT213" s="2"/>
      <c r="GRU213" s="2"/>
      <c r="GRV213" s="260"/>
      <c r="GRW213" s="2"/>
      <c r="GRX213" s="2"/>
      <c r="GRY213" s="2"/>
      <c r="GRZ213" s="2"/>
      <c r="GSA213" s="2"/>
      <c r="GSB213" s="2"/>
      <c r="GSC213" s="2"/>
      <c r="GSD213" s="260"/>
      <c r="GSE213" s="260"/>
      <c r="GSF213" s="260"/>
      <c r="GSG213" s="380"/>
      <c r="GSH213" s="380"/>
      <c r="GSI213" s="380"/>
      <c r="GSJ213" s="2"/>
      <c r="GSK213" s="442"/>
      <c r="GSL213" s="442"/>
      <c r="GSM213" s="443"/>
      <c r="GSN213" s="442"/>
      <c r="GSO213" s="442"/>
      <c r="GSP213" s="2"/>
      <c r="GSQ213" s="2"/>
      <c r="GSR213" s="2"/>
      <c r="GSS213" s="2"/>
      <c r="GST213" s="260"/>
      <c r="GSU213" s="260"/>
      <c r="GSV213" s="260"/>
      <c r="GSW213" s="260"/>
      <c r="GSX213" s="260"/>
      <c r="GSY213" s="260"/>
      <c r="GSZ213" s="308"/>
      <c r="GTA213" s="290"/>
      <c r="GTB213" s="290"/>
      <c r="GTC213" s="260"/>
      <c r="GTD213" s="260"/>
      <c r="GTE213" s="260"/>
      <c r="GTF213" s="260"/>
      <c r="GTG213" s="260"/>
      <c r="GTH213" s="2"/>
      <c r="GTI213" s="2"/>
      <c r="GTJ213" s="2"/>
      <c r="GTK213" s="2"/>
      <c r="GTL213" s="2"/>
      <c r="GTM213" s="2"/>
      <c r="GTN213" s="260"/>
      <c r="GTO213" s="2"/>
      <c r="GTP213" s="2"/>
      <c r="GTQ213" s="2"/>
      <c r="GTR213" s="2"/>
      <c r="GTS213" s="2"/>
      <c r="GTT213" s="2"/>
      <c r="GTU213" s="2"/>
      <c r="GTV213" s="260"/>
      <c r="GTW213" s="260"/>
      <c r="GTX213" s="260"/>
      <c r="GTY213" s="380"/>
      <c r="GTZ213" s="380"/>
      <c r="GUA213" s="380"/>
      <c r="GUB213" s="2"/>
      <c r="GUC213" s="442"/>
      <c r="GUD213" s="442"/>
      <c r="GUE213" s="443"/>
      <c r="GUF213" s="442"/>
      <c r="GUG213" s="442"/>
      <c r="GUH213" s="2"/>
      <c r="GUI213" s="2"/>
      <c r="GUJ213" s="2"/>
      <c r="GUK213" s="2"/>
      <c r="GUL213" s="260"/>
      <c r="GUM213" s="260"/>
      <c r="GUN213" s="260"/>
      <c r="GUO213" s="260"/>
      <c r="GUP213" s="260"/>
      <c r="GUQ213" s="260"/>
      <c r="GUR213" s="308"/>
      <c r="GUS213" s="290"/>
      <c r="GUT213" s="290"/>
      <c r="GUU213" s="260"/>
      <c r="GUV213" s="260"/>
      <c r="GUW213" s="260"/>
      <c r="GUX213" s="260"/>
      <c r="GUY213" s="260"/>
      <c r="GUZ213" s="2"/>
      <c r="GVA213" s="2"/>
      <c r="GVB213" s="2"/>
      <c r="GVC213" s="2"/>
      <c r="GVD213" s="2"/>
      <c r="GVE213" s="2"/>
      <c r="GVF213" s="260"/>
      <c r="GVG213" s="2"/>
      <c r="GVH213" s="2"/>
      <c r="GVI213" s="2"/>
      <c r="GVJ213" s="2"/>
      <c r="GVK213" s="2"/>
      <c r="GVL213" s="2"/>
      <c r="GVM213" s="2"/>
      <c r="GVN213" s="260"/>
      <c r="GVO213" s="260"/>
      <c r="GVP213" s="260"/>
      <c r="GVQ213" s="380"/>
      <c r="GVR213" s="380"/>
      <c r="GVS213" s="380"/>
      <c r="GVT213" s="2"/>
      <c r="GVU213" s="442"/>
      <c r="GVV213" s="442"/>
      <c r="GVW213" s="443"/>
      <c r="GVX213" s="442"/>
      <c r="GVY213" s="442"/>
      <c r="GVZ213" s="2"/>
      <c r="GWA213" s="2"/>
      <c r="GWB213" s="2"/>
      <c r="GWC213" s="2"/>
      <c r="GWD213" s="260"/>
      <c r="GWE213" s="260"/>
      <c r="GWF213" s="260"/>
      <c r="GWG213" s="260"/>
      <c r="GWH213" s="260"/>
      <c r="GWI213" s="260"/>
      <c r="GWJ213" s="308"/>
      <c r="GWK213" s="290"/>
      <c r="GWL213" s="290"/>
      <c r="GWM213" s="260"/>
      <c r="GWN213" s="260"/>
      <c r="GWO213" s="260"/>
      <c r="GWP213" s="260"/>
      <c r="GWQ213" s="260"/>
      <c r="GWR213" s="2"/>
      <c r="GWS213" s="2"/>
      <c r="GWT213" s="2"/>
      <c r="GWU213" s="2"/>
      <c r="GWV213" s="2"/>
      <c r="GWW213" s="2"/>
      <c r="GWX213" s="260"/>
      <c r="GWY213" s="2"/>
      <c r="GWZ213" s="2"/>
      <c r="GXA213" s="2"/>
      <c r="GXB213" s="2"/>
      <c r="GXC213" s="2"/>
      <c r="GXD213" s="2"/>
      <c r="GXE213" s="2"/>
      <c r="GXF213" s="260"/>
      <c r="GXG213" s="260"/>
      <c r="GXH213" s="260"/>
      <c r="GXI213" s="380"/>
      <c r="GXJ213" s="380"/>
      <c r="GXK213" s="380"/>
      <c r="GXL213" s="2"/>
      <c r="GXM213" s="442"/>
      <c r="GXN213" s="442"/>
      <c r="GXO213" s="443"/>
      <c r="GXP213" s="442"/>
      <c r="GXQ213" s="442"/>
      <c r="GXR213" s="2"/>
      <c r="GXS213" s="2"/>
      <c r="GXT213" s="2"/>
      <c r="GXU213" s="2"/>
      <c r="GXV213" s="260"/>
      <c r="GXW213" s="260"/>
      <c r="GXX213" s="260"/>
      <c r="GXY213" s="260"/>
      <c r="GXZ213" s="260"/>
      <c r="GYA213" s="260"/>
      <c r="GYB213" s="308"/>
      <c r="GYC213" s="290"/>
      <c r="GYD213" s="290"/>
      <c r="GYE213" s="260"/>
      <c r="GYF213" s="260"/>
      <c r="GYG213" s="260"/>
      <c r="GYH213" s="260"/>
      <c r="GYI213" s="260"/>
      <c r="GYJ213" s="2"/>
      <c r="GYK213" s="2"/>
      <c r="GYL213" s="2"/>
      <c r="GYM213" s="2"/>
      <c r="GYN213" s="2"/>
      <c r="GYO213" s="2"/>
      <c r="GYP213" s="260"/>
      <c r="GYQ213" s="2"/>
      <c r="GYR213" s="2"/>
      <c r="GYS213" s="2"/>
      <c r="GYT213" s="2"/>
      <c r="GYU213" s="2"/>
      <c r="GYV213" s="2"/>
      <c r="GYW213" s="2"/>
      <c r="GYX213" s="260"/>
      <c r="GYY213" s="260"/>
      <c r="GYZ213" s="260"/>
      <c r="GZA213" s="380"/>
      <c r="GZB213" s="380"/>
      <c r="GZC213" s="380"/>
      <c r="GZD213" s="2"/>
      <c r="GZE213" s="442"/>
      <c r="GZF213" s="442"/>
      <c r="GZG213" s="443"/>
      <c r="GZH213" s="442"/>
      <c r="GZI213" s="442"/>
      <c r="GZJ213" s="2"/>
      <c r="GZK213" s="2"/>
      <c r="GZL213" s="2"/>
      <c r="GZM213" s="2"/>
      <c r="GZN213" s="260"/>
      <c r="GZO213" s="260"/>
      <c r="GZP213" s="260"/>
      <c r="GZQ213" s="260"/>
      <c r="GZR213" s="260"/>
      <c r="GZS213" s="260"/>
      <c r="GZT213" s="308"/>
      <c r="GZU213" s="290"/>
      <c r="GZV213" s="290"/>
      <c r="GZW213" s="260"/>
      <c r="GZX213" s="260"/>
      <c r="GZY213" s="260"/>
      <c r="GZZ213" s="260"/>
      <c r="HAA213" s="260"/>
      <c r="HAB213" s="2"/>
      <c r="HAC213" s="2"/>
      <c r="HAD213" s="2"/>
      <c r="HAE213" s="2"/>
      <c r="HAF213" s="2"/>
      <c r="HAG213" s="2"/>
      <c r="HAH213" s="260"/>
      <c r="HAI213" s="2"/>
      <c r="HAJ213" s="2"/>
      <c r="HAK213" s="2"/>
      <c r="HAL213" s="2"/>
      <c r="HAM213" s="2"/>
      <c r="HAN213" s="2"/>
      <c r="HAO213" s="2"/>
      <c r="HAP213" s="260"/>
      <c r="HAQ213" s="260"/>
      <c r="HAR213" s="260"/>
      <c r="HAS213" s="380"/>
      <c r="HAT213" s="380"/>
      <c r="HAU213" s="380"/>
      <c r="HAV213" s="2"/>
      <c r="HAW213" s="442"/>
      <c r="HAX213" s="442"/>
      <c r="HAY213" s="443"/>
      <c r="HAZ213" s="442"/>
      <c r="HBA213" s="442"/>
      <c r="HBB213" s="2"/>
      <c r="HBC213" s="2"/>
      <c r="HBD213" s="2"/>
      <c r="HBE213" s="2"/>
      <c r="HBF213" s="260"/>
      <c r="HBG213" s="260"/>
      <c r="HBH213" s="260"/>
      <c r="HBI213" s="260"/>
      <c r="HBJ213" s="260"/>
      <c r="HBK213" s="260"/>
      <c r="HBL213" s="308"/>
      <c r="HBM213" s="290"/>
      <c r="HBN213" s="290"/>
      <c r="HBO213" s="260"/>
      <c r="HBP213" s="260"/>
      <c r="HBQ213" s="260"/>
      <c r="HBR213" s="260"/>
      <c r="HBS213" s="260"/>
      <c r="HBT213" s="2"/>
      <c r="HBU213" s="2"/>
      <c r="HBV213" s="2"/>
      <c r="HBW213" s="2"/>
      <c r="HBX213" s="2"/>
      <c r="HBY213" s="2"/>
      <c r="HBZ213" s="260"/>
      <c r="HCA213" s="2"/>
      <c r="HCB213" s="2"/>
      <c r="HCC213" s="2"/>
      <c r="HCD213" s="2"/>
      <c r="HCE213" s="2"/>
      <c r="HCF213" s="2"/>
      <c r="HCG213" s="2"/>
      <c r="HCH213" s="260"/>
      <c r="HCI213" s="260"/>
      <c r="HCJ213" s="260"/>
      <c r="HCK213" s="380"/>
      <c r="HCL213" s="380"/>
      <c r="HCM213" s="380"/>
      <c r="HCN213" s="2"/>
      <c r="HCO213" s="442"/>
      <c r="HCP213" s="442"/>
      <c r="HCQ213" s="443"/>
      <c r="HCR213" s="442"/>
      <c r="HCS213" s="442"/>
      <c r="HCT213" s="2"/>
      <c r="HCU213" s="2"/>
      <c r="HCV213" s="2"/>
      <c r="HCW213" s="2"/>
      <c r="HCX213" s="260"/>
      <c r="HCY213" s="260"/>
      <c r="HCZ213" s="260"/>
      <c r="HDA213" s="260"/>
      <c r="HDB213" s="260"/>
      <c r="HDC213" s="260"/>
      <c r="HDD213" s="308"/>
      <c r="HDE213" s="290"/>
      <c r="HDF213" s="290"/>
      <c r="HDG213" s="260"/>
      <c r="HDH213" s="260"/>
      <c r="HDI213" s="260"/>
      <c r="HDJ213" s="260"/>
      <c r="HDK213" s="260"/>
      <c r="HDL213" s="2"/>
      <c r="HDM213" s="2"/>
      <c r="HDN213" s="2"/>
      <c r="HDO213" s="2"/>
      <c r="HDP213" s="2"/>
      <c r="HDQ213" s="2"/>
      <c r="HDR213" s="260"/>
      <c r="HDS213" s="2"/>
      <c r="HDT213" s="2"/>
      <c r="HDU213" s="2"/>
      <c r="HDV213" s="2"/>
      <c r="HDW213" s="2"/>
      <c r="HDX213" s="2"/>
      <c r="HDY213" s="2"/>
      <c r="HDZ213" s="260"/>
      <c r="HEA213" s="260"/>
      <c r="HEB213" s="260"/>
      <c r="HEC213" s="380"/>
      <c r="HED213" s="380"/>
      <c r="HEE213" s="380"/>
      <c r="HEF213" s="2"/>
      <c r="HEG213" s="442"/>
      <c r="HEH213" s="442"/>
      <c r="HEI213" s="443"/>
      <c r="HEJ213" s="442"/>
      <c r="HEK213" s="442"/>
      <c r="HEL213" s="2"/>
      <c r="HEM213" s="2"/>
      <c r="HEN213" s="2"/>
      <c r="HEO213" s="2"/>
      <c r="HEP213" s="260"/>
      <c r="HEQ213" s="260"/>
      <c r="HER213" s="260"/>
      <c r="HES213" s="260"/>
      <c r="HET213" s="260"/>
      <c r="HEU213" s="260"/>
      <c r="HEV213" s="308"/>
      <c r="HEW213" s="290"/>
      <c r="HEX213" s="290"/>
      <c r="HEY213" s="260"/>
      <c r="HEZ213" s="260"/>
      <c r="HFA213" s="260"/>
      <c r="HFB213" s="260"/>
      <c r="HFC213" s="260"/>
      <c r="HFD213" s="2"/>
      <c r="HFE213" s="2"/>
      <c r="HFF213" s="2"/>
      <c r="HFG213" s="2"/>
      <c r="HFH213" s="2"/>
      <c r="HFI213" s="2"/>
      <c r="HFJ213" s="260"/>
      <c r="HFK213" s="2"/>
      <c r="HFL213" s="2"/>
      <c r="HFM213" s="2"/>
      <c r="HFN213" s="2"/>
      <c r="HFO213" s="2"/>
      <c r="HFP213" s="2"/>
      <c r="HFQ213" s="2"/>
      <c r="HFR213" s="260"/>
      <c r="HFS213" s="260"/>
      <c r="HFT213" s="260"/>
      <c r="HFU213" s="380"/>
      <c r="HFV213" s="380"/>
      <c r="HFW213" s="380"/>
      <c r="HFX213" s="2"/>
      <c r="HFY213" s="442"/>
      <c r="HFZ213" s="442"/>
      <c r="HGA213" s="443"/>
      <c r="HGB213" s="442"/>
      <c r="HGC213" s="442"/>
      <c r="HGD213" s="2"/>
      <c r="HGE213" s="2"/>
      <c r="HGF213" s="2"/>
      <c r="HGG213" s="2"/>
      <c r="HGH213" s="260"/>
      <c r="HGI213" s="260"/>
      <c r="HGJ213" s="260"/>
      <c r="HGK213" s="260"/>
      <c r="HGL213" s="260"/>
      <c r="HGM213" s="260"/>
      <c r="HGN213" s="308"/>
      <c r="HGO213" s="290"/>
      <c r="HGP213" s="290"/>
      <c r="HGQ213" s="260"/>
      <c r="HGR213" s="260"/>
      <c r="HGS213" s="260"/>
      <c r="HGT213" s="260"/>
      <c r="HGU213" s="260"/>
      <c r="HGV213" s="2"/>
      <c r="HGW213" s="2"/>
      <c r="HGX213" s="2"/>
      <c r="HGY213" s="2"/>
      <c r="HGZ213" s="2"/>
      <c r="HHA213" s="2"/>
      <c r="HHB213" s="260"/>
      <c r="HHC213" s="2"/>
      <c r="HHD213" s="2"/>
      <c r="HHE213" s="2"/>
      <c r="HHF213" s="2"/>
      <c r="HHG213" s="2"/>
      <c r="HHH213" s="2"/>
      <c r="HHI213" s="2"/>
      <c r="HHJ213" s="260"/>
      <c r="HHK213" s="260"/>
      <c r="HHL213" s="260"/>
      <c r="HHM213" s="380"/>
      <c r="HHN213" s="380"/>
      <c r="HHO213" s="380"/>
      <c r="HHP213" s="2"/>
      <c r="HHQ213" s="442"/>
      <c r="HHR213" s="442"/>
      <c r="HHS213" s="443"/>
      <c r="HHT213" s="442"/>
      <c r="HHU213" s="442"/>
      <c r="HHV213" s="2"/>
      <c r="HHW213" s="2"/>
      <c r="HHX213" s="2"/>
      <c r="HHY213" s="2"/>
      <c r="HHZ213" s="260"/>
      <c r="HIA213" s="260"/>
      <c r="HIB213" s="260"/>
      <c r="HIC213" s="260"/>
      <c r="HID213" s="260"/>
      <c r="HIE213" s="260"/>
      <c r="HIF213" s="308"/>
      <c r="HIG213" s="290"/>
      <c r="HIH213" s="290"/>
      <c r="HII213" s="260"/>
      <c r="HIJ213" s="260"/>
      <c r="HIK213" s="260"/>
      <c r="HIL213" s="260"/>
      <c r="HIM213" s="260"/>
      <c r="HIN213" s="2"/>
      <c r="HIO213" s="2"/>
      <c r="HIP213" s="2"/>
      <c r="HIQ213" s="2"/>
      <c r="HIR213" s="2"/>
      <c r="HIS213" s="2"/>
      <c r="HIT213" s="260"/>
      <c r="HIU213" s="2"/>
      <c r="HIV213" s="2"/>
      <c r="HIW213" s="2"/>
      <c r="HIX213" s="2"/>
      <c r="HIY213" s="2"/>
      <c r="HIZ213" s="2"/>
      <c r="HJA213" s="2"/>
      <c r="HJB213" s="260"/>
      <c r="HJC213" s="260"/>
      <c r="HJD213" s="260"/>
      <c r="HJE213" s="380"/>
      <c r="HJF213" s="380"/>
      <c r="HJG213" s="380"/>
      <c r="HJH213" s="2"/>
      <c r="HJI213" s="442"/>
      <c r="HJJ213" s="442"/>
      <c r="HJK213" s="443"/>
      <c r="HJL213" s="442"/>
      <c r="HJM213" s="442"/>
      <c r="HJN213" s="2"/>
      <c r="HJO213" s="2"/>
      <c r="HJP213" s="2"/>
      <c r="HJQ213" s="2"/>
      <c r="HJR213" s="260"/>
      <c r="HJS213" s="260"/>
      <c r="HJT213" s="260"/>
      <c r="HJU213" s="260"/>
      <c r="HJV213" s="260"/>
      <c r="HJW213" s="260"/>
      <c r="HJX213" s="308"/>
      <c r="HJY213" s="290"/>
      <c r="HJZ213" s="290"/>
      <c r="HKA213" s="260"/>
      <c r="HKB213" s="260"/>
      <c r="HKC213" s="260"/>
      <c r="HKD213" s="260"/>
      <c r="HKE213" s="260"/>
      <c r="HKF213" s="2"/>
      <c r="HKG213" s="2"/>
      <c r="HKH213" s="2"/>
      <c r="HKI213" s="2"/>
      <c r="HKJ213" s="2"/>
      <c r="HKK213" s="2"/>
      <c r="HKL213" s="260"/>
      <c r="HKM213" s="2"/>
      <c r="HKN213" s="2"/>
      <c r="HKO213" s="2"/>
      <c r="HKP213" s="2"/>
      <c r="HKQ213" s="2"/>
      <c r="HKR213" s="2"/>
      <c r="HKS213" s="2"/>
      <c r="HKT213" s="260"/>
      <c r="HKU213" s="260"/>
      <c r="HKV213" s="260"/>
      <c r="HKW213" s="380"/>
      <c r="HKX213" s="380"/>
      <c r="HKY213" s="380"/>
      <c r="HKZ213" s="2"/>
      <c r="HLA213" s="442"/>
      <c r="HLB213" s="442"/>
      <c r="HLC213" s="443"/>
      <c r="HLD213" s="442"/>
      <c r="HLE213" s="442"/>
      <c r="HLF213" s="2"/>
      <c r="HLG213" s="2"/>
      <c r="HLH213" s="2"/>
      <c r="HLI213" s="2"/>
      <c r="HLJ213" s="260"/>
      <c r="HLK213" s="260"/>
      <c r="HLL213" s="260"/>
      <c r="HLM213" s="260"/>
      <c r="HLN213" s="260"/>
      <c r="HLO213" s="260"/>
      <c r="HLP213" s="308"/>
      <c r="HLQ213" s="290"/>
      <c r="HLR213" s="290"/>
      <c r="HLS213" s="260"/>
      <c r="HLT213" s="260"/>
      <c r="HLU213" s="260"/>
      <c r="HLV213" s="260"/>
      <c r="HLW213" s="260"/>
      <c r="HLX213" s="2"/>
      <c r="HLY213" s="2"/>
      <c r="HLZ213" s="2"/>
      <c r="HMA213" s="2"/>
      <c r="HMB213" s="2"/>
      <c r="HMC213" s="2"/>
      <c r="HMD213" s="260"/>
      <c r="HME213" s="2"/>
      <c r="HMF213" s="2"/>
      <c r="HMG213" s="2"/>
      <c r="HMH213" s="2"/>
      <c r="HMI213" s="2"/>
      <c r="HMJ213" s="2"/>
      <c r="HMK213" s="2"/>
      <c r="HML213" s="260"/>
      <c r="HMM213" s="260"/>
      <c r="HMN213" s="260"/>
      <c r="HMO213" s="380"/>
      <c r="HMP213" s="380"/>
      <c r="HMQ213" s="380"/>
      <c r="HMR213" s="2"/>
      <c r="HMS213" s="442"/>
      <c r="HMT213" s="442"/>
      <c r="HMU213" s="443"/>
      <c r="HMV213" s="442"/>
      <c r="HMW213" s="442"/>
      <c r="HMX213" s="2"/>
      <c r="HMY213" s="2"/>
      <c r="HMZ213" s="2"/>
      <c r="HNA213" s="2"/>
      <c r="HNB213" s="260"/>
      <c r="HNC213" s="260"/>
      <c r="HND213" s="260"/>
      <c r="HNE213" s="260"/>
      <c r="HNF213" s="260"/>
      <c r="HNG213" s="260"/>
      <c r="HNH213" s="308"/>
      <c r="HNI213" s="290"/>
      <c r="HNJ213" s="290"/>
      <c r="HNK213" s="260"/>
      <c r="HNL213" s="260"/>
      <c r="HNM213" s="260"/>
      <c r="HNN213" s="260"/>
      <c r="HNO213" s="260"/>
      <c r="HNP213" s="2"/>
      <c r="HNQ213" s="2"/>
      <c r="HNR213" s="2"/>
      <c r="HNS213" s="2"/>
      <c r="HNT213" s="2"/>
      <c r="HNU213" s="2"/>
      <c r="HNV213" s="260"/>
      <c r="HNW213" s="2"/>
      <c r="HNX213" s="2"/>
      <c r="HNY213" s="2"/>
      <c r="HNZ213" s="2"/>
      <c r="HOA213" s="2"/>
      <c r="HOB213" s="2"/>
      <c r="HOC213" s="2"/>
      <c r="HOD213" s="260"/>
      <c r="HOE213" s="260"/>
      <c r="HOF213" s="260"/>
      <c r="HOG213" s="380"/>
      <c r="HOH213" s="380"/>
      <c r="HOI213" s="380"/>
      <c r="HOJ213" s="2"/>
      <c r="HOK213" s="442"/>
      <c r="HOL213" s="442"/>
      <c r="HOM213" s="443"/>
      <c r="HON213" s="442"/>
      <c r="HOO213" s="442"/>
      <c r="HOP213" s="2"/>
      <c r="HOQ213" s="2"/>
      <c r="HOR213" s="2"/>
      <c r="HOS213" s="2"/>
      <c r="HOT213" s="260"/>
      <c r="HOU213" s="260"/>
      <c r="HOV213" s="260"/>
      <c r="HOW213" s="260"/>
      <c r="HOX213" s="260"/>
      <c r="HOY213" s="260"/>
      <c r="HOZ213" s="308"/>
      <c r="HPA213" s="290"/>
      <c r="HPB213" s="290"/>
      <c r="HPC213" s="260"/>
      <c r="HPD213" s="260"/>
      <c r="HPE213" s="260"/>
      <c r="HPF213" s="260"/>
      <c r="HPG213" s="260"/>
      <c r="HPH213" s="2"/>
      <c r="HPI213" s="2"/>
      <c r="HPJ213" s="2"/>
      <c r="HPK213" s="2"/>
      <c r="HPL213" s="2"/>
      <c r="HPM213" s="2"/>
      <c r="HPN213" s="260"/>
      <c r="HPO213" s="2"/>
      <c r="HPP213" s="2"/>
      <c r="HPQ213" s="2"/>
      <c r="HPR213" s="2"/>
      <c r="HPS213" s="2"/>
      <c r="HPT213" s="2"/>
      <c r="HPU213" s="2"/>
      <c r="HPV213" s="260"/>
      <c r="HPW213" s="260"/>
      <c r="HPX213" s="260"/>
      <c r="HPY213" s="380"/>
      <c r="HPZ213" s="380"/>
      <c r="HQA213" s="380"/>
      <c r="HQB213" s="2"/>
      <c r="HQC213" s="442"/>
      <c r="HQD213" s="442"/>
      <c r="HQE213" s="443"/>
      <c r="HQF213" s="442"/>
      <c r="HQG213" s="442"/>
      <c r="HQH213" s="2"/>
      <c r="HQI213" s="2"/>
      <c r="HQJ213" s="2"/>
      <c r="HQK213" s="2"/>
      <c r="HQL213" s="260"/>
      <c r="HQM213" s="260"/>
      <c r="HQN213" s="260"/>
      <c r="HQO213" s="260"/>
      <c r="HQP213" s="260"/>
      <c r="HQQ213" s="260"/>
      <c r="HQR213" s="308"/>
      <c r="HQS213" s="290"/>
      <c r="HQT213" s="290"/>
      <c r="HQU213" s="260"/>
      <c r="HQV213" s="260"/>
      <c r="HQW213" s="260"/>
      <c r="HQX213" s="260"/>
      <c r="HQY213" s="260"/>
      <c r="HQZ213" s="2"/>
      <c r="HRA213" s="2"/>
      <c r="HRB213" s="2"/>
      <c r="HRC213" s="2"/>
      <c r="HRD213" s="2"/>
      <c r="HRE213" s="2"/>
      <c r="HRF213" s="260"/>
      <c r="HRG213" s="2"/>
      <c r="HRH213" s="2"/>
      <c r="HRI213" s="2"/>
      <c r="HRJ213" s="2"/>
      <c r="HRK213" s="2"/>
      <c r="HRL213" s="2"/>
      <c r="HRM213" s="2"/>
      <c r="HRN213" s="260"/>
      <c r="HRO213" s="260"/>
      <c r="HRP213" s="260"/>
      <c r="HRQ213" s="380"/>
      <c r="HRR213" s="380"/>
      <c r="HRS213" s="380"/>
      <c r="HRT213" s="2"/>
      <c r="HRU213" s="442"/>
      <c r="HRV213" s="442"/>
      <c r="HRW213" s="443"/>
      <c r="HRX213" s="442"/>
      <c r="HRY213" s="442"/>
      <c r="HRZ213" s="2"/>
      <c r="HSA213" s="2"/>
      <c r="HSB213" s="2"/>
      <c r="HSC213" s="2"/>
      <c r="HSD213" s="260"/>
      <c r="HSE213" s="260"/>
      <c r="HSF213" s="260"/>
      <c r="HSG213" s="260"/>
      <c r="HSH213" s="260"/>
      <c r="HSI213" s="260"/>
      <c r="HSJ213" s="308"/>
      <c r="HSK213" s="290"/>
      <c r="HSL213" s="290"/>
      <c r="HSM213" s="260"/>
      <c r="HSN213" s="260"/>
      <c r="HSO213" s="260"/>
      <c r="HSP213" s="260"/>
      <c r="HSQ213" s="260"/>
      <c r="HSR213" s="2"/>
      <c r="HSS213" s="2"/>
      <c r="HST213" s="2"/>
      <c r="HSU213" s="2"/>
      <c r="HSV213" s="2"/>
      <c r="HSW213" s="2"/>
      <c r="HSX213" s="260"/>
      <c r="HSY213" s="2"/>
      <c r="HSZ213" s="2"/>
      <c r="HTA213" s="2"/>
      <c r="HTB213" s="2"/>
      <c r="HTC213" s="2"/>
      <c r="HTD213" s="2"/>
      <c r="HTE213" s="2"/>
      <c r="HTF213" s="260"/>
      <c r="HTG213" s="260"/>
      <c r="HTH213" s="260"/>
      <c r="HTI213" s="380"/>
      <c r="HTJ213" s="380"/>
      <c r="HTK213" s="380"/>
      <c r="HTL213" s="2"/>
      <c r="HTM213" s="442"/>
      <c r="HTN213" s="442"/>
      <c r="HTO213" s="443"/>
      <c r="HTP213" s="442"/>
      <c r="HTQ213" s="442"/>
      <c r="HTR213" s="2"/>
      <c r="HTS213" s="2"/>
      <c r="HTT213" s="2"/>
      <c r="HTU213" s="2"/>
      <c r="HTV213" s="260"/>
      <c r="HTW213" s="260"/>
      <c r="HTX213" s="260"/>
      <c r="HTY213" s="260"/>
      <c r="HTZ213" s="260"/>
      <c r="HUA213" s="260"/>
      <c r="HUB213" s="308"/>
      <c r="HUC213" s="290"/>
      <c r="HUD213" s="290"/>
      <c r="HUE213" s="260"/>
      <c r="HUF213" s="260"/>
      <c r="HUG213" s="260"/>
      <c r="HUH213" s="260"/>
      <c r="HUI213" s="260"/>
      <c r="HUJ213" s="2"/>
      <c r="HUK213" s="2"/>
      <c r="HUL213" s="2"/>
      <c r="HUM213" s="2"/>
      <c r="HUN213" s="2"/>
      <c r="HUO213" s="2"/>
      <c r="HUP213" s="260"/>
      <c r="HUQ213" s="2"/>
      <c r="HUR213" s="2"/>
      <c r="HUS213" s="2"/>
      <c r="HUT213" s="2"/>
      <c r="HUU213" s="2"/>
      <c r="HUV213" s="2"/>
      <c r="HUW213" s="2"/>
      <c r="HUX213" s="260"/>
      <c r="HUY213" s="260"/>
      <c r="HUZ213" s="260"/>
      <c r="HVA213" s="380"/>
      <c r="HVB213" s="380"/>
      <c r="HVC213" s="380"/>
      <c r="HVD213" s="2"/>
      <c r="HVE213" s="442"/>
      <c r="HVF213" s="442"/>
      <c r="HVG213" s="443"/>
      <c r="HVH213" s="442"/>
      <c r="HVI213" s="442"/>
      <c r="HVJ213" s="2"/>
      <c r="HVK213" s="2"/>
      <c r="HVL213" s="2"/>
      <c r="HVM213" s="2"/>
      <c r="HVN213" s="260"/>
      <c r="HVO213" s="260"/>
      <c r="HVP213" s="260"/>
      <c r="HVQ213" s="260"/>
      <c r="HVR213" s="260"/>
      <c r="HVS213" s="260"/>
      <c r="HVT213" s="308"/>
      <c r="HVU213" s="290"/>
      <c r="HVV213" s="290"/>
      <c r="HVW213" s="260"/>
      <c r="HVX213" s="260"/>
      <c r="HVY213" s="260"/>
      <c r="HVZ213" s="260"/>
      <c r="HWA213" s="260"/>
      <c r="HWB213" s="2"/>
      <c r="HWC213" s="2"/>
      <c r="HWD213" s="2"/>
      <c r="HWE213" s="2"/>
      <c r="HWF213" s="2"/>
      <c r="HWG213" s="2"/>
      <c r="HWH213" s="260"/>
      <c r="HWI213" s="2"/>
      <c r="HWJ213" s="2"/>
      <c r="HWK213" s="2"/>
      <c r="HWL213" s="2"/>
      <c r="HWM213" s="2"/>
      <c r="HWN213" s="2"/>
      <c r="HWO213" s="2"/>
      <c r="HWP213" s="260"/>
      <c r="HWQ213" s="260"/>
      <c r="HWR213" s="260"/>
      <c r="HWS213" s="380"/>
      <c r="HWT213" s="380"/>
      <c r="HWU213" s="380"/>
      <c r="HWV213" s="2"/>
      <c r="HWW213" s="442"/>
      <c r="HWX213" s="442"/>
      <c r="HWY213" s="443"/>
      <c r="HWZ213" s="442"/>
      <c r="HXA213" s="442"/>
      <c r="HXB213" s="2"/>
      <c r="HXC213" s="2"/>
      <c r="HXD213" s="2"/>
      <c r="HXE213" s="2"/>
      <c r="HXF213" s="260"/>
      <c r="HXG213" s="260"/>
      <c r="HXH213" s="260"/>
      <c r="HXI213" s="260"/>
      <c r="HXJ213" s="260"/>
      <c r="HXK213" s="260"/>
      <c r="HXL213" s="308"/>
      <c r="HXM213" s="290"/>
      <c r="HXN213" s="290"/>
      <c r="HXO213" s="260"/>
      <c r="HXP213" s="260"/>
      <c r="HXQ213" s="260"/>
      <c r="HXR213" s="260"/>
      <c r="HXS213" s="260"/>
      <c r="HXT213" s="2"/>
      <c r="HXU213" s="2"/>
      <c r="HXV213" s="2"/>
      <c r="HXW213" s="2"/>
      <c r="HXX213" s="2"/>
      <c r="HXY213" s="2"/>
      <c r="HXZ213" s="260"/>
      <c r="HYA213" s="2"/>
      <c r="HYB213" s="2"/>
      <c r="HYC213" s="2"/>
      <c r="HYD213" s="2"/>
      <c r="HYE213" s="2"/>
      <c r="HYF213" s="2"/>
      <c r="HYG213" s="2"/>
      <c r="HYH213" s="260"/>
      <c r="HYI213" s="260"/>
      <c r="HYJ213" s="260"/>
      <c r="HYK213" s="380"/>
      <c r="HYL213" s="380"/>
      <c r="HYM213" s="380"/>
      <c r="HYN213" s="2"/>
      <c r="HYO213" s="442"/>
      <c r="HYP213" s="442"/>
      <c r="HYQ213" s="443"/>
      <c r="HYR213" s="442"/>
      <c r="HYS213" s="442"/>
      <c r="HYT213" s="2"/>
      <c r="HYU213" s="2"/>
      <c r="HYV213" s="2"/>
      <c r="HYW213" s="2"/>
      <c r="HYX213" s="260"/>
      <c r="HYY213" s="260"/>
      <c r="HYZ213" s="260"/>
      <c r="HZA213" s="260"/>
      <c r="HZB213" s="260"/>
      <c r="HZC213" s="260"/>
      <c r="HZD213" s="308"/>
      <c r="HZE213" s="290"/>
      <c r="HZF213" s="290"/>
      <c r="HZG213" s="260"/>
      <c r="HZH213" s="260"/>
      <c r="HZI213" s="260"/>
      <c r="HZJ213" s="260"/>
      <c r="HZK213" s="260"/>
      <c r="HZL213" s="2"/>
      <c r="HZM213" s="2"/>
      <c r="HZN213" s="2"/>
      <c r="HZO213" s="2"/>
      <c r="HZP213" s="2"/>
      <c r="HZQ213" s="2"/>
      <c r="HZR213" s="260"/>
      <c r="HZS213" s="2"/>
      <c r="HZT213" s="2"/>
      <c r="HZU213" s="2"/>
      <c r="HZV213" s="2"/>
      <c r="HZW213" s="2"/>
      <c r="HZX213" s="2"/>
      <c r="HZY213" s="2"/>
      <c r="HZZ213" s="260"/>
      <c r="IAA213" s="260"/>
      <c r="IAB213" s="260"/>
      <c r="IAC213" s="380"/>
      <c r="IAD213" s="380"/>
      <c r="IAE213" s="380"/>
      <c r="IAF213" s="2"/>
      <c r="IAG213" s="442"/>
      <c r="IAH213" s="442"/>
      <c r="IAI213" s="443"/>
      <c r="IAJ213" s="442"/>
      <c r="IAK213" s="442"/>
      <c r="IAL213" s="2"/>
      <c r="IAM213" s="2"/>
      <c r="IAN213" s="2"/>
      <c r="IAO213" s="2"/>
      <c r="IAP213" s="260"/>
      <c r="IAQ213" s="260"/>
      <c r="IAR213" s="260"/>
      <c r="IAS213" s="260"/>
      <c r="IAT213" s="260"/>
      <c r="IAU213" s="260"/>
      <c r="IAV213" s="308"/>
      <c r="IAW213" s="290"/>
      <c r="IAX213" s="290"/>
      <c r="IAY213" s="260"/>
      <c r="IAZ213" s="260"/>
      <c r="IBA213" s="260"/>
      <c r="IBB213" s="260"/>
      <c r="IBC213" s="260"/>
      <c r="IBD213" s="2"/>
      <c r="IBE213" s="2"/>
      <c r="IBF213" s="2"/>
      <c r="IBG213" s="2"/>
      <c r="IBH213" s="2"/>
      <c r="IBI213" s="2"/>
      <c r="IBJ213" s="260"/>
      <c r="IBK213" s="2"/>
      <c r="IBL213" s="2"/>
      <c r="IBM213" s="2"/>
      <c r="IBN213" s="2"/>
      <c r="IBO213" s="2"/>
      <c r="IBP213" s="2"/>
      <c r="IBQ213" s="2"/>
      <c r="IBR213" s="260"/>
      <c r="IBS213" s="260"/>
      <c r="IBT213" s="260"/>
      <c r="IBU213" s="380"/>
      <c r="IBV213" s="380"/>
      <c r="IBW213" s="380"/>
      <c r="IBX213" s="2"/>
      <c r="IBY213" s="442"/>
      <c r="IBZ213" s="442"/>
      <c r="ICA213" s="443"/>
      <c r="ICB213" s="442"/>
      <c r="ICC213" s="442"/>
      <c r="ICD213" s="2"/>
      <c r="ICE213" s="2"/>
      <c r="ICF213" s="2"/>
      <c r="ICG213" s="2"/>
      <c r="ICH213" s="260"/>
      <c r="ICI213" s="260"/>
      <c r="ICJ213" s="260"/>
      <c r="ICK213" s="260"/>
      <c r="ICL213" s="260"/>
      <c r="ICM213" s="260"/>
      <c r="ICN213" s="308"/>
      <c r="ICO213" s="290"/>
      <c r="ICP213" s="290"/>
      <c r="ICQ213" s="260"/>
      <c r="ICR213" s="260"/>
      <c r="ICS213" s="260"/>
      <c r="ICT213" s="260"/>
      <c r="ICU213" s="260"/>
      <c r="ICV213" s="2"/>
      <c r="ICW213" s="2"/>
      <c r="ICX213" s="2"/>
      <c r="ICY213" s="2"/>
      <c r="ICZ213" s="2"/>
      <c r="IDA213" s="2"/>
      <c r="IDB213" s="260"/>
      <c r="IDC213" s="2"/>
      <c r="IDD213" s="2"/>
      <c r="IDE213" s="2"/>
      <c r="IDF213" s="2"/>
      <c r="IDG213" s="2"/>
      <c r="IDH213" s="2"/>
      <c r="IDI213" s="2"/>
      <c r="IDJ213" s="260"/>
      <c r="IDK213" s="260"/>
      <c r="IDL213" s="260"/>
      <c r="IDM213" s="380"/>
      <c r="IDN213" s="380"/>
      <c r="IDO213" s="380"/>
      <c r="IDP213" s="2"/>
      <c r="IDQ213" s="442"/>
      <c r="IDR213" s="442"/>
      <c r="IDS213" s="443"/>
      <c r="IDT213" s="442"/>
      <c r="IDU213" s="442"/>
      <c r="IDV213" s="2"/>
      <c r="IDW213" s="2"/>
      <c r="IDX213" s="2"/>
      <c r="IDY213" s="2"/>
      <c r="IDZ213" s="260"/>
      <c r="IEA213" s="260"/>
      <c r="IEB213" s="260"/>
      <c r="IEC213" s="260"/>
      <c r="IED213" s="260"/>
      <c r="IEE213" s="260"/>
      <c r="IEF213" s="308"/>
      <c r="IEG213" s="290"/>
      <c r="IEH213" s="290"/>
      <c r="IEI213" s="260"/>
      <c r="IEJ213" s="260"/>
      <c r="IEK213" s="260"/>
      <c r="IEL213" s="260"/>
      <c r="IEM213" s="260"/>
      <c r="IEN213" s="2"/>
      <c r="IEO213" s="2"/>
      <c r="IEP213" s="2"/>
      <c r="IEQ213" s="2"/>
      <c r="IER213" s="2"/>
      <c r="IES213" s="2"/>
      <c r="IET213" s="260"/>
      <c r="IEU213" s="2"/>
      <c r="IEV213" s="2"/>
      <c r="IEW213" s="2"/>
      <c r="IEX213" s="2"/>
      <c r="IEY213" s="2"/>
      <c r="IEZ213" s="2"/>
      <c r="IFA213" s="2"/>
      <c r="IFB213" s="260"/>
      <c r="IFC213" s="260"/>
      <c r="IFD213" s="260"/>
      <c r="IFE213" s="380"/>
      <c r="IFF213" s="380"/>
      <c r="IFG213" s="380"/>
      <c r="IFH213" s="2"/>
      <c r="IFI213" s="442"/>
      <c r="IFJ213" s="442"/>
      <c r="IFK213" s="443"/>
      <c r="IFL213" s="442"/>
      <c r="IFM213" s="442"/>
      <c r="IFN213" s="2"/>
      <c r="IFO213" s="2"/>
      <c r="IFP213" s="2"/>
      <c r="IFQ213" s="2"/>
      <c r="IFR213" s="260"/>
      <c r="IFS213" s="260"/>
      <c r="IFT213" s="260"/>
      <c r="IFU213" s="260"/>
      <c r="IFV213" s="260"/>
      <c r="IFW213" s="260"/>
      <c r="IFX213" s="308"/>
      <c r="IFY213" s="290"/>
      <c r="IFZ213" s="290"/>
      <c r="IGA213" s="260"/>
      <c r="IGB213" s="260"/>
      <c r="IGC213" s="260"/>
      <c r="IGD213" s="260"/>
      <c r="IGE213" s="260"/>
      <c r="IGF213" s="2"/>
      <c r="IGG213" s="2"/>
      <c r="IGH213" s="2"/>
      <c r="IGI213" s="2"/>
      <c r="IGJ213" s="2"/>
      <c r="IGK213" s="2"/>
      <c r="IGL213" s="260"/>
      <c r="IGM213" s="2"/>
      <c r="IGN213" s="2"/>
      <c r="IGO213" s="2"/>
      <c r="IGP213" s="2"/>
      <c r="IGQ213" s="2"/>
      <c r="IGR213" s="2"/>
      <c r="IGS213" s="2"/>
      <c r="IGT213" s="260"/>
      <c r="IGU213" s="260"/>
      <c r="IGV213" s="260"/>
      <c r="IGW213" s="380"/>
      <c r="IGX213" s="380"/>
      <c r="IGY213" s="380"/>
      <c r="IGZ213" s="2"/>
      <c r="IHA213" s="442"/>
      <c r="IHB213" s="442"/>
      <c r="IHC213" s="443"/>
      <c r="IHD213" s="442"/>
      <c r="IHE213" s="442"/>
      <c r="IHF213" s="2"/>
      <c r="IHG213" s="2"/>
      <c r="IHH213" s="2"/>
      <c r="IHI213" s="2"/>
      <c r="IHJ213" s="260"/>
      <c r="IHK213" s="260"/>
      <c r="IHL213" s="260"/>
      <c r="IHM213" s="260"/>
      <c r="IHN213" s="260"/>
      <c r="IHO213" s="260"/>
      <c r="IHP213" s="308"/>
      <c r="IHQ213" s="290"/>
      <c r="IHR213" s="290"/>
      <c r="IHS213" s="260"/>
      <c r="IHT213" s="260"/>
      <c r="IHU213" s="260"/>
      <c r="IHV213" s="260"/>
      <c r="IHW213" s="260"/>
      <c r="IHX213" s="2"/>
      <c r="IHY213" s="2"/>
      <c r="IHZ213" s="2"/>
      <c r="IIA213" s="2"/>
      <c r="IIB213" s="2"/>
      <c r="IIC213" s="2"/>
      <c r="IID213" s="260"/>
      <c r="IIE213" s="2"/>
      <c r="IIF213" s="2"/>
      <c r="IIG213" s="2"/>
      <c r="IIH213" s="2"/>
      <c r="III213" s="2"/>
      <c r="IIJ213" s="2"/>
      <c r="IIK213" s="2"/>
      <c r="IIL213" s="260"/>
      <c r="IIM213" s="260"/>
      <c r="IIN213" s="260"/>
      <c r="IIO213" s="380"/>
      <c r="IIP213" s="380"/>
      <c r="IIQ213" s="380"/>
      <c r="IIR213" s="2"/>
      <c r="IIS213" s="442"/>
      <c r="IIT213" s="442"/>
      <c r="IIU213" s="443"/>
      <c r="IIV213" s="442"/>
      <c r="IIW213" s="442"/>
      <c r="IIX213" s="2"/>
      <c r="IIY213" s="2"/>
      <c r="IIZ213" s="2"/>
      <c r="IJA213" s="2"/>
      <c r="IJB213" s="260"/>
      <c r="IJC213" s="260"/>
      <c r="IJD213" s="260"/>
      <c r="IJE213" s="260"/>
      <c r="IJF213" s="260"/>
      <c r="IJG213" s="260"/>
      <c r="IJH213" s="308"/>
      <c r="IJI213" s="290"/>
      <c r="IJJ213" s="290"/>
      <c r="IJK213" s="260"/>
      <c r="IJL213" s="260"/>
      <c r="IJM213" s="260"/>
      <c r="IJN213" s="260"/>
      <c r="IJO213" s="260"/>
      <c r="IJP213" s="2"/>
      <c r="IJQ213" s="2"/>
      <c r="IJR213" s="2"/>
      <c r="IJS213" s="2"/>
      <c r="IJT213" s="2"/>
      <c r="IJU213" s="2"/>
      <c r="IJV213" s="260"/>
      <c r="IJW213" s="2"/>
      <c r="IJX213" s="2"/>
      <c r="IJY213" s="2"/>
      <c r="IJZ213" s="2"/>
      <c r="IKA213" s="2"/>
      <c r="IKB213" s="2"/>
      <c r="IKC213" s="2"/>
      <c r="IKD213" s="260"/>
      <c r="IKE213" s="260"/>
      <c r="IKF213" s="260"/>
      <c r="IKG213" s="380"/>
      <c r="IKH213" s="380"/>
      <c r="IKI213" s="380"/>
      <c r="IKJ213" s="2"/>
      <c r="IKK213" s="442"/>
      <c r="IKL213" s="442"/>
      <c r="IKM213" s="443"/>
      <c r="IKN213" s="442"/>
      <c r="IKO213" s="442"/>
      <c r="IKP213" s="2"/>
      <c r="IKQ213" s="2"/>
      <c r="IKR213" s="2"/>
      <c r="IKS213" s="2"/>
      <c r="IKT213" s="260"/>
      <c r="IKU213" s="260"/>
      <c r="IKV213" s="260"/>
      <c r="IKW213" s="260"/>
      <c r="IKX213" s="260"/>
      <c r="IKY213" s="260"/>
      <c r="IKZ213" s="308"/>
      <c r="ILA213" s="290"/>
      <c r="ILB213" s="290"/>
      <c r="ILC213" s="260"/>
      <c r="ILD213" s="260"/>
      <c r="ILE213" s="260"/>
      <c r="ILF213" s="260"/>
      <c r="ILG213" s="260"/>
      <c r="ILH213" s="2"/>
      <c r="ILI213" s="2"/>
      <c r="ILJ213" s="2"/>
      <c r="ILK213" s="2"/>
      <c r="ILL213" s="2"/>
      <c r="ILM213" s="2"/>
      <c r="ILN213" s="260"/>
      <c r="ILO213" s="2"/>
      <c r="ILP213" s="2"/>
      <c r="ILQ213" s="2"/>
      <c r="ILR213" s="2"/>
      <c r="ILS213" s="2"/>
      <c r="ILT213" s="2"/>
      <c r="ILU213" s="2"/>
      <c r="ILV213" s="260"/>
      <c r="ILW213" s="260"/>
      <c r="ILX213" s="260"/>
      <c r="ILY213" s="380"/>
      <c r="ILZ213" s="380"/>
      <c r="IMA213" s="380"/>
      <c r="IMB213" s="2"/>
      <c r="IMC213" s="442"/>
      <c r="IMD213" s="442"/>
      <c r="IME213" s="443"/>
      <c r="IMF213" s="442"/>
      <c r="IMG213" s="442"/>
      <c r="IMH213" s="2"/>
      <c r="IMI213" s="2"/>
      <c r="IMJ213" s="2"/>
      <c r="IMK213" s="2"/>
      <c r="IML213" s="260"/>
      <c r="IMM213" s="260"/>
      <c r="IMN213" s="260"/>
      <c r="IMO213" s="260"/>
      <c r="IMP213" s="260"/>
      <c r="IMQ213" s="260"/>
      <c r="IMR213" s="308"/>
      <c r="IMS213" s="290"/>
      <c r="IMT213" s="290"/>
      <c r="IMU213" s="260"/>
      <c r="IMV213" s="260"/>
      <c r="IMW213" s="260"/>
      <c r="IMX213" s="260"/>
      <c r="IMY213" s="260"/>
      <c r="IMZ213" s="2"/>
      <c r="INA213" s="2"/>
      <c r="INB213" s="2"/>
      <c r="INC213" s="2"/>
      <c r="IND213" s="2"/>
      <c r="INE213" s="2"/>
      <c r="INF213" s="260"/>
      <c r="ING213" s="2"/>
      <c r="INH213" s="2"/>
      <c r="INI213" s="2"/>
      <c r="INJ213" s="2"/>
      <c r="INK213" s="2"/>
      <c r="INL213" s="2"/>
      <c r="INM213" s="2"/>
      <c r="INN213" s="260"/>
      <c r="INO213" s="260"/>
      <c r="INP213" s="260"/>
      <c r="INQ213" s="380"/>
      <c r="INR213" s="380"/>
      <c r="INS213" s="380"/>
      <c r="INT213" s="2"/>
      <c r="INU213" s="442"/>
      <c r="INV213" s="442"/>
      <c r="INW213" s="443"/>
      <c r="INX213" s="442"/>
      <c r="INY213" s="442"/>
      <c r="INZ213" s="2"/>
      <c r="IOA213" s="2"/>
      <c r="IOB213" s="2"/>
      <c r="IOC213" s="2"/>
      <c r="IOD213" s="260"/>
      <c r="IOE213" s="260"/>
      <c r="IOF213" s="260"/>
      <c r="IOG213" s="260"/>
      <c r="IOH213" s="260"/>
      <c r="IOI213" s="260"/>
      <c r="IOJ213" s="308"/>
      <c r="IOK213" s="290"/>
      <c r="IOL213" s="290"/>
      <c r="IOM213" s="260"/>
      <c r="ION213" s="260"/>
      <c r="IOO213" s="260"/>
      <c r="IOP213" s="260"/>
      <c r="IOQ213" s="260"/>
      <c r="IOR213" s="2"/>
      <c r="IOS213" s="2"/>
      <c r="IOT213" s="2"/>
      <c r="IOU213" s="2"/>
      <c r="IOV213" s="2"/>
      <c r="IOW213" s="2"/>
      <c r="IOX213" s="260"/>
      <c r="IOY213" s="2"/>
      <c r="IOZ213" s="2"/>
      <c r="IPA213" s="2"/>
      <c r="IPB213" s="2"/>
      <c r="IPC213" s="2"/>
      <c r="IPD213" s="2"/>
      <c r="IPE213" s="2"/>
      <c r="IPF213" s="260"/>
      <c r="IPG213" s="260"/>
      <c r="IPH213" s="260"/>
      <c r="IPI213" s="380"/>
      <c r="IPJ213" s="380"/>
      <c r="IPK213" s="380"/>
      <c r="IPL213" s="2"/>
      <c r="IPM213" s="442"/>
      <c r="IPN213" s="442"/>
      <c r="IPO213" s="443"/>
      <c r="IPP213" s="442"/>
      <c r="IPQ213" s="442"/>
      <c r="IPR213" s="2"/>
      <c r="IPS213" s="2"/>
      <c r="IPT213" s="2"/>
      <c r="IPU213" s="2"/>
      <c r="IPV213" s="260"/>
      <c r="IPW213" s="260"/>
      <c r="IPX213" s="260"/>
      <c r="IPY213" s="260"/>
      <c r="IPZ213" s="260"/>
      <c r="IQA213" s="260"/>
      <c r="IQB213" s="308"/>
      <c r="IQC213" s="290"/>
      <c r="IQD213" s="290"/>
      <c r="IQE213" s="260"/>
      <c r="IQF213" s="260"/>
      <c r="IQG213" s="260"/>
      <c r="IQH213" s="260"/>
      <c r="IQI213" s="260"/>
      <c r="IQJ213" s="2"/>
      <c r="IQK213" s="2"/>
      <c r="IQL213" s="2"/>
      <c r="IQM213" s="2"/>
      <c r="IQN213" s="2"/>
      <c r="IQO213" s="2"/>
      <c r="IQP213" s="260"/>
      <c r="IQQ213" s="2"/>
      <c r="IQR213" s="2"/>
      <c r="IQS213" s="2"/>
      <c r="IQT213" s="2"/>
      <c r="IQU213" s="2"/>
      <c r="IQV213" s="2"/>
      <c r="IQW213" s="2"/>
      <c r="IQX213" s="260"/>
      <c r="IQY213" s="260"/>
      <c r="IQZ213" s="260"/>
      <c r="IRA213" s="380"/>
      <c r="IRB213" s="380"/>
      <c r="IRC213" s="380"/>
      <c r="IRD213" s="2"/>
      <c r="IRE213" s="442"/>
      <c r="IRF213" s="442"/>
      <c r="IRG213" s="443"/>
      <c r="IRH213" s="442"/>
      <c r="IRI213" s="442"/>
      <c r="IRJ213" s="2"/>
      <c r="IRK213" s="2"/>
      <c r="IRL213" s="2"/>
      <c r="IRM213" s="2"/>
      <c r="IRN213" s="260"/>
      <c r="IRO213" s="260"/>
      <c r="IRP213" s="260"/>
      <c r="IRQ213" s="260"/>
      <c r="IRR213" s="260"/>
      <c r="IRS213" s="260"/>
      <c r="IRT213" s="308"/>
      <c r="IRU213" s="290"/>
      <c r="IRV213" s="290"/>
      <c r="IRW213" s="260"/>
      <c r="IRX213" s="260"/>
      <c r="IRY213" s="260"/>
      <c r="IRZ213" s="260"/>
      <c r="ISA213" s="260"/>
      <c r="ISB213" s="2"/>
      <c r="ISC213" s="2"/>
      <c r="ISD213" s="2"/>
      <c r="ISE213" s="2"/>
      <c r="ISF213" s="2"/>
      <c r="ISG213" s="2"/>
      <c r="ISH213" s="260"/>
      <c r="ISI213" s="2"/>
      <c r="ISJ213" s="2"/>
      <c r="ISK213" s="2"/>
      <c r="ISL213" s="2"/>
      <c r="ISM213" s="2"/>
      <c r="ISN213" s="2"/>
      <c r="ISO213" s="2"/>
      <c r="ISP213" s="260"/>
      <c r="ISQ213" s="260"/>
      <c r="ISR213" s="260"/>
      <c r="ISS213" s="380"/>
      <c r="IST213" s="380"/>
      <c r="ISU213" s="380"/>
      <c r="ISV213" s="2"/>
      <c r="ISW213" s="442"/>
      <c r="ISX213" s="442"/>
      <c r="ISY213" s="443"/>
      <c r="ISZ213" s="442"/>
      <c r="ITA213" s="442"/>
      <c r="ITB213" s="2"/>
      <c r="ITC213" s="2"/>
      <c r="ITD213" s="2"/>
      <c r="ITE213" s="2"/>
      <c r="ITF213" s="260"/>
      <c r="ITG213" s="260"/>
      <c r="ITH213" s="260"/>
      <c r="ITI213" s="260"/>
      <c r="ITJ213" s="260"/>
      <c r="ITK213" s="260"/>
      <c r="ITL213" s="308"/>
      <c r="ITM213" s="290"/>
      <c r="ITN213" s="290"/>
      <c r="ITO213" s="260"/>
      <c r="ITP213" s="260"/>
      <c r="ITQ213" s="260"/>
      <c r="ITR213" s="260"/>
      <c r="ITS213" s="260"/>
      <c r="ITT213" s="2"/>
      <c r="ITU213" s="2"/>
      <c r="ITV213" s="2"/>
      <c r="ITW213" s="2"/>
      <c r="ITX213" s="2"/>
      <c r="ITY213" s="2"/>
      <c r="ITZ213" s="260"/>
      <c r="IUA213" s="2"/>
      <c r="IUB213" s="2"/>
      <c r="IUC213" s="2"/>
      <c r="IUD213" s="2"/>
      <c r="IUE213" s="2"/>
      <c r="IUF213" s="2"/>
      <c r="IUG213" s="2"/>
      <c r="IUH213" s="260"/>
      <c r="IUI213" s="260"/>
      <c r="IUJ213" s="260"/>
      <c r="IUK213" s="380"/>
      <c r="IUL213" s="380"/>
      <c r="IUM213" s="380"/>
      <c r="IUN213" s="2"/>
      <c r="IUO213" s="442"/>
      <c r="IUP213" s="442"/>
      <c r="IUQ213" s="443"/>
      <c r="IUR213" s="442"/>
      <c r="IUS213" s="442"/>
      <c r="IUT213" s="2"/>
      <c r="IUU213" s="2"/>
      <c r="IUV213" s="2"/>
      <c r="IUW213" s="2"/>
      <c r="IUX213" s="260"/>
      <c r="IUY213" s="260"/>
      <c r="IUZ213" s="260"/>
      <c r="IVA213" s="260"/>
      <c r="IVB213" s="260"/>
      <c r="IVC213" s="260"/>
      <c r="IVD213" s="308"/>
      <c r="IVE213" s="290"/>
      <c r="IVF213" s="290"/>
      <c r="IVG213" s="260"/>
      <c r="IVH213" s="260"/>
      <c r="IVI213" s="260"/>
      <c r="IVJ213" s="260"/>
      <c r="IVK213" s="260"/>
      <c r="IVL213" s="2"/>
      <c r="IVM213" s="2"/>
      <c r="IVN213" s="2"/>
      <c r="IVO213" s="2"/>
      <c r="IVP213" s="2"/>
      <c r="IVQ213" s="2"/>
      <c r="IVR213" s="260"/>
      <c r="IVS213" s="2"/>
      <c r="IVT213" s="2"/>
      <c r="IVU213" s="2"/>
      <c r="IVV213" s="2"/>
      <c r="IVW213" s="2"/>
      <c r="IVX213" s="2"/>
      <c r="IVY213" s="2"/>
      <c r="IVZ213" s="260"/>
      <c r="IWA213" s="260"/>
      <c r="IWB213" s="260"/>
      <c r="IWC213" s="380"/>
      <c r="IWD213" s="380"/>
      <c r="IWE213" s="380"/>
      <c r="IWF213" s="2"/>
      <c r="IWG213" s="442"/>
      <c r="IWH213" s="442"/>
      <c r="IWI213" s="443"/>
      <c r="IWJ213" s="442"/>
      <c r="IWK213" s="442"/>
      <c r="IWL213" s="2"/>
      <c r="IWM213" s="2"/>
      <c r="IWN213" s="2"/>
      <c r="IWO213" s="2"/>
      <c r="IWP213" s="260"/>
      <c r="IWQ213" s="260"/>
      <c r="IWR213" s="260"/>
      <c r="IWS213" s="260"/>
      <c r="IWT213" s="260"/>
      <c r="IWU213" s="260"/>
      <c r="IWV213" s="308"/>
      <c r="IWW213" s="290"/>
      <c r="IWX213" s="290"/>
      <c r="IWY213" s="260"/>
      <c r="IWZ213" s="260"/>
      <c r="IXA213" s="260"/>
      <c r="IXB213" s="260"/>
      <c r="IXC213" s="260"/>
      <c r="IXD213" s="2"/>
      <c r="IXE213" s="2"/>
      <c r="IXF213" s="2"/>
      <c r="IXG213" s="2"/>
      <c r="IXH213" s="2"/>
      <c r="IXI213" s="2"/>
      <c r="IXJ213" s="260"/>
      <c r="IXK213" s="2"/>
      <c r="IXL213" s="2"/>
      <c r="IXM213" s="2"/>
      <c r="IXN213" s="2"/>
      <c r="IXO213" s="2"/>
      <c r="IXP213" s="2"/>
      <c r="IXQ213" s="2"/>
      <c r="IXR213" s="260"/>
      <c r="IXS213" s="260"/>
      <c r="IXT213" s="260"/>
      <c r="IXU213" s="380"/>
      <c r="IXV213" s="380"/>
      <c r="IXW213" s="380"/>
      <c r="IXX213" s="2"/>
      <c r="IXY213" s="442"/>
      <c r="IXZ213" s="442"/>
      <c r="IYA213" s="443"/>
      <c r="IYB213" s="442"/>
      <c r="IYC213" s="442"/>
      <c r="IYD213" s="2"/>
      <c r="IYE213" s="2"/>
      <c r="IYF213" s="2"/>
      <c r="IYG213" s="2"/>
      <c r="IYH213" s="260"/>
      <c r="IYI213" s="260"/>
      <c r="IYJ213" s="260"/>
      <c r="IYK213" s="260"/>
      <c r="IYL213" s="260"/>
      <c r="IYM213" s="260"/>
      <c r="IYN213" s="308"/>
      <c r="IYO213" s="290"/>
      <c r="IYP213" s="290"/>
      <c r="IYQ213" s="260"/>
      <c r="IYR213" s="260"/>
      <c r="IYS213" s="260"/>
      <c r="IYT213" s="260"/>
      <c r="IYU213" s="260"/>
      <c r="IYV213" s="2"/>
      <c r="IYW213" s="2"/>
      <c r="IYX213" s="2"/>
      <c r="IYY213" s="2"/>
      <c r="IYZ213" s="2"/>
      <c r="IZA213" s="2"/>
      <c r="IZB213" s="260"/>
      <c r="IZC213" s="2"/>
      <c r="IZD213" s="2"/>
      <c r="IZE213" s="2"/>
      <c r="IZF213" s="2"/>
      <c r="IZG213" s="2"/>
      <c r="IZH213" s="2"/>
      <c r="IZI213" s="2"/>
      <c r="IZJ213" s="260"/>
      <c r="IZK213" s="260"/>
      <c r="IZL213" s="260"/>
      <c r="IZM213" s="380"/>
      <c r="IZN213" s="380"/>
      <c r="IZO213" s="380"/>
      <c r="IZP213" s="2"/>
      <c r="IZQ213" s="442"/>
      <c r="IZR213" s="442"/>
      <c r="IZS213" s="443"/>
      <c r="IZT213" s="442"/>
      <c r="IZU213" s="442"/>
      <c r="IZV213" s="2"/>
      <c r="IZW213" s="2"/>
      <c r="IZX213" s="2"/>
      <c r="IZY213" s="2"/>
      <c r="IZZ213" s="260"/>
      <c r="JAA213" s="260"/>
      <c r="JAB213" s="260"/>
      <c r="JAC213" s="260"/>
      <c r="JAD213" s="260"/>
      <c r="JAE213" s="260"/>
      <c r="JAF213" s="308"/>
      <c r="JAG213" s="290"/>
      <c r="JAH213" s="290"/>
      <c r="JAI213" s="260"/>
      <c r="JAJ213" s="260"/>
      <c r="JAK213" s="260"/>
      <c r="JAL213" s="260"/>
      <c r="JAM213" s="260"/>
      <c r="JAN213" s="2"/>
      <c r="JAO213" s="2"/>
      <c r="JAP213" s="2"/>
      <c r="JAQ213" s="2"/>
      <c r="JAR213" s="2"/>
      <c r="JAS213" s="2"/>
      <c r="JAT213" s="260"/>
      <c r="JAU213" s="2"/>
      <c r="JAV213" s="2"/>
      <c r="JAW213" s="2"/>
      <c r="JAX213" s="2"/>
      <c r="JAY213" s="2"/>
      <c r="JAZ213" s="2"/>
      <c r="JBA213" s="2"/>
      <c r="JBB213" s="260"/>
      <c r="JBC213" s="260"/>
      <c r="JBD213" s="260"/>
      <c r="JBE213" s="380"/>
      <c r="JBF213" s="380"/>
      <c r="JBG213" s="380"/>
      <c r="JBH213" s="2"/>
      <c r="JBI213" s="442"/>
      <c r="JBJ213" s="442"/>
      <c r="JBK213" s="443"/>
      <c r="JBL213" s="442"/>
      <c r="JBM213" s="442"/>
      <c r="JBN213" s="2"/>
      <c r="JBO213" s="2"/>
      <c r="JBP213" s="2"/>
      <c r="JBQ213" s="2"/>
      <c r="JBR213" s="260"/>
      <c r="JBS213" s="260"/>
      <c r="JBT213" s="260"/>
      <c r="JBU213" s="260"/>
      <c r="JBV213" s="260"/>
      <c r="JBW213" s="260"/>
      <c r="JBX213" s="308"/>
      <c r="JBY213" s="290"/>
      <c r="JBZ213" s="290"/>
      <c r="JCA213" s="260"/>
      <c r="JCB213" s="260"/>
      <c r="JCC213" s="260"/>
      <c r="JCD213" s="260"/>
      <c r="JCE213" s="260"/>
      <c r="JCF213" s="2"/>
      <c r="JCG213" s="2"/>
      <c r="JCH213" s="2"/>
      <c r="JCI213" s="2"/>
      <c r="JCJ213" s="2"/>
      <c r="JCK213" s="2"/>
      <c r="JCL213" s="260"/>
      <c r="JCM213" s="2"/>
      <c r="JCN213" s="2"/>
      <c r="JCO213" s="2"/>
      <c r="JCP213" s="2"/>
      <c r="JCQ213" s="2"/>
      <c r="JCR213" s="2"/>
      <c r="JCS213" s="2"/>
      <c r="JCT213" s="260"/>
      <c r="JCU213" s="260"/>
      <c r="JCV213" s="260"/>
      <c r="JCW213" s="380"/>
      <c r="JCX213" s="380"/>
      <c r="JCY213" s="380"/>
      <c r="JCZ213" s="2"/>
      <c r="JDA213" s="442"/>
      <c r="JDB213" s="442"/>
      <c r="JDC213" s="443"/>
      <c r="JDD213" s="442"/>
      <c r="JDE213" s="442"/>
      <c r="JDF213" s="2"/>
      <c r="JDG213" s="2"/>
      <c r="JDH213" s="2"/>
      <c r="JDI213" s="2"/>
      <c r="JDJ213" s="260"/>
      <c r="JDK213" s="260"/>
      <c r="JDL213" s="260"/>
      <c r="JDM213" s="260"/>
      <c r="JDN213" s="260"/>
      <c r="JDO213" s="260"/>
      <c r="JDP213" s="308"/>
      <c r="JDQ213" s="290"/>
      <c r="JDR213" s="290"/>
      <c r="JDS213" s="260"/>
      <c r="JDT213" s="260"/>
      <c r="JDU213" s="260"/>
      <c r="JDV213" s="260"/>
      <c r="JDW213" s="260"/>
      <c r="JDX213" s="2"/>
      <c r="JDY213" s="2"/>
      <c r="JDZ213" s="2"/>
      <c r="JEA213" s="2"/>
      <c r="JEB213" s="2"/>
      <c r="JEC213" s="2"/>
      <c r="JED213" s="260"/>
      <c r="JEE213" s="2"/>
      <c r="JEF213" s="2"/>
      <c r="JEG213" s="2"/>
      <c r="JEH213" s="2"/>
      <c r="JEI213" s="2"/>
      <c r="JEJ213" s="2"/>
      <c r="JEK213" s="2"/>
      <c r="JEL213" s="260"/>
      <c r="JEM213" s="260"/>
      <c r="JEN213" s="260"/>
      <c r="JEO213" s="380"/>
      <c r="JEP213" s="380"/>
      <c r="JEQ213" s="380"/>
      <c r="JER213" s="2"/>
      <c r="JES213" s="442"/>
      <c r="JET213" s="442"/>
      <c r="JEU213" s="443"/>
      <c r="JEV213" s="442"/>
      <c r="JEW213" s="442"/>
      <c r="JEX213" s="2"/>
      <c r="JEY213" s="2"/>
      <c r="JEZ213" s="2"/>
      <c r="JFA213" s="2"/>
      <c r="JFB213" s="260"/>
      <c r="JFC213" s="260"/>
      <c r="JFD213" s="260"/>
      <c r="JFE213" s="260"/>
      <c r="JFF213" s="260"/>
      <c r="JFG213" s="260"/>
      <c r="JFH213" s="308"/>
      <c r="JFI213" s="290"/>
      <c r="JFJ213" s="290"/>
      <c r="JFK213" s="260"/>
      <c r="JFL213" s="260"/>
      <c r="JFM213" s="260"/>
      <c r="JFN213" s="260"/>
      <c r="JFO213" s="260"/>
      <c r="JFP213" s="2"/>
      <c r="JFQ213" s="2"/>
      <c r="JFR213" s="2"/>
      <c r="JFS213" s="2"/>
      <c r="JFT213" s="2"/>
      <c r="JFU213" s="2"/>
      <c r="JFV213" s="260"/>
      <c r="JFW213" s="2"/>
      <c r="JFX213" s="2"/>
      <c r="JFY213" s="2"/>
      <c r="JFZ213" s="2"/>
      <c r="JGA213" s="2"/>
      <c r="JGB213" s="2"/>
      <c r="JGC213" s="2"/>
      <c r="JGD213" s="260"/>
      <c r="JGE213" s="260"/>
      <c r="JGF213" s="260"/>
      <c r="JGG213" s="380"/>
      <c r="JGH213" s="380"/>
      <c r="JGI213" s="380"/>
      <c r="JGJ213" s="2"/>
      <c r="JGK213" s="442"/>
      <c r="JGL213" s="442"/>
      <c r="JGM213" s="443"/>
      <c r="JGN213" s="442"/>
      <c r="JGO213" s="442"/>
      <c r="JGP213" s="2"/>
      <c r="JGQ213" s="2"/>
      <c r="JGR213" s="2"/>
      <c r="JGS213" s="2"/>
      <c r="JGT213" s="260"/>
      <c r="JGU213" s="260"/>
      <c r="JGV213" s="260"/>
      <c r="JGW213" s="260"/>
      <c r="JGX213" s="260"/>
      <c r="JGY213" s="260"/>
      <c r="JGZ213" s="308"/>
      <c r="JHA213" s="290"/>
      <c r="JHB213" s="290"/>
      <c r="JHC213" s="260"/>
      <c r="JHD213" s="260"/>
      <c r="JHE213" s="260"/>
      <c r="JHF213" s="260"/>
      <c r="JHG213" s="260"/>
      <c r="JHH213" s="2"/>
      <c r="JHI213" s="2"/>
      <c r="JHJ213" s="2"/>
      <c r="JHK213" s="2"/>
      <c r="JHL213" s="2"/>
      <c r="JHM213" s="2"/>
      <c r="JHN213" s="260"/>
      <c r="JHO213" s="2"/>
      <c r="JHP213" s="2"/>
      <c r="JHQ213" s="2"/>
      <c r="JHR213" s="2"/>
      <c r="JHS213" s="2"/>
      <c r="JHT213" s="2"/>
      <c r="JHU213" s="2"/>
      <c r="JHV213" s="260"/>
      <c r="JHW213" s="260"/>
      <c r="JHX213" s="260"/>
      <c r="JHY213" s="380"/>
      <c r="JHZ213" s="380"/>
      <c r="JIA213" s="380"/>
      <c r="JIB213" s="2"/>
      <c r="JIC213" s="442"/>
      <c r="JID213" s="442"/>
      <c r="JIE213" s="443"/>
      <c r="JIF213" s="442"/>
      <c r="JIG213" s="442"/>
      <c r="JIH213" s="2"/>
      <c r="JII213" s="2"/>
      <c r="JIJ213" s="2"/>
      <c r="JIK213" s="2"/>
      <c r="JIL213" s="260"/>
      <c r="JIM213" s="260"/>
      <c r="JIN213" s="260"/>
      <c r="JIO213" s="260"/>
      <c r="JIP213" s="260"/>
      <c r="JIQ213" s="260"/>
      <c r="JIR213" s="308"/>
      <c r="JIS213" s="290"/>
      <c r="JIT213" s="290"/>
      <c r="JIU213" s="260"/>
      <c r="JIV213" s="260"/>
      <c r="JIW213" s="260"/>
      <c r="JIX213" s="260"/>
      <c r="JIY213" s="260"/>
      <c r="JIZ213" s="2"/>
      <c r="JJA213" s="2"/>
      <c r="JJB213" s="2"/>
      <c r="JJC213" s="2"/>
      <c r="JJD213" s="2"/>
      <c r="JJE213" s="2"/>
      <c r="JJF213" s="260"/>
      <c r="JJG213" s="2"/>
      <c r="JJH213" s="2"/>
      <c r="JJI213" s="2"/>
      <c r="JJJ213" s="2"/>
      <c r="JJK213" s="2"/>
      <c r="JJL213" s="2"/>
      <c r="JJM213" s="2"/>
      <c r="JJN213" s="260"/>
      <c r="JJO213" s="260"/>
      <c r="JJP213" s="260"/>
      <c r="JJQ213" s="380"/>
      <c r="JJR213" s="380"/>
      <c r="JJS213" s="380"/>
      <c r="JJT213" s="2"/>
      <c r="JJU213" s="442"/>
      <c r="JJV213" s="442"/>
      <c r="JJW213" s="443"/>
      <c r="JJX213" s="442"/>
      <c r="JJY213" s="442"/>
      <c r="JJZ213" s="2"/>
      <c r="JKA213" s="2"/>
      <c r="JKB213" s="2"/>
      <c r="JKC213" s="2"/>
      <c r="JKD213" s="260"/>
      <c r="JKE213" s="260"/>
      <c r="JKF213" s="260"/>
      <c r="JKG213" s="260"/>
      <c r="JKH213" s="260"/>
      <c r="JKI213" s="260"/>
      <c r="JKJ213" s="308"/>
      <c r="JKK213" s="290"/>
      <c r="JKL213" s="290"/>
      <c r="JKM213" s="260"/>
      <c r="JKN213" s="260"/>
      <c r="JKO213" s="260"/>
      <c r="JKP213" s="260"/>
      <c r="JKQ213" s="260"/>
      <c r="JKR213" s="2"/>
      <c r="JKS213" s="2"/>
      <c r="JKT213" s="2"/>
      <c r="JKU213" s="2"/>
      <c r="JKV213" s="2"/>
      <c r="JKW213" s="2"/>
      <c r="JKX213" s="260"/>
      <c r="JKY213" s="2"/>
      <c r="JKZ213" s="2"/>
      <c r="JLA213" s="2"/>
      <c r="JLB213" s="2"/>
      <c r="JLC213" s="2"/>
      <c r="JLD213" s="2"/>
      <c r="JLE213" s="2"/>
      <c r="JLF213" s="260"/>
      <c r="JLG213" s="260"/>
      <c r="JLH213" s="260"/>
      <c r="JLI213" s="380"/>
      <c r="JLJ213" s="380"/>
      <c r="JLK213" s="380"/>
      <c r="JLL213" s="2"/>
      <c r="JLM213" s="442"/>
      <c r="JLN213" s="442"/>
      <c r="JLO213" s="443"/>
      <c r="JLP213" s="442"/>
      <c r="JLQ213" s="442"/>
      <c r="JLR213" s="2"/>
      <c r="JLS213" s="2"/>
      <c r="JLT213" s="2"/>
      <c r="JLU213" s="2"/>
      <c r="JLV213" s="260"/>
      <c r="JLW213" s="260"/>
      <c r="JLX213" s="260"/>
      <c r="JLY213" s="260"/>
      <c r="JLZ213" s="260"/>
      <c r="JMA213" s="260"/>
      <c r="JMB213" s="308"/>
      <c r="JMC213" s="290"/>
      <c r="JMD213" s="290"/>
      <c r="JME213" s="260"/>
      <c r="JMF213" s="260"/>
      <c r="JMG213" s="260"/>
      <c r="JMH213" s="260"/>
      <c r="JMI213" s="260"/>
      <c r="JMJ213" s="2"/>
      <c r="JMK213" s="2"/>
      <c r="JML213" s="2"/>
      <c r="JMM213" s="2"/>
      <c r="JMN213" s="2"/>
      <c r="JMO213" s="2"/>
      <c r="JMP213" s="260"/>
      <c r="JMQ213" s="2"/>
      <c r="JMR213" s="2"/>
      <c r="JMS213" s="2"/>
      <c r="JMT213" s="2"/>
      <c r="JMU213" s="2"/>
      <c r="JMV213" s="2"/>
      <c r="JMW213" s="2"/>
      <c r="JMX213" s="260"/>
      <c r="JMY213" s="260"/>
      <c r="JMZ213" s="260"/>
      <c r="JNA213" s="380"/>
      <c r="JNB213" s="380"/>
      <c r="JNC213" s="380"/>
      <c r="JND213" s="2"/>
      <c r="JNE213" s="442"/>
      <c r="JNF213" s="442"/>
      <c r="JNG213" s="443"/>
      <c r="JNH213" s="442"/>
      <c r="JNI213" s="442"/>
      <c r="JNJ213" s="2"/>
      <c r="JNK213" s="2"/>
      <c r="JNL213" s="2"/>
      <c r="JNM213" s="2"/>
      <c r="JNN213" s="260"/>
      <c r="JNO213" s="260"/>
      <c r="JNP213" s="260"/>
      <c r="JNQ213" s="260"/>
      <c r="JNR213" s="260"/>
      <c r="JNS213" s="260"/>
      <c r="JNT213" s="308"/>
      <c r="JNU213" s="290"/>
      <c r="JNV213" s="290"/>
      <c r="JNW213" s="260"/>
      <c r="JNX213" s="260"/>
      <c r="JNY213" s="260"/>
      <c r="JNZ213" s="260"/>
      <c r="JOA213" s="260"/>
      <c r="JOB213" s="2"/>
      <c r="JOC213" s="2"/>
      <c r="JOD213" s="2"/>
      <c r="JOE213" s="2"/>
      <c r="JOF213" s="2"/>
      <c r="JOG213" s="2"/>
      <c r="JOH213" s="260"/>
      <c r="JOI213" s="2"/>
      <c r="JOJ213" s="2"/>
      <c r="JOK213" s="2"/>
      <c r="JOL213" s="2"/>
      <c r="JOM213" s="2"/>
      <c r="JON213" s="2"/>
      <c r="JOO213" s="2"/>
      <c r="JOP213" s="260"/>
      <c r="JOQ213" s="260"/>
      <c r="JOR213" s="260"/>
      <c r="JOS213" s="380"/>
      <c r="JOT213" s="380"/>
      <c r="JOU213" s="380"/>
      <c r="JOV213" s="2"/>
      <c r="JOW213" s="442"/>
      <c r="JOX213" s="442"/>
      <c r="JOY213" s="443"/>
      <c r="JOZ213" s="442"/>
      <c r="JPA213" s="442"/>
      <c r="JPB213" s="2"/>
      <c r="JPC213" s="2"/>
      <c r="JPD213" s="2"/>
      <c r="JPE213" s="2"/>
      <c r="JPF213" s="260"/>
      <c r="JPG213" s="260"/>
      <c r="JPH213" s="260"/>
      <c r="JPI213" s="260"/>
      <c r="JPJ213" s="260"/>
      <c r="JPK213" s="260"/>
      <c r="JPL213" s="308"/>
      <c r="JPM213" s="290"/>
      <c r="JPN213" s="290"/>
      <c r="JPO213" s="260"/>
      <c r="JPP213" s="260"/>
      <c r="JPQ213" s="260"/>
      <c r="JPR213" s="260"/>
      <c r="JPS213" s="260"/>
      <c r="JPT213" s="2"/>
      <c r="JPU213" s="2"/>
      <c r="JPV213" s="2"/>
      <c r="JPW213" s="2"/>
      <c r="JPX213" s="2"/>
      <c r="JPY213" s="2"/>
      <c r="JPZ213" s="260"/>
      <c r="JQA213" s="2"/>
      <c r="JQB213" s="2"/>
      <c r="JQC213" s="2"/>
      <c r="JQD213" s="2"/>
      <c r="JQE213" s="2"/>
      <c r="JQF213" s="2"/>
      <c r="JQG213" s="2"/>
      <c r="JQH213" s="260"/>
      <c r="JQI213" s="260"/>
      <c r="JQJ213" s="260"/>
      <c r="JQK213" s="380"/>
      <c r="JQL213" s="380"/>
      <c r="JQM213" s="380"/>
      <c r="JQN213" s="2"/>
      <c r="JQO213" s="442"/>
      <c r="JQP213" s="442"/>
      <c r="JQQ213" s="443"/>
      <c r="JQR213" s="442"/>
      <c r="JQS213" s="442"/>
      <c r="JQT213" s="2"/>
      <c r="JQU213" s="2"/>
      <c r="JQV213" s="2"/>
      <c r="JQW213" s="2"/>
      <c r="JQX213" s="260"/>
      <c r="JQY213" s="260"/>
      <c r="JQZ213" s="260"/>
      <c r="JRA213" s="260"/>
      <c r="JRB213" s="260"/>
      <c r="JRC213" s="260"/>
      <c r="JRD213" s="308"/>
      <c r="JRE213" s="290"/>
      <c r="JRF213" s="290"/>
      <c r="JRG213" s="260"/>
      <c r="JRH213" s="260"/>
      <c r="JRI213" s="260"/>
      <c r="JRJ213" s="260"/>
      <c r="JRK213" s="260"/>
      <c r="JRL213" s="2"/>
      <c r="JRM213" s="2"/>
      <c r="JRN213" s="2"/>
      <c r="JRO213" s="2"/>
      <c r="JRP213" s="2"/>
      <c r="JRQ213" s="2"/>
      <c r="JRR213" s="260"/>
      <c r="JRS213" s="2"/>
      <c r="JRT213" s="2"/>
      <c r="JRU213" s="2"/>
      <c r="JRV213" s="2"/>
      <c r="JRW213" s="2"/>
      <c r="JRX213" s="2"/>
      <c r="JRY213" s="2"/>
      <c r="JRZ213" s="260"/>
      <c r="JSA213" s="260"/>
      <c r="JSB213" s="260"/>
      <c r="JSC213" s="380"/>
      <c r="JSD213" s="380"/>
      <c r="JSE213" s="380"/>
      <c r="JSF213" s="2"/>
      <c r="JSG213" s="442"/>
      <c r="JSH213" s="442"/>
      <c r="JSI213" s="443"/>
      <c r="JSJ213" s="442"/>
      <c r="JSK213" s="442"/>
      <c r="JSL213" s="2"/>
      <c r="JSM213" s="2"/>
      <c r="JSN213" s="2"/>
      <c r="JSO213" s="2"/>
      <c r="JSP213" s="260"/>
      <c r="JSQ213" s="260"/>
      <c r="JSR213" s="260"/>
      <c r="JSS213" s="260"/>
      <c r="JST213" s="260"/>
      <c r="JSU213" s="260"/>
      <c r="JSV213" s="308"/>
      <c r="JSW213" s="290"/>
      <c r="JSX213" s="290"/>
      <c r="JSY213" s="260"/>
      <c r="JSZ213" s="260"/>
      <c r="JTA213" s="260"/>
      <c r="JTB213" s="260"/>
      <c r="JTC213" s="260"/>
      <c r="JTD213" s="2"/>
      <c r="JTE213" s="2"/>
      <c r="JTF213" s="2"/>
      <c r="JTG213" s="2"/>
      <c r="JTH213" s="2"/>
      <c r="JTI213" s="2"/>
      <c r="JTJ213" s="260"/>
      <c r="JTK213" s="2"/>
      <c r="JTL213" s="2"/>
      <c r="JTM213" s="2"/>
      <c r="JTN213" s="2"/>
      <c r="JTO213" s="2"/>
      <c r="JTP213" s="2"/>
      <c r="JTQ213" s="2"/>
      <c r="JTR213" s="260"/>
      <c r="JTS213" s="260"/>
      <c r="JTT213" s="260"/>
      <c r="JTU213" s="380"/>
      <c r="JTV213" s="380"/>
      <c r="JTW213" s="380"/>
      <c r="JTX213" s="2"/>
      <c r="JTY213" s="442"/>
      <c r="JTZ213" s="442"/>
      <c r="JUA213" s="443"/>
      <c r="JUB213" s="442"/>
      <c r="JUC213" s="442"/>
      <c r="JUD213" s="2"/>
      <c r="JUE213" s="2"/>
      <c r="JUF213" s="2"/>
      <c r="JUG213" s="2"/>
      <c r="JUH213" s="260"/>
      <c r="JUI213" s="260"/>
      <c r="JUJ213" s="260"/>
      <c r="JUK213" s="260"/>
      <c r="JUL213" s="260"/>
      <c r="JUM213" s="260"/>
      <c r="JUN213" s="308"/>
      <c r="JUO213" s="290"/>
      <c r="JUP213" s="290"/>
      <c r="JUQ213" s="260"/>
      <c r="JUR213" s="260"/>
      <c r="JUS213" s="260"/>
      <c r="JUT213" s="260"/>
      <c r="JUU213" s="260"/>
      <c r="JUV213" s="2"/>
      <c r="JUW213" s="2"/>
      <c r="JUX213" s="2"/>
      <c r="JUY213" s="2"/>
      <c r="JUZ213" s="2"/>
      <c r="JVA213" s="2"/>
      <c r="JVB213" s="260"/>
      <c r="JVC213" s="2"/>
      <c r="JVD213" s="2"/>
      <c r="JVE213" s="2"/>
      <c r="JVF213" s="2"/>
      <c r="JVG213" s="2"/>
      <c r="JVH213" s="2"/>
      <c r="JVI213" s="2"/>
      <c r="JVJ213" s="260"/>
      <c r="JVK213" s="260"/>
      <c r="JVL213" s="260"/>
      <c r="JVM213" s="380"/>
      <c r="JVN213" s="380"/>
      <c r="JVO213" s="380"/>
      <c r="JVP213" s="2"/>
      <c r="JVQ213" s="442"/>
      <c r="JVR213" s="442"/>
      <c r="JVS213" s="443"/>
      <c r="JVT213" s="442"/>
      <c r="JVU213" s="442"/>
      <c r="JVV213" s="2"/>
      <c r="JVW213" s="2"/>
      <c r="JVX213" s="2"/>
      <c r="JVY213" s="2"/>
      <c r="JVZ213" s="260"/>
      <c r="JWA213" s="260"/>
      <c r="JWB213" s="260"/>
      <c r="JWC213" s="260"/>
      <c r="JWD213" s="260"/>
      <c r="JWE213" s="260"/>
      <c r="JWF213" s="308"/>
      <c r="JWG213" s="290"/>
      <c r="JWH213" s="290"/>
      <c r="JWI213" s="260"/>
      <c r="JWJ213" s="260"/>
      <c r="JWK213" s="260"/>
      <c r="JWL213" s="260"/>
      <c r="JWM213" s="260"/>
      <c r="JWN213" s="2"/>
      <c r="JWO213" s="2"/>
      <c r="JWP213" s="2"/>
      <c r="JWQ213" s="2"/>
      <c r="JWR213" s="2"/>
      <c r="JWS213" s="2"/>
      <c r="JWT213" s="260"/>
      <c r="JWU213" s="2"/>
      <c r="JWV213" s="2"/>
      <c r="JWW213" s="2"/>
      <c r="JWX213" s="2"/>
      <c r="JWY213" s="2"/>
      <c r="JWZ213" s="2"/>
      <c r="JXA213" s="2"/>
      <c r="JXB213" s="260"/>
      <c r="JXC213" s="260"/>
      <c r="JXD213" s="260"/>
      <c r="JXE213" s="380"/>
      <c r="JXF213" s="380"/>
      <c r="JXG213" s="380"/>
      <c r="JXH213" s="2"/>
      <c r="JXI213" s="442"/>
      <c r="JXJ213" s="442"/>
      <c r="JXK213" s="443"/>
      <c r="JXL213" s="442"/>
      <c r="JXM213" s="442"/>
      <c r="JXN213" s="2"/>
      <c r="JXO213" s="2"/>
      <c r="JXP213" s="2"/>
      <c r="JXQ213" s="2"/>
      <c r="JXR213" s="260"/>
      <c r="JXS213" s="260"/>
      <c r="JXT213" s="260"/>
      <c r="JXU213" s="260"/>
      <c r="JXV213" s="260"/>
      <c r="JXW213" s="260"/>
      <c r="JXX213" s="308"/>
      <c r="JXY213" s="290"/>
      <c r="JXZ213" s="290"/>
      <c r="JYA213" s="260"/>
      <c r="JYB213" s="260"/>
      <c r="JYC213" s="260"/>
      <c r="JYD213" s="260"/>
      <c r="JYE213" s="260"/>
      <c r="JYF213" s="2"/>
      <c r="JYG213" s="2"/>
      <c r="JYH213" s="2"/>
      <c r="JYI213" s="2"/>
      <c r="JYJ213" s="2"/>
      <c r="JYK213" s="2"/>
      <c r="JYL213" s="260"/>
      <c r="JYM213" s="2"/>
      <c r="JYN213" s="2"/>
      <c r="JYO213" s="2"/>
      <c r="JYP213" s="2"/>
      <c r="JYQ213" s="2"/>
      <c r="JYR213" s="2"/>
      <c r="JYS213" s="2"/>
      <c r="JYT213" s="260"/>
      <c r="JYU213" s="260"/>
      <c r="JYV213" s="260"/>
      <c r="JYW213" s="380"/>
      <c r="JYX213" s="380"/>
      <c r="JYY213" s="380"/>
      <c r="JYZ213" s="2"/>
      <c r="JZA213" s="442"/>
      <c r="JZB213" s="442"/>
      <c r="JZC213" s="443"/>
      <c r="JZD213" s="442"/>
      <c r="JZE213" s="442"/>
      <c r="JZF213" s="2"/>
      <c r="JZG213" s="2"/>
      <c r="JZH213" s="2"/>
      <c r="JZI213" s="2"/>
      <c r="JZJ213" s="260"/>
      <c r="JZK213" s="260"/>
      <c r="JZL213" s="260"/>
      <c r="JZM213" s="260"/>
      <c r="JZN213" s="260"/>
      <c r="JZO213" s="260"/>
      <c r="JZP213" s="308"/>
      <c r="JZQ213" s="290"/>
      <c r="JZR213" s="290"/>
      <c r="JZS213" s="260"/>
      <c r="JZT213" s="260"/>
      <c r="JZU213" s="260"/>
      <c r="JZV213" s="260"/>
      <c r="JZW213" s="260"/>
      <c r="JZX213" s="2"/>
      <c r="JZY213" s="2"/>
      <c r="JZZ213" s="2"/>
      <c r="KAA213" s="2"/>
      <c r="KAB213" s="2"/>
      <c r="KAC213" s="2"/>
      <c r="KAD213" s="260"/>
      <c r="KAE213" s="2"/>
      <c r="KAF213" s="2"/>
      <c r="KAG213" s="2"/>
      <c r="KAH213" s="2"/>
      <c r="KAI213" s="2"/>
      <c r="KAJ213" s="2"/>
      <c r="KAK213" s="2"/>
      <c r="KAL213" s="260"/>
      <c r="KAM213" s="260"/>
      <c r="KAN213" s="260"/>
      <c r="KAO213" s="380"/>
      <c r="KAP213" s="380"/>
      <c r="KAQ213" s="380"/>
      <c r="KAR213" s="2"/>
      <c r="KAS213" s="442"/>
      <c r="KAT213" s="442"/>
      <c r="KAU213" s="443"/>
      <c r="KAV213" s="442"/>
      <c r="KAW213" s="442"/>
      <c r="KAX213" s="2"/>
      <c r="KAY213" s="2"/>
      <c r="KAZ213" s="2"/>
      <c r="KBA213" s="2"/>
      <c r="KBB213" s="260"/>
      <c r="KBC213" s="260"/>
      <c r="KBD213" s="260"/>
      <c r="KBE213" s="260"/>
      <c r="KBF213" s="260"/>
      <c r="KBG213" s="260"/>
      <c r="KBH213" s="308"/>
      <c r="KBI213" s="290"/>
      <c r="KBJ213" s="290"/>
      <c r="KBK213" s="260"/>
      <c r="KBL213" s="260"/>
      <c r="KBM213" s="260"/>
      <c r="KBN213" s="260"/>
      <c r="KBO213" s="260"/>
      <c r="KBP213" s="2"/>
      <c r="KBQ213" s="2"/>
      <c r="KBR213" s="2"/>
      <c r="KBS213" s="2"/>
      <c r="KBT213" s="2"/>
      <c r="KBU213" s="2"/>
      <c r="KBV213" s="260"/>
      <c r="KBW213" s="2"/>
      <c r="KBX213" s="2"/>
      <c r="KBY213" s="2"/>
      <c r="KBZ213" s="2"/>
      <c r="KCA213" s="2"/>
      <c r="KCB213" s="2"/>
      <c r="KCC213" s="2"/>
      <c r="KCD213" s="260"/>
      <c r="KCE213" s="260"/>
      <c r="KCF213" s="260"/>
      <c r="KCG213" s="380"/>
      <c r="KCH213" s="380"/>
      <c r="KCI213" s="380"/>
      <c r="KCJ213" s="2"/>
      <c r="KCK213" s="442"/>
      <c r="KCL213" s="442"/>
      <c r="KCM213" s="443"/>
      <c r="KCN213" s="442"/>
      <c r="KCO213" s="442"/>
      <c r="KCP213" s="2"/>
      <c r="KCQ213" s="2"/>
      <c r="KCR213" s="2"/>
      <c r="KCS213" s="2"/>
      <c r="KCT213" s="260"/>
      <c r="KCU213" s="260"/>
      <c r="KCV213" s="260"/>
      <c r="KCW213" s="260"/>
      <c r="KCX213" s="260"/>
      <c r="KCY213" s="260"/>
      <c r="KCZ213" s="308"/>
      <c r="KDA213" s="290"/>
      <c r="KDB213" s="290"/>
      <c r="KDC213" s="260"/>
      <c r="KDD213" s="260"/>
      <c r="KDE213" s="260"/>
      <c r="KDF213" s="260"/>
      <c r="KDG213" s="260"/>
      <c r="KDH213" s="2"/>
      <c r="KDI213" s="2"/>
      <c r="KDJ213" s="2"/>
      <c r="KDK213" s="2"/>
      <c r="KDL213" s="2"/>
      <c r="KDM213" s="2"/>
      <c r="KDN213" s="260"/>
      <c r="KDO213" s="2"/>
      <c r="KDP213" s="2"/>
      <c r="KDQ213" s="2"/>
      <c r="KDR213" s="2"/>
      <c r="KDS213" s="2"/>
      <c r="KDT213" s="2"/>
      <c r="KDU213" s="2"/>
      <c r="KDV213" s="260"/>
      <c r="KDW213" s="260"/>
      <c r="KDX213" s="260"/>
      <c r="KDY213" s="380"/>
      <c r="KDZ213" s="380"/>
      <c r="KEA213" s="380"/>
      <c r="KEB213" s="2"/>
      <c r="KEC213" s="442"/>
      <c r="KED213" s="442"/>
      <c r="KEE213" s="443"/>
      <c r="KEF213" s="442"/>
      <c r="KEG213" s="442"/>
      <c r="KEH213" s="2"/>
      <c r="KEI213" s="2"/>
      <c r="KEJ213" s="2"/>
      <c r="KEK213" s="2"/>
      <c r="KEL213" s="260"/>
      <c r="KEM213" s="260"/>
      <c r="KEN213" s="260"/>
      <c r="KEO213" s="260"/>
      <c r="KEP213" s="260"/>
      <c r="KEQ213" s="260"/>
      <c r="KER213" s="308"/>
      <c r="KES213" s="290"/>
      <c r="KET213" s="290"/>
      <c r="KEU213" s="260"/>
      <c r="KEV213" s="260"/>
      <c r="KEW213" s="260"/>
      <c r="KEX213" s="260"/>
      <c r="KEY213" s="260"/>
      <c r="KEZ213" s="2"/>
      <c r="KFA213" s="2"/>
      <c r="KFB213" s="2"/>
      <c r="KFC213" s="2"/>
      <c r="KFD213" s="2"/>
      <c r="KFE213" s="2"/>
      <c r="KFF213" s="260"/>
      <c r="KFG213" s="2"/>
      <c r="KFH213" s="2"/>
      <c r="KFI213" s="2"/>
      <c r="KFJ213" s="2"/>
      <c r="KFK213" s="2"/>
      <c r="KFL213" s="2"/>
      <c r="KFM213" s="2"/>
      <c r="KFN213" s="260"/>
      <c r="KFO213" s="260"/>
      <c r="KFP213" s="260"/>
      <c r="KFQ213" s="380"/>
      <c r="KFR213" s="380"/>
      <c r="KFS213" s="380"/>
      <c r="KFT213" s="2"/>
      <c r="KFU213" s="442"/>
      <c r="KFV213" s="442"/>
      <c r="KFW213" s="443"/>
      <c r="KFX213" s="442"/>
      <c r="KFY213" s="442"/>
      <c r="KFZ213" s="2"/>
      <c r="KGA213" s="2"/>
      <c r="KGB213" s="2"/>
      <c r="KGC213" s="2"/>
      <c r="KGD213" s="260"/>
      <c r="KGE213" s="260"/>
      <c r="KGF213" s="260"/>
      <c r="KGG213" s="260"/>
      <c r="KGH213" s="260"/>
      <c r="KGI213" s="260"/>
      <c r="KGJ213" s="308"/>
      <c r="KGK213" s="290"/>
      <c r="KGL213" s="290"/>
      <c r="KGM213" s="260"/>
      <c r="KGN213" s="260"/>
      <c r="KGO213" s="260"/>
      <c r="KGP213" s="260"/>
      <c r="KGQ213" s="260"/>
      <c r="KGR213" s="2"/>
      <c r="KGS213" s="2"/>
      <c r="KGT213" s="2"/>
      <c r="KGU213" s="2"/>
      <c r="KGV213" s="2"/>
      <c r="KGW213" s="2"/>
      <c r="KGX213" s="260"/>
      <c r="KGY213" s="2"/>
      <c r="KGZ213" s="2"/>
      <c r="KHA213" s="2"/>
      <c r="KHB213" s="2"/>
      <c r="KHC213" s="2"/>
      <c r="KHD213" s="2"/>
      <c r="KHE213" s="2"/>
      <c r="KHF213" s="260"/>
      <c r="KHG213" s="260"/>
      <c r="KHH213" s="260"/>
      <c r="KHI213" s="380"/>
      <c r="KHJ213" s="380"/>
      <c r="KHK213" s="380"/>
      <c r="KHL213" s="2"/>
      <c r="KHM213" s="442"/>
      <c r="KHN213" s="442"/>
      <c r="KHO213" s="443"/>
      <c r="KHP213" s="442"/>
      <c r="KHQ213" s="442"/>
      <c r="KHR213" s="2"/>
      <c r="KHS213" s="2"/>
      <c r="KHT213" s="2"/>
      <c r="KHU213" s="2"/>
      <c r="KHV213" s="260"/>
      <c r="KHW213" s="260"/>
      <c r="KHX213" s="260"/>
      <c r="KHY213" s="260"/>
      <c r="KHZ213" s="260"/>
      <c r="KIA213" s="260"/>
      <c r="KIB213" s="308"/>
      <c r="KIC213" s="290"/>
      <c r="KID213" s="290"/>
      <c r="KIE213" s="260"/>
      <c r="KIF213" s="260"/>
      <c r="KIG213" s="260"/>
      <c r="KIH213" s="260"/>
      <c r="KII213" s="260"/>
      <c r="KIJ213" s="2"/>
      <c r="KIK213" s="2"/>
      <c r="KIL213" s="2"/>
      <c r="KIM213" s="2"/>
      <c r="KIN213" s="2"/>
      <c r="KIO213" s="2"/>
      <c r="KIP213" s="260"/>
      <c r="KIQ213" s="2"/>
      <c r="KIR213" s="2"/>
      <c r="KIS213" s="2"/>
      <c r="KIT213" s="2"/>
      <c r="KIU213" s="2"/>
      <c r="KIV213" s="2"/>
      <c r="KIW213" s="2"/>
      <c r="KIX213" s="260"/>
      <c r="KIY213" s="260"/>
      <c r="KIZ213" s="260"/>
      <c r="KJA213" s="380"/>
      <c r="KJB213" s="380"/>
      <c r="KJC213" s="380"/>
      <c r="KJD213" s="2"/>
      <c r="KJE213" s="442"/>
      <c r="KJF213" s="442"/>
      <c r="KJG213" s="443"/>
      <c r="KJH213" s="442"/>
      <c r="KJI213" s="442"/>
      <c r="KJJ213" s="2"/>
      <c r="KJK213" s="2"/>
      <c r="KJL213" s="2"/>
      <c r="KJM213" s="2"/>
      <c r="KJN213" s="260"/>
      <c r="KJO213" s="260"/>
      <c r="KJP213" s="260"/>
      <c r="KJQ213" s="260"/>
      <c r="KJR213" s="260"/>
      <c r="KJS213" s="260"/>
      <c r="KJT213" s="308"/>
      <c r="KJU213" s="290"/>
      <c r="KJV213" s="290"/>
      <c r="KJW213" s="260"/>
      <c r="KJX213" s="260"/>
      <c r="KJY213" s="260"/>
      <c r="KJZ213" s="260"/>
      <c r="KKA213" s="260"/>
      <c r="KKB213" s="2"/>
      <c r="KKC213" s="2"/>
      <c r="KKD213" s="2"/>
      <c r="KKE213" s="2"/>
      <c r="KKF213" s="2"/>
      <c r="KKG213" s="2"/>
      <c r="KKH213" s="260"/>
      <c r="KKI213" s="2"/>
      <c r="KKJ213" s="2"/>
      <c r="KKK213" s="2"/>
      <c r="KKL213" s="2"/>
      <c r="KKM213" s="2"/>
      <c r="KKN213" s="2"/>
      <c r="KKO213" s="2"/>
      <c r="KKP213" s="260"/>
      <c r="KKQ213" s="260"/>
      <c r="KKR213" s="260"/>
      <c r="KKS213" s="380"/>
      <c r="KKT213" s="380"/>
      <c r="KKU213" s="380"/>
      <c r="KKV213" s="2"/>
      <c r="KKW213" s="442"/>
      <c r="KKX213" s="442"/>
      <c r="KKY213" s="443"/>
      <c r="KKZ213" s="442"/>
      <c r="KLA213" s="442"/>
      <c r="KLB213" s="2"/>
      <c r="KLC213" s="2"/>
      <c r="KLD213" s="2"/>
      <c r="KLE213" s="2"/>
      <c r="KLF213" s="260"/>
      <c r="KLG213" s="260"/>
      <c r="KLH213" s="260"/>
      <c r="KLI213" s="260"/>
      <c r="KLJ213" s="260"/>
      <c r="KLK213" s="260"/>
      <c r="KLL213" s="308"/>
      <c r="KLM213" s="290"/>
      <c r="KLN213" s="290"/>
      <c r="KLO213" s="260"/>
      <c r="KLP213" s="260"/>
      <c r="KLQ213" s="260"/>
      <c r="KLR213" s="260"/>
      <c r="KLS213" s="260"/>
      <c r="KLT213" s="2"/>
      <c r="KLU213" s="2"/>
      <c r="KLV213" s="2"/>
      <c r="KLW213" s="2"/>
      <c r="KLX213" s="2"/>
      <c r="KLY213" s="2"/>
      <c r="KLZ213" s="260"/>
      <c r="KMA213" s="2"/>
      <c r="KMB213" s="2"/>
      <c r="KMC213" s="2"/>
      <c r="KMD213" s="2"/>
      <c r="KME213" s="2"/>
      <c r="KMF213" s="2"/>
      <c r="KMG213" s="2"/>
      <c r="KMH213" s="260"/>
      <c r="KMI213" s="260"/>
      <c r="KMJ213" s="260"/>
      <c r="KMK213" s="380"/>
      <c r="KML213" s="380"/>
      <c r="KMM213" s="380"/>
      <c r="KMN213" s="2"/>
      <c r="KMO213" s="442"/>
      <c r="KMP213" s="442"/>
      <c r="KMQ213" s="443"/>
      <c r="KMR213" s="442"/>
      <c r="KMS213" s="442"/>
      <c r="KMT213" s="2"/>
      <c r="KMU213" s="2"/>
      <c r="KMV213" s="2"/>
      <c r="KMW213" s="2"/>
      <c r="KMX213" s="260"/>
      <c r="KMY213" s="260"/>
      <c r="KMZ213" s="260"/>
      <c r="KNA213" s="260"/>
      <c r="KNB213" s="260"/>
      <c r="KNC213" s="260"/>
      <c r="KND213" s="308"/>
      <c r="KNE213" s="290"/>
      <c r="KNF213" s="290"/>
      <c r="KNG213" s="260"/>
      <c r="KNH213" s="260"/>
      <c r="KNI213" s="260"/>
      <c r="KNJ213" s="260"/>
      <c r="KNK213" s="260"/>
      <c r="KNL213" s="2"/>
      <c r="KNM213" s="2"/>
      <c r="KNN213" s="2"/>
      <c r="KNO213" s="2"/>
      <c r="KNP213" s="2"/>
      <c r="KNQ213" s="2"/>
      <c r="KNR213" s="260"/>
      <c r="KNS213" s="2"/>
      <c r="KNT213" s="2"/>
      <c r="KNU213" s="2"/>
      <c r="KNV213" s="2"/>
      <c r="KNW213" s="2"/>
      <c r="KNX213" s="2"/>
      <c r="KNY213" s="2"/>
      <c r="KNZ213" s="260"/>
      <c r="KOA213" s="260"/>
      <c r="KOB213" s="260"/>
      <c r="KOC213" s="380"/>
      <c r="KOD213" s="380"/>
      <c r="KOE213" s="380"/>
      <c r="KOF213" s="2"/>
      <c r="KOG213" s="442"/>
      <c r="KOH213" s="442"/>
      <c r="KOI213" s="443"/>
      <c r="KOJ213" s="442"/>
      <c r="KOK213" s="442"/>
      <c r="KOL213" s="2"/>
      <c r="KOM213" s="2"/>
      <c r="KON213" s="2"/>
      <c r="KOO213" s="2"/>
      <c r="KOP213" s="260"/>
      <c r="KOQ213" s="260"/>
      <c r="KOR213" s="260"/>
      <c r="KOS213" s="260"/>
      <c r="KOT213" s="260"/>
      <c r="KOU213" s="260"/>
      <c r="KOV213" s="308"/>
      <c r="KOW213" s="290"/>
      <c r="KOX213" s="290"/>
      <c r="KOY213" s="260"/>
      <c r="KOZ213" s="260"/>
      <c r="KPA213" s="260"/>
      <c r="KPB213" s="260"/>
      <c r="KPC213" s="260"/>
      <c r="KPD213" s="2"/>
      <c r="KPE213" s="2"/>
      <c r="KPF213" s="2"/>
      <c r="KPG213" s="2"/>
      <c r="KPH213" s="2"/>
      <c r="KPI213" s="2"/>
      <c r="KPJ213" s="260"/>
      <c r="KPK213" s="2"/>
      <c r="KPL213" s="2"/>
      <c r="KPM213" s="2"/>
      <c r="KPN213" s="2"/>
      <c r="KPO213" s="2"/>
      <c r="KPP213" s="2"/>
      <c r="KPQ213" s="2"/>
      <c r="KPR213" s="260"/>
      <c r="KPS213" s="260"/>
      <c r="KPT213" s="260"/>
      <c r="KPU213" s="380"/>
      <c r="KPV213" s="380"/>
      <c r="KPW213" s="380"/>
      <c r="KPX213" s="2"/>
      <c r="KPY213" s="442"/>
      <c r="KPZ213" s="442"/>
      <c r="KQA213" s="443"/>
      <c r="KQB213" s="442"/>
      <c r="KQC213" s="442"/>
      <c r="KQD213" s="2"/>
      <c r="KQE213" s="2"/>
      <c r="KQF213" s="2"/>
      <c r="KQG213" s="2"/>
      <c r="KQH213" s="260"/>
      <c r="KQI213" s="260"/>
      <c r="KQJ213" s="260"/>
      <c r="KQK213" s="260"/>
      <c r="KQL213" s="260"/>
      <c r="KQM213" s="260"/>
      <c r="KQN213" s="308"/>
      <c r="KQO213" s="290"/>
      <c r="KQP213" s="290"/>
      <c r="KQQ213" s="260"/>
      <c r="KQR213" s="260"/>
      <c r="KQS213" s="260"/>
      <c r="KQT213" s="260"/>
      <c r="KQU213" s="260"/>
      <c r="KQV213" s="2"/>
      <c r="KQW213" s="2"/>
      <c r="KQX213" s="2"/>
      <c r="KQY213" s="2"/>
      <c r="KQZ213" s="2"/>
      <c r="KRA213" s="2"/>
      <c r="KRB213" s="260"/>
      <c r="KRC213" s="2"/>
      <c r="KRD213" s="2"/>
      <c r="KRE213" s="2"/>
      <c r="KRF213" s="2"/>
      <c r="KRG213" s="2"/>
      <c r="KRH213" s="2"/>
      <c r="KRI213" s="2"/>
      <c r="KRJ213" s="260"/>
      <c r="KRK213" s="260"/>
      <c r="KRL213" s="260"/>
      <c r="KRM213" s="380"/>
      <c r="KRN213" s="380"/>
      <c r="KRO213" s="380"/>
      <c r="KRP213" s="2"/>
      <c r="KRQ213" s="442"/>
      <c r="KRR213" s="442"/>
      <c r="KRS213" s="443"/>
      <c r="KRT213" s="442"/>
      <c r="KRU213" s="442"/>
      <c r="KRV213" s="2"/>
      <c r="KRW213" s="2"/>
      <c r="KRX213" s="2"/>
      <c r="KRY213" s="2"/>
      <c r="KRZ213" s="260"/>
      <c r="KSA213" s="260"/>
      <c r="KSB213" s="260"/>
      <c r="KSC213" s="260"/>
      <c r="KSD213" s="260"/>
      <c r="KSE213" s="260"/>
      <c r="KSF213" s="308"/>
      <c r="KSG213" s="290"/>
      <c r="KSH213" s="290"/>
      <c r="KSI213" s="260"/>
      <c r="KSJ213" s="260"/>
      <c r="KSK213" s="260"/>
      <c r="KSL213" s="260"/>
      <c r="KSM213" s="260"/>
      <c r="KSN213" s="2"/>
      <c r="KSO213" s="2"/>
      <c r="KSP213" s="2"/>
      <c r="KSQ213" s="2"/>
      <c r="KSR213" s="2"/>
      <c r="KSS213" s="2"/>
      <c r="KST213" s="260"/>
      <c r="KSU213" s="2"/>
      <c r="KSV213" s="2"/>
      <c r="KSW213" s="2"/>
      <c r="KSX213" s="2"/>
      <c r="KSY213" s="2"/>
      <c r="KSZ213" s="2"/>
      <c r="KTA213" s="2"/>
      <c r="KTB213" s="260"/>
      <c r="KTC213" s="260"/>
      <c r="KTD213" s="260"/>
      <c r="KTE213" s="380"/>
      <c r="KTF213" s="380"/>
      <c r="KTG213" s="380"/>
      <c r="KTH213" s="2"/>
      <c r="KTI213" s="442"/>
      <c r="KTJ213" s="442"/>
      <c r="KTK213" s="443"/>
      <c r="KTL213" s="442"/>
      <c r="KTM213" s="442"/>
      <c r="KTN213" s="2"/>
      <c r="KTO213" s="2"/>
      <c r="KTP213" s="2"/>
      <c r="KTQ213" s="2"/>
      <c r="KTR213" s="260"/>
      <c r="KTS213" s="260"/>
      <c r="KTT213" s="260"/>
      <c r="KTU213" s="260"/>
      <c r="KTV213" s="260"/>
      <c r="KTW213" s="260"/>
      <c r="KTX213" s="308"/>
      <c r="KTY213" s="290"/>
      <c r="KTZ213" s="290"/>
      <c r="KUA213" s="260"/>
      <c r="KUB213" s="260"/>
      <c r="KUC213" s="260"/>
      <c r="KUD213" s="260"/>
      <c r="KUE213" s="260"/>
      <c r="KUF213" s="2"/>
      <c r="KUG213" s="2"/>
      <c r="KUH213" s="2"/>
      <c r="KUI213" s="2"/>
      <c r="KUJ213" s="2"/>
      <c r="KUK213" s="2"/>
      <c r="KUL213" s="260"/>
      <c r="KUM213" s="2"/>
      <c r="KUN213" s="2"/>
      <c r="KUO213" s="2"/>
      <c r="KUP213" s="2"/>
      <c r="KUQ213" s="2"/>
      <c r="KUR213" s="2"/>
      <c r="KUS213" s="2"/>
      <c r="KUT213" s="260"/>
      <c r="KUU213" s="260"/>
      <c r="KUV213" s="260"/>
      <c r="KUW213" s="380"/>
      <c r="KUX213" s="380"/>
      <c r="KUY213" s="380"/>
      <c r="KUZ213" s="2"/>
      <c r="KVA213" s="442"/>
      <c r="KVB213" s="442"/>
      <c r="KVC213" s="443"/>
      <c r="KVD213" s="442"/>
      <c r="KVE213" s="442"/>
      <c r="KVF213" s="2"/>
      <c r="KVG213" s="2"/>
      <c r="KVH213" s="2"/>
      <c r="KVI213" s="2"/>
      <c r="KVJ213" s="260"/>
      <c r="KVK213" s="260"/>
      <c r="KVL213" s="260"/>
      <c r="KVM213" s="260"/>
      <c r="KVN213" s="260"/>
      <c r="KVO213" s="260"/>
      <c r="KVP213" s="308"/>
      <c r="KVQ213" s="290"/>
      <c r="KVR213" s="290"/>
      <c r="KVS213" s="260"/>
      <c r="KVT213" s="260"/>
      <c r="KVU213" s="260"/>
      <c r="KVV213" s="260"/>
      <c r="KVW213" s="260"/>
      <c r="KVX213" s="2"/>
      <c r="KVY213" s="2"/>
      <c r="KVZ213" s="2"/>
      <c r="KWA213" s="2"/>
      <c r="KWB213" s="2"/>
      <c r="KWC213" s="2"/>
      <c r="KWD213" s="260"/>
      <c r="KWE213" s="2"/>
      <c r="KWF213" s="2"/>
      <c r="KWG213" s="2"/>
      <c r="KWH213" s="2"/>
      <c r="KWI213" s="2"/>
      <c r="KWJ213" s="2"/>
      <c r="KWK213" s="2"/>
      <c r="KWL213" s="260"/>
      <c r="KWM213" s="260"/>
      <c r="KWN213" s="260"/>
      <c r="KWO213" s="380"/>
      <c r="KWP213" s="380"/>
      <c r="KWQ213" s="380"/>
      <c r="KWR213" s="2"/>
      <c r="KWS213" s="442"/>
      <c r="KWT213" s="442"/>
      <c r="KWU213" s="443"/>
      <c r="KWV213" s="442"/>
      <c r="KWW213" s="442"/>
      <c r="KWX213" s="2"/>
      <c r="KWY213" s="2"/>
      <c r="KWZ213" s="2"/>
      <c r="KXA213" s="2"/>
      <c r="KXB213" s="260"/>
      <c r="KXC213" s="260"/>
      <c r="KXD213" s="260"/>
      <c r="KXE213" s="260"/>
      <c r="KXF213" s="260"/>
      <c r="KXG213" s="260"/>
      <c r="KXH213" s="308"/>
      <c r="KXI213" s="290"/>
      <c r="KXJ213" s="290"/>
      <c r="KXK213" s="260"/>
      <c r="KXL213" s="260"/>
      <c r="KXM213" s="260"/>
      <c r="KXN213" s="260"/>
      <c r="KXO213" s="260"/>
      <c r="KXP213" s="2"/>
      <c r="KXQ213" s="2"/>
      <c r="KXR213" s="2"/>
      <c r="KXS213" s="2"/>
      <c r="KXT213" s="2"/>
      <c r="KXU213" s="2"/>
      <c r="KXV213" s="260"/>
      <c r="KXW213" s="2"/>
      <c r="KXX213" s="2"/>
      <c r="KXY213" s="2"/>
      <c r="KXZ213" s="2"/>
      <c r="KYA213" s="2"/>
      <c r="KYB213" s="2"/>
      <c r="KYC213" s="2"/>
      <c r="KYD213" s="260"/>
      <c r="KYE213" s="260"/>
      <c r="KYF213" s="260"/>
      <c r="KYG213" s="380"/>
      <c r="KYH213" s="380"/>
      <c r="KYI213" s="380"/>
      <c r="KYJ213" s="2"/>
      <c r="KYK213" s="442"/>
      <c r="KYL213" s="442"/>
      <c r="KYM213" s="443"/>
      <c r="KYN213" s="442"/>
      <c r="KYO213" s="442"/>
      <c r="KYP213" s="2"/>
      <c r="KYQ213" s="2"/>
      <c r="KYR213" s="2"/>
      <c r="KYS213" s="2"/>
      <c r="KYT213" s="260"/>
      <c r="KYU213" s="260"/>
      <c r="KYV213" s="260"/>
      <c r="KYW213" s="260"/>
      <c r="KYX213" s="260"/>
      <c r="KYY213" s="260"/>
      <c r="KYZ213" s="308"/>
      <c r="KZA213" s="290"/>
      <c r="KZB213" s="290"/>
      <c r="KZC213" s="260"/>
      <c r="KZD213" s="260"/>
      <c r="KZE213" s="260"/>
      <c r="KZF213" s="260"/>
      <c r="KZG213" s="260"/>
      <c r="KZH213" s="2"/>
      <c r="KZI213" s="2"/>
      <c r="KZJ213" s="2"/>
      <c r="KZK213" s="2"/>
      <c r="KZL213" s="2"/>
      <c r="KZM213" s="2"/>
      <c r="KZN213" s="260"/>
      <c r="KZO213" s="2"/>
      <c r="KZP213" s="2"/>
      <c r="KZQ213" s="2"/>
      <c r="KZR213" s="2"/>
      <c r="KZS213" s="2"/>
      <c r="KZT213" s="2"/>
      <c r="KZU213" s="2"/>
      <c r="KZV213" s="260"/>
      <c r="KZW213" s="260"/>
      <c r="KZX213" s="260"/>
      <c r="KZY213" s="380"/>
      <c r="KZZ213" s="380"/>
      <c r="LAA213" s="380"/>
      <c r="LAB213" s="2"/>
      <c r="LAC213" s="442"/>
      <c r="LAD213" s="442"/>
      <c r="LAE213" s="443"/>
      <c r="LAF213" s="442"/>
      <c r="LAG213" s="442"/>
      <c r="LAH213" s="2"/>
      <c r="LAI213" s="2"/>
      <c r="LAJ213" s="2"/>
      <c r="LAK213" s="2"/>
      <c r="LAL213" s="260"/>
      <c r="LAM213" s="260"/>
      <c r="LAN213" s="260"/>
      <c r="LAO213" s="260"/>
      <c r="LAP213" s="260"/>
      <c r="LAQ213" s="260"/>
      <c r="LAR213" s="308"/>
      <c r="LAS213" s="290"/>
      <c r="LAT213" s="290"/>
      <c r="LAU213" s="260"/>
      <c r="LAV213" s="260"/>
      <c r="LAW213" s="260"/>
      <c r="LAX213" s="260"/>
      <c r="LAY213" s="260"/>
      <c r="LAZ213" s="2"/>
      <c r="LBA213" s="2"/>
      <c r="LBB213" s="2"/>
      <c r="LBC213" s="2"/>
      <c r="LBD213" s="2"/>
      <c r="LBE213" s="2"/>
      <c r="LBF213" s="260"/>
      <c r="LBG213" s="2"/>
      <c r="LBH213" s="2"/>
      <c r="LBI213" s="2"/>
      <c r="LBJ213" s="2"/>
      <c r="LBK213" s="2"/>
      <c r="LBL213" s="2"/>
      <c r="LBM213" s="2"/>
      <c r="LBN213" s="260"/>
      <c r="LBO213" s="260"/>
      <c r="LBP213" s="260"/>
      <c r="LBQ213" s="380"/>
      <c r="LBR213" s="380"/>
      <c r="LBS213" s="380"/>
      <c r="LBT213" s="2"/>
      <c r="LBU213" s="442"/>
      <c r="LBV213" s="442"/>
      <c r="LBW213" s="443"/>
      <c r="LBX213" s="442"/>
      <c r="LBY213" s="442"/>
      <c r="LBZ213" s="2"/>
      <c r="LCA213" s="2"/>
      <c r="LCB213" s="2"/>
      <c r="LCC213" s="2"/>
      <c r="LCD213" s="260"/>
      <c r="LCE213" s="260"/>
      <c r="LCF213" s="260"/>
      <c r="LCG213" s="260"/>
      <c r="LCH213" s="260"/>
      <c r="LCI213" s="260"/>
      <c r="LCJ213" s="308"/>
      <c r="LCK213" s="290"/>
      <c r="LCL213" s="290"/>
      <c r="LCM213" s="260"/>
      <c r="LCN213" s="260"/>
      <c r="LCO213" s="260"/>
      <c r="LCP213" s="260"/>
      <c r="LCQ213" s="260"/>
      <c r="LCR213" s="2"/>
      <c r="LCS213" s="2"/>
      <c r="LCT213" s="2"/>
      <c r="LCU213" s="2"/>
      <c r="LCV213" s="2"/>
      <c r="LCW213" s="2"/>
      <c r="LCX213" s="260"/>
      <c r="LCY213" s="2"/>
      <c r="LCZ213" s="2"/>
      <c r="LDA213" s="2"/>
      <c r="LDB213" s="2"/>
      <c r="LDC213" s="2"/>
      <c r="LDD213" s="2"/>
      <c r="LDE213" s="2"/>
      <c r="LDF213" s="260"/>
      <c r="LDG213" s="260"/>
      <c r="LDH213" s="260"/>
      <c r="LDI213" s="380"/>
      <c r="LDJ213" s="380"/>
      <c r="LDK213" s="380"/>
      <c r="LDL213" s="2"/>
      <c r="LDM213" s="442"/>
      <c r="LDN213" s="442"/>
      <c r="LDO213" s="443"/>
      <c r="LDP213" s="442"/>
      <c r="LDQ213" s="442"/>
      <c r="LDR213" s="2"/>
      <c r="LDS213" s="2"/>
      <c r="LDT213" s="2"/>
      <c r="LDU213" s="2"/>
      <c r="LDV213" s="260"/>
      <c r="LDW213" s="260"/>
      <c r="LDX213" s="260"/>
      <c r="LDY213" s="260"/>
      <c r="LDZ213" s="260"/>
      <c r="LEA213" s="260"/>
      <c r="LEB213" s="308"/>
      <c r="LEC213" s="290"/>
      <c r="LED213" s="290"/>
      <c r="LEE213" s="260"/>
      <c r="LEF213" s="260"/>
      <c r="LEG213" s="260"/>
      <c r="LEH213" s="260"/>
      <c r="LEI213" s="260"/>
      <c r="LEJ213" s="2"/>
      <c r="LEK213" s="2"/>
      <c r="LEL213" s="2"/>
      <c r="LEM213" s="2"/>
      <c r="LEN213" s="2"/>
      <c r="LEO213" s="2"/>
      <c r="LEP213" s="260"/>
      <c r="LEQ213" s="2"/>
      <c r="LER213" s="2"/>
      <c r="LES213" s="2"/>
      <c r="LET213" s="2"/>
      <c r="LEU213" s="2"/>
      <c r="LEV213" s="2"/>
      <c r="LEW213" s="2"/>
      <c r="LEX213" s="260"/>
      <c r="LEY213" s="260"/>
      <c r="LEZ213" s="260"/>
      <c r="LFA213" s="380"/>
      <c r="LFB213" s="380"/>
      <c r="LFC213" s="380"/>
      <c r="LFD213" s="2"/>
      <c r="LFE213" s="442"/>
      <c r="LFF213" s="442"/>
      <c r="LFG213" s="443"/>
      <c r="LFH213" s="442"/>
      <c r="LFI213" s="442"/>
      <c r="LFJ213" s="2"/>
      <c r="LFK213" s="2"/>
      <c r="LFL213" s="2"/>
      <c r="LFM213" s="2"/>
      <c r="LFN213" s="260"/>
      <c r="LFO213" s="260"/>
      <c r="LFP213" s="260"/>
      <c r="LFQ213" s="260"/>
      <c r="LFR213" s="260"/>
      <c r="LFS213" s="260"/>
      <c r="LFT213" s="308"/>
      <c r="LFU213" s="290"/>
      <c r="LFV213" s="290"/>
      <c r="LFW213" s="260"/>
      <c r="LFX213" s="260"/>
      <c r="LFY213" s="260"/>
      <c r="LFZ213" s="260"/>
      <c r="LGA213" s="260"/>
      <c r="LGB213" s="2"/>
      <c r="LGC213" s="2"/>
      <c r="LGD213" s="2"/>
      <c r="LGE213" s="2"/>
      <c r="LGF213" s="2"/>
      <c r="LGG213" s="2"/>
      <c r="LGH213" s="260"/>
      <c r="LGI213" s="2"/>
      <c r="LGJ213" s="2"/>
      <c r="LGK213" s="2"/>
      <c r="LGL213" s="2"/>
      <c r="LGM213" s="2"/>
      <c r="LGN213" s="2"/>
      <c r="LGO213" s="2"/>
      <c r="LGP213" s="260"/>
      <c r="LGQ213" s="260"/>
      <c r="LGR213" s="260"/>
      <c r="LGS213" s="380"/>
      <c r="LGT213" s="380"/>
      <c r="LGU213" s="380"/>
      <c r="LGV213" s="2"/>
      <c r="LGW213" s="442"/>
      <c r="LGX213" s="442"/>
      <c r="LGY213" s="443"/>
      <c r="LGZ213" s="442"/>
      <c r="LHA213" s="442"/>
      <c r="LHB213" s="2"/>
      <c r="LHC213" s="2"/>
      <c r="LHD213" s="2"/>
      <c r="LHE213" s="2"/>
      <c r="LHF213" s="260"/>
      <c r="LHG213" s="260"/>
      <c r="LHH213" s="260"/>
      <c r="LHI213" s="260"/>
      <c r="LHJ213" s="260"/>
      <c r="LHK213" s="260"/>
      <c r="LHL213" s="308"/>
      <c r="LHM213" s="290"/>
      <c r="LHN213" s="290"/>
      <c r="LHO213" s="260"/>
      <c r="LHP213" s="260"/>
      <c r="LHQ213" s="260"/>
      <c r="LHR213" s="260"/>
      <c r="LHS213" s="260"/>
      <c r="LHT213" s="2"/>
      <c r="LHU213" s="2"/>
      <c r="LHV213" s="2"/>
      <c r="LHW213" s="2"/>
      <c r="LHX213" s="2"/>
      <c r="LHY213" s="2"/>
      <c r="LHZ213" s="260"/>
      <c r="LIA213" s="2"/>
      <c r="LIB213" s="2"/>
      <c r="LIC213" s="2"/>
      <c r="LID213" s="2"/>
      <c r="LIE213" s="2"/>
      <c r="LIF213" s="2"/>
      <c r="LIG213" s="2"/>
      <c r="LIH213" s="260"/>
      <c r="LII213" s="260"/>
      <c r="LIJ213" s="260"/>
      <c r="LIK213" s="380"/>
      <c r="LIL213" s="380"/>
      <c r="LIM213" s="380"/>
      <c r="LIN213" s="2"/>
      <c r="LIO213" s="442"/>
      <c r="LIP213" s="442"/>
      <c r="LIQ213" s="443"/>
      <c r="LIR213" s="442"/>
      <c r="LIS213" s="442"/>
      <c r="LIT213" s="2"/>
      <c r="LIU213" s="2"/>
      <c r="LIV213" s="2"/>
      <c r="LIW213" s="2"/>
      <c r="LIX213" s="260"/>
      <c r="LIY213" s="260"/>
      <c r="LIZ213" s="260"/>
      <c r="LJA213" s="260"/>
      <c r="LJB213" s="260"/>
      <c r="LJC213" s="260"/>
      <c r="LJD213" s="308"/>
      <c r="LJE213" s="290"/>
      <c r="LJF213" s="290"/>
      <c r="LJG213" s="260"/>
      <c r="LJH213" s="260"/>
      <c r="LJI213" s="260"/>
      <c r="LJJ213" s="260"/>
      <c r="LJK213" s="260"/>
      <c r="LJL213" s="2"/>
      <c r="LJM213" s="2"/>
      <c r="LJN213" s="2"/>
      <c r="LJO213" s="2"/>
      <c r="LJP213" s="2"/>
      <c r="LJQ213" s="2"/>
      <c r="LJR213" s="260"/>
      <c r="LJS213" s="2"/>
      <c r="LJT213" s="2"/>
      <c r="LJU213" s="2"/>
      <c r="LJV213" s="2"/>
      <c r="LJW213" s="2"/>
      <c r="LJX213" s="2"/>
      <c r="LJY213" s="2"/>
      <c r="LJZ213" s="260"/>
      <c r="LKA213" s="260"/>
      <c r="LKB213" s="260"/>
      <c r="LKC213" s="380"/>
      <c r="LKD213" s="380"/>
      <c r="LKE213" s="380"/>
      <c r="LKF213" s="2"/>
      <c r="LKG213" s="442"/>
      <c r="LKH213" s="442"/>
      <c r="LKI213" s="443"/>
      <c r="LKJ213" s="442"/>
      <c r="LKK213" s="442"/>
      <c r="LKL213" s="2"/>
      <c r="LKM213" s="2"/>
      <c r="LKN213" s="2"/>
      <c r="LKO213" s="2"/>
      <c r="LKP213" s="260"/>
      <c r="LKQ213" s="260"/>
      <c r="LKR213" s="260"/>
      <c r="LKS213" s="260"/>
      <c r="LKT213" s="260"/>
      <c r="LKU213" s="260"/>
      <c r="LKV213" s="308"/>
      <c r="LKW213" s="290"/>
      <c r="LKX213" s="290"/>
      <c r="LKY213" s="260"/>
      <c r="LKZ213" s="260"/>
      <c r="LLA213" s="260"/>
      <c r="LLB213" s="260"/>
      <c r="LLC213" s="260"/>
      <c r="LLD213" s="2"/>
      <c r="LLE213" s="2"/>
      <c r="LLF213" s="2"/>
      <c r="LLG213" s="2"/>
      <c r="LLH213" s="2"/>
      <c r="LLI213" s="2"/>
      <c r="LLJ213" s="260"/>
      <c r="LLK213" s="2"/>
      <c r="LLL213" s="2"/>
      <c r="LLM213" s="2"/>
      <c r="LLN213" s="2"/>
      <c r="LLO213" s="2"/>
      <c r="LLP213" s="2"/>
      <c r="LLQ213" s="2"/>
      <c r="LLR213" s="260"/>
      <c r="LLS213" s="260"/>
      <c r="LLT213" s="260"/>
      <c r="LLU213" s="380"/>
      <c r="LLV213" s="380"/>
      <c r="LLW213" s="380"/>
      <c r="LLX213" s="2"/>
      <c r="LLY213" s="442"/>
      <c r="LLZ213" s="442"/>
      <c r="LMA213" s="443"/>
      <c r="LMB213" s="442"/>
      <c r="LMC213" s="442"/>
      <c r="LMD213" s="2"/>
      <c r="LME213" s="2"/>
      <c r="LMF213" s="2"/>
      <c r="LMG213" s="2"/>
      <c r="LMH213" s="260"/>
      <c r="LMI213" s="260"/>
      <c r="LMJ213" s="260"/>
      <c r="LMK213" s="260"/>
      <c r="LML213" s="260"/>
      <c r="LMM213" s="260"/>
      <c r="LMN213" s="308"/>
      <c r="LMO213" s="290"/>
      <c r="LMP213" s="290"/>
      <c r="LMQ213" s="260"/>
      <c r="LMR213" s="260"/>
      <c r="LMS213" s="260"/>
      <c r="LMT213" s="260"/>
      <c r="LMU213" s="260"/>
      <c r="LMV213" s="2"/>
      <c r="LMW213" s="2"/>
      <c r="LMX213" s="2"/>
      <c r="LMY213" s="2"/>
      <c r="LMZ213" s="2"/>
      <c r="LNA213" s="2"/>
      <c r="LNB213" s="260"/>
      <c r="LNC213" s="2"/>
      <c r="LND213" s="2"/>
      <c r="LNE213" s="2"/>
      <c r="LNF213" s="2"/>
      <c r="LNG213" s="2"/>
      <c r="LNH213" s="2"/>
      <c r="LNI213" s="2"/>
      <c r="LNJ213" s="260"/>
      <c r="LNK213" s="260"/>
      <c r="LNL213" s="260"/>
      <c r="LNM213" s="380"/>
      <c r="LNN213" s="380"/>
      <c r="LNO213" s="380"/>
      <c r="LNP213" s="2"/>
      <c r="LNQ213" s="442"/>
      <c r="LNR213" s="442"/>
      <c r="LNS213" s="443"/>
      <c r="LNT213" s="442"/>
      <c r="LNU213" s="442"/>
      <c r="LNV213" s="2"/>
      <c r="LNW213" s="2"/>
      <c r="LNX213" s="2"/>
      <c r="LNY213" s="2"/>
      <c r="LNZ213" s="260"/>
      <c r="LOA213" s="260"/>
      <c r="LOB213" s="260"/>
      <c r="LOC213" s="260"/>
      <c r="LOD213" s="260"/>
      <c r="LOE213" s="260"/>
      <c r="LOF213" s="308"/>
      <c r="LOG213" s="290"/>
      <c r="LOH213" s="290"/>
      <c r="LOI213" s="260"/>
      <c r="LOJ213" s="260"/>
      <c r="LOK213" s="260"/>
      <c r="LOL213" s="260"/>
      <c r="LOM213" s="260"/>
      <c r="LON213" s="2"/>
      <c r="LOO213" s="2"/>
      <c r="LOP213" s="2"/>
      <c r="LOQ213" s="2"/>
      <c r="LOR213" s="2"/>
      <c r="LOS213" s="2"/>
      <c r="LOT213" s="260"/>
      <c r="LOU213" s="2"/>
      <c r="LOV213" s="2"/>
      <c r="LOW213" s="2"/>
      <c r="LOX213" s="2"/>
      <c r="LOY213" s="2"/>
      <c r="LOZ213" s="2"/>
      <c r="LPA213" s="2"/>
      <c r="LPB213" s="260"/>
      <c r="LPC213" s="260"/>
      <c r="LPD213" s="260"/>
      <c r="LPE213" s="380"/>
      <c r="LPF213" s="380"/>
      <c r="LPG213" s="380"/>
      <c r="LPH213" s="2"/>
      <c r="LPI213" s="442"/>
      <c r="LPJ213" s="442"/>
      <c r="LPK213" s="443"/>
      <c r="LPL213" s="442"/>
      <c r="LPM213" s="442"/>
      <c r="LPN213" s="2"/>
      <c r="LPO213" s="2"/>
      <c r="LPP213" s="2"/>
      <c r="LPQ213" s="2"/>
      <c r="LPR213" s="260"/>
      <c r="LPS213" s="260"/>
      <c r="LPT213" s="260"/>
      <c r="LPU213" s="260"/>
      <c r="LPV213" s="260"/>
      <c r="LPW213" s="260"/>
      <c r="LPX213" s="308"/>
      <c r="LPY213" s="290"/>
      <c r="LPZ213" s="290"/>
      <c r="LQA213" s="260"/>
      <c r="LQB213" s="260"/>
      <c r="LQC213" s="260"/>
      <c r="LQD213" s="260"/>
      <c r="LQE213" s="260"/>
      <c r="LQF213" s="2"/>
      <c r="LQG213" s="2"/>
      <c r="LQH213" s="2"/>
      <c r="LQI213" s="2"/>
      <c r="LQJ213" s="2"/>
      <c r="LQK213" s="2"/>
      <c r="LQL213" s="260"/>
      <c r="LQM213" s="2"/>
      <c r="LQN213" s="2"/>
      <c r="LQO213" s="2"/>
      <c r="LQP213" s="2"/>
      <c r="LQQ213" s="2"/>
      <c r="LQR213" s="2"/>
      <c r="LQS213" s="2"/>
      <c r="LQT213" s="260"/>
      <c r="LQU213" s="260"/>
      <c r="LQV213" s="260"/>
      <c r="LQW213" s="380"/>
      <c r="LQX213" s="380"/>
      <c r="LQY213" s="380"/>
      <c r="LQZ213" s="2"/>
      <c r="LRA213" s="442"/>
      <c r="LRB213" s="442"/>
      <c r="LRC213" s="443"/>
      <c r="LRD213" s="442"/>
      <c r="LRE213" s="442"/>
      <c r="LRF213" s="2"/>
      <c r="LRG213" s="2"/>
      <c r="LRH213" s="2"/>
      <c r="LRI213" s="2"/>
      <c r="LRJ213" s="260"/>
      <c r="LRK213" s="260"/>
      <c r="LRL213" s="260"/>
      <c r="LRM213" s="260"/>
      <c r="LRN213" s="260"/>
      <c r="LRO213" s="260"/>
      <c r="LRP213" s="308"/>
      <c r="LRQ213" s="290"/>
      <c r="LRR213" s="290"/>
      <c r="LRS213" s="260"/>
      <c r="LRT213" s="260"/>
      <c r="LRU213" s="260"/>
      <c r="LRV213" s="260"/>
      <c r="LRW213" s="260"/>
      <c r="LRX213" s="2"/>
      <c r="LRY213" s="2"/>
      <c r="LRZ213" s="2"/>
      <c r="LSA213" s="2"/>
      <c r="LSB213" s="2"/>
      <c r="LSC213" s="2"/>
      <c r="LSD213" s="260"/>
      <c r="LSE213" s="2"/>
      <c r="LSF213" s="2"/>
      <c r="LSG213" s="2"/>
      <c r="LSH213" s="2"/>
      <c r="LSI213" s="2"/>
      <c r="LSJ213" s="2"/>
      <c r="LSK213" s="2"/>
      <c r="LSL213" s="260"/>
      <c r="LSM213" s="260"/>
      <c r="LSN213" s="260"/>
      <c r="LSO213" s="380"/>
      <c r="LSP213" s="380"/>
      <c r="LSQ213" s="380"/>
      <c r="LSR213" s="2"/>
      <c r="LSS213" s="442"/>
      <c r="LST213" s="442"/>
      <c r="LSU213" s="443"/>
      <c r="LSV213" s="442"/>
      <c r="LSW213" s="442"/>
      <c r="LSX213" s="2"/>
      <c r="LSY213" s="2"/>
      <c r="LSZ213" s="2"/>
      <c r="LTA213" s="2"/>
      <c r="LTB213" s="260"/>
      <c r="LTC213" s="260"/>
      <c r="LTD213" s="260"/>
      <c r="LTE213" s="260"/>
      <c r="LTF213" s="260"/>
      <c r="LTG213" s="260"/>
      <c r="LTH213" s="308"/>
      <c r="LTI213" s="290"/>
      <c r="LTJ213" s="290"/>
      <c r="LTK213" s="260"/>
      <c r="LTL213" s="260"/>
      <c r="LTM213" s="260"/>
      <c r="LTN213" s="260"/>
      <c r="LTO213" s="260"/>
      <c r="LTP213" s="2"/>
      <c r="LTQ213" s="2"/>
      <c r="LTR213" s="2"/>
      <c r="LTS213" s="2"/>
      <c r="LTT213" s="2"/>
      <c r="LTU213" s="2"/>
      <c r="LTV213" s="260"/>
      <c r="LTW213" s="2"/>
      <c r="LTX213" s="2"/>
      <c r="LTY213" s="2"/>
      <c r="LTZ213" s="2"/>
      <c r="LUA213" s="2"/>
      <c r="LUB213" s="2"/>
      <c r="LUC213" s="2"/>
      <c r="LUD213" s="260"/>
      <c r="LUE213" s="260"/>
      <c r="LUF213" s="260"/>
      <c r="LUG213" s="380"/>
      <c r="LUH213" s="380"/>
      <c r="LUI213" s="380"/>
      <c r="LUJ213" s="2"/>
      <c r="LUK213" s="442"/>
      <c r="LUL213" s="442"/>
      <c r="LUM213" s="443"/>
      <c r="LUN213" s="442"/>
      <c r="LUO213" s="442"/>
      <c r="LUP213" s="2"/>
      <c r="LUQ213" s="2"/>
      <c r="LUR213" s="2"/>
      <c r="LUS213" s="2"/>
      <c r="LUT213" s="260"/>
      <c r="LUU213" s="260"/>
      <c r="LUV213" s="260"/>
      <c r="LUW213" s="260"/>
      <c r="LUX213" s="260"/>
      <c r="LUY213" s="260"/>
      <c r="LUZ213" s="308"/>
      <c r="LVA213" s="290"/>
      <c r="LVB213" s="290"/>
      <c r="LVC213" s="260"/>
      <c r="LVD213" s="260"/>
      <c r="LVE213" s="260"/>
      <c r="LVF213" s="260"/>
      <c r="LVG213" s="260"/>
      <c r="LVH213" s="2"/>
      <c r="LVI213" s="2"/>
      <c r="LVJ213" s="2"/>
      <c r="LVK213" s="2"/>
      <c r="LVL213" s="2"/>
      <c r="LVM213" s="2"/>
      <c r="LVN213" s="260"/>
      <c r="LVO213" s="2"/>
      <c r="LVP213" s="2"/>
      <c r="LVQ213" s="2"/>
      <c r="LVR213" s="2"/>
      <c r="LVS213" s="2"/>
      <c r="LVT213" s="2"/>
      <c r="LVU213" s="2"/>
      <c r="LVV213" s="260"/>
      <c r="LVW213" s="260"/>
      <c r="LVX213" s="260"/>
      <c r="LVY213" s="380"/>
      <c r="LVZ213" s="380"/>
      <c r="LWA213" s="380"/>
      <c r="LWB213" s="2"/>
      <c r="LWC213" s="442"/>
      <c r="LWD213" s="442"/>
      <c r="LWE213" s="443"/>
      <c r="LWF213" s="442"/>
      <c r="LWG213" s="442"/>
      <c r="LWH213" s="2"/>
      <c r="LWI213" s="2"/>
      <c r="LWJ213" s="2"/>
      <c r="LWK213" s="2"/>
      <c r="LWL213" s="260"/>
      <c r="LWM213" s="260"/>
      <c r="LWN213" s="260"/>
      <c r="LWO213" s="260"/>
      <c r="LWP213" s="260"/>
      <c r="LWQ213" s="260"/>
      <c r="LWR213" s="308"/>
      <c r="LWS213" s="290"/>
      <c r="LWT213" s="290"/>
      <c r="LWU213" s="260"/>
      <c r="LWV213" s="260"/>
      <c r="LWW213" s="260"/>
      <c r="LWX213" s="260"/>
      <c r="LWY213" s="260"/>
      <c r="LWZ213" s="2"/>
      <c r="LXA213" s="2"/>
      <c r="LXB213" s="2"/>
      <c r="LXC213" s="2"/>
      <c r="LXD213" s="2"/>
      <c r="LXE213" s="2"/>
      <c r="LXF213" s="260"/>
      <c r="LXG213" s="2"/>
      <c r="LXH213" s="2"/>
      <c r="LXI213" s="2"/>
      <c r="LXJ213" s="2"/>
      <c r="LXK213" s="2"/>
      <c r="LXL213" s="2"/>
      <c r="LXM213" s="2"/>
      <c r="LXN213" s="260"/>
      <c r="LXO213" s="260"/>
      <c r="LXP213" s="260"/>
      <c r="LXQ213" s="380"/>
      <c r="LXR213" s="380"/>
      <c r="LXS213" s="380"/>
      <c r="LXT213" s="2"/>
      <c r="LXU213" s="442"/>
      <c r="LXV213" s="442"/>
      <c r="LXW213" s="443"/>
      <c r="LXX213" s="442"/>
      <c r="LXY213" s="442"/>
      <c r="LXZ213" s="2"/>
      <c r="LYA213" s="2"/>
      <c r="LYB213" s="2"/>
      <c r="LYC213" s="2"/>
      <c r="LYD213" s="260"/>
      <c r="LYE213" s="260"/>
      <c r="LYF213" s="260"/>
      <c r="LYG213" s="260"/>
      <c r="LYH213" s="260"/>
      <c r="LYI213" s="260"/>
      <c r="LYJ213" s="308"/>
      <c r="LYK213" s="290"/>
      <c r="LYL213" s="290"/>
      <c r="LYM213" s="260"/>
      <c r="LYN213" s="260"/>
      <c r="LYO213" s="260"/>
      <c r="LYP213" s="260"/>
      <c r="LYQ213" s="260"/>
      <c r="LYR213" s="2"/>
      <c r="LYS213" s="2"/>
      <c r="LYT213" s="2"/>
      <c r="LYU213" s="2"/>
      <c r="LYV213" s="2"/>
      <c r="LYW213" s="2"/>
      <c r="LYX213" s="260"/>
      <c r="LYY213" s="2"/>
      <c r="LYZ213" s="2"/>
      <c r="LZA213" s="2"/>
      <c r="LZB213" s="2"/>
      <c r="LZC213" s="2"/>
      <c r="LZD213" s="2"/>
      <c r="LZE213" s="2"/>
      <c r="LZF213" s="260"/>
      <c r="LZG213" s="260"/>
      <c r="LZH213" s="260"/>
      <c r="LZI213" s="380"/>
      <c r="LZJ213" s="380"/>
      <c r="LZK213" s="380"/>
      <c r="LZL213" s="2"/>
      <c r="LZM213" s="442"/>
      <c r="LZN213" s="442"/>
      <c r="LZO213" s="443"/>
      <c r="LZP213" s="442"/>
      <c r="LZQ213" s="442"/>
      <c r="LZR213" s="2"/>
      <c r="LZS213" s="2"/>
      <c r="LZT213" s="2"/>
      <c r="LZU213" s="2"/>
      <c r="LZV213" s="260"/>
      <c r="LZW213" s="260"/>
      <c r="LZX213" s="260"/>
      <c r="LZY213" s="260"/>
      <c r="LZZ213" s="260"/>
      <c r="MAA213" s="260"/>
      <c r="MAB213" s="308"/>
      <c r="MAC213" s="290"/>
      <c r="MAD213" s="290"/>
      <c r="MAE213" s="260"/>
      <c r="MAF213" s="260"/>
      <c r="MAG213" s="260"/>
      <c r="MAH213" s="260"/>
      <c r="MAI213" s="260"/>
      <c r="MAJ213" s="2"/>
      <c r="MAK213" s="2"/>
      <c r="MAL213" s="2"/>
      <c r="MAM213" s="2"/>
      <c r="MAN213" s="2"/>
      <c r="MAO213" s="2"/>
      <c r="MAP213" s="260"/>
      <c r="MAQ213" s="2"/>
      <c r="MAR213" s="2"/>
      <c r="MAS213" s="2"/>
      <c r="MAT213" s="2"/>
      <c r="MAU213" s="2"/>
      <c r="MAV213" s="2"/>
      <c r="MAW213" s="2"/>
      <c r="MAX213" s="260"/>
      <c r="MAY213" s="260"/>
      <c r="MAZ213" s="260"/>
      <c r="MBA213" s="380"/>
      <c r="MBB213" s="380"/>
      <c r="MBC213" s="380"/>
      <c r="MBD213" s="2"/>
      <c r="MBE213" s="442"/>
      <c r="MBF213" s="442"/>
      <c r="MBG213" s="443"/>
      <c r="MBH213" s="442"/>
      <c r="MBI213" s="442"/>
      <c r="MBJ213" s="2"/>
      <c r="MBK213" s="2"/>
      <c r="MBL213" s="2"/>
      <c r="MBM213" s="2"/>
      <c r="MBN213" s="260"/>
      <c r="MBO213" s="260"/>
      <c r="MBP213" s="260"/>
      <c r="MBQ213" s="260"/>
      <c r="MBR213" s="260"/>
      <c r="MBS213" s="260"/>
      <c r="MBT213" s="308"/>
      <c r="MBU213" s="290"/>
      <c r="MBV213" s="290"/>
      <c r="MBW213" s="260"/>
      <c r="MBX213" s="260"/>
      <c r="MBY213" s="260"/>
      <c r="MBZ213" s="260"/>
      <c r="MCA213" s="260"/>
      <c r="MCB213" s="2"/>
      <c r="MCC213" s="2"/>
      <c r="MCD213" s="2"/>
      <c r="MCE213" s="2"/>
      <c r="MCF213" s="2"/>
      <c r="MCG213" s="2"/>
      <c r="MCH213" s="260"/>
      <c r="MCI213" s="2"/>
      <c r="MCJ213" s="2"/>
      <c r="MCK213" s="2"/>
      <c r="MCL213" s="2"/>
      <c r="MCM213" s="2"/>
      <c r="MCN213" s="2"/>
      <c r="MCO213" s="2"/>
      <c r="MCP213" s="260"/>
      <c r="MCQ213" s="260"/>
      <c r="MCR213" s="260"/>
      <c r="MCS213" s="380"/>
      <c r="MCT213" s="380"/>
      <c r="MCU213" s="380"/>
      <c r="MCV213" s="2"/>
      <c r="MCW213" s="442"/>
      <c r="MCX213" s="442"/>
      <c r="MCY213" s="443"/>
      <c r="MCZ213" s="442"/>
      <c r="MDA213" s="442"/>
      <c r="MDB213" s="2"/>
      <c r="MDC213" s="2"/>
      <c r="MDD213" s="2"/>
      <c r="MDE213" s="2"/>
      <c r="MDF213" s="260"/>
      <c r="MDG213" s="260"/>
      <c r="MDH213" s="260"/>
      <c r="MDI213" s="260"/>
      <c r="MDJ213" s="260"/>
      <c r="MDK213" s="260"/>
      <c r="MDL213" s="308"/>
      <c r="MDM213" s="290"/>
      <c r="MDN213" s="290"/>
      <c r="MDO213" s="260"/>
      <c r="MDP213" s="260"/>
      <c r="MDQ213" s="260"/>
      <c r="MDR213" s="260"/>
      <c r="MDS213" s="260"/>
      <c r="MDT213" s="2"/>
      <c r="MDU213" s="2"/>
      <c r="MDV213" s="2"/>
      <c r="MDW213" s="2"/>
      <c r="MDX213" s="2"/>
      <c r="MDY213" s="2"/>
      <c r="MDZ213" s="260"/>
      <c r="MEA213" s="2"/>
      <c r="MEB213" s="2"/>
      <c r="MEC213" s="2"/>
      <c r="MED213" s="2"/>
      <c r="MEE213" s="2"/>
      <c r="MEF213" s="2"/>
      <c r="MEG213" s="2"/>
      <c r="MEH213" s="260"/>
      <c r="MEI213" s="260"/>
      <c r="MEJ213" s="260"/>
      <c r="MEK213" s="380"/>
      <c r="MEL213" s="380"/>
      <c r="MEM213" s="380"/>
      <c r="MEN213" s="2"/>
      <c r="MEO213" s="442"/>
      <c r="MEP213" s="442"/>
      <c r="MEQ213" s="443"/>
      <c r="MER213" s="442"/>
      <c r="MES213" s="442"/>
      <c r="MET213" s="2"/>
      <c r="MEU213" s="2"/>
      <c r="MEV213" s="2"/>
      <c r="MEW213" s="2"/>
      <c r="MEX213" s="260"/>
      <c r="MEY213" s="260"/>
      <c r="MEZ213" s="260"/>
      <c r="MFA213" s="260"/>
      <c r="MFB213" s="260"/>
      <c r="MFC213" s="260"/>
      <c r="MFD213" s="308"/>
      <c r="MFE213" s="290"/>
      <c r="MFF213" s="290"/>
      <c r="MFG213" s="260"/>
      <c r="MFH213" s="260"/>
      <c r="MFI213" s="260"/>
      <c r="MFJ213" s="260"/>
      <c r="MFK213" s="260"/>
      <c r="MFL213" s="2"/>
      <c r="MFM213" s="2"/>
      <c r="MFN213" s="2"/>
      <c r="MFO213" s="2"/>
      <c r="MFP213" s="2"/>
      <c r="MFQ213" s="2"/>
      <c r="MFR213" s="260"/>
      <c r="MFS213" s="2"/>
      <c r="MFT213" s="2"/>
      <c r="MFU213" s="2"/>
      <c r="MFV213" s="2"/>
      <c r="MFW213" s="2"/>
      <c r="MFX213" s="2"/>
      <c r="MFY213" s="2"/>
      <c r="MFZ213" s="260"/>
      <c r="MGA213" s="260"/>
      <c r="MGB213" s="260"/>
      <c r="MGC213" s="380"/>
      <c r="MGD213" s="380"/>
      <c r="MGE213" s="380"/>
      <c r="MGF213" s="2"/>
      <c r="MGG213" s="442"/>
      <c r="MGH213" s="442"/>
      <c r="MGI213" s="443"/>
      <c r="MGJ213" s="442"/>
      <c r="MGK213" s="442"/>
      <c r="MGL213" s="2"/>
      <c r="MGM213" s="2"/>
      <c r="MGN213" s="2"/>
      <c r="MGO213" s="2"/>
      <c r="MGP213" s="260"/>
      <c r="MGQ213" s="260"/>
      <c r="MGR213" s="260"/>
      <c r="MGS213" s="260"/>
      <c r="MGT213" s="260"/>
      <c r="MGU213" s="260"/>
      <c r="MGV213" s="308"/>
      <c r="MGW213" s="290"/>
      <c r="MGX213" s="290"/>
      <c r="MGY213" s="260"/>
      <c r="MGZ213" s="260"/>
      <c r="MHA213" s="260"/>
      <c r="MHB213" s="260"/>
      <c r="MHC213" s="260"/>
      <c r="MHD213" s="2"/>
      <c r="MHE213" s="2"/>
      <c r="MHF213" s="2"/>
      <c r="MHG213" s="2"/>
      <c r="MHH213" s="2"/>
      <c r="MHI213" s="2"/>
      <c r="MHJ213" s="260"/>
      <c r="MHK213" s="2"/>
      <c r="MHL213" s="2"/>
      <c r="MHM213" s="2"/>
      <c r="MHN213" s="2"/>
      <c r="MHO213" s="2"/>
      <c r="MHP213" s="2"/>
      <c r="MHQ213" s="2"/>
      <c r="MHR213" s="260"/>
      <c r="MHS213" s="260"/>
      <c r="MHT213" s="260"/>
      <c r="MHU213" s="380"/>
      <c r="MHV213" s="380"/>
      <c r="MHW213" s="380"/>
      <c r="MHX213" s="2"/>
      <c r="MHY213" s="442"/>
      <c r="MHZ213" s="442"/>
      <c r="MIA213" s="443"/>
      <c r="MIB213" s="442"/>
      <c r="MIC213" s="442"/>
      <c r="MID213" s="2"/>
      <c r="MIE213" s="2"/>
      <c r="MIF213" s="2"/>
      <c r="MIG213" s="2"/>
      <c r="MIH213" s="260"/>
      <c r="MII213" s="260"/>
      <c r="MIJ213" s="260"/>
      <c r="MIK213" s="260"/>
      <c r="MIL213" s="260"/>
      <c r="MIM213" s="260"/>
      <c r="MIN213" s="308"/>
      <c r="MIO213" s="290"/>
      <c r="MIP213" s="290"/>
      <c r="MIQ213" s="260"/>
      <c r="MIR213" s="260"/>
      <c r="MIS213" s="260"/>
      <c r="MIT213" s="260"/>
      <c r="MIU213" s="260"/>
      <c r="MIV213" s="2"/>
      <c r="MIW213" s="2"/>
      <c r="MIX213" s="2"/>
      <c r="MIY213" s="2"/>
      <c r="MIZ213" s="2"/>
      <c r="MJA213" s="2"/>
      <c r="MJB213" s="260"/>
      <c r="MJC213" s="2"/>
      <c r="MJD213" s="2"/>
      <c r="MJE213" s="2"/>
      <c r="MJF213" s="2"/>
      <c r="MJG213" s="2"/>
      <c r="MJH213" s="2"/>
      <c r="MJI213" s="2"/>
      <c r="MJJ213" s="260"/>
      <c r="MJK213" s="260"/>
      <c r="MJL213" s="260"/>
      <c r="MJM213" s="380"/>
      <c r="MJN213" s="380"/>
      <c r="MJO213" s="380"/>
      <c r="MJP213" s="2"/>
      <c r="MJQ213" s="442"/>
      <c r="MJR213" s="442"/>
      <c r="MJS213" s="443"/>
      <c r="MJT213" s="442"/>
      <c r="MJU213" s="442"/>
      <c r="MJV213" s="2"/>
      <c r="MJW213" s="2"/>
      <c r="MJX213" s="2"/>
      <c r="MJY213" s="2"/>
      <c r="MJZ213" s="260"/>
      <c r="MKA213" s="260"/>
      <c r="MKB213" s="260"/>
      <c r="MKC213" s="260"/>
      <c r="MKD213" s="260"/>
      <c r="MKE213" s="260"/>
      <c r="MKF213" s="308"/>
      <c r="MKG213" s="290"/>
      <c r="MKH213" s="290"/>
      <c r="MKI213" s="260"/>
      <c r="MKJ213" s="260"/>
      <c r="MKK213" s="260"/>
      <c r="MKL213" s="260"/>
      <c r="MKM213" s="260"/>
      <c r="MKN213" s="2"/>
      <c r="MKO213" s="2"/>
      <c r="MKP213" s="2"/>
      <c r="MKQ213" s="2"/>
      <c r="MKR213" s="2"/>
      <c r="MKS213" s="2"/>
      <c r="MKT213" s="260"/>
      <c r="MKU213" s="2"/>
      <c r="MKV213" s="2"/>
      <c r="MKW213" s="2"/>
      <c r="MKX213" s="2"/>
      <c r="MKY213" s="2"/>
      <c r="MKZ213" s="2"/>
      <c r="MLA213" s="2"/>
      <c r="MLB213" s="260"/>
      <c r="MLC213" s="260"/>
      <c r="MLD213" s="260"/>
      <c r="MLE213" s="380"/>
      <c r="MLF213" s="380"/>
      <c r="MLG213" s="380"/>
      <c r="MLH213" s="2"/>
      <c r="MLI213" s="442"/>
      <c r="MLJ213" s="442"/>
      <c r="MLK213" s="443"/>
      <c r="MLL213" s="442"/>
      <c r="MLM213" s="442"/>
      <c r="MLN213" s="2"/>
      <c r="MLO213" s="2"/>
      <c r="MLP213" s="2"/>
      <c r="MLQ213" s="2"/>
      <c r="MLR213" s="260"/>
      <c r="MLS213" s="260"/>
      <c r="MLT213" s="260"/>
      <c r="MLU213" s="260"/>
      <c r="MLV213" s="260"/>
      <c r="MLW213" s="260"/>
      <c r="MLX213" s="308"/>
      <c r="MLY213" s="290"/>
      <c r="MLZ213" s="290"/>
      <c r="MMA213" s="260"/>
      <c r="MMB213" s="260"/>
      <c r="MMC213" s="260"/>
      <c r="MMD213" s="260"/>
      <c r="MME213" s="260"/>
      <c r="MMF213" s="2"/>
      <c r="MMG213" s="2"/>
      <c r="MMH213" s="2"/>
      <c r="MMI213" s="2"/>
      <c r="MMJ213" s="2"/>
      <c r="MMK213" s="2"/>
      <c r="MML213" s="260"/>
      <c r="MMM213" s="2"/>
      <c r="MMN213" s="2"/>
      <c r="MMO213" s="2"/>
      <c r="MMP213" s="2"/>
      <c r="MMQ213" s="2"/>
      <c r="MMR213" s="2"/>
      <c r="MMS213" s="2"/>
      <c r="MMT213" s="260"/>
      <c r="MMU213" s="260"/>
      <c r="MMV213" s="260"/>
      <c r="MMW213" s="380"/>
      <c r="MMX213" s="380"/>
      <c r="MMY213" s="380"/>
      <c r="MMZ213" s="2"/>
      <c r="MNA213" s="442"/>
      <c r="MNB213" s="442"/>
      <c r="MNC213" s="443"/>
      <c r="MND213" s="442"/>
      <c r="MNE213" s="442"/>
      <c r="MNF213" s="2"/>
      <c r="MNG213" s="2"/>
      <c r="MNH213" s="2"/>
      <c r="MNI213" s="2"/>
      <c r="MNJ213" s="260"/>
      <c r="MNK213" s="260"/>
      <c r="MNL213" s="260"/>
      <c r="MNM213" s="260"/>
      <c r="MNN213" s="260"/>
      <c r="MNO213" s="260"/>
      <c r="MNP213" s="308"/>
      <c r="MNQ213" s="290"/>
      <c r="MNR213" s="290"/>
      <c r="MNS213" s="260"/>
      <c r="MNT213" s="260"/>
      <c r="MNU213" s="260"/>
      <c r="MNV213" s="260"/>
      <c r="MNW213" s="260"/>
      <c r="MNX213" s="2"/>
      <c r="MNY213" s="2"/>
      <c r="MNZ213" s="2"/>
      <c r="MOA213" s="2"/>
      <c r="MOB213" s="2"/>
      <c r="MOC213" s="2"/>
      <c r="MOD213" s="260"/>
      <c r="MOE213" s="2"/>
      <c r="MOF213" s="2"/>
      <c r="MOG213" s="2"/>
      <c r="MOH213" s="2"/>
      <c r="MOI213" s="2"/>
      <c r="MOJ213" s="2"/>
      <c r="MOK213" s="2"/>
      <c r="MOL213" s="260"/>
      <c r="MOM213" s="260"/>
      <c r="MON213" s="260"/>
      <c r="MOO213" s="380"/>
      <c r="MOP213" s="380"/>
      <c r="MOQ213" s="380"/>
      <c r="MOR213" s="2"/>
      <c r="MOS213" s="442"/>
      <c r="MOT213" s="442"/>
      <c r="MOU213" s="443"/>
      <c r="MOV213" s="442"/>
      <c r="MOW213" s="442"/>
      <c r="MOX213" s="2"/>
      <c r="MOY213" s="2"/>
      <c r="MOZ213" s="2"/>
      <c r="MPA213" s="2"/>
      <c r="MPB213" s="260"/>
      <c r="MPC213" s="260"/>
      <c r="MPD213" s="260"/>
      <c r="MPE213" s="260"/>
      <c r="MPF213" s="260"/>
      <c r="MPG213" s="260"/>
      <c r="MPH213" s="308"/>
      <c r="MPI213" s="290"/>
      <c r="MPJ213" s="290"/>
      <c r="MPK213" s="260"/>
      <c r="MPL213" s="260"/>
      <c r="MPM213" s="260"/>
      <c r="MPN213" s="260"/>
      <c r="MPO213" s="260"/>
      <c r="MPP213" s="2"/>
      <c r="MPQ213" s="2"/>
      <c r="MPR213" s="2"/>
      <c r="MPS213" s="2"/>
      <c r="MPT213" s="2"/>
      <c r="MPU213" s="2"/>
      <c r="MPV213" s="260"/>
      <c r="MPW213" s="2"/>
      <c r="MPX213" s="2"/>
      <c r="MPY213" s="2"/>
      <c r="MPZ213" s="2"/>
      <c r="MQA213" s="2"/>
      <c r="MQB213" s="2"/>
      <c r="MQC213" s="2"/>
      <c r="MQD213" s="260"/>
      <c r="MQE213" s="260"/>
      <c r="MQF213" s="260"/>
      <c r="MQG213" s="380"/>
      <c r="MQH213" s="380"/>
      <c r="MQI213" s="380"/>
      <c r="MQJ213" s="2"/>
      <c r="MQK213" s="442"/>
      <c r="MQL213" s="442"/>
      <c r="MQM213" s="443"/>
      <c r="MQN213" s="442"/>
      <c r="MQO213" s="442"/>
      <c r="MQP213" s="2"/>
      <c r="MQQ213" s="2"/>
      <c r="MQR213" s="2"/>
      <c r="MQS213" s="2"/>
      <c r="MQT213" s="260"/>
      <c r="MQU213" s="260"/>
      <c r="MQV213" s="260"/>
      <c r="MQW213" s="260"/>
      <c r="MQX213" s="260"/>
      <c r="MQY213" s="260"/>
      <c r="MQZ213" s="308"/>
      <c r="MRA213" s="290"/>
      <c r="MRB213" s="290"/>
      <c r="MRC213" s="260"/>
      <c r="MRD213" s="260"/>
      <c r="MRE213" s="260"/>
      <c r="MRF213" s="260"/>
      <c r="MRG213" s="260"/>
      <c r="MRH213" s="2"/>
      <c r="MRI213" s="2"/>
      <c r="MRJ213" s="2"/>
      <c r="MRK213" s="2"/>
      <c r="MRL213" s="2"/>
      <c r="MRM213" s="2"/>
      <c r="MRN213" s="260"/>
      <c r="MRO213" s="2"/>
      <c r="MRP213" s="2"/>
      <c r="MRQ213" s="2"/>
      <c r="MRR213" s="2"/>
      <c r="MRS213" s="2"/>
      <c r="MRT213" s="2"/>
      <c r="MRU213" s="2"/>
      <c r="MRV213" s="260"/>
      <c r="MRW213" s="260"/>
      <c r="MRX213" s="260"/>
      <c r="MRY213" s="380"/>
      <c r="MRZ213" s="380"/>
      <c r="MSA213" s="380"/>
      <c r="MSB213" s="2"/>
      <c r="MSC213" s="442"/>
      <c r="MSD213" s="442"/>
      <c r="MSE213" s="443"/>
      <c r="MSF213" s="442"/>
      <c r="MSG213" s="442"/>
      <c r="MSH213" s="2"/>
      <c r="MSI213" s="2"/>
      <c r="MSJ213" s="2"/>
      <c r="MSK213" s="2"/>
      <c r="MSL213" s="260"/>
      <c r="MSM213" s="260"/>
      <c r="MSN213" s="260"/>
      <c r="MSO213" s="260"/>
      <c r="MSP213" s="260"/>
      <c r="MSQ213" s="260"/>
      <c r="MSR213" s="308"/>
      <c r="MSS213" s="290"/>
      <c r="MST213" s="290"/>
      <c r="MSU213" s="260"/>
      <c r="MSV213" s="260"/>
      <c r="MSW213" s="260"/>
      <c r="MSX213" s="260"/>
      <c r="MSY213" s="260"/>
      <c r="MSZ213" s="2"/>
      <c r="MTA213" s="2"/>
      <c r="MTB213" s="2"/>
      <c r="MTC213" s="2"/>
      <c r="MTD213" s="2"/>
      <c r="MTE213" s="2"/>
      <c r="MTF213" s="260"/>
      <c r="MTG213" s="2"/>
      <c r="MTH213" s="2"/>
      <c r="MTI213" s="2"/>
      <c r="MTJ213" s="2"/>
      <c r="MTK213" s="2"/>
      <c r="MTL213" s="2"/>
      <c r="MTM213" s="2"/>
      <c r="MTN213" s="260"/>
      <c r="MTO213" s="260"/>
      <c r="MTP213" s="260"/>
      <c r="MTQ213" s="380"/>
      <c r="MTR213" s="380"/>
      <c r="MTS213" s="380"/>
      <c r="MTT213" s="2"/>
      <c r="MTU213" s="442"/>
      <c r="MTV213" s="442"/>
      <c r="MTW213" s="443"/>
      <c r="MTX213" s="442"/>
      <c r="MTY213" s="442"/>
      <c r="MTZ213" s="2"/>
      <c r="MUA213" s="2"/>
      <c r="MUB213" s="2"/>
      <c r="MUC213" s="2"/>
      <c r="MUD213" s="260"/>
      <c r="MUE213" s="260"/>
      <c r="MUF213" s="260"/>
      <c r="MUG213" s="260"/>
      <c r="MUH213" s="260"/>
      <c r="MUI213" s="260"/>
      <c r="MUJ213" s="308"/>
      <c r="MUK213" s="290"/>
      <c r="MUL213" s="290"/>
      <c r="MUM213" s="260"/>
      <c r="MUN213" s="260"/>
      <c r="MUO213" s="260"/>
      <c r="MUP213" s="260"/>
      <c r="MUQ213" s="260"/>
      <c r="MUR213" s="2"/>
      <c r="MUS213" s="2"/>
      <c r="MUT213" s="2"/>
      <c r="MUU213" s="2"/>
      <c r="MUV213" s="2"/>
      <c r="MUW213" s="2"/>
      <c r="MUX213" s="260"/>
      <c r="MUY213" s="2"/>
      <c r="MUZ213" s="2"/>
      <c r="MVA213" s="2"/>
      <c r="MVB213" s="2"/>
      <c r="MVC213" s="2"/>
      <c r="MVD213" s="2"/>
      <c r="MVE213" s="2"/>
      <c r="MVF213" s="260"/>
      <c r="MVG213" s="260"/>
      <c r="MVH213" s="260"/>
      <c r="MVI213" s="380"/>
      <c r="MVJ213" s="380"/>
      <c r="MVK213" s="380"/>
      <c r="MVL213" s="2"/>
      <c r="MVM213" s="442"/>
      <c r="MVN213" s="442"/>
      <c r="MVO213" s="443"/>
      <c r="MVP213" s="442"/>
      <c r="MVQ213" s="442"/>
      <c r="MVR213" s="2"/>
      <c r="MVS213" s="2"/>
      <c r="MVT213" s="2"/>
      <c r="MVU213" s="2"/>
      <c r="MVV213" s="260"/>
      <c r="MVW213" s="260"/>
      <c r="MVX213" s="260"/>
      <c r="MVY213" s="260"/>
      <c r="MVZ213" s="260"/>
      <c r="MWA213" s="260"/>
      <c r="MWB213" s="308"/>
      <c r="MWC213" s="290"/>
      <c r="MWD213" s="290"/>
      <c r="MWE213" s="260"/>
      <c r="MWF213" s="260"/>
      <c r="MWG213" s="260"/>
      <c r="MWH213" s="260"/>
      <c r="MWI213" s="260"/>
      <c r="MWJ213" s="2"/>
      <c r="MWK213" s="2"/>
      <c r="MWL213" s="2"/>
      <c r="MWM213" s="2"/>
      <c r="MWN213" s="2"/>
      <c r="MWO213" s="2"/>
      <c r="MWP213" s="260"/>
      <c r="MWQ213" s="2"/>
      <c r="MWR213" s="2"/>
      <c r="MWS213" s="2"/>
      <c r="MWT213" s="2"/>
      <c r="MWU213" s="2"/>
      <c r="MWV213" s="2"/>
      <c r="MWW213" s="2"/>
      <c r="MWX213" s="260"/>
      <c r="MWY213" s="260"/>
      <c r="MWZ213" s="260"/>
      <c r="MXA213" s="380"/>
      <c r="MXB213" s="380"/>
      <c r="MXC213" s="380"/>
      <c r="MXD213" s="2"/>
      <c r="MXE213" s="442"/>
      <c r="MXF213" s="442"/>
      <c r="MXG213" s="443"/>
      <c r="MXH213" s="442"/>
      <c r="MXI213" s="442"/>
      <c r="MXJ213" s="2"/>
      <c r="MXK213" s="2"/>
      <c r="MXL213" s="2"/>
      <c r="MXM213" s="2"/>
      <c r="MXN213" s="260"/>
      <c r="MXO213" s="260"/>
      <c r="MXP213" s="260"/>
      <c r="MXQ213" s="260"/>
      <c r="MXR213" s="260"/>
      <c r="MXS213" s="260"/>
      <c r="MXT213" s="308"/>
      <c r="MXU213" s="290"/>
      <c r="MXV213" s="290"/>
      <c r="MXW213" s="260"/>
      <c r="MXX213" s="260"/>
      <c r="MXY213" s="260"/>
      <c r="MXZ213" s="260"/>
      <c r="MYA213" s="260"/>
      <c r="MYB213" s="2"/>
      <c r="MYC213" s="2"/>
      <c r="MYD213" s="2"/>
      <c r="MYE213" s="2"/>
      <c r="MYF213" s="2"/>
      <c r="MYG213" s="2"/>
      <c r="MYH213" s="260"/>
      <c r="MYI213" s="2"/>
      <c r="MYJ213" s="2"/>
      <c r="MYK213" s="2"/>
      <c r="MYL213" s="2"/>
      <c r="MYM213" s="2"/>
      <c r="MYN213" s="2"/>
      <c r="MYO213" s="2"/>
      <c r="MYP213" s="260"/>
      <c r="MYQ213" s="260"/>
      <c r="MYR213" s="260"/>
      <c r="MYS213" s="380"/>
      <c r="MYT213" s="380"/>
      <c r="MYU213" s="380"/>
      <c r="MYV213" s="2"/>
      <c r="MYW213" s="442"/>
      <c r="MYX213" s="442"/>
      <c r="MYY213" s="443"/>
      <c r="MYZ213" s="442"/>
      <c r="MZA213" s="442"/>
      <c r="MZB213" s="2"/>
      <c r="MZC213" s="2"/>
      <c r="MZD213" s="2"/>
      <c r="MZE213" s="2"/>
      <c r="MZF213" s="260"/>
      <c r="MZG213" s="260"/>
      <c r="MZH213" s="260"/>
      <c r="MZI213" s="260"/>
      <c r="MZJ213" s="260"/>
      <c r="MZK213" s="260"/>
      <c r="MZL213" s="308"/>
      <c r="MZM213" s="290"/>
      <c r="MZN213" s="290"/>
      <c r="MZO213" s="260"/>
      <c r="MZP213" s="260"/>
      <c r="MZQ213" s="260"/>
      <c r="MZR213" s="260"/>
      <c r="MZS213" s="260"/>
      <c r="MZT213" s="2"/>
      <c r="MZU213" s="2"/>
      <c r="MZV213" s="2"/>
      <c r="MZW213" s="2"/>
      <c r="MZX213" s="2"/>
      <c r="MZY213" s="2"/>
      <c r="MZZ213" s="260"/>
      <c r="NAA213" s="2"/>
      <c r="NAB213" s="2"/>
      <c r="NAC213" s="2"/>
      <c r="NAD213" s="2"/>
      <c r="NAE213" s="2"/>
      <c r="NAF213" s="2"/>
      <c r="NAG213" s="2"/>
      <c r="NAH213" s="260"/>
      <c r="NAI213" s="260"/>
      <c r="NAJ213" s="260"/>
      <c r="NAK213" s="380"/>
      <c r="NAL213" s="380"/>
      <c r="NAM213" s="380"/>
      <c r="NAN213" s="2"/>
      <c r="NAO213" s="442"/>
      <c r="NAP213" s="442"/>
      <c r="NAQ213" s="443"/>
      <c r="NAR213" s="442"/>
      <c r="NAS213" s="442"/>
      <c r="NAT213" s="2"/>
      <c r="NAU213" s="2"/>
      <c r="NAV213" s="2"/>
      <c r="NAW213" s="2"/>
      <c r="NAX213" s="260"/>
      <c r="NAY213" s="260"/>
      <c r="NAZ213" s="260"/>
      <c r="NBA213" s="260"/>
      <c r="NBB213" s="260"/>
      <c r="NBC213" s="260"/>
      <c r="NBD213" s="308"/>
      <c r="NBE213" s="290"/>
      <c r="NBF213" s="290"/>
      <c r="NBG213" s="260"/>
      <c r="NBH213" s="260"/>
      <c r="NBI213" s="260"/>
      <c r="NBJ213" s="260"/>
      <c r="NBK213" s="260"/>
      <c r="NBL213" s="2"/>
      <c r="NBM213" s="2"/>
      <c r="NBN213" s="2"/>
      <c r="NBO213" s="2"/>
      <c r="NBP213" s="2"/>
      <c r="NBQ213" s="2"/>
      <c r="NBR213" s="260"/>
      <c r="NBS213" s="2"/>
      <c r="NBT213" s="2"/>
      <c r="NBU213" s="2"/>
      <c r="NBV213" s="2"/>
      <c r="NBW213" s="2"/>
      <c r="NBX213" s="2"/>
      <c r="NBY213" s="2"/>
      <c r="NBZ213" s="260"/>
      <c r="NCA213" s="260"/>
      <c r="NCB213" s="260"/>
      <c r="NCC213" s="380"/>
      <c r="NCD213" s="380"/>
      <c r="NCE213" s="380"/>
      <c r="NCF213" s="2"/>
      <c r="NCG213" s="442"/>
      <c r="NCH213" s="442"/>
      <c r="NCI213" s="443"/>
      <c r="NCJ213" s="442"/>
      <c r="NCK213" s="442"/>
      <c r="NCL213" s="2"/>
      <c r="NCM213" s="2"/>
      <c r="NCN213" s="2"/>
      <c r="NCO213" s="2"/>
      <c r="NCP213" s="260"/>
      <c r="NCQ213" s="260"/>
      <c r="NCR213" s="260"/>
      <c r="NCS213" s="260"/>
      <c r="NCT213" s="260"/>
      <c r="NCU213" s="260"/>
      <c r="NCV213" s="308"/>
      <c r="NCW213" s="290"/>
      <c r="NCX213" s="290"/>
      <c r="NCY213" s="260"/>
      <c r="NCZ213" s="260"/>
      <c r="NDA213" s="260"/>
      <c r="NDB213" s="260"/>
      <c r="NDC213" s="260"/>
      <c r="NDD213" s="2"/>
      <c r="NDE213" s="2"/>
      <c r="NDF213" s="2"/>
      <c r="NDG213" s="2"/>
      <c r="NDH213" s="2"/>
      <c r="NDI213" s="2"/>
      <c r="NDJ213" s="260"/>
      <c r="NDK213" s="2"/>
      <c r="NDL213" s="2"/>
      <c r="NDM213" s="2"/>
      <c r="NDN213" s="2"/>
      <c r="NDO213" s="2"/>
      <c r="NDP213" s="2"/>
      <c r="NDQ213" s="2"/>
      <c r="NDR213" s="260"/>
      <c r="NDS213" s="260"/>
      <c r="NDT213" s="260"/>
      <c r="NDU213" s="380"/>
      <c r="NDV213" s="380"/>
      <c r="NDW213" s="380"/>
      <c r="NDX213" s="2"/>
      <c r="NDY213" s="442"/>
      <c r="NDZ213" s="442"/>
      <c r="NEA213" s="443"/>
      <c r="NEB213" s="442"/>
      <c r="NEC213" s="442"/>
      <c r="NED213" s="2"/>
      <c r="NEE213" s="2"/>
      <c r="NEF213" s="2"/>
      <c r="NEG213" s="2"/>
      <c r="NEH213" s="260"/>
      <c r="NEI213" s="260"/>
      <c r="NEJ213" s="260"/>
      <c r="NEK213" s="260"/>
      <c r="NEL213" s="260"/>
      <c r="NEM213" s="260"/>
      <c r="NEN213" s="308"/>
      <c r="NEO213" s="290"/>
      <c r="NEP213" s="290"/>
      <c r="NEQ213" s="260"/>
      <c r="NER213" s="260"/>
      <c r="NES213" s="260"/>
      <c r="NET213" s="260"/>
      <c r="NEU213" s="260"/>
      <c r="NEV213" s="2"/>
      <c r="NEW213" s="2"/>
      <c r="NEX213" s="2"/>
      <c r="NEY213" s="2"/>
      <c r="NEZ213" s="2"/>
      <c r="NFA213" s="2"/>
      <c r="NFB213" s="260"/>
      <c r="NFC213" s="2"/>
      <c r="NFD213" s="2"/>
      <c r="NFE213" s="2"/>
      <c r="NFF213" s="2"/>
      <c r="NFG213" s="2"/>
      <c r="NFH213" s="2"/>
      <c r="NFI213" s="2"/>
      <c r="NFJ213" s="260"/>
      <c r="NFK213" s="260"/>
      <c r="NFL213" s="260"/>
      <c r="NFM213" s="380"/>
      <c r="NFN213" s="380"/>
      <c r="NFO213" s="380"/>
      <c r="NFP213" s="2"/>
      <c r="NFQ213" s="442"/>
      <c r="NFR213" s="442"/>
      <c r="NFS213" s="443"/>
      <c r="NFT213" s="442"/>
      <c r="NFU213" s="442"/>
      <c r="NFV213" s="2"/>
      <c r="NFW213" s="2"/>
      <c r="NFX213" s="2"/>
      <c r="NFY213" s="2"/>
      <c r="NFZ213" s="260"/>
      <c r="NGA213" s="260"/>
      <c r="NGB213" s="260"/>
      <c r="NGC213" s="260"/>
      <c r="NGD213" s="260"/>
      <c r="NGE213" s="260"/>
      <c r="NGF213" s="308"/>
      <c r="NGG213" s="290"/>
      <c r="NGH213" s="290"/>
      <c r="NGI213" s="260"/>
      <c r="NGJ213" s="260"/>
      <c r="NGK213" s="260"/>
      <c r="NGL213" s="260"/>
      <c r="NGM213" s="260"/>
      <c r="NGN213" s="2"/>
      <c r="NGO213" s="2"/>
      <c r="NGP213" s="2"/>
      <c r="NGQ213" s="2"/>
      <c r="NGR213" s="2"/>
      <c r="NGS213" s="2"/>
      <c r="NGT213" s="260"/>
      <c r="NGU213" s="2"/>
      <c r="NGV213" s="2"/>
      <c r="NGW213" s="2"/>
      <c r="NGX213" s="2"/>
      <c r="NGY213" s="2"/>
      <c r="NGZ213" s="2"/>
      <c r="NHA213" s="2"/>
      <c r="NHB213" s="260"/>
      <c r="NHC213" s="260"/>
      <c r="NHD213" s="260"/>
      <c r="NHE213" s="380"/>
      <c r="NHF213" s="380"/>
      <c r="NHG213" s="380"/>
      <c r="NHH213" s="2"/>
      <c r="NHI213" s="442"/>
      <c r="NHJ213" s="442"/>
      <c r="NHK213" s="443"/>
      <c r="NHL213" s="442"/>
      <c r="NHM213" s="442"/>
      <c r="NHN213" s="2"/>
      <c r="NHO213" s="2"/>
      <c r="NHP213" s="2"/>
      <c r="NHQ213" s="2"/>
      <c r="NHR213" s="260"/>
      <c r="NHS213" s="260"/>
      <c r="NHT213" s="260"/>
      <c r="NHU213" s="260"/>
      <c r="NHV213" s="260"/>
      <c r="NHW213" s="260"/>
      <c r="NHX213" s="308"/>
      <c r="NHY213" s="290"/>
      <c r="NHZ213" s="290"/>
      <c r="NIA213" s="260"/>
      <c r="NIB213" s="260"/>
      <c r="NIC213" s="260"/>
      <c r="NID213" s="260"/>
      <c r="NIE213" s="260"/>
      <c r="NIF213" s="2"/>
      <c r="NIG213" s="2"/>
      <c r="NIH213" s="2"/>
      <c r="NII213" s="2"/>
      <c r="NIJ213" s="2"/>
      <c r="NIK213" s="2"/>
      <c r="NIL213" s="260"/>
      <c r="NIM213" s="2"/>
      <c r="NIN213" s="2"/>
      <c r="NIO213" s="2"/>
      <c r="NIP213" s="2"/>
      <c r="NIQ213" s="2"/>
      <c r="NIR213" s="2"/>
      <c r="NIS213" s="2"/>
      <c r="NIT213" s="260"/>
      <c r="NIU213" s="260"/>
      <c r="NIV213" s="260"/>
      <c r="NIW213" s="380"/>
      <c r="NIX213" s="380"/>
      <c r="NIY213" s="380"/>
      <c r="NIZ213" s="2"/>
      <c r="NJA213" s="442"/>
      <c r="NJB213" s="442"/>
      <c r="NJC213" s="443"/>
      <c r="NJD213" s="442"/>
      <c r="NJE213" s="442"/>
      <c r="NJF213" s="2"/>
      <c r="NJG213" s="2"/>
      <c r="NJH213" s="2"/>
      <c r="NJI213" s="2"/>
      <c r="NJJ213" s="260"/>
      <c r="NJK213" s="260"/>
      <c r="NJL213" s="260"/>
      <c r="NJM213" s="260"/>
      <c r="NJN213" s="260"/>
      <c r="NJO213" s="260"/>
      <c r="NJP213" s="308"/>
      <c r="NJQ213" s="290"/>
      <c r="NJR213" s="290"/>
      <c r="NJS213" s="260"/>
      <c r="NJT213" s="260"/>
      <c r="NJU213" s="260"/>
      <c r="NJV213" s="260"/>
      <c r="NJW213" s="260"/>
      <c r="NJX213" s="2"/>
      <c r="NJY213" s="2"/>
      <c r="NJZ213" s="2"/>
      <c r="NKA213" s="2"/>
      <c r="NKB213" s="2"/>
      <c r="NKC213" s="2"/>
      <c r="NKD213" s="260"/>
      <c r="NKE213" s="2"/>
      <c r="NKF213" s="2"/>
      <c r="NKG213" s="2"/>
      <c r="NKH213" s="2"/>
      <c r="NKI213" s="2"/>
      <c r="NKJ213" s="2"/>
      <c r="NKK213" s="2"/>
      <c r="NKL213" s="260"/>
      <c r="NKM213" s="260"/>
      <c r="NKN213" s="260"/>
      <c r="NKO213" s="380"/>
      <c r="NKP213" s="380"/>
      <c r="NKQ213" s="380"/>
      <c r="NKR213" s="2"/>
      <c r="NKS213" s="442"/>
      <c r="NKT213" s="442"/>
      <c r="NKU213" s="443"/>
      <c r="NKV213" s="442"/>
      <c r="NKW213" s="442"/>
      <c r="NKX213" s="2"/>
      <c r="NKY213" s="2"/>
      <c r="NKZ213" s="2"/>
      <c r="NLA213" s="2"/>
      <c r="NLB213" s="260"/>
      <c r="NLC213" s="260"/>
      <c r="NLD213" s="260"/>
      <c r="NLE213" s="260"/>
      <c r="NLF213" s="260"/>
      <c r="NLG213" s="260"/>
      <c r="NLH213" s="308"/>
      <c r="NLI213" s="290"/>
      <c r="NLJ213" s="290"/>
      <c r="NLK213" s="260"/>
      <c r="NLL213" s="260"/>
      <c r="NLM213" s="260"/>
      <c r="NLN213" s="260"/>
      <c r="NLO213" s="260"/>
      <c r="NLP213" s="2"/>
      <c r="NLQ213" s="2"/>
      <c r="NLR213" s="2"/>
      <c r="NLS213" s="2"/>
      <c r="NLT213" s="2"/>
      <c r="NLU213" s="2"/>
      <c r="NLV213" s="260"/>
      <c r="NLW213" s="2"/>
      <c r="NLX213" s="2"/>
      <c r="NLY213" s="2"/>
      <c r="NLZ213" s="2"/>
      <c r="NMA213" s="2"/>
      <c r="NMB213" s="2"/>
      <c r="NMC213" s="2"/>
      <c r="NMD213" s="260"/>
      <c r="NME213" s="260"/>
      <c r="NMF213" s="260"/>
      <c r="NMG213" s="380"/>
      <c r="NMH213" s="380"/>
      <c r="NMI213" s="380"/>
      <c r="NMJ213" s="2"/>
      <c r="NMK213" s="442"/>
      <c r="NML213" s="442"/>
      <c r="NMM213" s="443"/>
      <c r="NMN213" s="442"/>
      <c r="NMO213" s="442"/>
      <c r="NMP213" s="2"/>
      <c r="NMQ213" s="2"/>
      <c r="NMR213" s="2"/>
      <c r="NMS213" s="2"/>
      <c r="NMT213" s="260"/>
      <c r="NMU213" s="260"/>
      <c r="NMV213" s="260"/>
      <c r="NMW213" s="260"/>
      <c r="NMX213" s="260"/>
      <c r="NMY213" s="260"/>
      <c r="NMZ213" s="308"/>
      <c r="NNA213" s="290"/>
      <c r="NNB213" s="290"/>
      <c r="NNC213" s="260"/>
      <c r="NND213" s="260"/>
      <c r="NNE213" s="260"/>
      <c r="NNF213" s="260"/>
      <c r="NNG213" s="260"/>
      <c r="NNH213" s="2"/>
      <c r="NNI213" s="2"/>
      <c r="NNJ213" s="2"/>
      <c r="NNK213" s="2"/>
      <c r="NNL213" s="2"/>
      <c r="NNM213" s="2"/>
      <c r="NNN213" s="260"/>
      <c r="NNO213" s="2"/>
      <c r="NNP213" s="2"/>
      <c r="NNQ213" s="2"/>
      <c r="NNR213" s="2"/>
      <c r="NNS213" s="2"/>
      <c r="NNT213" s="2"/>
      <c r="NNU213" s="2"/>
      <c r="NNV213" s="260"/>
      <c r="NNW213" s="260"/>
      <c r="NNX213" s="260"/>
      <c r="NNY213" s="380"/>
      <c r="NNZ213" s="380"/>
      <c r="NOA213" s="380"/>
      <c r="NOB213" s="2"/>
      <c r="NOC213" s="442"/>
      <c r="NOD213" s="442"/>
      <c r="NOE213" s="443"/>
      <c r="NOF213" s="442"/>
      <c r="NOG213" s="442"/>
      <c r="NOH213" s="2"/>
      <c r="NOI213" s="2"/>
      <c r="NOJ213" s="2"/>
      <c r="NOK213" s="2"/>
      <c r="NOL213" s="260"/>
      <c r="NOM213" s="260"/>
      <c r="NON213" s="260"/>
      <c r="NOO213" s="260"/>
      <c r="NOP213" s="260"/>
      <c r="NOQ213" s="260"/>
      <c r="NOR213" s="308"/>
      <c r="NOS213" s="290"/>
      <c r="NOT213" s="290"/>
      <c r="NOU213" s="260"/>
      <c r="NOV213" s="260"/>
      <c r="NOW213" s="260"/>
      <c r="NOX213" s="260"/>
      <c r="NOY213" s="260"/>
      <c r="NOZ213" s="2"/>
      <c r="NPA213" s="2"/>
      <c r="NPB213" s="2"/>
      <c r="NPC213" s="2"/>
      <c r="NPD213" s="2"/>
      <c r="NPE213" s="2"/>
      <c r="NPF213" s="260"/>
      <c r="NPG213" s="2"/>
      <c r="NPH213" s="2"/>
      <c r="NPI213" s="2"/>
      <c r="NPJ213" s="2"/>
      <c r="NPK213" s="2"/>
      <c r="NPL213" s="2"/>
      <c r="NPM213" s="2"/>
      <c r="NPN213" s="260"/>
      <c r="NPO213" s="260"/>
      <c r="NPP213" s="260"/>
      <c r="NPQ213" s="380"/>
      <c r="NPR213" s="380"/>
      <c r="NPS213" s="380"/>
      <c r="NPT213" s="2"/>
      <c r="NPU213" s="442"/>
      <c r="NPV213" s="442"/>
      <c r="NPW213" s="443"/>
      <c r="NPX213" s="442"/>
      <c r="NPY213" s="442"/>
      <c r="NPZ213" s="2"/>
      <c r="NQA213" s="2"/>
      <c r="NQB213" s="2"/>
      <c r="NQC213" s="2"/>
      <c r="NQD213" s="260"/>
      <c r="NQE213" s="260"/>
      <c r="NQF213" s="260"/>
      <c r="NQG213" s="260"/>
      <c r="NQH213" s="260"/>
      <c r="NQI213" s="260"/>
      <c r="NQJ213" s="308"/>
      <c r="NQK213" s="290"/>
      <c r="NQL213" s="290"/>
      <c r="NQM213" s="260"/>
      <c r="NQN213" s="260"/>
      <c r="NQO213" s="260"/>
      <c r="NQP213" s="260"/>
      <c r="NQQ213" s="260"/>
      <c r="NQR213" s="2"/>
      <c r="NQS213" s="2"/>
      <c r="NQT213" s="2"/>
      <c r="NQU213" s="2"/>
      <c r="NQV213" s="2"/>
      <c r="NQW213" s="2"/>
      <c r="NQX213" s="260"/>
      <c r="NQY213" s="2"/>
      <c r="NQZ213" s="2"/>
      <c r="NRA213" s="2"/>
      <c r="NRB213" s="2"/>
      <c r="NRC213" s="2"/>
      <c r="NRD213" s="2"/>
      <c r="NRE213" s="2"/>
      <c r="NRF213" s="260"/>
      <c r="NRG213" s="260"/>
      <c r="NRH213" s="260"/>
      <c r="NRI213" s="380"/>
      <c r="NRJ213" s="380"/>
      <c r="NRK213" s="380"/>
      <c r="NRL213" s="2"/>
      <c r="NRM213" s="442"/>
      <c r="NRN213" s="442"/>
      <c r="NRO213" s="443"/>
      <c r="NRP213" s="442"/>
      <c r="NRQ213" s="442"/>
      <c r="NRR213" s="2"/>
      <c r="NRS213" s="2"/>
      <c r="NRT213" s="2"/>
      <c r="NRU213" s="2"/>
      <c r="NRV213" s="260"/>
      <c r="NRW213" s="260"/>
      <c r="NRX213" s="260"/>
      <c r="NRY213" s="260"/>
      <c r="NRZ213" s="260"/>
      <c r="NSA213" s="260"/>
      <c r="NSB213" s="308"/>
      <c r="NSC213" s="290"/>
      <c r="NSD213" s="290"/>
      <c r="NSE213" s="260"/>
      <c r="NSF213" s="260"/>
      <c r="NSG213" s="260"/>
      <c r="NSH213" s="260"/>
      <c r="NSI213" s="260"/>
      <c r="NSJ213" s="2"/>
      <c r="NSK213" s="2"/>
      <c r="NSL213" s="2"/>
      <c r="NSM213" s="2"/>
      <c r="NSN213" s="2"/>
      <c r="NSO213" s="2"/>
      <c r="NSP213" s="260"/>
      <c r="NSQ213" s="2"/>
      <c r="NSR213" s="2"/>
      <c r="NSS213" s="2"/>
      <c r="NST213" s="2"/>
      <c r="NSU213" s="2"/>
      <c r="NSV213" s="2"/>
      <c r="NSW213" s="2"/>
      <c r="NSX213" s="260"/>
      <c r="NSY213" s="260"/>
      <c r="NSZ213" s="260"/>
      <c r="NTA213" s="380"/>
      <c r="NTB213" s="380"/>
      <c r="NTC213" s="380"/>
      <c r="NTD213" s="2"/>
      <c r="NTE213" s="442"/>
      <c r="NTF213" s="442"/>
      <c r="NTG213" s="443"/>
      <c r="NTH213" s="442"/>
      <c r="NTI213" s="442"/>
      <c r="NTJ213" s="2"/>
      <c r="NTK213" s="2"/>
      <c r="NTL213" s="2"/>
      <c r="NTM213" s="2"/>
      <c r="NTN213" s="260"/>
      <c r="NTO213" s="260"/>
      <c r="NTP213" s="260"/>
      <c r="NTQ213" s="260"/>
      <c r="NTR213" s="260"/>
      <c r="NTS213" s="260"/>
      <c r="NTT213" s="308"/>
      <c r="NTU213" s="290"/>
      <c r="NTV213" s="290"/>
      <c r="NTW213" s="260"/>
      <c r="NTX213" s="260"/>
      <c r="NTY213" s="260"/>
      <c r="NTZ213" s="260"/>
      <c r="NUA213" s="260"/>
      <c r="NUB213" s="2"/>
      <c r="NUC213" s="2"/>
      <c r="NUD213" s="2"/>
      <c r="NUE213" s="2"/>
      <c r="NUF213" s="2"/>
      <c r="NUG213" s="2"/>
      <c r="NUH213" s="260"/>
      <c r="NUI213" s="2"/>
      <c r="NUJ213" s="2"/>
      <c r="NUK213" s="2"/>
      <c r="NUL213" s="2"/>
      <c r="NUM213" s="2"/>
      <c r="NUN213" s="2"/>
      <c r="NUO213" s="2"/>
      <c r="NUP213" s="260"/>
      <c r="NUQ213" s="260"/>
      <c r="NUR213" s="260"/>
      <c r="NUS213" s="380"/>
      <c r="NUT213" s="380"/>
      <c r="NUU213" s="380"/>
      <c r="NUV213" s="2"/>
      <c r="NUW213" s="442"/>
      <c r="NUX213" s="442"/>
      <c r="NUY213" s="443"/>
      <c r="NUZ213" s="442"/>
      <c r="NVA213" s="442"/>
      <c r="NVB213" s="2"/>
      <c r="NVC213" s="2"/>
      <c r="NVD213" s="2"/>
      <c r="NVE213" s="2"/>
      <c r="NVF213" s="260"/>
      <c r="NVG213" s="260"/>
      <c r="NVH213" s="260"/>
      <c r="NVI213" s="260"/>
      <c r="NVJ213" s="260"/>
      <c r="NVK213" s="260"/>
      <c r="NVL213" s="308"/>
      <c r="NVM213" s="290"/>
      <c r="NVN213" s="290"/>
      <c r="NVO213" s="260"/>
      <c r="NVP213" s="260"/>
      <c r="NVQ213" s="260"/>
      <c r="NVR213" s="260"/>
      <c r="NVS213" s="260"/>
      <c r="NVT213" s="2"/>
      <c r="NVU213" s="2"/>
      <c r="NVV213" s="2"/>
      <c r="NVW213" s="2"/>
      <c r="NVX213" s="2"/>
      <c r="NVY213" s="2"/>
      <c r="NVZ213" s="260"/>
      <c r="NWA213" s="2"/>
      <c r="NWB213" s="2"/>
      <c r="NWC213" s="2"/>
      <c r="NWD213" s="2"/>
      <c r="NWE213" s="2"/>
      <c r="NWF213" s="2"/>
      <c r="NWG213" s="2"/>
      <c r="NWH213" s="260"/>
      <c r="NWI213" s="260"/>
      <c r="NWJ213" s="260"/>
      <c r="NWK213" s="380"/>
      <c r="NWL213" s="380"/>
      <c r="NWM213" s="380"/>
      <c r="NWN213" s="2"/>
      <c r="NWO213" s="442"/>
      <c r="NWP213" s="442"/>
      <c r="NWQ213" s="443"/>
      <c r="NWR213" s="442"/>
      <c r="NWS213" s="442"/>
      <c r="NWT213" s="2"/>
      <c r="NWU213" s="2"/>
      <c r="NWV213" s="2"/>
      <c r="NWW213" s="2"/>
      <c r="NWX213" s="260"/>
      <c r="NWY213" s="260"/>
      <c r="NWZ213" s="260"/>
      <c r="NXA213" s="260"/>
      <c r="NXB213" s="260"/>
      <c r="NXC213" s="260"/>
      <c r="NXD213" s="308"/>
      <c r="NXE213" s="290"/>
      <c r="NXF213" s="290"/>
      <c r="NXG213" s="260"/>
      <c r="NXH213" s="260"/>
      <c r="NXI213" s="260"/>
      <c r="NXJ213" s="260"/>
      <c r="NXK213" s="260"/>
      <c r="NXL213" s="2"/>
      <c r="NXM213" s="2"/>
      <c r="NXN213" s="2"/>
      <c r="NXO213" s="2"/>
      <c r="NXP213" s="2"/>
      <c r="NXQ213" s="2"/>
      <c r="NXR213" s="260"/>
      <c r="NXS213" s="2"/>
      <c r="NXT213" s="2"/>
      <c r="NXU213" s="2"/>
      <c r="NXV213" s="2"/>
      <c r="NXW213" s="2"/>
      <c r="NXX213" s="2"/>
      <c r="NXY213" s="2"/>
      <c r="NXZ213" s="260"/>
      <c r="NYA213" s="260"/>
      <c r="NYB213" s="260"/>
      <c r="NYC213" s="380"/>
      <c r="NYD213" s="380"/>
      <c r="NYE213" s="380"/>
      <c r="NYF213" s="2"/>
      <c r="NYG213" s="442"/>
      <c r="NYH213" s="442"/>
      <c r="NYI213" s="443"/>
      <c r="NYJ213" s="442"/>
      <c r="NYK213" s="442"/>
      <c r="NYL213" s="2"/>
      <c r="NYM213" s="2"/>
      <c r="NYN213" s="2"/>
      <c r="NYO213" s="2"/>
      <c r="NYP213" s="260"/>
      <c r="NYQ213" s="260"/>
      <c r="NYR213" s="260"/>
      <c r="NYS213" s="260"/>
      <c r="NYT213" s="260"/>
      <c r="NYU213" s="260"/>
      <c r="NYV213" s="308"/>
      <c r="NYW213" s="290"/>
      <c r="NYX213" s="290"/>
      <c r="NYY213" s="260"/>
      <c r="NYZ213" s="260"/>
      <c r="NZA213" s="260"/>
      <c r="NZB213" s="260"/>
      <c r="NZC213" s="260"/>
      <c r="NZD213" s="2"/>
      <c r="NZE213" s="2"/>
      <c r="NZF213" s="2"/>
      <c r="NZG213" s="2"/>
      <c r="NZH213" s="2"/>
      <c r="NZI213" s="2"/>
      <c r="NZJ213" s="260"/>
      <c r="NZK213" s="2"/>
      <c r="NZL213" s="2"/>
      <c r="NZM213" s="2"/>
      <c r="NZN213" s="2"/>
      <c r="NZO213" s="2"/>
      <c r="NZP213" s="2"/>
      <c r="NZQ213" s="2"/>
      <c r="NZR213" s="260"/>
      <c r="NZS213" s="260"/>
      <c r="NZT213" s="260"/>
      <c r="NZU213" s="380"/>
      <c r="NZV213" s="380"/>
      <c r="NZW213" s="380"/>
      <c r="NZX213" s="2"/>
      <c r="NZY213" s="442"/>
      <c r="NZZ213" s="442"/>
      <c r="OAA213" s="443"/>
      <c r="OAB213" s="442"/>
      <c r="OAC213" s="442"/>
      <c r="OAD213" s="2"/>
      <c r="OAE213" s="2"/>
      <c r="OAF213" s="2"/>
      <c r="OAG213" s="2"/>
      <c r="OAH213" s="260"/>
      <c r="OAI213" s="260"/>
      <c r="OAJ213" s="260"/>
      <c r="OAK213" s="260"/>
      <c r="OAL213" s="260"/>
      <c r="OAM213" s="260"/>
      <c r="OAN213" s="308"/>
      <c r="OAO213" s="290"/>
      <c r="OAP213" s="290"/>
      <c r="OAQ213" s="260"/>
      <c r="OAR213" s="260"/>
      <c r="OAS213" s="260"/>
      <c r="OAT213" s="260"/>
      <c r="OAU213" s="260"/>
      <c r="OAV213" s="2"/>
      <c r="OAW213" s="2"/>
      <c r="OAX213" s="2"/>
      <c r="OAY213" s="2"/>
      <c r="OAZ213" s="2"/>
      <c r="OBA213" s="2"/>
      <c r="OBB213" s="260"/>
      <c r="OBC213" s="2"/>
      <c r="OBD213" s="2"/>
      <c r="OBE213" s="2"/>
      <c r="OBF213" s="2"/>
      <c r="OBG213" s="2"/>
      <c r="OBH213" s="2"/>
      <c r="OBI213" s="2"/>
      <c r="OBJ213" s="260"/>
      <c r="OBK213" s="260"/>
      <c r="OBL213" s="260"/>
      <c r="OBM213" s="380"/>
      <c r="OBN213" s="380"/>
      <c r="OBO213" s="380"/>
      <c r="OBP213" s="2"/>
      <c r="OBQ213" s="442"/>
      <c r="OBR213" s="442"/>
      <c r="OBS213" s="443"/>
      <c r="OBT213" s="442"/>
      <c r="OBU213" s="442"/>
      <c r="OBV213" s="2"/>
      <c r="OBW213" s="2"/>
      <c r="OBX213" s="2"/>
      <c r="OBY213" s="2"/>
      <c r="OBZ213" s="260"/>
      <c r="OCA213" s="260"/>
      <c r="OCB213" s="260"/>
      <c r="OCC213" s="260"/>
      <c r="OCD213" s="260"/>
      <c r="OCE213" s="260"/>
      <c r="OCF213" s="308"/>
      <c r="OCG213" s="290"/>
      <c r="OCH213" s="290"/>
      <c r="OCI213" s="260"/>
      <c r="OCJ213" s="260"/>
      <c r="OCK213" s="260"/>
      <c r="OCL213" s="260"/>
      <c r="OCM213" s="260"/>
      <c r="OCN213" s="2"/>
      <c r="OCO213" s="2"/>
      <c r="OCP213" s="2"/>
      <c r="OCQ213" s="2"/>
      <c r="OCR213" s="2"/>
      <c r="OCS213" s="2"/>
      <c r="OCT213" s="260"/>
      <c r="OCU213" s="2"/>
      <c r="OCV213" s="2"/>
      <c r="OCW213" s="2"/>
      <c r="OCX213" s="2"/>
      <c r="OCY213" s="2"/>
      <c r="OCZ213" s="2"/>
      <c r="ODA213" s="2"/>
      <c r="ODB213" s="260"/>
      <c r="ODC213" s="260"/>
      <c r="ODD213" s="260"/>
      <c r="ODE213" s="380"/>
      <c r="ODF213" s="380"/>
      <c r="ODG213" s="380"/>
      <c r="ODH213" s="2"/>
      <c r="ODI213" s="442"/>
      <c r="ODJ213" s="442"/>
      <c r="ODK213" s="443"/>
      <c r="ODL213" s="442"/>
      <c r="ODM213" s="442"/>
      <c r="ODN213" s="2"/>
      <c r="ODO213" s="2"/>
      <c r="ODP213" s="2"/>
      <c r="ODQ213" s="2"/>
      <c r="ODR213" s="260"/>
      <c r="ODS213" s="260"/>
      <c r="ODT213" s="260"/>
      <c r="ODU213" s="260"/>
      <c r="ODV213" s="260"/>
      <c r="ODW213" s="260"/>
      <c r="ODX213" s="308"/>
      <c r="ODY213" s="290"/>
      <c r="ODZ213" s="290"/>
      <c r="OEA213" s="260"/>
      <c r="OEB213" s="260"/>
      <c r="OEC213" s="260"/>
      <c r="OED213" s="260"/>
      <c r="OEE213" s="260"/>
      <c r="OEF213" s="2"/>
      <c r="OEG213" s="2"/>
      <c r="OEH213" s="2"/>
      <c r="OEI213" s="2"/>
      <c r="OEJ213" s="2"/>
      <c r="OEK213" s="2"/>
      <c r="OEL213" s="260"/>
      <c r="OEM213" s="2"/>
      <c r="OEN213" s="2"/>
      <c r="OEO213" s="2"/>
      <c r="OEP213" s="2"/>
      <c r="OEQ213" s="2"/>
      <c r="OER213" s="2"/>
      <c r="OES213" s="2"/>
      <c r="OET213" s="260"/>
      <c r="OEU213" s="260"/>
      <c r="OEV213" s="260"/>
      <c r="OEW213" s="380"/>
      <c r="OEX213" s="380"/>
      <c r="OEY213" s="380"/>
      <c r="OEZ213" s="2"/>
      <c r="OFA213" s="442"/>
      <c r="OFB213" s="442"/>
      <c r="OFC213" s="443"/>
      <c r="OFD213" s="442"/>
      <c r="OFE213" s="442"/>
      <c r="OFF213" s="2"/>
      <c r="OFG213" s="2"/>
      <c r="OFH213" s="2"/>
      <c r="OFI213" s="2"/>
      <c r="OFJ213" s="260"/>
      <c r="OFK213" s="260"/>
      <c r="OFL213" s="260"/>
      <c r="OFM213" s="260"/>
      <c r="OFN213" s="260"/>
      <c r="OFO213" s="260"/>
      <c r="OFP213" s="308"/>
      <c r="OFQ213" s="290"/>
      <c r="OFR213" s="290"/>
      <c r="OFS213" s="260"/>
      <c r="OFT213" s="260"/>
      <c r="OFU213" s="260"/>
      <c r="OFV213" s="260"/>
      <c r="OFW213" s="260"/>
      <c r="OFX213" s="2"/>
      <c r="OFY213" s="2"/>
      <c r="OFZ213" s="2"/>
      <c r="OGA213" s="2"/>
      <c r="OGB213" s="2"/>
      <c r="OGC213" s="2"/>
      <c r="OGD213" s="260"/>
      <c r="OGE213" s="2"/>
      <c r="OGF213" s="2"/>
      <c r="OGG213" s="2"/>
      <c r="OGH213" s="2"/>
      <c r="OGI213" s="2"/>
      <c r="OGJ213" s="2"/>
      <c r="OGK213" s="2"/>
      <c r="OGL213" s="260"/>
      <c r="OGM213" s="260"/>
      <c r="OGN213" s="260"/>
      <c r="OGO213" s="380"/>
      <c r="OGP213" s="380"/>
      <c r="OGQ213" s="380"/>
      <c r="OGR213" s="2"/>
      <c r="OGS213" s="442"/>
      <c r="OGT213" s="442"/>
      <c r="OGU213" s="443"/>
      <c r="OGV213" s="442"/>
      <c r="OGW213" s="442"/>
      <c r="OGX213" s="2"/>
      <c r="OGY213" s="2"/>
      <c r="OGZ213" s="2"/>
      <c r="OHA213" s="2"/>
      <c r="OHB213" s="260"/>
      <c r="OHC213" s="260"/>
      <c r="OHD213" s="260"/>
      <c r="OHE213" s="260"/>
      <c r="OHF213" s="260"/>
      <c r="OHG213" s="260"/>
      <c r="OHH213" s="308"/>
      <c r="OHI213" s="290"/>
      <c r="OHJ213" s="290"/>
      <c r="OHK213" s="260"/>
      <c r="OHL213" s="260"/>
      <c r="OHM213" s="260"/>
      <c r="OHN213" s="260"/>
      <c r="OHO213" s="260"/>
      <c r="OHP213" s="2"/>
      <c r="OHQ213" s="2"/>
      <c r="OHR213" s="2"/>
      <c r="OHS213" s="2"/>
      <c r="OHT213" s="2"/>
      <c r="OHU213" s="2"/>
      <c r="OHV213" s="260"/>
      <c r="OHW213" s="2"/>
      <c r="OHX213" s="2"/>
      <c r="OHY213" s="2"/>
      <c r="OHZ213" s="2"/>
      <c r="OIA213" s="2"/>
      <c r="OIB213" s="2"/>
      <c r="OIC213" s="2"/>
      <c r="OID213" s="260"/>
      <c r="OIE213" s="260"/>
      <c r="OIF213" s="260"/>
      <c r="OIG213" s="380"/>
      <c r="OIH213" s="380"/>
      <c r="OII213" s="380"/>
      <c r="OIJ213" s="2"/>
      <c r="OIK213" s="442"/>
      <c r="OIL213" s="442"/>
      <c r="OIM213" s="443"/>
      <c r="OIN213" s="442"/>
      <c r="OIO213" s="442"/>
      <c r="OIP213" s="2"/>
      <c r="OIQ213" s="2"/>
      <c r="OIR213" s="2"/>
      <c r="OIS213" s="2"/>
      <c r="OIT213" s="260"/>
      <c r="OIU213" s="260"/>
      <c r="OIV213" s="260"/>
      <c r="OIW213" s="260"/>
      <c r="OIX213" s="260"/>
      <c r="OIY213" s="260"/>
      <c r="OIZ213" s="308"/>
      <c r="OJA213" s="290"/>
      <c r="OJB213" s="290"/>
      <c r="OJC213" s="260"/>
      <c r="OJD213" s="260"/>
      <c r="OJE213" s="260"/>
      <c r="OJF213" s="260"/>
      <c r="OJG213" s="260"/>
      <c r="OJH213" s="2"/>
      <c r="OJI213" s="2"/>
      <c r="OJJ213" s="2"/>
      <c r="OJK213" s="2"/>
      <c r="OJL213" s="2"/>
      <c r="OJM213" s="2"/>
      <c r="OJN213" s="260"/>
      <c r="OJO213" s="2"/>
      <c r="OJP213" s="2"/>
      <c r="OJQ213" s="2"/>
      <c r="OJR213" s="2"/>
      <c r="OJS213" s="2"/>
      <c r="OJT213" s="2"/>
      <c r="OJU213" s="2"/>
      <c r="OJV213" s="260"/>
      <c r="OJW213" s="260"/>
      <c r="OJX213" s="260"/>
      <c r="OJY213" s="380"/>
      <c r="OJZ213" s="380"/>
      <c r="OKA213" s="380"/>
      <c r="OKB213" s="2"/>
      <c r="OKC213" s="442"/>
      <c r="OKD213" s="442"/>
      <c r="OKE213" s="443"/>
      <c r="OKF213" s="442"/>
      <c r="OKG213" s="442"/>
      <c r="OKH213" s="2"/>
      <c r="OKI213" s="2"/>
      <c r="OKJ213" s="2"/>
      <c r="OKK213" s="2"/>
      <c r="OKL213" s="260"/>
      <c r="OKM213" s="260"/>
      <c r="OKN213" s="260"/>
      <c r="OKO213" s="260"/>
      <c r="OKP213" s="260"/>
      <c r="OKQ213" s="260"/>
      <c r="OKR213" s="308"/>
      <c r="OKS213" s="290"/>
      <c r="OKT213" s="290"/>
      <c r="OKU213" s="260"/>
      <c r="OKV213" s="260"/>
      <c r="OKW213" s="260"/>
      <c r="OKX213" s="260"/>
      <c r="OKY213" s="260"/>
      <c r="OKZ213" s="2"/>
      <c r="OLA213" s="2"/>
      <c r="OLB213" s="2"/>
      <c r="OLC213" s="2"/>
      <c r="OLD213" s="2"/>
      <c r="OLE213" s="2"/>
      <c r="OLF213" s="260"/>
      <c r="OLG213" s="2"/>
      <c r="OLH213" s="2"/>
      <c r="OLI213" s="2"/>
      <c r="OLJ213" s="2"/>
      <c r="OLK213" s="2"/>
      <c r="OLL213" s="2"/>
      <c r="OLM213" s="2"/>
      <c r="OLN213" s="260"/>
      <c r="OLO213" s="260"/>
      <c r="OLP213" s="260"/>
      <c r="OLQ213" s="380"/>
      <c r="OLR213" s="380"/>
      <c r="OLS213" s="380"/>
      <c r="OLT213" s="2"/>
      <c r="OLU213" s="442"/>
      <c r="OLV213" s="442"/>
      <c r="OLW213" s="443"/>
      <c r="OLX213" s="442"/>
      <c r="OLY213" s="442"/>
      <c r="OLZ213" s="2"/>
      <c r="OMA213" s="2"/>
      <c r="OMB213" s="2"/>
      <c r="OMC213" s="2"/>
      <c r="OMD213" s="260"/>
      <c r="OME213" s="260"/>
      <c r="OMF213" s="260"/>
      <c r="OMG213" s="260"/>
      <c r="OMH213" s="260"/>
      <c r="OMI213" s="260"/>
      <c r="OMJ213" s="308"/>
      <c r="OMK213" s="290"/>
      <c r="OML213" s="290"/>
      <c r="OMM213" s="260"/>
      <c r="OMN213" s="260"/>
      <c r="OMO213" s="260"/>
      <c r="OMP213" s="260"/>
      <c r="OMQ213" s="260"/>
      <c r="OMR213" s="2"/>
      <c r="OMS213" s="2"/>
      <c r="OMT213" s="2"/>
      <c r="OMU213" s="2"/>
      <c r="OMV213" s="2"/>
      <c r="OMW213" s="2"/>
      <c r="OMX213" s="260"/>
      <c r="OMY213" s="2"/>
      <c r="OMZ213" s="2"/>
      <c r="ONA213" s="2"/>
      <c r="ONB213" s="2"/>
      <c r="ONC213" s="2"/>
      <c r="OND213" s="2"/>
      <c r="ONE213" s="2"/>
      <c r="ONF213" s="260"/>
      <c r="ONG213" s="260"/>
      <c r="ONH213" s="260"/>
      <c r="ONI213" s="380"/>
      <c r="ONJ213" s="380"/>
      <c r="ONK213" s="380"/>
      <c r="ONL213" s="2"/>
      <c r="ONM213" s="442"/>
      <c r="ONN213" s="442"/>
      <c r="ONO213" s="443"/>
      <c r="ONP213" s="442"/>
      <c r="ONQ213" s="442"/>
      <c r="ONR213" s="2"/>
      <c r="ONS213" s="2"/>
      <c r="ONT213" s="2"/>
      <c r="ONU213" s="2"/>
      <c r="ONV213" s="260"/>
      <c r="ONW213" s="260"/>
      <c r="ONX213" s="260"/>
      <c r="ONY213" s="260"/>
      <c r="ONZ213" s="260"/>
      <c r="OOA213" s="260"/>
      <c r="OOB213" s="308"/>
      <c r="OOC213" s="290"/>
      <c r="OOD213" s="290"/>
      <c r="OOE213" s="260"/>
      <c r="OOF213" s="260"/>
      <c r="OOG213" s="260"/>
      <c r="OOH213" s="260"/>
      <c r="OOI213" s="260"/>
      <c r="OOJ213" s="2"/>
      <c r="OOK213" s="2"/>
      <c r="OOL213" s="2"/>
      <c r="OOM213" s="2"/>
      <c r="OON213" s="2"/>
      <c r="OOO213" s="2"/>
      <c r="OOP213" s="260"/>
      <c r="OOQ213" s="2"/>
      <c r="OOR213" s="2"/>
      <c r="OOS213" s="2"/>
      <c r="OOT213" s="2"/>
      <c r="OOU213" s="2"/>
      <c r="OOV213" s="2"/>
      <c r="OOW213" s="2"/>
      <c r="OOX213" s="260"/>
      <c r="OOY213" s="260"/>
      <c r="OOZ213" s="260"/>
      <c r="OPA213" s="380"/>
      <c r="OPB213" s="380"/>
      <c r="OPC213" s="380"/>
      <c r="OPD213" s="2"/>
      <c r="OPE213" s="442"/>
      <c r="OPF213" s="442"/>
      <c r="OPG213" s="443"/>
      <c r="OPH213" s="442"/>
      <c r="OPI213" s="442"/>
      <c r="OPJ213" s="2"/>
      <c r="OPK213" s="2"/>
      <c r="OPL213" s="2"/>
      <c r="OPM213" s="2"/>
      <c r="OPN213" s="260"/>
      <c r="OPO213" s="260"/>
      <c r="OPP213" s="260"/>
      <c r="OPQ213" s="260"/>
      <c r="OPR213" s="260"/>
      <c r="OPS213" s="260"/>
      <c r="OPT213" s="308"/>
      <c r="OPU213" s="290"/>
      <c r="OPV213" s="290"/>
      <c r="OPW213" s="260"/>
      <c r="OPX213" s="260"/>
      <c r="OPY213" s="260"/>
      <c r="OPZ213" s="260"/>
      <c r="OQA213" s="260"/>
      <c r="OQB213" s="2"/>
      <c r="OQC213" s="2"/>
      <c r="OQD213" s="2"/>
      <c r="OQE213" s="2"/>
      <c r="OQF213" s="2"/>
      <c r="OQG213" s="2"/>
      <c r="OQH213" s="260"/>
      <c r="OQI213" s="2"/>
      <c r="OQJ213" s="2"/>
      <c r="OQK213" s="2"/>
      <c r="OQL213" s="2"/>
      <c r="OQM213" s="2"/>
      <c r="OQN213" s="2"/>
      <c r="OQO213" s="2"/>
      <c r="OQP213" s="260"/>
      <c r="OQQ213" s="260"/>
      <c r="OQR213" s="260"/>
      <c r="OQS213" s="380"/>
      <c r="OQT213" s="380"/>
      <c r="OQU213" s="380"/>
      <c r="OQV213" s="2"/>
      <c r="OQW213" s="442"/>
      <c r="OQX213" s="442"/>
      <c r="OQY213" s="443"/>
      <c r="OQZ213" s="442"/>
      <c r="ORA213" s="442"/>
      <c r="ORB213" s="2"/>
      <c r="ORC213" s="2"/>
      <c r="ORD213" s="2"/>
      <c r="ORE213" s="2"/>
      <c r="ORF213" s="260"/>
      <c r="ORG213" s="260"/>
      <c r="ORH213" s="260"/>
      <c r="ORI213" s="260"/>
      <c r="ORJ213" s="260"/>
      <c r="ORK213" s="260"/>
      <c r="ORL213" s="308"/>
      <c r="ORM213" s="290"/>
      <c r="ORN213" s="290"/>
      <c r="ORO213" s="260"/>
      <c r="ORP213" s="260"/>
      <c r="ORQ213" s="260"/>
      <c r="ORR213" s="260"/>
      <c r="ORS213" s="260"/>
      <c r="ORT213" s="2"/>
      <c r="ORU213" s="2"/>
      <c r="ORV213" s="2"/>
      <c r="ORW213" s="2"/>
      <c r="ORX213" s="2"/>
      <c r="ORY213" s="2"/>
      <c r="ORZ213" s="260"/>
      <c r="OSA213" s="2"/>
      <c r="OSB213" s="2"/>
      <c r="OSC213" s="2"/>
      <c r="OSD213" s="2"/>
      <c r="OSE213" s="2"/>
      <c r="OSF213" s="2"/>
      <c r="OSG213" s="2"/>
      <c r="OSH213" s="260"/>
      <c r="OSI213" s="260"/>
      <c r="OSJ213" s="260"/>
      <c r="OSK213" s="380"/>
      <c r="OSL213" s="380"/>
      <c r="OSM213" s="380"/>
      <c r="OSN213" s="2"/>
      <c r="OSO213" s="442"/>
      <c r="OSP213" s="442"/>
      <c r="OSQ213" s="443"/>
      <c r="OSR213" s="442"/>
      <c r="OSS213" s="442"/>
      <c r="OST213" s="2"/>
      <c r="OSU213" s="2"/>
      <c r="OSV213" s="2"/>
      <c r="OSW213" s="2"/>
      <c r="OSX213" s="260"/>
      <c r="OSY213" s="260"/>
      <c r="OSZ213" s="260"/>
      <c r="OTA213" s="260"/>
      <c r="OTB213" s="260"/>
      <c r="OTC213" s="260"/>
      <c r="OTD213" s="308"/>
      <c r="OTE213" s="290"/>
      <c r="OTF213" s="290"/>
      <c r="OTG213" s="260"/>
      <c r="OTH213" s="260"/>
      <c r="OTI213" s="260"/>
      <c r="OTJ213" s="260"/>
      <c r="OTK213" s="260"/>
      <c r="OTL213" s="2"/>
      <c r="OTM213" s="2"/>
      <c r="OTN213" s="2"/>
      <c r="OTO213" s="2"/>
      <c r="OTP213" s="2"/>
      <c r="OTQ213" s="2"/>
      <c r="OTR213" s="260"/>
      <c r="OTS213" s="2"/>
      <c r="OTT213" s="2"/>
      <c r="OTU213" s="2"/>
      <c r="OTV213" s="2"/>
      <c r="OTW213" s="2"/>
      <c r="OTX213" s="2"/>
      <c r="OTY213" s="2"/>
      <c r="OTZ213" s="260"/>
      <c r="OUA213" s="260"/>
      <c r="OUB213" s="260"/>
      <c r="OUC213" s="380"/>
      <c r="OUD213" s="380"/>
      <c r="OUE213" s="380"/>
      <c r="OUF213" s="2"/>
      <c r="OUG213" s="442"/>
      <c r="OUH213" s="442"/>
      <c r="OUI213" s="443"/>
      <c r="OUJ213" s="442"/>
      <c r="OUK213" s="442"/>
      <c r="OUL213" s="2"/>
      <c r="OUM213" s="2"/>
      <c r="OUN213" s="2"/>
      <c r="OUO213" s="2"/>
      <c r="OUP213" s="260"/>
      <c r="OUQ213" s="260"/>
      <c r="OUR213" s="260"/>
      <c r="OUS213" s="260"/>
      <c r="OUT213" s="260"/>
      <c r="OUU213" s="260"/>
      <c r="OUV213" s="308"/>
      <c r="OUW213" s="290"/>
      <c r="OUX213" s="290"/>
      <c r="OUY213" s="260"/>
      <c r="OUZ213" s="260"/>
      <c r="OVA213" s="260"/>
      <c r="OVB213" s="260"/>
      <c r="OVC213" s="260"/>
      <c r="OVD213" s="2"/>
      <c r="OVE213" s="2"/>
      <c r="OVF213" s="2"/>
      <c r="OVG213" s="2"/>
      <c r="OVH213" s="2"/>
      <c r="OVI213" s="2"/>
      <c r="OVJ213" s="260"/>
      <c r="OVK213" s="2"/>
      <c r="OVL213" s="2"/>
      <c r="OVM213" s="2"/>
      <c r="OVN213" s="2"/>
      <c r="OVO213" s="2"/>
      <c r="OVP213" s="2"/>
      <c r="OVQ213" s="2"/>
      <c r="OVR213" s="260"/>
      <c r="OVS213" s="260"/>
      <c r="OVT213" s="260"/>
      <c r="OVU213" s="380"/>
      <c r="OVV213" s="380"/>
      <c r="OVW213" s="380"/>
      <c r="OVX213" s="2"/>
      <c r="OVY213" s="442"/>
      <c r="OVZ213" s="442"/>
      <c r="OWA213" s="443"/>
      <c r="OWB213" s="442"/>
      <c r="OWC213" s="442"/>
      <c r="OWD213" s="2"/>
      <c r="OWE213" s="2"/>
      <c r="OWF213" s="2"/>
      <c r="OWG213" s="2"/>
      <c r="OWH213" s="260"/>
      <c r="OWI213" s="260"/>
      <c r="OWJ213" s="260"/>
      <c r="OWK213" s="260"/>
      <c r="OWL213" s="260"/>
      <c r="OWM213" s="260"/>
      <c r="OWN213" s="308"/>
      <c r="OWO213" s="290"/>
      <c r="OWP213" s="290"/>
      <c r="OWQ213" s="260"/>
      <c r="OWR213" s="260"/>
      <c r="OWS213" s="260"/>
      <c r="OWT213" s="260"/>
      <c r="OWU213" s="260"/>
      <c r="OWV213" s="2"/>
      <c r="OWW213" s="2"/>
      <c r="OWX213" s="2"/>
      <c r="OWY213" s="2"/>
      <c r="OWZ213" s="2"/>
      <c r="OXA213" s="2"/>
      <c r="OXB213" s="260"/>
      <c r="OXC213" s="2"/>
      <c r="OXD213" s="2"/>
      <c r="OXE213" s="2"/>
      <c r="OXF213" s="2"/>
      <c r="OXG213" s="2"/>
      <c r="OXH213" s="2"/>
      <c r="OXI213" s="2"/>
      <c r="OXJ213" s="260"/>
      <c r="OXK213" s="260"/>
      <c r="OXL213" s="260"/>
      <c r="OXM213" s="380"/>
      <c r="OXN213" s="380"/>
      <c r="OXO213" s="380"/>
      <c r="OXP213" s="2"/>
      <c r="OXQ213" s="442"/>
      <c r="OXR213" s="442"/>
      <c r="OXS213" s="443"/>
      <c r="OXT213" s="442"/>
      <c r="OXU213" s="442"/>
      <c r="OXV213" s="2"/>
      <c r="OXW213" s="2"/>
      <c r="OXX213" s="2"/>
      <c r="OXY213" s="2"/>
      <c r="OXZ213" s="260"/>
      <c r="OYA213" s="260"/>
      <c r="OYB213" s="260"/>
      <c r="OYC213" s="260"/>
      <c r="OYD213" s="260"/>
      <c r="OYE213" s="260"/>
      <c r="OYF213" s="308"/>
      <c r="OYG213" s="290"/>
      <c r="OYH213" s="290"/>
      <c r="OYI213" s="260"/>
      <c r="OYJ213" s="260"/>
      <c r="OYK213" s="260"/>
      <c r="OYL213" s="260"/>
      <c r="OYM213" s="260"/>
      <c r="OYN213" s="2"/>
      <c r="OYO213" s="2"/>
      <c r="OYP213" s="2"/>
      <c r="OYQ213" s="2"/>
      <c r="OYR213" s="2"/>
      <c r="OYS213" s="2"/>
      <c r="OYT213" s="260"/>
      <c r="OYU213" s="2"/>
      <c r="OYV213" s="2"/>
      <c r="OYW213" s="2"/>
      <c r="OYX213" s="2"/>
      <c r="OYY213" s="2"/>
      <c r="OYZ213" s="2"/>
      <c r="OZA213" s="2"/>
      <c r="OZB213" s="260"/>
      <c r="OZC213" s="260"/>
      <c r="OZD213" s="260"/>
      <c r="OZE213" s="380"/>
      <c r="OZF213" s="380"/>
      <c r="OZG213" s="380"/>
      <c r="OZH213" s="2"/>
      <c r="OZI213" s="442"/>
      <c r="OZJ213" s="442"/>
      <c r="OZK213" s="443"/>
      <c r="OZL213" s="442"/>
      <c r="OZM213" s="442"/>
      <c r="OZN213" s="2"/>
      <c r="OZO213" s="2"/>
      <c r="OZP213" s="2"/>
      <c r="OZQ213" s="2"/>
      <c r="OZR213" s="260"/>
      <c r="OZS213" s="260"/>
      <c r="OZT213" s="260"/>
      <c r="OZU213" s="260"/>
      <c r="OZV213" s="260"/>
      <c r="OZW213" s="260"/>
      <c r="OZX213" s="308"/>
      <c r="OZY213" s="290"/>
      <c r="OZZ213" s="290"/>
      <c r="PAA213" s="260"/>
      <c r="PAB213" s="260"/>
      <c r="PAC213" s="260"/>
      <c r="PAD213" s="260"/>
      <c r="PAE213" s="260"/>
      <c r="PAF213" s="2"/>
      <c r="PAG213" s="2"/>
      <c r="PAH213" s="2"/>
      <c r="PAI213" s="2"/>
      <c r="PAJ213" s="2"/>
      <c r="PAK213" s="2"/>
      <c r="PAL213" s="260"/>
      <c r="PAM213" s="2"/>
      <c r="PAN213" s="2"/>
      <c r="PAO213" s="2"/>
      <c r="PAP213" s="2"/>
      <c r="PAQ213" s="2"/>
      <c r="PAR213" s="2"/>
      <c r="PAS213" s="2"/>
      <c r="PAT213" s="260"/>
      <c r="PAU213" s="260"/>
      <c r="PAV213" s="260"/>
      <c r="PAW213" s="380"/>
      <c r="PAX213" s="380"/>
      <c r="PAY213" s="380"/>
      <c r="PAZ213" s="2"/>
      <c r="PBA213" s="442"/>
      <c r="PBB213" s="442"/>
      <c r="PBC213" s="443"/>
      <c r="PBD213" s="442"/>
      <c r="PBE213" s="442"/>
      <c r="PBF213" s="2"/>
      <c r="PBG213" s="2"/>
      <c r="PBH213" s="2"/>
      <c r="PBI213" s="2"/>
      <c r="PBJ213" s="260"/>
      <c r="PBK213" s="260"/>
      <c r="PBL213" s="260"/>
      <c r="PBM213" s="260"/>
      <c r="PBN213" s="260"/>
      <c r="PBO213" s="260"/>
      <c r="PBP213" s="308"/>
      <c r="PBQ213" s="290"/>
      <c r="PBR213" s="290"/>
      <c r="PBS213" s="260"/>
      <c r="PBT213" s="260"/>
      <c r="PBU213" s="260"/>
      <c r="PBV213" s="260"/>
      <c r="PBW213" s="260"/>
      <c r="PBX213" s="2"/>
      <c r="PBY213" s="2"/>
      <c r="PBZ213" s="2"/>
      <c r="PCA213" s="2"/>
      <c r="PCB213" s="2"/>
      <c r="PCC213" s="2"/>
      <c r="PCD213" s="260"/>
      <c r="PCE213" s="2"/>
      <c r="PCF213" s="2"/>
      <c r="PCG213" s="2"/>
      <c r="PCH213" s="2"/>
      <c r="PCI213" s="2"/>
      <c r="PCJ213" s="2"/>
      <c r="PCK213" s="2"/>
      <c r="PCL213" s="260"/>
      <c r="PCM213" s="260"/>
      <c r="PCN213" s="260"/>
      <c r="PCO213" s="380"/>
      <c r="PCP213" s="380"/>
      <c r="PCQ213" s="380"/>
      <c r="PCR213" s="2"/>
      <c r="PCS213" s="442"/>
      <c r="PCT213" s="442"/>
      <c r="PCU213" s="443"/>
      <c r="PCV213" s="442"/>
      <c r="PCW213" s="442"/>
      <c r="PCX213" s="2"/>
      <c r="PCY213" s="2"/>
      <c r="PCZ213" s="2"/>
      <c r="PDA213" s="2"/>
      <c r="PDB213" s="260"/>
      <c r="PDC213" s="260"/>
      <c r="PDD213" s="260"/>
      <c r="PDE213" s="260"/>
      <c r="PDF213" s="260"/>
      <c r="PDG213" s="260"/>
      <c r="PDH213" s="308"/>
      <c r="PDI213" s="290"/>
      <c r="PDJ213" s="290"/>
      <c r="PDK213" s="260"/>
      <c r="PDL213" s="260"/>
      <c r="PDM213" s="260"/>
      <c r="PDN213" s="260"/>
      <c r="PDO213" s="260"/>
      <c r="PDP213" s="2"/>
      <c r="PDQ213" s="2"/>
      <c r="PDR213" s="2"/>
      <c r="PDS213" s="2"/>
      <c r="PDT213" s="2"/>
      <c r="PDU213" s="2"/>
      <c r="PDV213" s="260"/>
      <c r="PDW213" s="2"/>
      <c r="PDX213" s="2"/>
      <c r="PDY213" s="2"/>
      <c r="PDZ213" s="2"/>
      <c r="PEA213" s="2"/>
      <c r="PEB213" s="2"/>
      <c r="PEC213" s="2"/>
      <c r="PED213" s="260"/>
      <c r="PEE213" s="260"/>
      <c r="PEF213" s="260"/>
      <c r="PEG213" s="380"/>
      <c r="PEH213" s="380"/>
      <c r="PEI213" s="380"/>
      <c r="PEJ213" s="2"/>
      <c r="PEK213" s="442"/>
      <c r="PEL213" s="442"/>
      <c r="PEM213" s="443"/>
      <c r="PEN213" s="442"/>
      <c r="PEO213" s="442"/>
      <c r="PEP213" s="2"/>
      <c r="PEQ213" s="2"/>
      <c r="PER213" s="2"/>
      <c r="PES213" s="2"/>
      <c r="PET213" s="260"/>
      <c r="PEU213" s="260"/>
      <c r="PEV213" s="260"/>
      <c r="PEW213" s="260"/>
      <c r="PEX213" s="260"/>
      <c r="PEY213" s="260"/>
      <c r="PEZ213" s="308"/>
      <c r="PFA213" s="290"/>
      <c r="PFB213" s="290"/>
      <c r="PFC213" s="260"/>
      <c r="PFD213" s="260"/>
      <c r="PFE213" s="260"/>
      <c r="PFF213" s="260"/>
      <c r="PFG213" s="260"/>
      <c r="PFH213" s="2"/>
      <c r="PFI213" s="2"/>
      <c r="PFJ213" s="2"/>
      <c r="PFK213" s="2"/>
      <c r="PFL213" s="2"/>
      <c r="PFM213" s="2"/>
      <c r="PFN213" s="260"/>
      <c r="PFO213" s="2"/>
      <c r="PFP213" s="2"/>
      <c r="PFQ213" s="2"/>
      <c r="PFR213" s="2"/>
      <c r="PFS213" s="2"/>
      <c r="PFT213" s="2"/>
      <c r="PFU213" s="2"/>
      <c r="PFV213" s="260"/>
      <c r="PFW213" s="260"/>
      <c r="PFX213" s="260"/>
      <c r="PFY213" s="380"/>
      <c r="PFZ213" s="380"/>
      <c r="PGA213" s="380"/>
      <c r="PGB213" s="2"/>
      <c r="PGC213" s="442"/>
      <c r="PGD213" s="442"/>
      <c r="PGE213" s="443"/>
      <c r="PGF213" s="442"/>
      <c r="PGG213" s="442"/>
      <c r="PGH213" s="2"/>
      <c r="PGI213" s="2"/>
      <c r="PGJ213" s="2"/>
      <c r="PGK213" s="2"/>
      <c r="PGL213" s="260"/>
      <c r="PGM213" s="260"/>
      <c r="PGN213" s="260"/>
      <c r="PGO213" s="260"/>
      <c r="PGP213" s="260"/>
      <c r="PGQ213" s="260"/>
      <c r="PGR213" s="308"/>
      <c r="PGS213" s="290"/>
      <c r="PGT213" s="290"/>
      <c r="PGU213" s="260"/>
      <c r="PGV213" s="260"/>
      <c r="PGW213" s="260"/>
      <c r="PGX213" s="260"/>
      <c r="PGY213" s="260"/>
      <c r="PGZ213" s="2"/>
      <c r="PHA213" s="2"/>
      <c r="PHB213" s="2"/>
      <c r="PHC213" s="2"/>
      <c r="PHD213" s="2"/>
      <c r="PHE213" s="2"/>
      <c r="PHF213" s="260"/>
      <c r="PHG213" s="2"/>
      <c r="PHH213" s="2"/>
      <c r="PHI213" s="2"/>
      <c r="PHJ213" s="2"/>
      <c r="PHK213" s="2"/>
      <c r="PHL213" s="2"/>
      <c r="PHM213" s="2"/>
      <c r="PHN213" s="260"/>
      <c r="PHO213" s="260"/>
      <c r="PHP213" s="260"/>
      <c r="PHQ213" s="380"/>
      <c r="PHR213" s="380"/>
      <c r="PHS213" s="380"/>
      <c r="PHT213" s="2"/>
      <c r="PHU213" s="442"/>
      <c r="PHV213" s="442"/>
      <c r="PHW213" s="443"/>
      <c r="PHX213" s="442"/>
      <c r="PHY213" s="442"/>
      <c r="PHZ213" s="2"/>
      <c r="PIA213" s="2"/>
      <c r="PIB213" s="2"/>
      <c r="PIC213" s="2"/>
      <c r="PID213" s="260"/>
      <c r="PIE213" s="260"/>
      <c r="PIF213" s="260"/>
      <c r="PIG213" s="260"/>
      <c r="PIH213" s="260"/>
      <c r="PII213" s="260"/>
      <c r="PIJ213" s="308"/>
      <c r="PIK213" s="290"/>
      <c r="PIL213" s="290"/>
      <c r="PIM213" s="260"/>
      <c r="PIN213" s="260"/>
      <c r="PIO213" s="260"/>
      <c r="PIP213" s="260"/>
      <c r="PIQ213" s="260"/>
      <c r="PIR213" s="2"/>
      <c r="PIS213" s="2"/>
      <c r="PIT213" s="2"/>
      <c r="PIU213" s="2"/>
      <c r="PIV213" s="2"/>
      <c r="PIW213" s="2"/>
      <c r="PIX213" s="260"/>
      <c r="PIY213" s="2"/>
      <c r="PIZ213" s="2"/>
      <c r="PJA213" s="2"/>
      <c r="PJB213" s="2"/>
      <c r="PJC213" s="2"/>
      <c r="PJD213" s="2"/>
      <c r="PJE213" s="2"/>
      <c r="PJF213" s="260"/>
      <c r="PJG213" s="260"/>
      <c r="PJH213" s="260"/>
      <c r="PJI213" s="380"/>
      <c r="PJJ213" s="380"/>
      <c r="PJK213" s="380"/>
      <c r="PJL213" s="2"/>
      <c r="PJM213" s="442"/>
      <c r="PJN213" s="442"/>
      <c r="PJO213" s="443"/>
      <c r="PJP213" s="442"/>
      <c r="PJQ213" s="442"/>
      <c r="PJR213" s="2"/>
      <c r="PJS213" s="2"/>
      <c r="PJT213" s="2"/>
      <c r="PJU213" s="2"/>
      <c r="PJV213" s="260"/>
      <c r="PJW213" s="260"/>
      <c r="PJX213" s="260"/>
      <c r="PJY213" s="260"/>
      <c r="PJZ213" s="260"/>
      <c r="PKA213" s="260"/>
      <c r="PKB213" s="308"/>
      <c r="PKC213" s="290"/>
      <c r="PKD213" s="290"/>
      <c r="PKE213" s="260"/>
      <c r="PKF213" s="260"/>
      <c r="PKG213" s="260"/>
      <c r="PKH213" s="260"/>
      <c r="PKI213" s="260"/>
      <c r="PKJ213" s="2"/>
      <c r="PKK213" s="2"/>
      <c r="PKL213" s="2"/>
      <c r="PKM213" s="2"/>
      <c r="PKN213" s="2"/>
      <c r="PKO213" s="2"/>
      <c r="PKP213" s="260"/>
      <c r="PKQ213" s="2"/>
      <c r="PKR213" s="2"/>
      <c r="PKS213" s="2"/>
      <c r="PKT213" s="2"/>
      <c r="PKU213" s="2"/>
      <c r="PKV213" s="2"/>
      <c r="PKW213" s="2"/>
      <c r="PKX213" s="260"/>
      <c r="PKY213" s="260"/>
      <c r="PKZ213" s="260"/>
      <c r="PLA213" s="380"/>
      <c r="PLB213" s="380"/>
      <c r="PLC213" s="380"/>
      <c r="PLD213" s="2"/>
      <c r="PLE213" s="442"/>
      <c r="PLF213" s="442"/>
      <c r="PLG213" s="443"/>
      <c r="PLH213" s="442"/>
      <c r="PLI213" s="442"/>
      <c r="PLJ213" s="2"/>
      <c r="PLK213" s="2"/>
      <c r="PLL213" s="2"/>
      <c r="PLM213" s="2"/>
      <c r="PLN213" s="260"/>
      <c r="PLO213" s="260"/>
      <c r="PLP213" s="260"/>
      <c r="PLQ213" s="260"/>
      <c r="PLR213" s="260"/>
      <c r="PLS213" s="260"/>
      <c r="PLT213" s="308"/>
      <c r="PLU213" s="290"/>
      <c r="PLV213" s="290"/>
      <c r="PLW213" s="260"/>
      <c r="PLX213" s="260"/>
      <c r="PLY213" s="260"/>
      <c r="PLZ213" s="260"/>
      <c r="PMA213" s="260"/>
      <c r="PMB213" s="2"/>
      <c r="PMC213" s="2"/>
      <c r="PMD213" s="2"/>
      <c r="PME213" s="2"/>
      <c r="PMF213" s="2"/>
      <c r="PMG213" s="2"/>
      <c r="PMH213" s="260"/>
      <c r="PMI213" s="2"/>
      <c r="PMJ213" s="2"/>
      <c r="PMK213" s="2"/>
      <c r="PML213" s="2"/>
      <c r="PMM213" s="2"/>
      <c r="PMN213" s="2"/>
      <c r="PMO213" s="2"/>
      <c r="PMP213" s="260"/>
      <c r="PMQ213" s="260"/>
      <c r="PMR213" s="260"/>
      <c r="PMS213" s="380"/>
      <c r="PMT213" s="380"/>
      <c r="PMU213" s="380"/>
      <c r="PMV213" s="2"/>
      <c r="PMW213" s="442"/>
      <c r="PMX213" s="442"/>
      <c r="PMY213" s="443"/>
      <c r="PMZ213" s="442"/>
      <c r="PNA213" s="442"/>
      <c r="PNB213" s="2"/>
      <c r="PNC213" s="2"/>
      <c r="PND213" s="2"/>
      <c r="PNE213" s="2"/>
      <c r="PNF213" s="260"/>
      <c r="PNG213" s="260"/>
      <c r="PNH213" s="260"/>
      <c r="PNI213" s="260"/>
      <c r="PNJ213" s="260"/>
      <c r="PNK213" s="260"/>
      <c r="PNL213" s="308"/>
      <c r="PNM213" s="290"/>
      <c r="PNN213" s="290"/>
      <c r="PNO213" s="260"/>
      <c r="PNP213" s="260"/>
      <c r="PNQ213" s="260"/>
      <c r="PNR213" s="260"/>
      <c r="PNS213" s="260"/>
      <c r="PNT213" s="2"/>
      <c r="PNU213" s="2"/>
      <c r="PNV213" s="2"/>
      <c r="PNW213" s="2"/>
      <c r="PNX213" s="2"/>
      <c r="PNY213" s="2"/>
      <c r="PNZ213" s="260"/>
      <c r="POA213" s="2"/>
      <c r="POB213" s="2"/>
      <c r="POC213" s="2"/>
      <c r="POD213" s="2"/>
      <c r="POE213" s="2"/>
      <c r="POF213" s="2"/>
      <c r="POG213" s="2"/>
      <c r="POH213" s="260"/>
      <c r="POI213" s="260"/>
      <c r="POJ213" s="260"/>
      <c r="POK213" s="380"/>
      <c r="POL213" s="380"/>
      <c r="POM213" s="380"/>
      <c r="PON213" s="2"/>
      <c r="POO213" s="442"/>
      <c r="POP213" s="442"/>
      <c r="POQ213" s="443"/>
      <c r="POR213" s="442"/>
      <c r="POS213" s="442"/>
      <c r="POT213" s="2"/>
      <c r="POU213" s="2"/>
      <c r="POV213" s="2"/>
      <c r="POW213" s="2"/>
      <c r="POX213" s="260"/>
      <c r="POY213" s="260"/>
      <c r="POZ213" s="260"/>
      <c r="PPA213" s="260"/>
      <c r="PPB213" s="260"/>
      <c r="PPC213" s="260"/>
      <c r="PPD213" s="308"/>
      <c r="PPE213" s="290"/>
      <c r="PPF213" s="290"/>
      <c r="PPG213" s="260"/>
      <c r="PPH213" s="260"/>
      <c r="PPI213" s="260"/>
      <c r="PPJ213" s="260"/>
      <c r="PPK213" s="260"/>
      <c r="PPL213" s="2"/>
      <c r="PPM213" s="2"/>
      <c r="PPN213" s="2"/>
      <c r="PPO213" s="2"/>
      <c r="PPP213" s="2"/>
      <c r="PPQ213" s="2"/>
      <c r="PPR213" s="260"/>
      <c r="PPS213" s="2"/>
      <c r="PPT213" s="2"/>
      <c r="PPU213" s="2"/>
      <c r="PPV213" s="2"/>
      <c r="PPW213" s="2"/>
      <c r="PPX213" s="2"/>
      <c r="PPY213" s="2"/>
      <c r="PPZ213" s="260"/>
      <c r="PQA213" s="260"/>
      <c r="PQB213" s="260"/>
      <c r="PQC213" s="380"/>
      <c r="PQD213" s="380"/>
      <c r="PQE213" s="380"/>
      <c r="PQF213" s="2"/>
      <c r="PQG213" s="442"/>
      <c r="PQH213" s="442"/>
      <c r="PQI213" s="443"/>
      <c r="PQJ213" s="442"/>
      <c r="PQK213" s="442"/>
      <c r="PQL213" s="2"/>
      <c r="PQM213" s="2"/>
      <c r="PQN213" s="2"/>
      <c r="PQO213" s="2"/>
      <c r="PQP213" s="260"/>
      <c r="PQQ213" s="260"/>
      <c r="PQR213" s="260"/>
      <c r="PQS213" s="260"/>
      <c r="PQT213" s="260"/>
      <c r="PQU213" s="260"/>
      <c r="PQV213" s="308"/>
      <c r="PQW213" s="290"/>
      <c r="PQX213" s="290"/>
      <c r="PQY213" s="260"/>
      <c r="PQZ213" s="260"/>
      <c r="PRA213" s="260"/>
      <c r="PRB213" s="260"/>
      <c r="PRC213" s="260"/>
      <c r="PRD213" s="2"/>
      <c r="PRE213" s="2"/>
      <c r="PRF213" s="2"/>
      <c r="PRG213" s="2"/>
      <c r="PRH213" s="2"/>
      <c r="PRI213" s="2"/>
      <c r="PRJ213" s="260"/>
      <c r="PRK213" s="2"/>
      <c r="PRL213" s="2"/>
      <c r="PRM213" s="2"/>
      <c r="PRN213" s="2"/>
      <c r="PRO213" s="2"/>
      <c r="PRP213" s="2"/>
      <c r="PRQ213" s="2"/>
      <c r="PRR213" s="260"/>
      <c r="PRS213" s="260"/>
      <c r="PRT213" s="260"/>
      <c r="PRU213" s="380"/>
      <c r="PRV213" s="380"/>
      <c r="PRW213" s="380"/>
      <c r="PRX213" s="2"/>
      <c r="PRY213" s="442"/>
      <c r="PRZ213" s="442"/>
      <c r="PSA213" s="443"/>
      <c r="PSB213" s="442"/>
      <c r="PSC213" s="442"/>
      <c r="PSD213" s="2"/>
      <c r="PSE213" s="2"/>
      <c r="PSF213" s="2"/>
      <c r="PSG213" s="2"/>
      <c r="PSH213" s="260"/>
      <c r="PSI213" s="260"/>
      <c r="PSJ213" s="260"/>
      <c r="PSK213" s="260"/>
      <c r="PSL213" s="260"/>
      <c r="PSM213" s="260"/>
      <c r="PSN213" s="308"/>
      <c r="PSO213" s="290"/>
      <c r="PSP213" s="290"/>
      <c r="PSQ213" s="260"/>
      <c r="PSR213" s="260"/>
      <c r="PSS213" s="260"/>
      <c r="PST213" s="260"/>
      <c r="PSU213" s="260"/>
      <c r="PSV213" s="2"/>
      <c r="PSW213" s="2"/>
      <c r="PSX213" s="2"/>
      <c r="PSY213" s="2"/>
      <c r="PSZ213" s="2"/>
      <c r="PTA213" s="2"/>
      <c r="PTB213" s="260"/>
      <c r="PTC213" s="2"/>
      <c r="PTD213" s="2"/>
      <c r="PTE213" s="2"/>
      <c r="PTF213" s="2"/>
      <c r="PTG213" s="2"/>
      <c r="PTH213" s="2"/>
      <c r="PTI213" s="2"/>
      <c r="PTJ213" s="260"/>
      <c r="PTK213" s="260"/>
      <c r="PTL213" s="260"/>
      <c r="PTM213" s="380"/>
      <c r="PTN213" s="380"/>
      <c r="PTO213" s="380"/>
      <c r="PTP213" s="2"/>
      <c r="PTQ213" s="442"/>
      <c r="PTR213" s="442"/>
      <c r="PTS213" s="443"/>
      <c r="PTT213" s="442"/>
      <c r="PTU213" s="442"/>
      <c r="PTV213" s="2"/>
      <c r="PTW213" s="2"/>
      <c r="PTX213" s="2"/>
      <c r="PTY213" s="2"/>
      <c r="PTZ213" s="260"/>
      <c r="PUA213" s="260"/>
      <c r="PUB213" s="260"/>
      <c r="PUC213" s="260"/>
      <c r="PUD213" s="260"/>
      <c r="PUE213" s="260"/>
      <c r="PUF213" s="308"/>
      <c r="PUG213" s="290"/>
      <c r="PUH213" s="290"/>
      <c r="PUI213" s="260"/>
      <c r="PUJ213" s="260"/>
      <c r="PUK213" s="260"/>
      <c r="PUL213" s="260"/>
      <c r="PUM213" s="260"/>
      <c r="PUN213" s="2"/>
      <c r="PUO213" s="2"/>
      <c r="PUP213" s="2"/>
      <c r="PUQ213" s="2"/>
      <c r="PUR213" s="2"/>
      <c r="PUS213" s="2"/>
      <c r="PUT213" s="260"/>
      <c r="PUU213" s="2"/>
      <c r="PUV213" s="2"/>
      <c r="PUW213" s="2"/>
      <c r="PUX213" s="2"/>
      <c r="PUY213" s="2"/>
      <c r="PUZ213" s="2"/>
      <c r="PVA213" s="2"/>
      <c r="PVB213" s="260"/>
      <c r="PVC213" s="260"/>
      <c r="PVD213" s="260"/>
      <c r="PVE213" s="380"/>
      <c r="PVF213" s="380"/>
      <c r="PVG213" s="380"/>
      <c r="PVH213" s="2"/>
      <c r="PVI213" s="442"/>
      <c r="PVJ213" s="442"/>
      <c r="PVK213" s="443"/>
      <c r="PVL213" s="442"/>
      <c r="PVM213" s="442"/>
      <c r="PVN213" s="2"/>
      <c r="PVO213" s="2"/>
      <c r="PVP213" s="2"/>
      <c r="PVQ213" s="2"/>
      <c r="PVR213" s="260"/>
      <c r="PVS213" s="260"/>
      <c r="PVT213" s="260"/>
      <c r="PVU213" s="260"/>
      <c r="PVV213" s="260"/>
      <c r="PVW213" s="260"/>
      <c r="PVX213" s="308"/>
      <c r="PVY213" s="290"/>
      <c r="PVZ213" s="290"/>
      <c r="PWA213" s="260"/>
      <c r="PWB213" s="260"/>
      <c r="PWC213" s="260"/>
      <c r="PWD213" s="260"/>
      <c r="PWE213" s="260"/>
      <c r="PWF213" s="2"/>
      <c r="PWG213" s="2"/>
      <c r="PWH213" s="2"/>
      <c r="PWI213" s="2"/>
      <c r="PWJ213" s="2"/>
      <c r="PWK213" s="2"/>
      <c r="PWL213" s="260"/>
      <c r="PWM213" s="2"/>
      <c r="PWN213" s="2"/>
      <c r="PWO213" s="2"/>
      <c r="PWP213" s="2"/>
      <c r="PWQ213" s="2"/>
      <c r="PWR213" s="2"/>
      <c r="PWS213" s="2"/>
      <c r="PWT213" s="260"/>
      <c r="PWU213" s="260"/>
      <c r="PWV213" s="260"/>
      <c r="PWW213" s="380"/>
      <c r="PWX213" s="380"/>
      <c r="PWY213" s="380"/>
      <c r="PWZ213" s="2"/>
      <c r="PXA213" s="442"/>
      <c r="PXB213" s="442"/>
      <c r="PXC213" s="443"/>
      <c r="PXD213" s="442"/>
      <c r="PXE213" s="442"/>
      <c r="PXF213" s="2"/>
      <c r="PXG213" s="2"/>
      <c r="PXH213" s="2"/>
      <c r="PXI213" s="2"/>
      <c r="PXJ213" s="260"/>
      <c r="PXK213" s="260"/>
      <c r="PXL213" s="260"/>
      <c r="PXM213" s="260"/>
      <c r="PXN213" s="260"/>
      <c r="PXO213" s="260"/>
      <c r="PXP213" s="308"/>
      <c r="PXQ213" s="290"/>
      <c r="PXR213" s="290"/>
      <c r="PXS213" s="260"/>
      <c r="PXT213" s="260"/>
      <c r="PXU213" s="260"/>
      <c r="PXV213" s="260"/>
      <c r="PXW213" s="260"/>
      <c r="PXX213" s="2"/>
      <c r="PXY213" s="2"/>
      <c r="PXZ213" s="2"/>
      <c r="PYA213" s="2"/>
      <c r="PYB213" s="2"/>
      <c r="PYC213" s="2"/>
      <c r="PYD213" s="260"/>
      <c r="PYE213" s="2"/>
      <c r="PYF213" s="2"/>
      <c r="PYG213" s="2"/>
      <c r="PYH213" s="2"/>
      <c r="PYI213" s="2"/>
      <c r="PYJ213" s="2"/>
      <c r="PYK213" s="2"/>
      <c r="PYL213" s="260"/>
      <c r="PYM213" s="260"/>
      <c r="PYN213" s="260"/>
      <c r="PYO213" s="380"/>
      <c r="PYP213" s="380"/>
      <c r="PYQ213" s="380"/>
      <c r="PYR213" s="2"/>
      <c r="PYS213" s="442"/>
      <c r="PYT213" s="442"/>
      <c r="PYU213" s="443"/>
      <c r="PYV213" s="442"/>
      <c r="PYW213" s="442"/>
      <c r="PYX213" s="2"/>
      <c r="PYY213" s="2"/>
      <c r="PYZ213" s="2"/>
      <c r="PZA213" s="2"/>
      <c r="PZB213" s="260"/>
      <c r="PZC213" s="260"/>
      <c r="PZD213" s="260"/>
      <c r="PZE213" s="260"/>
      <c r="PZF213" s="260"/>
      <c r="PZG213" s="260"/>
      <c r="PZH213" s="308"/>
      <c r="PZI213" s="290"/>
      <c r="PZJ213" s="290"/>
      <c r="PZK213" s="260"/>
      <c r="PZL213" s="260"/>
      <c r="PZM213" s="260"/>
      <c r="PZN213" s="260"/>
      <c r="PZO213" s="260"/>
      <c r="PZP213" s="2"/>
      <c r="PZQ213" s="2"/>
      <c r="PZR213" s="2"/>
      <c r="PZS213" s="2"/>
      <c r="PZT213" s="2"/>
      <c r="PZU213" s="2"/>
      <c r="PZV213" s="260"/>
      <c r="PZW213" s="2"/>
      <c r="PZX213" s="2"/>
      <c r="PZY213" s="2"/>
      <c r="PZZ213" s="2"/>
      <c r="QAA213" s="2"/>
      <c r="QAB213" s="2"/>
      <c r="QAC213" s="2"/>
      <c r="QAD213" s="260"/>
      <c r="QAE213" s="260"/>
      <c r="QAF213" s="260"/>
      <c r="QAG213" s="380"/>
      <c r="QAH213" s="380"/>
      <c r="QAI213" s="380"/>
      <c r="QAJ213" s="2"/>
      <c r="QAK213" s="442"/>
      <c r="QAL213" s="442"/>
      <c r="QAM213" s="443"/>
      <c r="QAN213" s="442"/>
      <c r="QAO213" s="442"/>
      <c r="QAP213" s="2"/>
      <c r="QAQ213" s="2"/>
      <c r="QAR213" s="2"/>
      <c r="QAS213" s="2"/>
      <c r="QAT213" s="260"/>
      <c r="QAU213" s="260"/>
      <c r="QAV213" s="260"/>
      <c r="QAW213" s="260"/>
      <c r="QAX213" s="260"/>
      <c r="QAY213" s="260"/>
      <c r="QAZ213" s="308"/>
      <c r="QBA213" s="290"/>
      <c r="QBB213" s="290"/>
      <c r="QBC213" s="260"/>
      <c r="QBD213" s="260"/>
      <c r="QBE213" s="260"/>
      <c r="QBF213" s="260"/>
      <c r="QBG213" s="260"/>
      <c r="QBH213" s="2"/>
      <c r="QBI213" s="2"/>
      <c r="QBJ213" s="2"/>
      <c r="QBK213" s="2"/>
      <c r="QBL213" s="2"/>
      <c r="QBM213" s="2"/>
      <c r="QBN213" s="260"/>
      <c r="QBO213" s="2"/>
      <c r="QBP213" s="2"/>
      <c r="QBQ213" s="2"/>
      <c r="QBR213" s="2"/>
      <c r="QBS213" s="2"/>
      <c r="QBT213" s="2"/>
      <c r="QBU213" s="2"/>
      <c r="QBV213" s="260"/>
      <c r="QBW213" s="260"/>
      <c r="QBX213" s="260"/>
      <c r="QBY213" s="380"/>
      <c r="QBZ213" s="380"/>
      <c r="QCA213" s="380"/>
      <c r="QCB213" s="2"/>
      <c r="QCC213" s="442"/>
      <c r="QCD213" s="442"/>
      <c r="QCE213" s="443"/>
      <c r="QCF213" s="442"/>
      <c r="QCG213" s="442"/>
      <c r="QCH213" s="2"/>
      <c r="QCI213" s="2"/>
      <c r="QCJ213" s="2"/>
      <c r="QCK213" s="2"/>
      <c r="QCL213" s="260"/>
      <c r="QCM213" s="260"/>
      <c r="QCN213" s="260"/>
      <c r="QCO213" s="260"/>
      <c r="QCP213" s="260"/>
      <c r="QCQ213" s="260"/>
      <c r="QCR213" s="308"/>
      <c r="QCS213" s="290"/>
      <c r="QCT213" s="290"/>
      <c r="QCU213" s="260"/>
      <c r="QCV213" s="260"/>
      <c r="QCW213" s="260"/>
      <c r="QCX213" s="260"/>
      <c r="QCY213" s="260"/>
      <c r="QCZ213" s="2"/>
      <c r="QDA213" s="2"/>
      <c r="QDB213" s="2"/>
      <c r="QDC213" s="2"/>
      <c r="QDD213" s="2"/>
      <c r="QDE213" s="2"/>
      <c r="QDF213" s="260"/>
      <c r="QDG213" s="2"/>
      <c r="QDH213" s="2"/>
      <c r="QDI213" s="2"/>
      <c r="QDJ213" s="2"/>
      <c r="QDK213" s="2"/>
      <c r="QDL213" s="2"/>
      <c r="QDM213" s="2"/>
      <c r="QDN213" s="260"/>
      <c r="QDO213" s="260"/>
      <c r="QDP213" s="260"/>
      <c r="QDQ213" s="380"/>
      <c r="QDR213" s="380"/>
      <c r="QDS213" s="380"/>
      <c r="QDT213" s="2"/>
      <c r="QDU213" s="442"/>
      <c r="QDV213" s="442"/>
      <c r="QDW213" s="443"/>
      <c r="QDX213" s="442"/>
      <c r="QDY213" s="442"/>
      <c r="QDZ213" s="2"/>
      <c r="QEA213" s="2"/>
      <c r="QEB213" s="2"/>
      <c r="QEC213" s="2"/>
      <c r="QED213" s="260"/>
      <c r="QEE213" s="260"/>
      <c r="QEF213" s="260"/>
      <c r="QEG213" s="260"/>
      <c r="QEH213" s="260"/>
      <c r="QEI213" s="260"/>
      <c r="QEJ213" s="308"/>
      <c r="QEK213" s="290"/>
      <c r="QEL213" s="290"/>
      <c r="QEM213" s="260"/>
      <c r="QEN213" s="260"/>
      <c r="QEO213" s="260"/>
      <c r="QEP213" s="260"/>
      <c r="QEQ213" s="260"/>
      <c r="QER213" s="2"/>
      <c r="QES213" s="2"/>
      <c r="QET213" s="2"/>
      <c r="QEU213" s="2"/>
      <c r="QEV213" s="2"/>
      <c r="QEW213" s="2"/>
      <c r="QEX213" s="260"/>
      <c r="QEY213" s="2"/>
      <c r="QEZ213" s="2"/>
      <c r="QFA213" s="2"/>
      <c r="QFB213" s="2"/>
      <c r="QFC213" s="2"/>
      <c r="QFD213" s="2"/>
      <c r="QFE213" s="2"/>
      <c r="QFF213" s="260"/>
      <c r="QFG213" s="260"/>
      <c r="QFH213" s="260"/>
      <c r="QFI213" s="380"/>
      <c r="QFJ213" s="380"/>
      <c r="QFK213" s="380"/>
      <c r="QFL213" s="2"/>
      <c r="QFM213" s="442"/>
      <c r="QFN213" s="442"/>
      <c r="QFO213" s="443"/>
      <c r="QFP213" s="442"/>
      <c r="QFQ213" s="442"/>
      <c r="QFR213" s="2"/>
      <c r="QFS213" s="2"/>
      <c r="QFT213" s="2"/>
      <c r="QFU213" s="2"/>
      <c r="QFV213" s="260"/>
      <c r="QFW213" s="260"/>
      <c r="QFX213" s="260"/>
      <c r="QFY213" s="260"/>
      <c r="QFZ213" s="260"/>
      <c r="QGA213" s="260"/>
      <c r="QGB213" s="308"/>
      <c r="QGC213" s="290"/>
      <c r="QGD213" s="290"/>
      <c r="QGE213" s="260"/>
      <c r="QGF213" s="260"/>
      <c r="QGG213" s="260"/>
      <c r="QGH213" s="260"/>
      <c r="QGI213" s="260"/>
      <c r="QGJ213" s="2"/>
      <c r="QGK213" s="2"/>
      <c r="QGL213" s="2"/>
      <c r="QGM213" s="2"/>
      <c r="QGN213" s="2"/>
      <c r="QGO213" s="2"/>
      <c r="QGP213" s="260"/>
      <c r="QGQ213" s="2"/>
      <c r="QGR213" s="2"/>
      <c r="QGS213" s="2"/>
      <c r="QGT213" s="2"/>
      <c r="QGU213" s="2"/>
      <c r="QGV213" s="2"/>
      <c r="QGW213" s="2"/>
      <c r="QGX213" s="260"/>
      <c r="QGY213" s="260"/>
      <c r="QGZ213" s="260"/>
      <c r="QHA213" s="380"/>
      <c r="QHB213" s="380"/>
      <c r="QHC213" s="380"/>
      <c r="QHD213" s="2"/>
      <c r="QHE213" s="442"/>
      <c r="QHF213" s="442"/>
      <c r="QHG213" s="443"/>
      <c r="QHH213" s="442"/>
      <c r="QHI213" s="442"/>
      <c r="QHJ213" s="2"/>
      <c r="QHK213" s="2"/>
      <c r="QHL213" s="2"/>
      <c r="QHM213" s="2"/>
      <c r="QHN213" s="260"/>
      <c r="QHO213" s="260"/>
      <c r="QHP213" s="260"/>
      <c r="QHQ213" s="260"/>
      <c r="QHR213" s="260"/>
      <c r="QHS213" s="260"/>
      <c r="QHT213" s="308"/>
      <c r="QHU213" s="290"/>
      <c r="QHV213" s="290"/>
      <c r="QHW213" s="260"/>
      <c r="QHX213" s="260"/>
      <c r="QHY213" s="260"/>
      <c r="QHZ213" s="260"/>
      <c r="QIA213" s="260"/>
      <c r="QIB213" s="2"/>
      <c r="QIC213" s="2"/>
      <c r="QID213" s="2"/>
      <c r="QIE213" s="2"/>
      <c r="QIF213" s="2"/>
      <c r="QIG213" s="2"/>
      <c r="QIH213" s="260"/>
      <c r="QII213" s="2"/>
      <c r="QIJ213" s="2"/>
      <c r="QIK213" s="2"/>
      <c r="QIL213" s="2"/>
      <c r="QIM213" s="2"/>
      <c r="QIN213" s="2"/>
      <c r="QIO213" s="2"/>
      <c r="QIP213" s="260"/>
      <c r="QIQ213" s="260"/>
      <c r="QIR213" s="260"/>
      <c r="QIS213" s="380"/>
      <c r="QIT213" s="380"/>
      <c r="QIU213" s="380"/>
      <c r="QIV213" s="2"/>
      <c r="QIW213" s="442"/>
      <c r="QIX213" s="442"/>
      <c r="QIY213" s="443"/>
      <c r="QIZ213" s="442"/>
      <c r="QJA213" s="442"/>
      <c r="QJB213" s="2"/>
      <c r="QJC213" s="2"/>
      <c r="QJD213" s="2"/>
      <c r="QJE213" s="2"/>
      <c r="QJF213" s="260"/>
      <c r="QJG213" s="260"/>
      <c r="QJH213" s="260"/>
      <c r="QJI213" s="260"/>
      <c r="QJJ213" s="260"/>
      <c r="QJK213" s="260"/>
      <c r="QJL213" s="308"/>
      <c r="QJM213" s="290"/>
      <c r="QJN213" s="290"/>
      <c r="QJO213" s="260"/>
      <c r="QJP213" s="260"/>
      <c r="QJQ213" s="260"/>
      <c r="QJR213" s="260"/>
      <c r="QJS213" s="260"/>
      <c r="QJT213" s="2"/>
      <c r="QJU213" s="2"/>
      <c r="QJV213" s="2"/>
      <c r="QJW213" s="2"/>
      <c r="QJX213" s="2"/>
      <c r="QJY213" s="2"/>
      <c r="QJZ213" s="260"/>
      <c r="QKA213" s="2"/>
      <c r="QKB213" s="2"/>
      <c r="QKC213" s="2"/>
      <c r="QKD213" s="2"/>
      <c r="QKE213" s="2"/>
      <c r="QKF213" s="2"/>
      <c r="QKG213" s="2"/>
      <c r="QKH213" s="260"/>
      <c r="QKI213" s="260"/>
      <c r="QKJ213" s="260"/>
      <c r="QKK213" s="380"/>
      <c r="QKL213" s="380"/>
      <c r="QKM213" s="380"/>
      <c r="QKN213" s="2"/>
      <c r="QKO213" s="442"/>
      <c r="QKP213" s="442"/>
      <c r="QKQ213" s="443"/>
      <c r="QKR213" s="442"/>
      <c r="QKS213" s="442"/>
      <c r="QKT213" s="2"/>
      <c r="QKU213" s="2"/>
      <c r="QKV213" s="2"/>
      <c r="QKW213" s="2"/>
      <c r="QKX213" s="260"/>
      <c r="QKY213" s="260"/>
      <c r="QKZ213" s="260"/>
      <c r="QLA213" s="260"/>
      <c r="QLB213" s="260"/>
      <c r="QLC213" s="260"/>
      <c r="QLD213" s="308"/>
      <c r="QLE213" s="290"/>
      <c r="QLF213" s="290"/>
      <c r="QLG213" s="260"/>
      <c r="QLH213" s="260"/>
      <c r="QLI213" s="260"/>
      <c r="QLJ213" s="260"/>
      <c r="QLK213" s="260"/>
      <c r="QLL213" s="2"/>
      <c r="QLM213" s="2"/>
      <c r="QLN213" s="2"/>
      <c r="QLO213" s="2"/>
      <c r="QLP213" s="2"/>
      <c r="QLQ213" s="2"/>
      <c r="QLR213" s="260"/>
      <c r="QLS213" s="2"/>
      <c r="QLT213" s="2"/>
      <c r="QLU213" s="2"/>
      <c r="QLV213" s="2"/>
      <c r="QLW213" s="2"/>
      <c r="QLX213" s="2"/>
      <c r="QLY213" s="2"/>
      <c r="QLZ213" s="260"/>
      <c r="QMA213" s="260"/>
      <c r="QMB213" s="260"/>
      <c r="QMC213" s="380"/>
      <c r="QMD213" s="380"/>
      <c r="QME213" s="380"/>
      <c r="QMF213" s="2"/>
      <c r="QMG213" s="442"/>
      <c r="QMH213" s="442"/>
      <c r="QMI213" s="443"/>
      <c r="QMJ213" s="442"/>
      <c r="QMK213" s="442"/>
      <c r="QML213" s="2"/>
      <c r="QMM213" s="2"/>
      <c r="QMN213" s="2"/>
      <c r="QMO213" s="2"/>
      <c r="QMP213" s="260"/>
      <c r="QMQ213" s="260"/>
      <c r="QMR213" s="260"/>
      <c r="QMS213" s="260"/>
      <c r="QMT213" s="260"/>
      <c r="QMU213" s="260"/>
      <c r="QMV213" s="308"/>
      <c r="QMW213" s="290"/>
      <c r="QMX213" s="290"/>
      <c r="QMY213" s="260"/>
      <c r="QMZ213" s="260"/>
      <c r="QNA213" s="260"/>
      <c r="QNB213" s="260"/>
      <c r="QNC213" s="260"/>
      <c r="QND213" s="2"/>
      <c r="QNE213" s="2"/>
      <c r="QNF213" s="2"/>
      <c r="QNG213" s="2"/>
      <c r="QNH213" s="2"/>
      <c r="QNI213" s="2"/>
      <c r="QNJ213" s="260"/>
      <c r="QNK213" s="2"/>
      <c r="QNL213" s="2"/>
      <c r="QNM213" s="2"/>
      <c r="QNN213" s="2"/>
      <c r="QNO213" s="2"/>
      <c r="QNP213" s="2"/>
      <c r="QNQ213" s="2"/>
      <c r="QNR213" s="260"/>
      <c r="QNS213" s="260"/>
      <c r="QNT213" s="260"/>
      <c r="QNU213" s="380"/>
      <c r="QNV213" s="380"/>
      <c r="QNW213" s="380"/>
      <c r="QNX213" s="2"/>
      <c r="QNY213" s="442"/>
      <c r="QNZ213" s="442"/>
      <c r="QOA213" s="443"/>
      <c r="QOB213" s="442"/>
      <c r="QOC213" s="442"/>
      <c r="QOD213" s="2"/>
      <c r="QOE213" s="2"/>
      <c r="QOF213" s="2"/>
      <c r="QOG213" s="2"/>
      <c r="QOH213" s="260"/>
      <c r="QOI213" s="260"/>
      <c r="QOJ213" s="260"/>
      <c r="QOK213" s="260"/>
      <c r="QOL213" s="260"/>
      <c r="QOM213" s="260"/>
      <c r="QON213" s="308"/>
      <c r="QOO213" s="290"/>
      <c r="QOP213" s="290"/>
      <c r="QOQ213" s="260"/>
      <c r="QOR213" s="260"/>
      <c r="QOS213" s="260"/>
      <c r="QOT213" s="260"/>
      <c r="QOU213" s="260"/>
      <c r="QOV213" s="2"/>
      <c r="QOW213" s="2"/>
      <c r="QOX213" s="2"/>
      <c r="QOY213" s="2"/>
      <c r="QOZ213" s="2"/>
      <c r="QPA213" s="2"/>
      <c r="QPB213" s="260"/>
      <c r="QPC213" s="2"/>
      <c r="QPD213" s="2"/>
      <c r="QPE213" s="2"/>
      <c r="QPF213" s="2"/>
      <c r="QPG213" s="2"/>
      <c r="QPH213" s="2"/>
      <c r="QPI213" s="2"/>
      <c r="QPJ213" s="260"/>
      <c r="QPK213" s="260"/>
      <c r="QPL213" s="260"/>
      <c r="QPM213" s="380"/>
      <c r="QPN213" s="380"/>
      <c r="QPO213" s="380"/>
      <c r="QPP213" s="2"/>
      <c r="QPQ213" s="442"/>
      <c r="QPR213" s="442"/>
      <c r="QPS213" s="443"/>
      <c r="QPT213" s="442"/>
      <c r="QPU213" s="442"/>
      <c r="QPV213" s="2"/>
      <c r="QPW213" s="2"/>
      <c r="QPX213" s="2"/>
      <c r="QPY213" s="2"/>
      <c r="QPZ213" s="260"/>
      <c r="QQA213" s="260"/>
      <c r="QQB213" s="260"/>
      <c r="QQC213" s="260"/>
      <c r="QQD213" s="260"/>
      <c r="QQE213" s="260"/>
      <c r="QQF213" s="308"/>
      <c r="QQG213" s="290"/>
      <c r="QQH213" s="290"/>
      <c r="QQI213" s="260"/>
      <c r="QQJ213" s="260"/>
      <c r="QQK213" s="260"/>
      <c r="QQL213" s="260"/>
      <c r="QQM213" s="260"/>
      <c r="QQN213" s="2"/>
      <c r="QQO213" s="2"/>
      <c r="QQP213" s="2"/>
      <c r="QQQ213" s="2"/>
      <c r="QQR213" s="2"/>
      <c r="QQS213" s="2"/>
      <c r="QQT213" s="260"/>
      <c r="QQU213" s="2"/>
      <c r="QQV213" s="2"/>
      <c r="QQW213" s="2"/>
      <c r="QQX213" s="2"/>
      <c r="QQY213" s="2"/>
      <c r="QQZ213" s="2"/>
      <c r="QRA213" s="2"/>
      <c r="QRB213" s="260"/>
      <c r="QRC213" s="260"/>
      <c r="QRD213" s="260"/>
      <c r="QRE213" s="380"/>
      <c r="QRF213" s="380"/>
      <c r="QRG213" s="380"/>
      <c r="QRH213" s="2"/>
      <c r="QRI213" s="442"/>
      <c r="QRJ213" s="442"/>
      <c r="QRK213" s="443"/>
      <c r="QRL213" s="442"/>
      <c r="QRM213" s="442"/>
      <c r="QRN213" s="2"/>
      <c r="QRO213" s="2"/>
      <c r="QRP213" s="2"/>
      <c r="QRQ213" s="2"/>
      <c r="QRR213" s="260"/>
      <c r="QRS213" s="260"/>
      <c r="QRT213" s="260"/>
      <c r="QRU213" s="260"/>
      <c r="QRV213" s="260"/>
      <c r="QRW213" s="260"/>
      <c r="QRX213" s="308"/>
      <c r="QRY213" s="290"/>
      <c r="QRZ213" s="290"/>
      <c r="QSA213" s="260"/>
      <c r="QSB213" s="260"/>
      <c r="QSC213" s="260"/>
      <c r="QSD213" s="260"/>
      <c r="QSE213" s="260"/>
      <c r="QSF213" s="2"/>
      <c r="QSG213" s="2"/>
      <c r="QSH213" s="2"/>
      <c r="QSI213" s="2"/>
      <c r="QSJ213" s="2"/>
      <c r="QSK213" s="2"/>
      <c r="QSL213" s="260"/>
      <c r="QSM213" s="2"/>
      <c r="QSN213" s="2"/>
      <c r="QSO213" s="2"/>
      <c r="QSP213" s="2"/>
      <c r="QSQ213" s="2"/>
      <c r="QSR213" s="2"/>
      <c r="QSS213" s="2"/>
      <c r="QST213" s="260"/>
      <c r="QSU213" s="260"/>
      <c r="QSV213" s="260"/>
      <c r="QSW213" s="380"/>
      <c r="QSX213" s="380"/>
      <c r="QSY213" s="380"/>
      <c r="QSZ213" s="2"/>
      <c r="QTA213" s="442"/>
      <c r="QTB213" s="442"/>
      <c r="QTC213" s="443"/>
      <c r="QTD213" s="442"/>
      <c r="QTE213" s="442"/>
      <c r="QTF213" s="2"/>
      <c r="QTG213" s="2"/>
      <c r="QTH213" s="2"/>
      <c r="QTI213" s="2"/>
      <c r="QTJ213" s="260"/>
      <c r="QTK213" s="260"/>
      <c r="QTL213" s="260"/>
      <c r="QTM213" s="260"/>
      <c r="QTN213" s="260"/>
      <c r="QTO213" s="260"/>
      <c r="QTP213" s="308"/>
      <c r="QTQ213" s="290"/>
      <c r="QTR213" s="290"/>
      <c r="QTS213" s="260"/>
      <c r="QTT213" s="260"/>
      <c r="QTU213" s="260"/>
      <c r="QTV213" s="260"/>
      <c r="QTW213" s="260"/>
      <c r="QTX213" s="2"/>
      <c r="QTY213" s="2"/>
      <c r="QTZ213" s="2"/>
      <c r="QUA213" s="2"/>
      <c r="QUB213" s="2"/>
      <c r="QUC213" s="2"/>
      <c r="QUD213" s="260"/>
      <c r="QUE213" s="2"/>
      <c r="QUF213" s="2"/>
      <c r="QUG213" s="2"/>
      <c r="QUH213" s="2"/>
      <c r="QUI213" s="2"/>
      <c r="QUJ213" s="2"/>
      <c r="QUK213" s="2"/>
      <c r="QUL213" s="260"/>
      <c r="QUM213" s="260"/>
      <c r="QUN213" s="260"/>
      <c r="QUO213" s="380"/>
      <c r="QUP213" s="380"/>
      <c r="QUQ213" s="380"/>
      <c r="QUR213" s="2"/>
      <c r="QUS213" s="442"/>
      <c r="QUT213" s="442"/>
      <c r="QUU213" s="443"/>
      <c r="QUV213" s="442"/>
      <c r="QUW213" s="442"/>
      <c r="QUX213" s="2"/>
      <c r="QUY213" s="2"/>
      <c r="QUZ213" s="2"/>
      <c r="QVA213" s="2"/>
      <c r="QVB213" s="260"/>
      <c r="QVC213" s="260"/>
      <c r="QVD213" s="260"/>
      <c r="QVE213" s="260"/>
      <c r="QVF213" s="260"/>
      <c r="QVG213" s="260"/>
      <c r="QVH213" s="308"/>
      <c r="QVI213" s="290"/>
      <c r="QVJ213" s="290"/>
      <c r="QVK213" s="260"/>
      <c r="QVL213" s="260"/>
      <c r="QVM213" s="260"/>
      <c r="QVN213" s="260"/>
      <c r="QVO213" s="260"/>
      <c r="QVP213" s="2"/>
      <c r="QVQ213" s="2"/>
      <c r="QVR213" s="2"/>
      <c r="QVS213" s="2"/>
      <c r="QVT213" s="2"/>
      <c r="QVU213" s="2"/>
      <c r="QVV213" s="260"/>
      <c r="QVW213" s="2"/>
      <c r="QVX213" s="2"/>
      <c r="QVY213" s="2"/>
      <c r="QVZ213" s="2"/>
      <c r="QWA213" s="2"/>
      <c r="QWB213" s="2"/>
      <c r="QWC213" s="2"/>
      <c r="QWD213" s="260"/>
      <c r="QWE213" s="260"/>
      <c r="QWF213" s="260"/>
      <c r="QWG213" s="380"/>
      <c r="QWH213" s="380"/>
      <c r="QWI213" s="380"/>
      <c r="QWJ213" s="2"/>
      <c r="QWK213" s="442"/>
      <c r="QWL213" s="442"/>
      <c r="QWM213" s="443"/>
      <c r="QWN213" s="442"/>
      <c r="QWO213" s="442"/>
      <c r="QWP213" s="2"/>
      <c r="QWQ213" s="2"/>
      <c r="QWR213" s="2"/>
      <c r="QWS213" s="2"/>
      <c r="QWT213" s="260"/>
      <c r="QWU213" s="260"/>
      <c r="QWV213" s="260"/>
      <c r="QWW213" s="260"/>
      <c r="QWX213" s="260"/>
      <c r="QWY213" s="260"/>
      <c r="QWZ213" s="308"/>
      <c r="QXA213" s="290"/>
      <c r="QXB213" s="290"/>
      <c r="QXC213" s="260"/>
      <c r="QXD213" s="260"/>
      <c r="QXE213" s="260"/>
      <c r="QXF213" s="260"/>
      <c r="QXG213" s="260"/>
      <c r="QXH213" s="2"/>
      <c r="QXI213" s="2"/>
      <c r="QXJ213" s="2"/>
      <c r="QXK213" s="2"/>
      <c r="QXL213" s="2"/>
      <c r="QXM213" s="2"/>
      <c r="QXN213" s="260"/>
      <c r="QXO213" s="2"/>
      <c r="QXP213" s="2"/>
      <c r="QXQ213" s="2"/>
      <c r="QXR213" s="2"/>
      <c r="QXS213" s="2"/>
      <c r="QXT213" s="2"/>
      <c r="QXU213" s="2"/>
      <c r="QXV213" s="260"/>
      <c r="QXW213" s="260"/>
      <c r="QXX213" s="260"/>
      <c r="QXY213" s="380"/>
      <c r="QXZ213" s="380"/>
      <c r="QYA213" s="380"/>
      <c r="QYB213" s="2"/>
      <c r="QYC213" s="442"/>
      <c r="QYD213" s="442"/>
      <c r="QYE213" s="443"/>
      <c r="QYF213" s="442"/>
      <c r="QYG213" s="442"/>
      <c r="QYH213" s="2"/>
      <c r="QYI213" s="2"/>
      <c r="QYJ213" s="2"/>
      <c r="QYK213" s="2"/>
      <c r="QYL213" s="260"/>
      <c r="QYM213" s="260"/>
      <c r="QYN213" s="260"/>
      <c r="QYO213" s="260"/>
      <c r="QYP213" s="260"/>
      <c r="QYQ213" s="260"/>
      <c r="QYR213" s="308"/>
      <c r="QYS213" s="290"/>
      <c r="QYT213" s="290"/>
      <c r="QYU213" s="260"/>
      <c r="QYV213" s="260"/>
      <c r="QYW213" s="260"/>
      <c r="QYX213" s="260"/>
      <c r="QYY213" s="260"/>
      <c r="QYZ213" s="2"/>
      <c r="QZA213" s="2"/>
      <c r="QZB213" s="2"/>
      <c r="QZC213" s="2"/>
      <c r="QZD213" s="2"/>
      <c r="QZE213" s="2"/>
      <c r="QZF213" s="260"/>
      <c r="QZG213" s="2"/>
      <c r="QZH213" s="2"/>
      <c r="QZI213" s="2"/>
      <c r="QZJ213" s="2"/>
      <c r="QZK213" s="2"/>
      <c r="QZL213" s="2"/>
      <c r="QZM213" s="2"/>
      <c r="QZN213" s="260"/>
      <c r="QZO213" s="260"/>
      <c r="QZP213" s="260"/>
      <c r="QZQ213" s="380"/>
      <c r="QZR213" s="380"/>
      <c r="QZS213" s="380"/>
      <c r="QZT213" s="2"/>
      <c r="QZU213" s="442"/>
      <c r="QZV213" s="442"/>
      <c r="QZW213" s="443"/>
      <c r="QZX213" s="442"/>
      <c r="QZY213" s="442"/>
      <c r="QZZ213" s="2"/>
      <c r="RAA213" s="2"/>
      <c r="RAB213" s="2"/>
      <c r="RAC213" s="2"/>
      <c r="RAD213" s="260"/>
      <c r="RAE213" s="260"/>
      <c r="RAF213" s="260"/>
      <c r="RAG213" s="260"/>
      <c r="RAH213" s="260"/>
      <c r="RAI213" s="260"/>
      <c r="RAJ213" s="308"/>
      <c r="RAK213" s="290"/>
      <c r="RAL213" s="290"/>
      <c r="RAM213" s="260"/>
      <c r="RAN213" s="260"/>
      <c r="RAO213" s="260"/>
      <c r="RAP213" s="260"/>
      <c r="RAQ213" s="260"/>
      <c r="RAR213" s="2"/>
      <c r="RAS213" s="2"/>
      <c r="RAT213" s="2"/>
      <c r="RAU213" s="2"/>
      <c r="RAV213" s="2"/>
      <c r="RAW213" s="2"/>
      <c r="RAX213" s="260"/>
      <c r="RAY213" s="2"/>
      <c r="RAZ213" s="2"/>
      <c r="RBA213" s="2"/>
      <c r="RBB213" s="2"/>
      <c r="RBC213" s="2"/>
      <c r="RBD213" s="2"/>
      <c r="RBE213" s="2"/>
      <c r="RBF213" s="260"/>
      <c r="RBG213" s="260"/>
      <c r="RBH213" s="260"/>
      <c r="RBI213" s="380"/>
      <c r="RBJ213" s="380"/>
      <c r="RBK213" s="380"/>
      <c r="RBL213" s="2"/>
      <c r="RBM213" s="442"/>
      <c r="RBN213" s="442"/>
      <c r="RBO213" s="443"/>
      <c r="RBP213" s="442"/>
      <c r="RBQ213" s="442"/>
      <c r="RBR213" s="2"/>
      <c r="RBS213" s="2"/>
      <c r="RBT213" s="2"/>
      <c r="RBU213" s="2"/>
      <c r="RBV213" s="260"/>
      <c r="RBW213" s="260"/>
      <c r="RBX213" s="260"/>
      <c r="RBY213" s="260"/>
      <c r="RBZ213" s="260"/>
      <c r="RCA213" s="260"/>
      <c r="RCB213" s="308"/>
      <c r="RCC213" s="290"/>
      <c r="RCD213" s="290"/>
      <c r="RCE213" s="260"/>
      <c r="RCF213" s="260"/>
      <c r="RCG213" s="260"/>
      <c r="RCH213" s="260"/>
      <c r="RCI213" s="260"/>
      <c r="RCJ213" s="2"/>
      <c r="RCK213" s="2"/>
      <c r="RCL213" s="2"/>
      <c r="RCM213" s="2"/>
      <c r="RCN213" s="2"/>
      <c r="RCO213" s="2"/>
      <c r="RCP213" s="260"/>
      <c r="RCQ213" s="2"/>
      <c r="RCR213" s="2"/>
      <c r="RCS213" s="2"/>
      <c r="RCT213" s="2"/>
      <c r="RCU213" s="2"/>
      <c r="RCV213" s="2"/>
      <c r="RCW213" s="2"/>
      <c r="RCX213" s="260"/>
      <c r="RCY213" s="260"/>
      <c r="RCZ213" s="260"/>
      <c r="RDA213" s="380"/>
      <c r="RDB213" s="380"/>
      <c r="RDC213" s="380"/>
      <c r="RDD213" s="2"/>
      <c r="RDE213" s="442"/>
      <c r="RDF213" s="442"/>
      <c r="RDG213" s="443"/>
      <c r="RDH213" s="442"/>
      <c r="RDI213" s="442"/>
      <c r="RDJ213" s="2"/>
      <c r="RDK213" s="2"/>
      <c r="RDL213" s="2"/>
      <c r="RDM213" s="2"/>
      <c r="RDN213" s="260"/>
      <c r="RDO213" s="260"/>
      <c r="RDP213" s="260"/>
      <c r="RDQ213" s="260"/>
      <c r="RDR213" s="260"/>
      <c r="RDS213" s="260"/>
      <c r="RDT213" s="308"/>
      <c r="RDU213" s="290"/>
      <c r="RDV213" s="290"/>
      <c r="RDW213" s="260"/>
      <c r="RDX213" s="260"/>
      <c r="RDY213" s="260"/>
      <c r="RDZ213" s="260"/>
      <c r="REA213" s="260"/>
      <c r="REB213" s="2"/>
      <c r="REC213" s="2"/>
      <c r="RED213" s="2"/>
      <c r="REE213" s="2"/>
      <c r="REF213" s="2"/>
      <c r="REG213" s="2"/>
      <c r="REH213" s="260"/>
      <c r="REI213" s="2"/>
      <c r="REJ213" s="2"/>
      <c r="REK213" s="2"/>
      <c r="REL213" s="2"/>
      <c r="REM213" s="2"/>
      <c r="REN213" s="2"/>
      <c r="REO213" s="2"/>
      <c r="REP213" s="260"/>
      <c r="REQ213" s="260"/>
      <c r="RER213" s="260"/>
      <c r="RES213" s="380"/>
      <c r="RET213" s="380"/>
      <c r="REU213" s="380"/>
      <c r="REV213" s="2"/>
      <c r="REW213" s="442"/>
      <c r="REX213" s="442"/>
      <c r="REY213" s="443"/>
      <c r="REZ213" s="442"/>
      <c r="RFA213" s="442"/>
      <c r="RFB213" s="2"/>
      <c r="RFC213" s="2"/>
      <c r="RFD213" s="2"/>
      <c r="RFE213" s="2"/>
      <c r="RFF213" s="260"/>
      <c r="RFG213" s="260"/>
      <c r="RFH213" s="260"/>
      <c r="RFI213" s="260"/>
      <c r="RFJ213" s="260"/>
      <c r="RFK213" s="260"/>
      <c r="RFL213" s="308"/>
      <c r="RFM213" s="290"/>
      <c r="RFN213" s="290"/>
      <c r="RFO213" s="260"/>
      <c r="RFP213" s="260"/>
      <c r="RFQ213" s="260"/>
      <c r="RFR213" s="260"/>
      <c r="RFS213" s="260"/>
      <c r="RFT213" s="2"/>
      <c r="RFU213" s="2"/>
      <c r="RFV213" s="2"/>
      <c r="RFW213" s="2"/>
      <c r="RFX213" s="2"/>
      <c r="RFY213" s="2"/>
      <c r="RFZ213" s="260"/>
      <c r="RGA213" s="2"/>
      <c r="RGB213" s="2"/>
      <c r="RGC213" s="2"/>
      <c r="RGD213" s="2"/>
      <c r="RGE213" s="2"/>
      <c r="RGF213" s="2"/>
      <c r="RGG213" s="2"/>
      <c r="RGH213" s="260"/>
      <c r="RGI213" s="260"/>
      <c r="RGJ213" s="260"/>
      <c r="RGK213" s="380"/>
      <c r="RGL213" s="380"/>
      <c r="RGM213" s="380"/>
      <c r="RGN213" s="2"/>
      <c r="RGO213" s="442"/>
      <c r="RGP213" s="442"/>
      <c r="RGQ213" s="443"/>
      <c r="RGR213" s="442"/>
      <c r="RGS213" s="442"/>
      <c r="RGT213" s="2"/>
      <c r="RGU213" s="2"/>
      <c r="RGV213" s="2"/>
      <c r="RGW213" s="2"/>
      <c r="RGX213" s="260"/>
      <c r="RGY213" s="260"/>
      <c r="RGZ213" s="260"/>
      <c r="RHA213" s="260"/>
      <c r="RHB213" s="260"/>
      <c r="RHC213" s="260"/>
      <c r="RHD213" s="308"/>
      <c r="RHE213" s="290"/>
      <c r="RHF213" s="290"/>
      <c r="RHG213" s="260"/>
      <c r="RHH213" s="260"/>
      <c r="RHI213" s="260"/>
      <c r="RHJ213" s="260"/>
      <c r="RHK213" s="260"/>
      <c r="RHL213" s="2"/>
      <c r="RHM213" s="2"/>
      <c r="RHN213" s="2"/>
      <c r="RHO213" s="2"/>
      <c r="RHP213" s="2"/>
      <c r="RHQ213" s="2"/>
      <c r="RHR213" s="260"/>
      <c r="RHS213" s="2"/>
      <c r="RHT213" s="2"/>
      <c r="RHU213" s="2"/>
      <c r="RHV213" s="2"/>
      <c r="RHW213" s="2"/>
      <c r="RHX213" s="2"/>
      <c r="RHY213" s="2"/>
      <c r="RHZ213" s="260"/>
      <c r="RIA213" s="260"/>
      <c r="RIB213" s="260"/>
      <c r="RIC213" s="380"/>
      <c r="RID213" s="380"/>
      <c r="RIE213" s="380"/>
      <c r="RIF213" s="2"/>
      <c r="RIG213" s="442"/>
      <c r="RIH213" s="442"/>
      <c r="RII213" s="443"/>
      <c r="RIJ213" s="442"/>
      <c r="RIK213" s="442"/>
      <c r="RIL213" s="2"/>
      <c r="RIM213" s="2"/>
      <c r="RIN213" s="2"/>
      <c r="RIO213" s="2"/>
      <c r="RIP213" s="260"/>
      <c r="RIQ213" s="260"/>
      <c r="RIR213" s="260"/>
      <c r="RIS213" s="260"/>
      <c r="RIT213" s="260"/>
      <c r="RIU213" s="260"/>
      <c r="RIV213" s="308"/>
      <c r="RIW213" s="290"/>
      <c r="RIX213" s="290"/>
      <c r="RIY213" s="260"/>
      <c r="RIZ213" s="260"/>
      <c r="RJA213" s="260"/>
      <c r="RJB213" s="260"/>
      <c r="RJC213" s="260"/>
      <c r="RJD213" s="2"/>
      <c r="RJE213" s="2"/>
      <c r="RJF213" s="2"/>
      <c r="RJG213" s="2"/>
      <c r="RJH213" s="2"/>
      <c r="RJI213" s="2"/>
      <c r="RJJ213" s="260"/>
      <c r="RJK213" s="2"/>
      <c r="RJL213" s="2"/>
      <c r="RJM213" s="2"/>
      <c r="RJN213" s="2"/>
      <c r="RJO213" s="2"/>
      <c r="RJP213" s="2"/>
      <c r="RJQ213" s="2"/>
      <c r="RJR213" s="260"/>
      <c r="RJS213" s="260"/>
      <c r="RJT213" s="260"/>
      <c r="RJU213" s="380"/>
      <c r="RJV213" s="380"/>
      <c r="RJW213" s="380"/>
      <c r="RJX213" s="2"/>
      <c r="RJY213" s="442"/>
      <c r="RJZ213" s="442"/>
      <c r="RKA213" s="443"/>
      <c r="RKB213" s="442"/>
      <c r="RKC213" s="442"/>
      <c r="RKD213" s="2"/>
      <c r="RKE213" s="2"/>
      <c r="RKF213" s="2"/>
      <c r="RKG213" s="2"/>
      <c r="RKH213" s="260"/>
      <c r="RKI213" s="260"/>
      <c r="RKJ213" s="260"/>
      <c r="RKK213" s="260"/>
      <c r="RKL213" s="260"/>
      <c r="RKM213" s="260"/>
      <c r="RKN213" s="308"/>
      <c r="RKO213" s="290"/>
      <c r="RKP213" s="290"/>
      <c r="RKQ213" s="260"/>
      <c r="RKR213" s="260"/>
      <c r="RKS213" s="260"/>
      <c r="RKT213" s="260"/>
      <c r="RKU213" s="260"/>
      <c r="RKV213" s="2"/>
      <c r="RKW213" s="2"/>
      <c r="RKX213" s="2"/>
      <c r="RKY213" s="2"/>
      <c r="RKZ213" s="2"/>
      <c r="RLA213" s="2"/>
      <c r="RLB213" s="260"/>
      <c r="RLC213" s="2"/>
      <c r="RLD213" s="2"/>
      <c r="RLE213" s="2"/>
      <c r="RLF213" s="2"/>
      <c r="RLG213" s="2"/>
      <c r="RLH213" s="2"/>
      <c r="RLI213" s="2"/>
      <c r="RLJ213" s="260"/>
      <c r="RLK213" s="260"/>
      <c r="RLL213" s="260"/>
      <c r="RLM213" s="380"/>
      <c r="RLN213" s="380"/>
      <c r="RLO213" s="380"/>
      <c r="RLP213" s="2"/>
      <c r="RLQ213" s="442"/>
      <c r="RLR213" s="442"/>
      <c r="RLS213" s="443"/>
      <c r="RLT213" s="442"/>
      <c r="RLU213" s="442"/>
      <c r="RLV213" s="2"/>
      <c r="RLW213" s="2"/>
      <c r="RLX213" s="2"/>
      <c r="RLY213" s="2"/>
      <c r="RLZ213" s="260"/>
      <c r="RMA213" s="260"/>
      <c r="RMB213" s="260"/>
      <c r="RMC213" s="260"/>
      <c r="RMD213" s="260"/>
      <c r="RME213" s="260"/>
      <c r="RMF213" s="308"/>
      <c r="RMG213" s="290"/>
      <c r="RMH213" s="290"/>
      <c r="RMI213" s="260"/>
      <c r="RMJ213" s="260"/>
      <c r="RMK213" s="260"/>
      <c r="RML213" s="260"/>
      <c r="RMM213" s="260"/>
      <c r="RMN213" s="2"/>
      <c r="RMO213" s="2"/>
      <c r="RMP213" s="2"/>
      <c r="RMQ213" s="2"/>
      <c r="RMR213" s="2"/>
      <c r="RMS213" s="2"/>
      <c r="RMT213" s="260"/>
      <c r="RMU213" s="2"/>
      <c r="RMV213" s="2"/>
      <c r="RMW213" s="2"/>
      <c r="RMX213" s="2"/>
      <c r="RMY213" s="2"/>
      <c r="RMZ213" s="2"/>
      <c r="RNA213" s="2"/>
      <c r="RNB213" s="260"/>
      <c r="RNC213" s="260"/>
      <c r="RND213" s="260"/>
      <c r="RNE213" s="380"/>
      <c r="RNF213" s="380"/>
      <c r="RNG213" s="380"/>
      <c r="RNH213" s="2"/>
      <c r="RNI213" s="442"/>
      <c r="RNJ213" s="442"/>
      <c r="RNK213" s="443"/>
      <c r="RNL213" s="442"/>
      <c r="RNM213" s="442"/>
      <c r="RNN213" s="2"/>
      <c r="RNO213" s="2"/>
      <c r="RNP213" s="2"/>
      <c r="RNQ213" s="2"/>
      <c r="RNR213" s="260"/>
      <c r="RNS213" s="260"/>
      <c r="RNT213" s="260"/>
      <c r="RNU213" s="260"/>
      <c r="RNV213" s="260"/>
      <c r="RNW213" s="260"/>
      <c r="RNX213" s="308"/>
      <c r="RNY213" s="290"/>
      <c r="RNZ213" s="290"/>
      <c r="ROA213" s="260"/>
      <c r="ROB213" s="260"/>
      <c r="ROC213" s="260"/>
      <c r="ROD213" s="260"/>
      <c r="ROE213" s="260"/>
      <c r="ROF213" s="2"/>
      <c r="ROG213" s="2"/>
      <c r="ROH213" s="2"/>
      <c r="ROI213" s="2"/>
      <c r="ROJ213" s="2"/>
      <c r="ROK213" s="2"/>
      <c r="ROL213" s="260"/>
      <c r="ROM213" s="2"/>
      <c r="RON213" s="2"/>
      <c r="ROO213" s="2"/>
      <c r="ROP213" s="2"/>
      <c r="ROQ213" s="2"/>
      <c r="ROR213" s="2"/>
      <c r="ROS213" s="2"/>
      <c r="ROT213" s="260"/>
      <c r="ROU213" s="260"/>
      <c r="ROV213" s="260"/>
      <c r="ROW213" s="380"/>
      <c r="ROX213" s="380"/>
      <c r="ROY213" s="380"/>
      <c r="ROZ213" s="2"/>
      <c r="RPA213" s="442"/>
      <c r="RPB213" s="442"/>
      <c r="RPC213" s="443"/>
      <c r="RPD213" s="442"/>
      <c r="RPE213" s="442"/>
      <c r="RPF213" s="2"/>
      <c r="RPG213" s="2"/>
      <c r="RPH213" s="2"/>
      <c r="RPI213" s="2"/>
      <c r="RPJ213" s="260"/>
      <c r="RPK213" s="260"/>
      <c r="RPL213" s="260"/>
      <c r="RPM213" s="260"/>
      <c r="RPN213" s="260"/>
      <c r="RPO213" s="260"/>
      <c r="RPP213" s="308"/>
      <c r="RPQ213" s="290"/>
      <c r="RPR213" s="290"/>
      <c r="RPS213" s="260"/>
      <c r="RPT213" s="260"/>
      <c r="RPU213" s="260"/>
      <c r="RPV213" s="260"/>
      <c r="RPW213" s="260"/>
      <c r="RPX213" s="2"/>
      <c r="RPY213" s="2"/>
      <c r="RPZ213" s="2"/>
      <c r="RQA213" s="2"/>
      <c r="RQB213" s="2"/>
      <c r="RQC213" s="2"/>
      <c r="RQD213" s="260"/>
      <c r="RQE213" s="2"/>
      <c r="RQF213" s="2"/>
      <c r="RQG213" s="2"/>
      <c r="RQH213" s="2"/>
      <c r="RQI213" s="2"/>
      <c r="RQJ213" s="2"/>
      <c r="RQK213" s="2"/>
      <c r="RQL213" s="260"/>
      <c r="RQM213" s="260"/>
      <c r="RQN213" s="260"/>
      <c r="RQO213" s="380"/>
      <c r="RQP213" s="380"/>
      <c r="RQQ213" s="380"/>
      <c r="RQR213" s="2"/>
      <c r="RQS213" s="442"/>
      <c r="RQT213" s="442"/>
      <c r="RQU213" s="443"/>
      <c r="RQV213" s="442"/>
      <c r="RQW213" s="442"/>
      <c r="RQX213" s="2"/>
      <c r="RQY213" s="2"/>
      <c r="RQZ213" s="2"/>
      <c r="RRA213" s="2"/>
      <c r="RRB213" s="260"/>
      <c r="RRC213" s="260"/>
      <c r="RRD213" s="260"/>
      <c r="RRE213" s="260"/>
      <c r="RRF213" s="260"/>
      <c r="RRG213" s="260"/>
      <c r="RRH213" s="308"/>
      <c r="RRI213" s="290"/>
      <c r="RRJ213" s="290"/>
      <c r="RRK213" s="260"/>
      <c r="RRL213" s="260"/>
      <c r="RRM213" s="260"/>
      <c r="RRN213" s="260"/>
      <c r="RRO213" s="260"/>
      <c r="RRP213" s="2"/>
      <c r="RRQ213" s="2"/>
      <c r="RRR213" s="2"/>
      <c r="RRS213" s="2"/>
      <c r="RRT213" s="2"/>
      <c r="RRU213" s="2"/>
      <c r="RRV213" s="260"/>
      <c r="RRW213" s="2"/>
      <c r="RRX213" s="2"/>
      <c r="RRY213" s="2"/>
      <c r="RRZ213" s="2"/>
      <c r="RSA213" s="2"/>
      <c r="RSB213" s="2"/>
      <c r="RSC213" s="2"/>
      <c r="RSD213" s="260"/>
      <c r="RSE213" s="260"/>
      <c r="RSF213" s="260"/>
      <c r="RSG213" s="380"/>
      <c r="RSH213" s="380"/>
      <c r="RSI213" s="380"/>
      <c r="RSJ213" s="2"/>
      <c r="RSK213" s="442"/>
      <c r="RSL213" s="442"/>
      <c r="RSM213" s="443"/>
      <c r="RSN213" s="442"/>
      <c r="RSO213" s="442"/>
      <c r="RSP213" s="2"/>
      <c r="RSQ213" s="2"/>
      <c r="RSR213" s="2"/>
      <c r="RSS213" s="2"/>
      <c r="RST213" s="260"/>
      <c r="RSU213" s="260"/>
      <c r="RSV213" s="260"/>
      <c r="RSW213" s="260"/>
      <c r="RSX213" s="260"/>
      <c r="RSY213" s="260"/>
      <c r="RSZ213" s="308"/>
      <c r="RTA213" s="290"/>
      <c r="RTB213" s="290"/>
      <c r="RTC213" s="260"/>
      <c r="RTD213" s="260"/>
      <c r="RTE213" s="260"/>
      <c r="RTF213" s="260"/>
      <c r="RTG213" s="260"/>
      <c r="RTH213" s="2"/>
      <c r="RTI213" s="2"/>
      <c r="RTJ213" s="2"/>
      <c r="RTK213" s="2"/>
      <c r="RTL213" s="2"/>
      <c r="RTM213" s="2"/>
      <c r="RTN213" s="260"/>
      <c r="RTO213" s="2"/>
      <c r="RTP213" s="2"/>
      <c r="RTQ213" s="2"/>
      <c r="RTR213" s="2"/>
      <c r="RTS213" s="2"/>
      <c r="RTT213" s="2"/>
      <c r="RTU213" s="2"/>
      <c r="RTV213" s="260"/>
      <c r="RTW213" s="260"/>
      <c r="RTX213" s="260"/>
      <c r="RTY213" s="380"/>
      <c r="RTZ213" s="380"/>
      <c r="RUA213" s="380"/>
      <c r="RUB213" s="2"/>
      <c r="RUC213" s="442"/>
      <c r="RUD213" s="442"/>
      <c r="RUE213" s="443"/>
      <c r="RUF213" s="442"/>
      <c r="RUG213" s="442"/>
      <c r="RUH213" s="2"/>
      <c r="RUI213" s="2"/>
      <c r="RUJ213" s="2"/>
      <c r="RUK213" s="2"/>
      <c r="RUL213" s="260"/>
      <c r="RUM213" s="260"/>
      <c r="RUN213" s="260"/>
      <c r="RUO213" s="260"/>
      <c r="RUP213" s="260"/>
      <c r="RUQ213" s="260"/>
      <c r="RUR213" s="308"/>
      <c r="RUS213" s="290"/>
      <c r="RUT213" s="290"/>
      <c r="RUU213" s="260"/>
      <c r="RUV213" s="260"/>
      <c r="RUW213" s="260"/>
      <c r="RUX213" s="260"/>
      <c r="RUY213" s="260"/>
      <c r="RUZ213" s="2"/>
      <c r="RVA213" s="2"/>
      <c r="RVB213" s="2"/>
      <c r="RVC213" s="2"/>
      <c r="RVD213" s="2"/>
      <c r="RVE213" s="2"/>
      <c r="RVF213" s="260"/>
      <c r="RVG213" s="2"/>
      <c r="RVH213" s="2"/>
      <c r="RVI213" s="2"/>
      <c r="RVJ213" s="2"/>
      <c r="RVK213" s="2"/>
      <c r="RVL213" s="2"/>
      <c r="RVM213" s="2"/>
      <c r="RVN213" s="260"/>
      <c r="RVO213" s="260"/>
      <c r="RVP213" s="260"/>
      <c r="RVQ213" s="380"/>
      <c r="RVR213" s="380"/>
      <c r="RVS213" s="380"/>
      <c r="RVT213" s="2"/>
      <c r="RVU213" s="442"/>
      <c r="RVV213" s="442"/>
      <c r="RVW213" s="443"/>
      <c r="RVX213" s="442"/>
      <c r="RVY213" s="442"/>
      <c r="RVZ213" s="2"/>
      <c r="RWA213" s="2"/>
      <c r="RWB213" s="2"/>
      <c r="RWC213" s="2"/>
      <c r="RWD213" s="260"/>
      <c r="RWE213" s="260"/>
      <c r="RWF213" s="260"/>
      <c r="RWG213" s="260"/>
      <c r="RWH213" s="260"/>
      <c r="RWI213" s="260"/>
      <c r="RWJ213" s="308"/>
      <c r="RWK213" s="290"/>
      <c r="RWL213" s="290"/>
      <c r="RWM213" s="260"/>
      <c r="RWN213" s="260"/>
      <c r="RWO213" s="260"/>
      <c r="RWP213" s="260"/>
      <c r="RWQ213" s="260"/>
      <c r="RWR213" s="2"/>
      <c r="RWS213" s="2"/>
      <c r="RWT213" s="2"/>
      <c r="RWU213" s="2"/>
      <c r="RWV213" s="2"/>
      <c r="RWW213" s="2"/>
      <c r="RWX213" s="260"/>
      <c r="RWY213" s="2"/>
      <c r="RWZ213" s="2"/>
      <c r="RXA213" s="2"/>
      <c r="RXB213" s="2"/>
      <c r="RXC213" s="2"/>
      <c r="RXD213" s="2"/>
      <c r="RXE213" s="2"/>
      <c r="RXF213" s="260"/>
      <c r="RXG213" s="260"/>
      <c r="RXH213" s="260"/>
      <c r="RXI213" s="380"/>
      <c r="RXJ213" s="380"/>
      <c r="RXK213" s="380"/>
      <c r="RXL213" s="2"/>
      <c r="RXM213" s="442"/>
      <c r="RXN213" s="442"/>
      <c r="RXO213" s="443"/>
      <c r="RXP213" s="442"/>
      <c r="RXQ213" s="442"/>
      <c r="RXR213" s="2"/>
      <c r="RXS213" s="2"/>
      <c r="RXT213" s="2"/>
      <c r="RXU213" s="2"/>
      <c r="RXV213" s="260"/>
      <c r="RXW213" s="260"/>
      <c r="RXX213" s="260"/>
      <c r="RXY213" s="260"/>
      <c r="RXZ213" s="260"/>
      <c r="RYA213" s="260"/>
      <c r="RYB213" s="308"/>
      <c r="RYC213" s="290"/>
      <c r="RYD213" s="290"/>
      <c r="RYE213" s="260"/>
      <c r="RYF213" s="260"/>
      <c r="RYG213" s="260"/>
      <c r="RYH213" s="260"/>
      <c r="RYI213" s="260"/>
      <c r="RYJ213" s="2"/>
      <c r="RYK213" s="2"/>
      <c r="RYL213" s="2"/>
      <c r="RYM213" s="2"/>
      <c r="RYN213" s="2"/>
      <c r="RYO213" s="2"/>
      <c r="RYP213" s="260"/>
      <c r="RYQ213" s="2"/>
      <c r="RYR213" s="2"/>
      <c r="RYS213" s="2"/>
      <c r="RYT213" s="2"/>
      <c r="RYU213" s="2"/>
      <c r="RYV213" s="2"/>
      <c r="RYW213" s="2"/>
      <c r="RYX213" s="260"/>
      <c r="RYY213" s="260"/>
      <c r="RYZ213" s="260"/>
      <c r="RZA213" s="380"/>
      <c r="RZB213" s="380"/>
      <c r="RZC213" s="380"/>
      <c r="RZD213" s="2"/>
      <c r="RZE213" s="442"/>
      <c r="RZF213" s="442"/>
      <c r="RZG213" s="443"/>
      <c r="RZH213" s="442"/>
      <c r="RZI213" s="442"/>
      <c r="RZJ213" s="2"/>
      <c r="RZK213" s="2"/>
      <c r="RZL213" s="2"/>
      <c r="RZM213" s="2"/>
      <c r="RZN213" s="260"/>
      <c r="RZO213" s="260"/>
      <c r="RZP213" s="260"/>
      <c r="RZQ213" s="260"/>
      <c r="RZR213" s="260"/>
      <c r="RZS213" s="260"/>
      <c r="RZT213" s="308"/>
      <c r="RZU213" s="290"/>
      <c r="RZV213" s="290"/>
      <c r="RZW213" s="260"/>
      <c r="RZX213" s="260"/>
      <c r="RZY213" s="260"/>
      <c r="RZZ213" s="260"/>
      <c r="SAA213" s="260"/>
      <c r="SAB213" s="2"/>
      <c r="SAC213" s="2"/>
      <c r="SAD213" s="2"/>
      <c r="SAE213" s="2"/>
      <c r="SAF213" s="2"/>
      <c r="SAG213" s="2"/>
      <c r="SAH213" s="260"/>
      <c r="SAI213" s="2"/>
      <c r="SAJ213" s="2"/>
      <c r="SAK213" s="2"/>
      <c r="SAL213" s="2"/>
      <c r="SAM213" s="2"/>
      <c r="SAN213" s="2"/>
      <c r="SAO213" s="2"/>
      <c r="SAP213" s="260"/>
      <c r="SAQ213" s="260"/>
      <c r="SAR213" s="260"/>
      <c r="SAS213" s="380"/>
      <c r="SAT213" s="380"/>
      <c r="SAU213" s="380"/>
      <c r="SAV213" s="2"/>
      <c r="SAW213" s="442"/>
      <c r="SAX213" s="442"/>
      <c r="SAY213" s="443"/>
      <c r="SAZ213" s="442"/>
      <c r="SBA213" s="442"/>
      <c r="SBB213" s="2"/>
      <c r="SBC213" s="2"/>
      <c r="SBD213" s="2"/>
      <c r="SBE213" s="2"/>
      <c r="SBF213" s="260"/>
      <c r="SBG213" s="260"/>
      <c r="SBH213" s="260"/>
      <c r="SBI213" s="260"/>
      <c r="SBJ213" s="260"/>
      <c r="SBK213" s="260"/>
      <c r="SBL213" s="308"/>
      <c r="SBM213" s="290"/>
      <c r="SBN213" s="290"/>
      <c r="SBO213" s="260"/>
      <c r="SBP213" s="260"/>
      <c r="SBQ213" s="260"/>
      <c r="SBR213" s="260"/>
      <c r="SBS213" s="260"/>
      <c r="SBT213" s="2"/>
      <c r="SBU213" s="2"/>
      <c r="SBV213" s="2"/>
      <c r="SBW213" s="2"/>
      <c r="SBX213" s="2"/>
      <c r="SBY213" s="2"/>
      <c r="SBZ213" s="260"/>
      <c r="SCA213" s="2"/>
      <c r="SCB213" s="2"/>
      <c r="SCC213" s="2"/>
      <c r="SCD213" s="2"/>
      <c r="SCE213" s="2"/>
      <c r="SCF213" s="2"/>
      <c r="SCG213" s="2"/>
      <c r="SCH213" s="260"/>
      <c r="SCI213" s="260"/>
      <c r="SCJ213" s="260"/>
      <c r="SCK213" s="380"/>
      <c r="SCL213" s="380"/>
      <c r="SCM213" s="380"/>
      <c r="SCN213" s="2"/>
      <c r="SCO213" s="442"/>
      <c r="SCP213" s="442"/>
      <c r="SCQ213" s="443"/>
      <c r="SCR213" s="442"/>
      <c r="SCS213" s="442"/>
      <c r="SCT213" s="2"/>
      <c r="SCU213" s="2"/>
      <c r="SCV213" s="2"/>
      <c r="SCW213" s="2"/>
      <c r="SCX213" s="260"/>
      <c r="SCY213" s="260"/>
      <c r="SCZ213" s="260"/>
      <c r="SDA213" s="260"/>
      <c r="SDB213" s="260"/>
      <c r="SDC213" s="260"/>
      <c r="SDD213" s="308"/>
      <c r="SDE213" s="290"/>
      <c r="SDF213" s="290"/>
      <c r="SDG213" s="260"/>
      <c r="SDH213" s="260"/>
      <c r="SDI213" s="260"/>
      <c r="SDJ213" s="260"/>
      <c r="SDK213" s="260"/>
      <c r="SDL213" s="2"/>
      <c r="SDM213" s="2"/>
      <c r="SDN213" s="2"/>
      <c r="SDO213" s="2"/>
      <c r="SDP213" s="2"/>
      <c r="SDQ213" s="2"/>
      <c r="SDR213" s="260"/>
      <c r="SDS213" s="2"/>
      <c r="SDT213" s="2"/>
      <c r="SDU213" s="2"/>
      <c r="SDV213" s="2"/>
      <c r="SDW213" s="2"/>
      <c r="SDX213" s="2"/>
      <c r="SDY213" s="2"/>
      <c r="SDZ213" s="260"/>
      <c r="SEA213" s="260"/>
      <c r="SEB213" s="260"/>
      <c r="SEC213" s="380"/>
      <c r="SED213" s="380"/>
      <c r="SEE213" s="380"/>
      <c r="SEF213" s="2"/>
      <c r="SEG213" s="442"/>
      <c r="SEH213" s="442"/>
      <c r="SEI213" s="443"/>
      <c r="SEJ213" s="442"/>
      <c r="SEK213" s="442"/>
      <c r="SEL213" s="2"/>
      <c r="SEM213" s="2"/>
      <c r="SEN213" s="2"/>
      <c r="SEO213" s="2"/>
      <c r="SEP213" s="260"/>
      <c r="SEQ213" s="260"/>
      <c r="SER213" s="260"/>
      <c r="SES213" s="260"/>
      <c r="SET213" s="260"/>
      <c r="SEU213" s="260"/>
      <c r="SEV213" s="308"/>
      <c r="SEW213" s="290"/>
      <c r="SEX213" s="290"/>
      <c r="SEY213" s="260"/>
      <c r="SEZ213" s="260"/>
      <c r="SFA213" s="260"/>
      <c r="SFB213" s="260"/>
      <c r="SFC213" s="260"/>
      <c r="SFD213" s="2"/>
      <c r="SFE213" s="2"/>
      <c r="SFF213" s="2"/>
      <c r="SFG213" s="2"/>
      <c r="SFH213" s="2"/>
      <c r="SFI213" s="2"/>
      <c r="SFJ213" s="260"/>
      <c r="SFK213" s="2"/>
      <c r="SFL213" s="2"/>
      <c r="SFM213" s="2"/>
      <c r="SFN213" s="2"/>
      <c r="SFO213" s="2"/>
      <c r="SFP213" s="2"/>
      <c r="SFQ213" s="2"/>
      <c r="SFR213" s="260"/>
      <c r="SFS213" s="260"/>
      <c r="SFT213" s="260"/>
      <c r="SFU213" s="380"/>
      <c r="SFV213" s="380"/>
      <c r="SFW213" s="380"/>
      <c r="SFX213" s="2"/>
      <c r="SFY213" s="442"/>
      <c r="SFZ213" s="442"/>
      <c r="SGA213" s="443"/>
      <c r="SGB213" s="442"/>
      <c r="SGC213" s="442"/>
      <c r="SGD213" s="2"/>
      <c r="SGE213" s="2"/>
      <c r="SGF213" s="2"/>
      <c r="SGG213" s="2"/>
      <c r="SGH213" s="260"/>
      <c r="SGI213" s="260"/>
      <c r="SGJ213" s="260"/>
      <c r="SGK213" s="260"/>
      <c r="SGL213" s="260"/>
      <c r="SGM213" s="260"/>
      <c r="SGN213" s="308"/>
      <c r="SGO213" s="290"/>
      <c r="SGP213" s="290"/>
      <c r="SGQ213" s="260"/>
      <c r="SGR213" s="260"/>
      <c r="SGS213" s="260"/>
      <c r="SGT213" s="260"/>
      <c r="SGU213" s="260"/>
      <c r="SGV213" s="2"/>
      <c r="SGW213" s="2"/>
      <c r="SGX213" s="2"/>
      <c r="SGY213" s="2"/>
      <c r="SGZ213" s="2"/>
      <c r="SHA213" s="2"/>
      <c r="SHB213" s="260"/>
      <c r="SHC213" s="2"/>
      <c r="SHD213" s="2"/>
      <c r="SHE213" s="2"/>
      <c r="SHF213" s="2"/>
      <c r="SHG213" s="2"/>
      <c r="SHH213" s="2"/>
      <c r="SHI213" s="2"/>
      <c r="SHJ213" s="260"/>
      <c r="SHK213" s="260"/>
      <c r="SHL213" s="260"/>
      <c r="SHM213" s="380"/>
      <c r="SHN213" s="380"/>
      <c r="SHO213" s="380"/>
      <c r="SHP213" s="2"/>
      <c r="SHQ213" s="442"/>
      <c r="SHR213" s="442"/>
      <c r="SHS213" s="443"/>
      <c r="SHT213" s="442"/>
      <c r="SHU213" s="442"/>
      <c r="SHV213" s="2"/>
      <c r="SHW213" s="2"/>
      <c r="SHX213" s="2"/>
      <c r="SHY213" s="2"/>
      <c r="SHZ213" s="260"/>
      <c r="SIA213" s="260"/>
      <c r="SIB213" s="260"/>
      <c r="SIC213" s="260"/>
      <c r="SID213" s="260"/>
      <c r="SIE213" s="260"/>
      <c r="SIF213" s="308"/>
      <c r="SIG213" s="290"/>
      <c r="SIH213" s="290"/>
      <c r="SII213" s="260"/>
      <c r="SIJ213" s="260"/>
      <c r="SIK213" s="260"/>
      <c r="SIL213" s="260"/>
      <c r="SIM213" s="260"/>
      <c r="SIN213" s="2"/>
      <c r="SIO213" s="2"/>
      <c r="SIP213" s="2"/>
      <c r="SIQ213" s="2"/>
      <c r="SIR213" s="2"/>
      <c r="SIS213" s="2"/>
      <c r="SIT213" s="260"/>
      <c r="SIU213" s="2"/>
      <c r="SIV213" s="2"/>
      <c r="SIW213" s="2"/>
      <c r="SIX213" s="2"/>
      <c r="SIY213" s="2"/>
      <c r="SIZ213" s="2"/>
      <c r="SJA213" s="2"/>
      <c r="SJB213" s="260"/>
      <c r="SJC213" s="260"/>
      <c r="SJD213" s="260"/>
      <c r="SJE213" s="380"/>
      <c r="SJF213" s="380"/>
      <c r="SJG213" s="380"/>
      <c r="SJH213" s="2"/>
      <c r="SJI213" s="442"/>
      <c r="SJJ213" s="442"/>
      <c r="SJK213" s="443"/>
      <c r="SJL213" s="442"/>
      <c r="SJM213" s="442"/>
      <c r="SJN213" s="2"/>
      <c r="SJO213" s="2"/>
      <c r="SJP213" s="2"/>
      <c r="SJQ213" s="2"/>
      <c r="SJR213" s="260"/>
      <c r="SJS213" s="260"/>
      <c r="SJT213" s="260"/>
      <c r="SJU213" s="260"/>
      <c r="SJV213" s="260"/>
      <c r="SJW213" s="260"/>
      <c r="SJX213" s="308"/>
      <c r="SJY213" s="290"/>
      <c r="SJZ213" s="290"/>
      <c r="SKA213" s="260"/>
      <c r="SKB213" s="260"/>
      <c r="SKC213" s="260"/>
      <c r="SKD213" s="260"/>
      <c r="SKE213" s="260"/>
      <c r="SKF213" s="2"/>
      <c r="SKG213" s="2"/>
      <c r="SKH213" s="2"/>
      <c r="SKI213" s="2"/>
      <c r="SKJ213" s="2"/>
      <c r="SKK213" s="2"/>
      <c r="SKL213" s="260"/>
      <c r="SKM213" s="2"/>
      <c r="SKN213" s="2"/>
      <c r="SKO213" s="2"/>
      <c r="SKP213" s="2"/>
      <c r="SKQ213" s="2"/>
      <c r="SKR213" s="2"/>
      <c r="SKS213" s="2"/>
      <c r="SKT213" s="260"/>
      <c r="SKU213" s="260"/>
      <c r="SKV213" s="260"/>
      <c r="SKW213" s="380"/>
      <c r="SKX213" s="380"/>
      <c r="SKY213" s="380"/>
      <c r="SKZ213" s="2"/>
      <c r="SLA213" s="442"/>
      <c r="SLB213" s="442"/>
      <c r="SLC213" s="443"/>
      <c r="SLD213" s="442"/>
      <c r="SLE213" s="442"/>
      <c r="SLF213" s="2"/>
      <c r="SLG213" s="2"/>
      <c r="SLH213" s="2"/>
      <c r="SLI213" s="2"/>
      <c r="SLJ213" s="260"/>
      <c r="SLK213" s="260"/>
      <c r="SLL213" s="260"/>
      <c r="SLM213" s="260"/>
      <c r="SLN213" s="260"/>
      <c r="SLO213" s="260"/>
      <c r="SLP213" s="308"/>
      <c r="SLQ213" s="290"/>
      <c r="SLR213" s="290"/>
      <c r="SLS213" s="260"/>
      <c r="SLT213" s="260"/>
      <c r="SLU213" s="260"/>
      <c r="SLV213" s="260"/>
      <c r="SLW213" s="260"/>
      <c r="SLX213" s="2"/>
      <c r="SLY213" s="2"/>
      <c r="SLZ213" s="2"/>
      <c r="SMA213" s="2"/>
      <c r="SMB213" s="2"/>
      <c r="SMC213" s="2"/>
      <c r="SMD213" s="260"/>
      <c r="SME213" s="2"/>
      <c r="SMF213" s="2"/>
      <c r="SMG213" s="2"/>
      <c r="SMH213" s="2"/>
      <c r="SMI213" s="2"/>
      <c r="SMJ213" s="2"/>
      <c r="SMK213" s="2"/>
      <c r="SML213" s="260"/>
      <c r="SMM213" s="260"/>
      <c r="SMN213" s="260"/>
      <c r="SMO213" s="380"/>
      <c r="SMP213" s="380"/>
      <c r="SMQ213" s="380"/>
      <c r="SMR213" s="2"/>
      <c r="SMS213" s="442"/>
      <c r="SMT213" s="442"/>
      <c r="SMU213" s="443"/>
      <c r="SMV213" s="442"/>
      <c r="SMW213" s="442"/>
      <c r="SMX213" s="2"/>
      <c r="SMY213" s="2"/>
      <c r="SMZ213" s="2"/>
      <c r="SNA213" s="2"/>
      <c r="SNB213" s="260"/>
      <c r="SNC213" s="260"/>
      <c r="SND213" s="260"/>
      <c r="SNE213" s="260"/>
      <c r="SNF213" s="260"/>
      <c r="SNG213" s="260"/>
      <c r="SNH213" s="308"/>
      <c r="SNI213" s="290"/>
      <c r="SNJ213" s="290"/>
      <c r="SNK213" s="260"/>
      <c r="SNL213" s="260"/>
      <c r="SNM213" s="260"/>
      <c r="SNN213" s="260"/>
      <c r="SNO213" s="260"/>
      <c r="SNP213" s="2"/>
      <c r="SNQ213" s="2"/>
      <c r="SNR213" s="2"/>
      <c r="SNS213" s="2"/>
      <c r="SNT213" s="2"/>
      <c r="SNU213" s="2"/>
      <c r="SNV213" s="260"/>
      <c r="SNW213" s="2"/>
      <c r="SNX213" s="2"/>
      <c r="SNY213" s="2"/>
      <c r="SNZ213" s="2"/>
      <c r="SOA213" s="2"/>
      <c r="SOB213" s="2"/>
      <c r="SOC213" s="2"/>
      <c r="SOD213" s="260"/>
      <c r="SOE213" s="260"/>
      <c r="SOF213" s="260"/>
      <c r="SOG213" s="380"/>
      <c r="SOH213" s="380"/>
      <c r="SOI213" s="380"/>
      <c r="SOJ213" s="2"/>
      <c r="SOK213" s="442"/>
      <c r="SOL213" s="442"/>
      <c r="SOM213" s="443"/>
      <c r="SON213" s="442"/>
      <c r="SOO213" s="442"/>
      <c r="SOP213" s="2"/>
      <c r="SOQ213" s="2"/>
      <c r="SOR213" s="2"/>
      <c r="SOS213" s="2"/>
      <c r="SOT213" s="260"/>
      <c r="SOU213" s="260"/>
      <c r="SOV213" s="260"/>
      <c r="SOW213" s="260"/>
      <c r="SOX213" s="260"/>
      <c r="SOY213" s="260"/>
      <c r="SOZ213" s="308"/>
      <c r="SPA213" s="290"/>
      <c r="SPB213" s="290"/>
      <c r="SPC213" s="260"/>
      <c r="SPD213" s="260"/>
      <c r="SPE213" s="260"/>
      <c r="SPF213" s="260"/>
      <c r="SPG213" s="260"/>
      <c r="SPH213" s="2"/>
      <c r="SPI213" s="2"/>
      <c r="SPJ213" s="2"/>
      <c r="SPK213" s="2"/>
      <c r="SPL213" s="2"/>
      <c r="SPM213" s="2"/>
      <c r="SPN213" s="260"/>
      <c r="SPO213" s="2"/>
      <c r="SPP213" s="2"/>
      <c r="SPQ213" s="2"/>
      <c r="SPR213" s="2"/>
      <c r="SPS213" s="2"/>
      <c r="SPT213" s="2"/>
      <c r="SPU213" s="2"/>
      <c r="SPV213" s="260"/>
      <c r="SPW213" s="260"/>
      <c r="SPX213" s="260"/>
      <c r="SPY213" s="380"/>
      <c r="SPZ213" s="380"/>
      <c r="SQA213" s="380"/>
      <c r="SQB213" s="2"/>
      <c r="SQC213" s="442"/>
      <c r="SQD213" s="442"/>
      <c r="SQE213" s="443"/>
      <c r="SQF213" s="442"/>
      <c r="SQG213" s="442"/>
      <c r="SQH213" s="2"/>
      <c r="SQI213" s="2"/>
      <c r="SQJ213" s="2"/>
      <c r="SQK213" s="2"/>
      <c r="SQL213" s="260"/>
      <c r="SQM213" s="260"/>
      <c r="SQN213" s="260"/>
      <c r="SQO213" s="260"/>
      <c r="SQP213" s="260"/>
      <c r="SQQ213" s="260"/>
      <c r="SQR213" s="308"/>
      <c r="SQS213" s="290"/>
      <c r="SQT213" s="290"/>
      <c r="SQU213" s="260"/>
      <c r="SQV213" s="260"/>
      <c r="SQW213" s="260"/>
      <c r="SQX213" s="260"/>
      <c r="SQY213" s="260"/>
      <c r="SQZ213" s="2"/>
      <c r="SRA213" s="2"/>
      <c r="SRB213" s="2"/>
      <c r="SRC213" s="2"/>
      <c r="SRD213" s="2"/>
      <c r="SRE213" s="2"/>
      <c r="SRF213" s="260"/>
      <c r="SRG213" s="2"/>
      <c r="SRH213" s="2"/>
      <c r="SRI213" s="2"/>
      <c r="SRJ213" s="2"/>
      <c r="SRK213" s="2"/>
      <c r="SRL213" s="2"/>
      <c r="SRM213" s="2"/>
      <c r="SRN213" s="260"/>
      <c r="SRO213" s="260"/>
      <c r="SRP213" s="260"/>
      <c r="SRQ213" s="380"/>
      <c r="SRR213" s="380"/>
      <c r="SRS213" s="380"/>
      <c r="SRT213" s="2"/>
      <c r="SRU213" s="442"/>
      <c r="SRV213" s="442"/>
      <c r="SRW213" s="443"/>
      <c r="SRX213" s="442"/>
      <c r="SRY213" s="442"/>
      <c r="SRZ213" s="2"/>
      <c r="SSA213" s="2"/>
      <c r="SSB213" s="2"/>
      <c r="SSC213" s="2"/>
      <c r="SSD213" s="260"/>
      <c r="SSE213" s="260"/>
      <c r="SSF213" s="260"/>
      <c r="SSG213" s="260"/>
      <c r="SSH213" s="260"/>
      <c r="SSI213" s="260"/>
      <c r="SSJ213" s="308"/>
      <c r="SSK213" s="290"/>
      <c r="SSL213" s="290"/>
      <c r="SSM213" s="260"/>
      <c r="SSN213" s="260"/>
      <c r="SSO213" s="260"/>
      <c r="SSP213" s="260"/>
      <c r="SSQ213" s="260"/>
      <c r="SSR213" s="2"/>
      <c r="SSS213" s="2"/>
      <c r="SST213" s="2"/>
      <c r="SSU213" s="2"/>
      <c r="SSV213" s="2"/>
      <c r="SSW213" s="2"/>
      <c r="SSX213" s="260"/>
      <c r="SSY213" s="2"/>
      <c r="SSZ213" s="2"/>
      <c r="STA213" s="2"/>
      <c r="STB213" s="2"/>
      <c r="STC213" s="2"/>
      <c r="STD213" s="2"/>
      <c r="STE213" s="2"/>
      <c r="STF213" s="260"/>
      <c r="STG213" s="260"/>
      <c r="STH213" s="260"/>
      <c r="STI213" s="380"/>
      <c r="STJ213" s="380"/>
      <c r="STK213" s="380"/>
      <c r="STL213" s="2"/>
      <c r="STM213" s="442"/>
      <c r="STN213" s="442"/>
      <c r="STO213" s="443"/>
      <c r="STP213" s="442"/>
      <c r="STQ213" s="442"/>
      <c r="STR213" s="2"/>
      <c r="STS213" s="2"/>
      <c r="STT213" s="2"/>
      <c r="STU213" s="2"/>
      <c r="STV213" s="260"/>
      <c r="STW213" s="260"/>
      <c r="STX213" s="260"/>
      <c r="STY213" s="260"/>
      <c r="STZ213" s="260"/>
      <c r="SUA213" s="260"/>
      <c r="SUB213" s="308"/>
      <c r="SUC213" s="290"/>
      <c r="SUD213" s="290"/>
      <c r="SUE213" s="260"/>
      <c r="SUF213" s="260"/>
      <c r="SUG213" s="260"/>
      <c r="SUH213" s="260"/>
      <c r="SUI213" s="260"/>
      <c r="SUJ213" s="2"/>
      <c r="SUK213" s="2"/>
      <c r="SUL213" s="2"/>
      <c r="SUM213" s="2"/>
      <c r="SUN213" s="2"/>
      <c r="SUO213" s="2"/>
      <c r="SUP213" s="260"/>
      <c r="SUQ213" s="2"/>
      <c r="SUR213" s="2"/>
      <c r="SUS213" s="2"/>
      <c r="SUT213" s="2"/>
      <c r="SUU213" s="2"/>
      <c r="SUV213" s="2"/>
      <c r="SUW213" s="2"/>
      <c r="SUX213" s="260"/>
      <c r="SUY213" s="260"/>
      <c r="SUZ213" s="260"/>
      <c r="SVA213" s="380"/>
      <c r="SVB213" s="380"/>
      <c r="SVC213" s="380"/>
      <c r="SVD213" s="2"/>
      <c r="SVE213" s="442"/>
      <c r="SVF213" s="442"/>
      <c r="SVG213" s="443"/>
      <c r="SVH213" s="442"/>
      <c r="SVI213" s="442"/>
      <c r="SVJ213" s="2"/>
      <c r="SVK213" s="2"/>
      <c r="SVL213" s="2"/>
      <c r="SVM213" s="2"/>
      <c r="SVN213" s="260"/>
      <c r="SVO213" s="260"/>
      <c r="SVP213" s="260"/>
      <c r="SVQ213" s="260"/>
      <c r="SVR213" s="260"/>
      <c r="SVS213" s="260"/>
      <c r="SVT213" s="308"/>
      <c r="SVU213" s="290"/>
      <c r="SVV213" s="290"/>
      <c r="SVW213" s="260"/>
      <c r="SVX213" s="260"/>
      <c r="SVY213" s="260"/>
      <c r="SVZ213" s="260"/>
      <c r="SWA213" s="260"/>
      <c r="SWB213" s="2"/>
      <c r="SWC213" s="2"/>
      <c r="SWD213" s="2"/>
      <c r="SWE213" s="2"/>
      <c r="SWF213" s="2"/>
      <c r="SWG213" s="2"/>
      <c r="SWH213" s="260"/>
      <c r="SWI213" s="2"/>
      <c r="SWJ213" s="2"/>
      <c r="SWK213" s="2"/>
      <c r="SWL213" s="2"/>
      <c r="SWM213" s="2"/>
      <c r="SWN213" s="2"/>
      <c r="SWO213" s="2"/>
      <c r="SWP213" s="260"/>
      <c r="SWQ213" s="260"/>
      <c r="SWR213" s="260"/>
      <c r="SWS213" s="380"/>
      <c r="SWT213" s="380"/>
      <c r="SWU213" s="380"/>
      <c r="SWV213" s="2"/>
      <c r="SWW213" s="442"/>
      <c r="SWX213" s="442"/>
      <c r="SWY213" s="443"/>
      <c r="SWZ213" s="442"/>
      <c r="SXA213" s="442"/>
      <c r="SXB213" s="2"/>
      <c r="SXC213" s="2"/>
      <c r="SXD213" s="2"/>
      <c r="SXE213" s="2"/>
      <c r="SXF213" s="260"/>
      <c r="SXG213" s="260"/>
      <c r="SXH213" s="260"/>
      <c r="SXI213" s="260"/>
      <c r="SXJ213" s="260"/>
      <c r="SXK213" s="260"/>
      <c r="SXL213" s="308"/>
      <c r="SXM213" s="290"/>
      <c r="SXN213" s="290"/>
      <c r="SXO213" s="260"/>
      <c r="SXP213" s="260"/>
      <c r="SXQ213" s="260"/>
      <c r="SXR213" s="260"/>
      <c r="SXS213" s="260"/>
      <c r="SXT213" s="2"/>
      <c r="SXU213" s="2"/>
      <c r="SXV213" s="2"/>
      <c r="SXW213" s="2"/>
      <c r="SXX213" s="2"/>
      <c r="SXY213" s="2"/>
      <c r="SXZ213" s="260"/>
      <c r="SYA213" s="2"/>
      <c r="SYB213" s="2"/>
      <c r="SYC213" s="2"/>
      <c r="SYD213" s="2"/>
      <c r="SYE213" s="2"/>
      <c r="SYF213" s="2"/>
      <c r="SYG213" s="2"/>
      <c r="SYH213" s="260"/>
      <c r="SYI213" s="260"/>
      <c r="SYJ213" s="260"/>
      <c r="SYK213" s="380"/>
      <c r="SYL213" s="380"/>
      <c r="SYM213" s="380"/>
      <c r="SYN213" s="2"/>
      <c r="SYO213" s="442"/>
      <c r="SYP213" s="442"/>
      <c r="SYQ213" s="443"/>
      <c r="SYR213" s="442"/>
      <c r="SYS213" s="442"/>
      <c r="SYT213" s="2"/>
      <c r="SYU213" s="2"/>
      <c r="SYV213" s="2"/>
      <c r="SYW213" s="2"/>
      <c r="SYX213" s="260"/>
      <c r="SYY213" s="260"/>
      <c r="SYZ213" s="260"/>
      <c r="SZA213" s="260"/>
      <c r="SZB213" s="260"/>
      <c r="SZC213" s="260"/>
      <c r="SZD213" s="308"/>
      <c r="SZE213" s="290"/>
      <c r="SZF213" s="290"/>
      <c r="SZG213" s="260"/>
      <c r="SZH213" s="260"/>
      <c r="SZI213" s="260"/>
      <c r="SZJ213" s="260"/>
      <c r="SZK213" s="260"/>
      <c r="SZL213" s="2"/>
      <c r="SZM213" s="2"/>
      <c r="SZN213" s="2"/>
      <c r="SZO213" s="2"/>
      <c r="SZP213" s="2"/>
      <c r="SZQ213" s="2"/>
      <c r="SZR213" s="260"/>
      <c r="SZS213" s="2"/>
      <c r="SZT213" s="2"/>
      <c r="SZU213" s="2"/>
      <c r="SZV213" s="2"/>
      <c r="SZW213" s="2"/>
      <c r="SZX213" s="2"/>
      <c r="SZY213" s="2"/>
      <c r="SZZ213" s="260"/>
      <c r="TAA213" s="260"/>
      <c r="TAB213" s="260"/>
      <c r="TAC213" s="380"/>
      <c r="TAD213" s="380"/>
      <c r="TAE213" s="380"/>
      <c r="TAF213" s="2"/>
      <c r="TAG213" s="442"/>
      <c r="TAH213" s="442"/>
      <c r="TAI213" s="443"/>
      <c r="TAJ213" s="442"/>
      <c r="TAK213" s="442"/>
      <c r="TAL213" s="2"/>
      <c r="TAM213" s="2"/>
      <c r="TAN213" s="2"/>
      <c r="TAO213" s="2"/>
      <c r="TAP213" s="260"/>
      <c r="TAQ213" s="260"/>
      <c r="TAR213" s="260"/>
      <c r="TAS213" s="260"/>
      <c r="TAT213" s="260"/>
      <c r="TAU213" s="260"/>
      <c r="TAV213" s="308"/>
      <c r="TAW213" s="290"/>
      <c r="TAX213" s="290"/>
      <c r="TAY213" s="260"/>
      <c r="TAZ213" s="260"/>
      <c r="TBA213" s="260"/>
      <c r="TBB213" s="260"/>
      <c r="TBC213" s="260"/>
      <c r="TBD213" s="2"/>
      <c r="TBE213" s="2"/>
      <c r="TBF213" s="2"/>
      <c r="TBG213" s="2"/>
      <c r="TBH213" s="2"/>
      <c r="TBI213" s="2"/>
      <c r="TBJ213" s="260"/>
      <c r="TBK213" s="2"/>
      <c r="TBL213" s="2"/>
      <c r="TBM213" s="2"/>
      <c r="TBN213" s="2"/>
      <c r="TBO213" s="2"/>
      <c r="TBP213" s="2"/>
      <c r="TBQ213" s="2"/>
      <c r="TBR213" s="260"/>
      <c r="TBS213" s="260"/>
      <c r="TBT213" s="260"/>
      <c r="TBU213" s="380"/>
      <c r="TBV213" s="380"/>
      <c r="TBW213" s="380"/>
      <c r="TBX213" s="2"/>
      <c r="TBY213" s="442"/>
      <c r="TBZ213" s="442"/>
      <c r="TCA213" s="443"/>
      <c r="TCB213" s="442"/>
      <c r="TCC213" s="442"/>
      <c r="TCD213" s="2"/>
      <c r="TCE213" s="2"/>
      <c r="TCF213" s="2"/>
      <c r="TCG213" s="2"/>
      <c r="TCH213" s="260"/>
      <c r="TCI213" s="260"/>
      <c r="TCJ213" s="260"/>
      <c r="TCK213" s="260"/>
      <c r="TCL213" s="260"/>
      <c r="TCM213" s="260"/>
      <c r="TCN213" s="308"/>
      <c r="TCO213" s="290"/>
      <c r="TCP213" s="290"/>
      <c r="TCQ213" s="260"/>
      <c r="TCR213" s="260"/>
      <c r="TCS213" s="260"/>
      <c r="TCT213" s="260"/>
      <c r="TCU213" s="260"/>
      <c r="TCV213" s="2"/>
      <c r="TCW213" s="2"/>
      <c r="TCX213" s="2"/>
      <c r="TCY213" s="2"/>
      <c r="TCZ213" s="2"/>
      <c r="TDA213" s="2"/>
      <c r="TDB213" s="260"/>
      <c r="TDC213" s="2"/>
      <c r="TDD213" s="2"/>
      <c r="TDE213" s="2"/>
      <c r="TDF213" s="2"/>
      <c r="TDG213" s="2"/>
      <c r="TDH213" s="2"/>
      <c r="TDI213" s="2"/>
      <c r="TDJ213" s="260"/>
      <c r="TDK213" s="260"/>
      <c r="TDL213" s="260"/>
      <c r="TDM213" s="380"/>
      <c r="TDN213" s="380"/>
      <c r="TDO213" s="380"/>
      <c r="TDP213" s="2"/>
      <c r="TDQ213" s="442"/>
      <c r="TDR213" s="442"/>
      <c r="TDS213" s="443"/>
      <c r="TDT213" s="442"/>
      <c r="TDU213" s="442"/>
      <c r="TDV213" s="2"/>
      <c r="TDW213" s="2"/>
      <c r="TDX213" s="2"/>
      <c r="TDY213" s="2"/>
      <c r="TDZ213" s="260"/>
      <c r="TEA213" s="260"/>
      <c r="TEB213" s="260"/>
      <c r="TEC213" s="260"/>
      <c r="TED213" s="260"/>
      <c r="TEE213" s="260"/>
      <c r="TEF213" s="308"/>
      <c r="TEG213" s="290"/>
      <c r="TEH213" s="290"/>
      <c r="TEI213" s="260"/>
      <c r="TEJ213" s="260"/>
      <c r="TEK213" s="260"/>
      <c r="TEL213" s="260"/>
      <c r="TEM213" s="260"/>
      <c r="TEN213" s="2"/>
      <c r="TEO213" s="2"/>
      <c r="TEP213" s="2"/>
      <c r="TEQ213" s="2"/>
      <c r="TER213" s="2"/>
      <c r="TES213" s="2"/>
      <c r="TET213" s="260"/>
      <c r="TEU213" s="2"/>
      <c r="TEV213" s="2"/>
      <c r="TEW213" s="2"/>
      <c r="TEX213" s="2"/>
      <c r="TEY213" s="2"/>
      <c r="TEZ213" s="2"/>
      <c r="TFA213" s="2"/>
      <c r="TFB213" s="260"/>
      <c r="TFC213" s="260"/>
      <c r="TFD213" s="260"/>
      <c r="TFE213" s="380"/>
      <c r="TFF213" s="380"/>
      <c r="TFG213" s="380"/>
      <c r="TFH213" s="2"/>
      <c r="TFI213" s="442"/>
      <c r="TFJ213" s="442"/>
      <c r="TFK213" s="443"/>
      <c r="TFL213" s="442"/>
      <c r="TFM213" s="442"/>
      <c r="TFN213" s="2"/>
      <c r="TFO213" s="2"/>
      <c r="TFP213" s="2"/>
      <c r="TFQ213" s="2"/>
      <c r="TFR213" s="260"/>
      <c r="TFS213" s="260"/>
      <c r="TFT213" s="260"/>
      <c r="TFU213" s="260"/>
      <c r="TFV213" s="260"/>
      <c r="TFW213" s="260"/>
      <c r="TFX213" s="308"/>
      <c r="TFY213" s="290"/>
      <c r="TFZ213" s="290"/>
      <c r="TGA213" s="260"/>
      <c r="TGB213" s="260"/>
      <c r="TGC213" s="260"/>
      <c r="TGD213" s="260"/>
      <c r="TGE213" s="260"/>
      <c r="TGF213" s="2"/>
      <c r="TGG213" s="2"/>
      <c r="TGH213" s="2"/>
      <c r="TGI213" s="2"/>
      <c r="TGJ213" s="2"/>
      <c r="TGK213" s="2"/>
      <c r="TGL213" s="260"/>
      <c r="TGM213" s="2"/>
      <c r="TGN213" s="2"/>
      <c r="TGO213" s="2"/>
      <c r="TGP213" s="2"/>
      <c r="TGQ213" s="2"/>
      <c r="TGR213" s="2"/>
      <c r="TGS213" s="2"/>
      <c r="TGT213" s="260"/>
      <c r="TGU213" s="260"/>
      <c r="TGV213" s="260"/>
      <c r="TGW213" s="380"/>
      <c r="TGX213" s="380"/>
      <c r="TGY213" s="380"/>
      <c r="TGZ213" s="2"/>
      <c r="THA213" s="442"/>
      <c r="THB213" s="442"/>
      <c r="THC213" s="443"/>
      <c r="THD213" s="442"/>
      <c r="THE213" s="442"/>
      <c r="THF213" s="2"/>
      <c r="THG213" s="2"/>
      <c r="THH213" s="2"/>
      <c r="THI213" s="2"/>
      <c r="THJ213" s="260"/>
      <c r="THK213" s="260"/>
      <c r="THL213" s="260"/>
      <c r="THM213" s="260"/>
      <c r="THN213" s="260"/>
      <c r="THO213" s="260"/>
      <c r="THP213" s="308"/>
      <c r="THQ213" s="290"/>
      <c r="THR213" s="290"/>
      <c r="THS213" s="260"/>
      <c r="THT213" s="260"/>
      <c r="THU213" s="260"/>
      <c r="THV213" s="260"/>
      <c r="THW213" s="260"/>
      <c r="THX213" s="2"/>
      <c r="THY213" s="2"/>
      <c r="THZ213" s="2"/>
      <c r="TIA213" s="2"/>
      <c r="TIB213" s="2"/>
      <c r="TIC213" s="2"/>
      <c r="TID213" s="260"/>
      <c r="TIE213" s="2"/>
      <c r="TIF213" s="2"/>
      <c r="TIG213" s="2"/>
      <c r="TIH213" s="2"/>
      <c r="TII213" s="2"/>
      <c r="TIJ213" s="2"/>
      <c r="TIK213" s="2"/>
      <c r="TIL213" s="260"/>
      <c r="TIM213" s="260"/>
      <c r="TIN213" s="260"/>
      <c r="TIO213" s="380"/>
      <c r="TIP213" s="380"/>
      <c r="TIQ213" s="380"/>
      <c r="TIR213" s="2"/>
      <c r="TIS213" s="442"/>
      <c r="TIT213" s="442"/>
      <c r="TIU213" s="443"/>
      <c r="TIV213" s="442"/>
      <c r="TIW213" s="442"/>
      <c r="TIX213" s="2"/>
      <c r="TIY213" s="2"/>
      <c r="TIZ213" s="2"/>
      <c r="TJA213" s="2"/>
      <c r="TJB213" s="260"/>
      <c r="TJC213" s="260"/>
      <c r="TJD213" s="260"/>
      <c r="TJE213" s="260"/>
      <c r="TJF213" s="260"/>
      <c r="TJG213" s="260"/>
      <c r="TJH213" s="308"/>
      <c r="TJI213" s="290"/>
      <c r="TJJ213" s="290"/>
      <c r="TJK213" s="260"/>
      <c r="TJL213" s="260"/>
      <c r="TJM213" s="260"/>
      <c r="TJN213" s="260"/>
      <c r="TJO213" s="260"/>
      <c r="TJP213" s="2"/>
      <c r="TJQ213" s="2"/>
      <c r="TJR213" s="2"/>
      <c r="TJS213" s="2"/>
      <c r="TJT213" s="2"/>
      <c r="TJU213" s="2"/>
      <c r="TJV213" s="260"/>
      <c r="TJW213" s="2"/>
      <c r="TJX213" s="2"/>
      <c r="TJY213" s="2"/>
      <c r="TJZ213" s="2"/>
      <c r="TKA213" s="2"/>
      <c r="TKB213" s="2"/>
      <c r="TKC213" s="2"/>
      <c r="TKD213" s="260"/>
      <c r="TKE213" s="260"/>
      <c r="TKF213" s="260"/>
      <c r="TKG213" s="380"/>
      <c r="TKH213" s="380"/>
      <c r="TKI213" s="380"/>
      <c r="TKJ213" s="2"/>
      <c r="TKK213" s="442"/>
      <c r="TKL213" s="442"/>
      <c r="TKM213" s="443"/>
      <c r="TKN213" s="442"/>
      <c r="TKO213" s="442"/>
      <c r="TKP213" s="2"/>
      <c r="TKQ213" s="2"/>
      <c r="TKR213" s="2"/>
      <c r="TKS213" s="2"/>
      <c r="TKT213" s="260"/>
      <c r="TKU213" s="260"/>
      <c r="TKV213" s="260"/>
      <c r="TKW213" s="260"/>
      <c r="TKX213" s="260"/>
      <c r="TKY213" s="260"/>
      <c r="TKZ213" s="308"/>
      <c r="TLA213" s="290"/>
      <c r="TLB213" s="290"/>
      <c r="TLC213" s="260"/>
      <c r="TLD213" s="260"/>
      <c r="TLE213" s="260"/>
      <c r="TLF213" s="260"/>
      <c r="TLG213" s="260"/>
      <c r="TLH213" s="2"/>
      <c r="TLI213" s="2"/>
      <c r="TLJ213" s="2"/>
      <c r="TLK213" s="2"/>
      <c r="TLL213" s="2"/>
      <c r="TLM213" s="2"/>
      <c r="TLN213" s="260"/>
      <c r="TLO213" s="2"/>
      <c r="TLP213" s="2"/>
      <c r="TLQ213" s="2"/>
      <c r="TLR213" s="2"/>
      <c r="TLS213" s="2"/>
      <c r="TLT213" s="2"/>
      <c r="TLU213" s="2"/>
      <c r="TLV213" s="260"/>
      <c r="TLW213" s="260"/>
      <c r="TLX213" s="260"/>
      <c r="TLY213" s="380"/>
      <c r="TLZ213" s="380"/>
      <c r="TMA213" s="380"/>
      <c r="TMB213" s="2"/>
      <c r="TMC213" s="442"/>
      <c r="TMD213" s="442"/>
      <c r="TME213" s="443"/>
      <c r="TMF213" s="442"/>
      <c r="TMG213" s="442"/>
      <c r="TMH213" s="2"/>
      <c r="TMI213" s="2"/>
      <c r="TMJ213" s="2"/>
      <c r="TMK213" s="2"/>
      <c r="TML213" s="260"/>
      <c r="TMM213" s="260"/>
      <c r="TMN213" s="260"/>
      <c r="TMO213" s="260"/>
      <c r="TMP213" s="260"/>
      <c r="TMQ213" s="260"/>
      <c r="TMR213" s="308"/>
      <c r="TMS213" s="290"/>
      <c r="TMT213" s="290"/>
      <c r="TMU213" s="260"/>
      <c r="TMV213" s="260"/>
      <c r="TMW213" s="260"/>
      <c r="TMX213" s="260"/>
      <c r="TMY213" s="260"/>
      <c r="TMZ213" s="2"/>
      <c r="TNA213" s="2"/>
      <c r="TNB213" s="2"/>
      <c r="TNC213" s="2"/>
      <c r="TND213" s="2"/>
      <c r="TNE213" s="2"/>
      <c r="TNF213" s="260"/>
      <c r="TNG213" s="2"/>
      <c r="TNH213" s="2"/>
      <c r="TNI213" s="2"/>
      <c r="TNJ213" s="2"/>
      <c r="TNK213" s="2"/>
      <c r="TNL213" s="2"/>
      <c r="TNM213" s="2"/>
      <c r="TNN213" s="260"/>
      <c r="TNO213" s="260"/>
      <c r="TNP213" s="260"/>
      <c r="TNQ213" s="380"/>
      <c r="TNR213" s="380"/>
      <c r="TNS213" s="380"/>
      <c r="TNT213" s="2"/>
      <c r="TNU213" s="442"/>
      <c r="TNV213" s="442"/>
      <c r="TNW213" s="443"/>
      <c r="TNX213" s="442"/>
      <c r="TNY213" s="442"/>
      <c r="TNZ213" s="2"/>
      <c r="TOA213" s="2"/>
      <c r="TOB213" s="2"/>
      <c r="TOC213" s="2"/>
      <c r="TOD213" s="260"/>
      <c r="TOE213" s="260"/>
      <c r="TOF213" s="260"/>
      <c r="TOG213" s="260"/>
      <c r="TOH213" s="260"/>
      <c r="TOI213" s="260"/>
      <c r="TOJ213" s="308"/>
      <c r="TOK213" s="290"/>
      <c r="TOL213" s="290"/>
      <c r="TOM213" s="260"/>
      <c r="TON213" s="260"/>
      <c r="TOO213" s="260"/>
      <c r="TOP213" s="260"/>
      <c r="TOQ213" s="260"/>
      <c r="TOR213" s="2"/>
      <c r="TOS213" s="2"/>
      <c r="TOT213" s="2"/>
      <c r="TOU213" s="2"/>
      <c r="TOV213" s="2"/>
      <c r="TOW213" s="2"/>
      <c r="TOX213" s="260"/>
      <c r="TOY213" s="2"/>
      <c r="TOZ213" s="2"/>
      <c r="TPA213" s="2"/>
      <c r="TPB213" s="2"/>
      <c r="TPC213" s="2"/>
      <c r="TPD213" s="2"/>
      <c r="TPE213" s="2"/>
      <c r="TPF213" s="260"/>
      <c r="TPG213" s="260"/>
      <c r="TPH213" s="260"/>
      <c r="TPI213" s="380"/>
      <c r="TPJ213" s="380"/>
      <c r="TPK213" s="380"/>
      <c r="TPL213" s="2"/>
      <c r="TPM213" s="442"/>
      <c r="TPN213" s="442"/>
      <c r="TPO213" s="443"/>
      <c r="TPP213" s="442"/>
      <c r="TPQ213" s="442"/>
      <c r="TPR213" s="2"/>
      <c r="TPS213" s="2"/>
      <c r="TPT213" s="2"/>
      <c r="TPU213" s="2"/>
      <c r="TPV213" s="260"/>
      <c r="TPW213" s="260"/>
      <c r="TPX213" s="260"/>
      <c r="TPY213" s="260"/>
      <c r="TPZ213" s="260"/>
      <c r="TQA213" s="260"/>
      <c r="TQB213" s="308"/>
      <c r="TQC213" s="290"/>
      <c r="TQD213" s="290"/>
      <c r="TQE213" s="260"/>
      <c r="TQF213" s="260"/>
      <c r="TQG213" s="260"/>
      <c r="TQH213" s="260"/>
      <c r="TQI213" s="260"/>
      <c r="TQJ213" s="2"/>
      <c r="TQK213" s="2"/>
      <c r="TQL213" s="2"/>
      <c r="TQM213" s="2"/>
      <c r="TQN213" s="2"/>
      <c r="TQO213" s="2"/>
      <c r="TQP213" s="260"/>
      <c r="TQQ213" s="2"/>
      <c r="TQR213" s="2"/>
      <c r="TQS213" s="2"/>
      <c r="TQT213" s="2"/>
      <c r="TQU213" s="2"/>
      <c r="TQV213" s="2"/>
      <c r="TQW213" s="2"/>
      <c r="TQX213" s="260"/>
      <c r="TQY213" s="260"/>
      <c r="TQZ213" s="260"/>
      <c r="TRA213" s="380"/>
      <c r="TRB213" s="380"/>
      <c r="TRC213" s="380"/>
      <c r="TRD213" s="2"/>
      <c r="TRE213" s="442"/>
      <c r="TRF213" s="442"/>
      <c r="TRG213" s="443"/>
      <c r="TRH213" s="442"/>
      <c r="TRI213" s="442"/>
      <c r="TRJ213" s="2"/>
      <c r="TRK213" s="2"/>
      <c r="TRL213" s="2"/>
      <c r="TRM213" s="2"/>
      <c r="TRN213" s="260"/>
      <c r="TRO213" s="260"/>
      <c r="TRP213" s="260"/>
      <c r="TRQ213" s="260"/>
      <c r="TRR213" s="260"/>
      <c r="TRS213" s="260"/>
      <c r="TRT213" s="308"/>
      <c r="TRU213" s="290"/>
      <c r="TRV213" s="290"/>
      <c r="TRW213" s="260"/>
      <c r="TRX213" s="260"/>
      <c r="TRY213" s="260"/>
      <c r="TRZ213" s="260"/>
      <c r="TSA213" s="260"/>
      <c r="TSB213" s="2"/>
      <c r="TSC213" s="2"/>
      <c r="TSD213" s="2"/>
      <c r="TSE213" s="2"/>
      <c r="TSF213" s="2"/>
      <c r="TSG213" s="2"/>
      <c r="TSH213" s="260"/>
      <c r="TSI213" s="2"/>
      <c r="TSJ213" s="2"/>
      <c r="TSK213" s="2"/>
      <c r="TSL213" s="2"/>
      <c r="TSM213" s="2"/>
      <c r="TSN213" s="2"/>
      <c r="TSO213" s="2"/>
      <c r="TSP213" s="260"/>
      <c r="TSQ213" s="260"/>
      <c r="TSR213" s="260"/>
      <c r="TSS213" s="380"/>
      <c r="TST213" s="380"/>
      <c r="TSU213" s="380"/>
      <c r="TSV213" s="2"/>
      <c r="TSW213" s="442"/>
      <c r="TSX213" s="442"/>
      <c r="TSY213" s="443"/>
      <c r="TSZ213" s="442"/>
      <c r="TTA213" s="442"/>
      <c r="TTB213" s="2"/>
      <c r="TTC213" s="2"/>
      <c r="TTD213" s="2"/>
      <c r="TTE213" s="2"/>
      <c r="TTF213" s="260"/>
      <c r="TTG213" s="260"/>
      <c r="TTH213" s="260"/>
      <c r="TTI213" s="260"/>
      <c r="TTJ213" s="260"/>
      <c r="TTK213" s="260"/>
      <c r="TTL213" s="308"/>
      <c r="TTM213" s="290"/>
      <c r="TTN213" s="290"/>
      <c r="TTO213" s="260"/>
      <c r="TTP213" s="260"/>
      <c r="TTQ213" s="260"/>
      <c r="TTR213" s="260"/>
      <c r="TTS213" s="260"/>
      <c r="TTT213" s="2"/>
      <c r="TTU213" s="2"/>
      <c r="TTV213" s="2"/>
      <c r="TTW213" s="2"/>
      <c r="TTX213" s="2"/>
      <c r="TTY213" s="2"/>
      <c r="TTZ213" s="260"/>
      <c r="TUA213" s="2"/>
      <c r="TUB213" s="2"/>
      <c r="TUC213" s="2"/>
      <c r="TUD213" s="2"/>
      <c r="TUE213" s="2"/>
      <c r="TUF213" s="2"/>
      <c r="TUG213" s="2"/>
      <c r="TUH213" s="260"/>
      <c r="TUI213" s="260"/>
      <c r="TUJ213" s="260"/>
      <c r="TUK213" s="380"/>
      <c r="TUL213" s="380"/>
      <c r="TUM213" s="380"/>
      <c r="TUN213" s="2"/>
      <c r="TUO213" s="442"/>
      <c r="TUP213" s="442"/>
      <c r="TUQ213" s="443"/>
      <c r="TUR213" s="442"/>
      <c r="TUS213" s="442"/>
      <c r="TUT213" s="2"/>
      <c r="TUU213" s="2"/>
      <c r="TUV213" s="2"/>
      <c r="TUW213" s="2"/>
      <c r="TUX213" s="260"/>
      <c r="TUY213" s="260"/>
      <c r="TUZ213" s="260"/>
      <c r="TVA213" s="260"/>
      <c r="TVB213" s="260"/>
      <c r="TVC213" s="260"/>
      <c r="TVD213" s="308"/>
      <c r="TVE213" s="290"/>
      <c r="TVF213" s="290"/>
      <c r="TVG213" s="260"/>
      <c r="TVH213" s="260"/>
      <c r="TVI213" s="260"/>
      <c r="TVJ213" s="260"/>
      <c r="TVK213" s="260"/>
      <c r="TVL213" s="2"/>
      <c r="TVM213" s="2"/>
      <c r="TVN213" s="2"/>
      <c r="TVO213" s="2"/>
      <c r="TVP213" s="2"/>
      <c r="TVQ213" s="2"/>
      <c r="TVR213" s="260"/>
      <c r="TVS213" s="2"/>
      <c r="TVT213" s="2"/>
      <c r="TVU213" s="2"/>
      <c r="TVV213" s="2"/>
      <c r="TVW213" s="2"/>
      <c r="TVX213" s="2"/>
      <c r="TVY213" s="2"/>
      <c r="TVZ213" s="260"/>
      <c r="TWA213" s="260"/>
      <c r="TWB213" s="260"/>
      <c r="TWC213" s="380"/>
      <c r="TWD213" s="380"/>
      <c r="TWE213" s="380"/>
      <c r="TWF213" s="2"/>
      <c r="TWG213" s="442"/>
      <c r="TWH213" s="442"/>
      <c r="TWI213" s="443"/>
      <c r="TWJ213" s="442"/>
      <c r="TWK213" s="442"/>
      <c r="TWL213" s="2"/>
      <c r="TWM213" s="2"/>
      <c r="TWN213" s="2"/>
      <c r="TWO213" s="2"/>
      <c r="TWP213" s="260"/>
      <c r="TWQ213" s="260"/>
      <c r="TWR213" s="260"/>
      <c r="TWS213" s="260"/>
      <c r="TWT213" s="260"/>
      <c r="TWU213" s="260"/>
      <c r="TWV213" s="308"/>
      <c r="TWW213" s="290"/>
      <c r="TWX213" s="290"/>
      <c r="TWY213" s="260"/>
      <c r="TWZ213" s="260"/>
      <c r="TXA213" s="260"/>
      <c r="TXB213" s="260"/>
      <c r="TXC213" s="260"/>
      <c r="TXD213" s="2"/>
      <c r="TXE213" s="2"/>
      <c r="TXF213" s="2"/>
      <c r="TXG213" s="2"/>
      <c r="TXH213" s="2"/>
      <c r="TXI213" s="2"/>
      <c r="TXJ213" s="260"/>
      <c r="TXK213" s="2"/>
      <c r="TXL213" s="2"/>
      <c r="TXM213" s="2"/>
      <c r="TXN213" s="2"/>
      <c r="TXO213" s="2"/>
      <c r="TXP213" s="2"/>
      <c r="TXQ213" s="2"/>
      <c r="TXR213" s="260"/>
      <c r="TXS213" s="260"/>
      <c r="TXT213" s="260"/>
      <c r="TXU213" s="380"/>
      <c r="TXV213" s="380"/>
      <c r="TXW213" s="380"/>
      <c r="TXX213" s="2"/>
      <c r="TXY213" s="442"/>
      <c r="TXZ213" s="442"/>
      <c r="TYA213" s="443"/>
      <c r="TYB213" s="442"/>
      <c r="TYC213" s="442"/>
      <c r="TYD213" s="2"/>
      <c r="TYE213" s="2"/>
      <c r="TYF213" s="2"/>
      <c r="TYG213" s="2"/>
      <c r="TYH213" s="260"/>
      <c r="TYI213" s="260"/>
      <c r="TYJ213" s="260"/>
      <c r="TYK213" s="260"/>
      <c r="TYL213" s="260"/>
      <c r="TYM213" s="260"/>
      <c r="TYN213" s="308"/>
      <c r="TYO213" s="290"/>
      <c r="TYP213" s="290"/>
      <c r="TYQ213" s="260"/>
      <c r="TYR213" s="260"/>
      <c r="TYS213" s="260"/>
      <c r="TYT213" s="260"/>
      <c r="TYU213" s="260"/>
      <c r="TYV213" s="2"/>
      <c r="TYW213" s="2"/>
      <c r="TYX213" s="2"/>
      <c r="TYY213" s="2"/>
      <c r="TYZ213" s="2"/>
      <c r="TZA213" s="2"/>
      <c r="TZB213" s="260"/>
      <c r="TZC213" s="2"/>
      <c r="TZD213" s="2"/>
      <c r="TZE213" s="2"/>
      <c r="TZF213" s="2"/>
      <c r="TZG213" s="2"/>
      <c r="TZH213" s="2"/>
      <c r="TZI213" s="2"/>
      <c r="TZJ213" s="260"/>
      <c r="TZK213" s="260"/>
      <c r="TZL213" s="260"/>
      <c r="TZM213" s="380"/>
      <c r="TZN213" s="380"/>
      <c r="TZO213" s="380"/>
      <c r="TZP213" s="2"/>
      <c r="TZQ213" s="442"/>
      <c r="TZR213" s="442"/>
      <c r="TZS213" s="443"/>
      <c r="TZT213" s="442"/>
      <c r="TZU213" s="442"/>
      <c r="TZV213" s="2"/>
      <c r="TZW213" s="2"/>
      <c r="TZX213" s="2"/>
      <c r="TZY213" s="2"/>
      <c r="TZZ213" s="260"/>
      <c r="UAA213" s="260"/>
      <c r="UAB213" s="260"/>
      <c r="UAC213" s="260"/>
      <c r="UAD213" s="260"/>
      <c r="UAE213" s="260"/>
      <c r="UAF213" s="308"/>
      <c r="UAG213" s="290"/>
      <c r="UAH213" s="290"/>
      <c r="UAI213" s="260"/>
      <c r="UAJ213" s="260"/>
      <c r="UAK213" s="260"/>
      <c r="UAL213" s="260"/>
      <c r="UAM213" s="260"/>
      <c r="UAN213" s="2"/>
      <c r="UAO213" s="2"/>
      <c r="UAP213" s="2"/>
      <c r="UAQ213" s="2"/>
      <c r="UAR213" s="2"/>
      <c r="UAS213" s="2"/>
      <c r="UAT213" s="260"/>
      <c r="UAU213" s="2"/>
      <c r="UAV213" s="2"/>
      <c r="UAW213" s="2"/>
      <c r="UAX213" s="2"/>
      <c r="UAY213" s="2"/>
      <c r="UAZ213" s="2"/>
      <c r="UBA213" s="2"/>
      <c r="UBB213" s="260"/>
      <c r="UBC213" s="260"/>
      <c r="UBD213" s="260"/>
      <c r="UBE213" s="380"/>
      <c r="UBF213" s="380"/>
      <c r="UBG213" s="380"/>
      <c r="UBH213" s="2"/>
      <c r="UBI213" s="442"/>
      <c r="UBJ213" s="442"/>
      <c r="UBK213" s="443"/>
      <c r="UBL213" s="442"/>
      <c r="UBM213" s="442"/>
      <c r="UBN213" s="2"/>
      <c r="UBO213" s="2"/>
      <c r="UBP213" s="2"/>
      <c r="UBQ213" s="2"/>
      <c r="UBR213" s="260"/>
      <c r="UBS213" s="260"/>
      <c r="UBT213" s="260"/>
      <c r="UBU213" s="260"/>
      <c r="UBV213" s="260"/>
      <c r="UBW213" s="260"/>
      <c r="UBX213" s="308"/>
      <c r="UBY213" s="290"/>
      <c r="UBZ213" s="290"/>
      <c r="UCA213" s="260"/>
      <c r="UCB213" s="260"/>
      <c r="UCC213" s="260"/>
      <c r="UCD213" s="260"/>
      <c r="UCE213" s="260"/>
      <c r="UCF213" s="2"/>
      <c r="UCG213" s="2"/>
      <c r="UCH213" s="2"/>
      <c r="UCI213" s="2"/>
      <c r="UCJ213" s="2"/>
      <c r="UCK213" s="2"/>
      <c r="UCL213" s="260"/>
      <c r="UCM213" s="2"/>
      <c r="UCN213" s="2"/>
      <c r="UCO213" s="2"/>
      <c r="UCP213" s="2"/>
      <c r="UCQ213" s="2"/>
      <c r="UCR213" s="2"/>
      <c r="UCS213" s="2"/>
      <c r="UCT213" s="260"/>
      <c r="UCU213" s="260"/>
      <c r="UCV213" s="260"/>
      <c r="UCW213" s="380"/>
      <c r="UCX213" s="380"/>
      <c r="UCY213" s="380"/>
      <c r="UCZ213" s="2"/>
      <c r="UDA213" s="442"/>
      <c r="UDB213" s="442"/>
      <c r="UDC213" s="443"/>
      <c r="UDD213" s="442"/>
      <c r="UDE213" s="442"/>
      <c r="UDF213" s="2"/>
      <c r="UDG213" s="2"/>
      <c r="UDH213" s="2"/>
      <c r="UDI213" s="2"/>
      <c r="UDJ213" s="260"/>
      <c r="UDK213" s="260"/>
      <c r="UDL213" s="260"/>
      <c r="UDM213" s="260"/>
      <c r="UDN213" s="260"/>
      <c r="UDO213" s="260"/>
      <c r="UDP213" s="308"/>
      <c r="UDQ213" s="290"/>
      <c r="UDR213" s="290"/>
      <c r="UDS213" s="260"/>
      <c r="UDT213" s="260"/>
      <c r="UDU213" s="260"/>
      <c r="UDV213" s="260"/>
      <c r="UDW213" s="260"/>
      <c r="UDX213" s="2"/>
      <c r="UDY213" s="2"/>
      <c r="UDZ213" s="2"/>
      <c r="UEA213" s="2"/>
      <c r="UEB213" s="2"/>
      <c r="UEC213" s="2"/>
      <c r="UED213" s="260"/>
      <c r="UEE213" s="2"/>
      <c r="UEF213" s="2"/>
      <c r="UEG213" s="2"/>
      <c r="UEH213" s="2"/>
      <c r="UEI213" s="2"/>
      <c r="UEJ213" s="2"/>
      <c r="UEK213" s="2"/>
      <c r="UEL213" s="260"/>
      <c r="UEM213" s="260"/>
      <c r="UEN213" s="260"/>
      <c r="UEO213" s="380"/>
      <c r="UEP213" s="380"/>
      <c r="UEQ213" s="380"/>
      <c r="UER213" s="2"/>
      <c r="UES213" s="442"/>
      <c r="UET213" s="442"/>
      <c r="UEU213" s="443"/>
      <c r="UEV213" s="442"/>
      <c r="UEW213" s="442"/>
      <c r="UEX213" s="2"/>
      <c r="UEY213" s="2"/>
      <c r="UEZ213" s="2"/>
      <c r="UFA213" s="2"/>
      <c r="UFB213" s="260"/>
      <c r="UFC213" s="260"/>
      <c r="UFD213" s="260"/>
      <c r="UFE213" s="260"/>
      <c r="UFF213" s="260"/>
      <c r="UFG213" s="260"/>
      <c r="UFH213" s="308"/>
      <c r="UFI213" s="290"/>
      <c r="UFJ213" s="290"/>
      <c r="UFK213" s="260"/>
      <c r="UFL213" s="260"/>
      <c r="UFM213" s="260"/>
      <c r="UFN213" s="260"/>
      <c r="UFO213" s="260"/>
      <c r="UFP213" s="2"/>
      <c r="UFQ213" s="2"/>
      <c r="UFR213" s="2"/>
      <c r="UFS213" s="2"/>
      <c r="UFT213" s="2"/>
      <c r="UFU213" s="2"/>
      <c r="UFV213" s="260"/>
      <c r="UFW213" s="2"/>
      <c r="UFX213" s="2"/>
      <c r="UFY213" s="2"/>
      <c r="UFZ213" s="2"/>
      <c r="UGA213" s="2"/>
      <c r="UGB213" s="2"/>
      <c r="UGC213" s="2"/>
      <c r="UGD213" s="260"/>
      <c r="UGE213" s="260"/>
      <c r="UGF213" s="260"/>
      <c r="UGG213" s="380"/>
      <c r="UGH213" s="380"/>
      <c r="UGI213" s="380"/>
      <c r="UGJ213" s="2"/>
      <c r="UGK213" s="442"/>
      <c r="UGL213" s="442"/>
      <c r="UGM213" s="443"/>
      <c r="UGN213" s="442"/>
      <c r="UGO213" s="442"/>
      <c r="UGP213" s="2"/>
      <c r="UGQ213" s="2"/>
      <c r="UGR213" s="2"/>
      <c r="UGS213" s="2"/>
      <c r="UGT213" s="260"/>
      <c r="UGU213" s="260"/>
      <c r="UGV213" s="260"/>
      <c r="UGW213" s="260"/>
      <c r="UGX213" s="260"/>
      <c r="UGY213" s="260"/>
      <c r="UGZ213" s="308"/>
      <c r="UHA213" s="290"/>
      <c r="UHB213" s="290"/>
      <c r="UHC213" s="260"/>
      <c r="UHD213" s="260"/>
      <c r="UHE213" s="260"/>
      <c r="UHF213" s="260"/>
      <c r="UHG213" s="260"/>
      <c r="UHH213" s="2"/>
      <c r="UHI213" s="2"/>
      <c r="UHJ213" s="2"/>
      <c r="UHK213" s="2"/>
      <c r="UHL213" s="2"/>
      <c r="UHM213" s="2"/>
      <c r="UHN213" s="260"/>
      <c r="UHO213" s="2"/>
      <c r="UHP213" s="2"/>
      <c r="UHQ213" s="2"/>
      <c r="UHR213" s="2"/>
      <c r="UHS213" s="2"/>
      <c r="UHT213" s="2"/>
      <c r="UHU213" s="2"/>
      <c r="UHV213" s="260"/>
      <c r="UHW213" s="260"/>
      <c r="UHX213" s="260"/>
      <c r="UHY213" s="380"/>
      <c r="UHZ213" s="380"/>
      <c r="UIA213" s="380"/>
      <c r="UIB213" s="2"/>
      <c r="UIC213" s="442"/>
      <c r="UID213" s="442"/>
      <c r="UIE213" s="443"/>
      <c r="UIF213" s="442"/>
      <c r="UIG213" s="442"/>
      <c r="UIH213" s="2"/>
      <c r="UII213" s="2"/>
      <c r="UIJ213" s="2"/>
      <c r="UIK213" s="2"/>
      <c r="UIL213" s="260"/>
      <c r="UIM213" s="260"/>
      <c r="UIN213" s="260"/>
      <c r="UIO213" s="260"/>
      <c r="UIP213" s="260"/>
      <c r="UIQ213" s="260"/>
      <c r="UIR213" s="308"/>
      <c r="UIS213" s="290"/>
      <c r="UIT213" s="290"/>
      <c r="UIU213" s="260"/>
      <c r="UIV213" s="260"/>
      <c r="UIW213" s="260"/>
      <c r="UIX213" s="260"/>
      <c r="UIY213" s="260"/>
      <c r="UIZ213" s="2"/>
      <c r="UJA213" s="2"/>
      <c r="UJB213" s="2"/>
      <c r="UJC213" s="2"/>
      <c r="UJD213" s="2"/>
      <c r="UJE213" s="2"/>
      <c r="UJF213" s="260"/>
      <c r="UJG213" s="2"/>
      <c r="UJH213" s="2"/>
      <c r="UJI213" s="2"/>
      <c r="UJJ213" s="2"/>
      <c r="UJK213" s="2"/>
      <c r="UJL213" s="2"/>
      <c r="UJM213" s="2"/>
      <c r="UJN213" s="260"/>
      <c r="UJO213" s="260"/>
      <c r="UJP213" s="260"/>
      <c r="UJQ213" s="380"/>
      <c r="UJR213" s="380"/>
      <c r="UJS213" s="380"/>
      <c r="UJT213" s="2"/>
      <c r="UJU213" s="442"/>
      <c r="UJV213" s="442"/>
      <c r="UJW213" s="443"/>
      <c r="UJX213" s="442"/>
      <c r="UJY213" s="442"/>
      <c r="UJZ213" s="2"/>
      <c r="UKA213" s="2"/>
      <c r="UKB213" s="2"/>
      <c r="UKC213" s="2"/>
      <c r="UKD213" s="260"/>
      <c r="UKE213" s="260"/>
      <c r="UKF213" s="260"/>
      <c r="UKG213" s="260"/>
      <c r="UKH213" s="260"/>
      <c r="UKI213" s="260"/>
      <c r="UKJ213" s="308"/>
      <c r="UKK213" s="290"/>
      <c r="UKL213" s="290"/>
      <c r="UKM213" s="260"/>
      <c r="UKN213" s="260"/>
      <c r="UKO213" s="260"/>
      <c r="UKP213" s="260"/>
      <c r="UKQ213" s="260"/>
      <c r="UKR213" s="2"/>
      <c r="UKS213" s="2"/>
      <c r="UKT213" s="2"/>
      <c r="UKU213" s="2"/>
      <c r="UKV213" s="2"/>
      <c r="UKW213" s="2"/>
      <c r="UKX213" s="260"/>
      <c r="UKY213" s="2"/>
      <c r="UKZ213" s="2"/>
      <c r="ULA213" s="2"/>
      <c r="ULB213" s="2"/>
      <c r="ULC213" s="2"/>
      <c r="ULD213" s="2"/>
      <c r="ULE213" s="2"/>
      <c r="ULF213" s="260"/>
      <c r="ULG213" s="260"/>
      <c r="ULH213" s="260"/>
      <c r="ULI213" s="380"/>
      <c r="ULJ213" s="380"/>
      <c r="ULK213" s="380"/>
      <c r="ULL213" s="2"/>
      <c r="ULM213" s="442"/>
      <c r="ULN213" s="442"/>
      <c r="ULO213" s="443"/>
      <c r="ULP213" s="442"/>
      <c r="ULQ213" s="442"/>
      <c r="ULR213" s="2"/>
      <c r="ULS213" s="2"/>
      <c r="ULT213" s="2"/>
      <c r="ULU213" s="2"/>
      <c r="ULV213" s="260"/>
      <c r="ULW213" s="260"/>
      <c r="ULX213" s="260"/>
      <c r="ULY213" s="260"/>
      <c r="ULZ213" s="260"/>
      <c r="UMA213" s="260"/>
      <c r="UMB213" s="308"/>
      <c r="UMC213" s="290"/>
      <c r="UMD213" s="290"/>
      <c r="UME213" s="260"/>
      <c r="UMF213" s="260"/>
      <c r="UMG213" s="260"/>
      <c r="UMH213" s="260"/>
      <c r="UMI213" s="260"/>
      <c r="UMJ213" s="2"/>
      <c r="UMK213" s="2"/>
      <c r="UML213" s="2"/>
      <c r="UMM213" s="2"/>
      <c r="UMN213" s="2"/>
      <c r="UMO213" s="2"/>
      <c r="UMP213" s="260"/>
      <c r="UMQ213" s="2"/>
      <c r="UMR213" s="2"/>
      <c r="UMS213" s="2"/>
      <c r="UMT213" s="2"/>
      <c r="UMU213" s="2"/>
      <c r="UMV213" s="2"/>
      <c r="UMW213" s="2"/>
      <c r="UMX213" s="260"/>
      <c r="UMY213" s="260"/>
      <c r="UMZ213" s="260"/>
      <c r="UNA213" s="380"/>
      <c r="UNB213" s="380"/>
      <c r="UNC213" s="380"/>
      <c r="UND213" s="2"/>
      <c r="UNE213" s="442"/>
      <c r="UNF213" s="442"/>
      <c r="UNG213" s="443"/>
      <c r="UNH213" s="442"/>
      <c r="UNI213" s="442"/>
      <c r="UNJ213" s="2"/>
      <c r="UNK213" s="2"/>
      <c r="UNL213" s="2"/>
      <c r="UNM213" s="2"/>
      <c r="UNN213" s="260"/>
      <c r="UNO213" s="260"/>
      <c r="UNP213" s="260"/>
      <c r="UNQ213" s="260"/>
      <c r="UNR213" s="260"/>
      <c r="UNS213" s="260"/>
      <c r="UNT213" s="308"/>
      <c r="UNU213" s="290"/>
      <c r="UNV213" s="290"/>
      <c r="UNW213" s="260"/>
      <c r="UNX213" s="260"/>
      <c r="UNY213" s="260"/>
      <c r="UNZ213" s="260"/>
      <c r="UOA213" s="260"/>
      <c r="UOB213" s="2"/>
      <c r="UOC213" s="2"/>
      <c r="UOD213" s="2"/>
      <c r="UOE213" s="2"/>
      <c r="UOF213" s="2"/>
      <c r="UOG213" s="2"/>
      <c r="UOH213" s="260"/>
      <c r="UOI213" s="2"/>
      <c r="UOJ213" s="2"/>
      <c r="UOK213" s="2"/>
      <c r="UOL213" s="2"/>
      <c r="UOM213" s="2"/>
      <c r="UON213" s="2"/>
      <c r="UOO213" s="2"/>
      <c r="UOP213" s="260"/>
      <c r="UOQ213" s="260"/>
      <c r="UOR213" s="260"/>
      <c r="UOS213" s="380"/>
      <c r="UOT213" s="380"/>
      <c r="UOU213" s="380"/>
      <c r="UOV213" s="2"/>
      <c r="UOW213" s="442"/>
      <c r="UOX213" s="442"/>
      <c r="UOY213" s="443"/>
      <c r="UOZ213" s="442"/>
      <c r="UPA213" s="442"/>
      <c r="UPB213" s="2"/>
      <c r="UPC213" s="2"/>
      <c r="UPD213" s="2"/>
      <c r="UPE213" s="2"/>
      <c r="UPF213" s="260"/>
      <c r="UPG213" s="260"/>
      <c r="UPH213" s="260"/>
      <c r="UPI213" s="260"/>
      <c r="UPJ213" s="260"/>
      <c r="UPK213" s="260"/>
      <c r="UPL213" s="308"/>
      <c r="UPM213" s="290"/>
      <c r="UPN213" s="290"/>
      <c r="UPO213" s="260"/>
      <c r="UPP213" s="260"/>
      <c r="UPQ213" s="260"/>
      <c r="UPR213" s="260"/>
      <c r="UPS213" s="260"/>
      <c r="UPT213" s="2"/>
      <c r="UPU213" s="2"/>
      <c r="UPV213" s="2"/>
      <c r="UPW213" s="2"/>
      <c r="UPX213" s="2"/>
      <c r="UPY213" s="2"/>
      <c r="UPZ213" s="260"/>
      <c r="UQA213" s="2"/>
      <c r="UQB213" s="2"/>
      <c r="UQC213" s="2"/>
      <c r="UQD213" s="2"/>
      <c r="UQE213" s="2"/>
      <c r="UQF213" s="2"/>
      <c r="UQG213" s="2"/>
      <c r="UQH213" s="260"/>
      <c r="UQI213" s="260"/>
      <c r="UQJ213" s="260"/>
      <c r="UQK213" s="380"/>
      <c r="UQL213" s="380"/>
      <c r="UQM213" s="380"/>
      <c r="UQN213" s="2"/>
      <c r="UQO213" s="442"/>
      <c r="UQP213" s="442"/>
      <c r="UQQ213" s="443"/>
      <c r="UQR213" s="442"/>
      <c r="UQS213" s="442"/>
      <c r="UQT213" s="2"/>
      <c r="UQU213" s="2"/>
      <c r="UQV213" s="2"/>
      <c r="UQW213" s="2"/>
      <c r="UQX213" s="260"/>
      <c r="UQY213" s="260"/>
      <c r="UQZ213" s="260"/>
      <c r="URA213" s="260"/>
      <c r="URB213" s="260"/>
      <c r="URC213" s="260"/>
      <c r="URD213" s="308"/>
      <c r="URE213" s="290"/>
      <c r="URF213" s="290"/>
      <c r="URG213" s="260"/>
      <c r="URH213" s="260"/>
      <c r="URI213" s="260"/>
      <c r="URJ213" s="260"/>
      <c r="URK213" s="260"/>
      <c r="URL213" s="2"/>
      <c r="URM213" s="2"/>
      <c r="URN213" s="2"/>
      <c r="URO213" s="2"/>
      <c r="URP213" s="2"/>
      <c r="URQ213" s="2"/>
      <c r="URR213" s="260"/>
      <c r="URS213" s="2"/>
      <c r="URT213" s="2"/>
      <c r="URU213" s="2"/>
      <c r="URV213" s="2"/>
      <c r="URW213" s="2"/>
      <c r="URX213" s="2"/>
      <c r="URY213" s="2"/>
      <c r="URZ213" s="260"/>
      <c r="USA213" s="260"/>
      <c r="USB213" s="260"/>
      <c r="USC213" s="380"/>
      <c r="USD213" s="380"/>
      <c r="USE213" s="380"/>
      <c r="USF213" s="2"/>
      <c r="USG213" s="442"/>
      <c r="USH213" s="442"/>
      <c r="USI213" s="443"/>
      <c r="USJ213" s="442"/>
      <c r="USK213" s="442"/>
      <c r="USL213" s="2"/>
      <c r="USM213" s="2"/>
      <c r="USN213" s="2"/>
      <c r="USO213" s="2"/>
      <c r="USP213" s="260"/>
      <c r="USQ213" s="260"/>
      <c r="USR213" s="260"/>
      <c r="USS213" s="260"/>
      <c r="UST213" s="260"/>
      <c r="USU213" s="260"/>
      <c r="USV213" s="308"/>
      <c r="USW213" s="290"/>
      <c r="USX213" s="290"/>
      <c r="USY213" s="260"/>
      <c r="USZ213" s="260"/>
      <c r="UTA213" s="260"/>
      <c r="UTB213" s="260"/>
      <c r="UTC213" s="260"/>
      <c r="UTD213" s="2"/>
      <c r="UTE213" s="2"/>
      <c r="UTF213" s="2"/>
      <c r="UTG213" s="2"/>
      <c r="UTH213" s="2"/>
      <c r="UTI213" s="2"/>
      <c r="UTJ213" s="260"/>
      <c r="UTK213" s="2"/>
      <c r="UTL213" s="2"/>
      <c r="UTM213" s="2"/>
      <c r="UTN213" s="2"/>
      <c r="UTO213" s="2"/>
      <c r="UTP213" s="2"/>
      <c r="UTQ213" s="2"/>
      <c r="UTR213" s="260"/>
      <c r="UTS213" s="260"/>
      <c r="UTT213" s="260"/>
      <c r="UTU213" s="380"/>
      <c r="UTV213" s="380"/>
      <c r="UTW213" s="380"/>
      <c r="UTX213" s="2"/>
      <c r="UTY213" s="442"/>
      <c r="UTZ213" s="442"/>
      <c r="UUA213" s="443"/>
      <c r="UUB213" s="442"/>
      <c r="UUC213" s="442"/>
      <c r="UUD213" s="2"/>
      <c r="UUE213" s="2"/>
      <c r="UUF213" s="2"/>
      <c r="UUG213" s="2"/>
      <c r="UUH213" s="260"/>
      <c r="UUI213" s="260"/>
      <c r="UUJ213" s="260"/>
      <c r="UUK213" s="260"/>
      <c r="UUL213" s="260"/>
      <c r="UUM213" s="260"/>
      <c r="UUN213" s="308"/>
      <c r="UUO213" s="290"/>
      <c r="UUP213" s="290"/>
      <c r="UUQ213" s="260"/>
      <c r="UUR213" s="260"/>
      <c r="UUS213" s="260"/>
      <c r="UUT213" s="260"/>
      <c r="UUU213" s="260"/>
      <c r="UUV213" s="2"/>
      <c r="UUW213" s="2"/>
      <c r="UUX213" s="2"/>
      <c r="UUY213" s="2"/>
      <c r="UUZ213" s="2"/>
      <c r="UVA213" s="2"/>
      <c r="UVB213" s="260"/>
      <c r="UVC213" s="2"/>
      <c r="UVD213" s="2"/>
      <c r="UVE213" s="2"/>
      <c r="UVF213" s="2"/>
      <c r="UVG213" s="2"/>
      <c r="UVH213" s="2"/>
      <c r="UVI213" s="2"/>
      <c r="UVJ213" s="260"/>
      <c r="UVK213" s="260"/>
      <c r="UVL213" s="260"/>
      <c r="UVM213" s="380"/>
      <c r="UVN213" s="380"/>
      <c r="UVO213" s="380"/>
      <c r="UVP213" s="2"/>
      <c r="UVQ213" s="442"/>
      <c r="UVR213" s="442"/>
      <c r="UVS213" s="443"/>
      <c r="UVT213" s="442"/>
      <c r="UVU213" s="442"/>
      <c r="UVV213" s="2"/>
      <c r="UVW213" s="2"/>
      <c r="UVX213" s="2"/>
      <c r="UVY213" s="2"/>
      <c r="UVZ213" s="260"/>
      <c r="UWA213" s="260"/>
      <c r="UWB213" s="260"/>
      <c r="UWC213" s="260"/>
      <c r="UWD213" s="260"/>
      <c r="UWE213" s="260"/>
      <c r="UWF213" s="308"/>
      <c r="UWG213" s="290"/>
      <c r="UWH213" s="290"/>
      <c r="UWI213" s="260"/>
      <c r="UWJ213" s="260"/>
      <c r="UWK213" s="260"/>
      <c r="UWL213" s="260"/>
      <c r="UWM213" s="260"/>
      <c r="UWN213" s="2"/>
      <c r="UWO213" s="2"/>
      <c r="UWP213" s="2"/>
      <c r="UWQ213" s="2"/>
      <c r="UWR213" s="2"/>
      <c r="UWS213" s="2"/>
      <c r="UWT213" s="260"/>
      <c r="UWU213" s="2"/>
      <c r="UWV213" s="2"/>
      <c r="UWW213" s="2"/>
      <c r="UWX213" s="2"/>
      <c r="UWY213" s="2"/>
      <c r="UWZ213" s="2"/>
      <c r="UXA213" s="2"/>
      <c r="UXB213" s="260"/>
      <c r="UXC213" s="260"/>
      <c r="UXD213" s="260"/>
      <c r="UXE213" s="380"/>
      <c r="UXF213" s="380"/>
      <c r="UXG213" s="380"/>
      <c r="UXH213" s="2"/>
      <c r="UXI213" s="442"/>
      <c r="UXJ213" s="442"/>
      <c r="UXK213" s="443"/>
      <c r="UXL213" s="442"/>
      <c r="UXM213" s="442"/>
      <c r="UXN213" s="2"/>
      <c r="UXO213" s="2"/>
      <c r="UXP213" s="2"/>
      <c r="UXQ213" s="2"/>
      <c r="UXR213" s="260"/>
      <c r="UXS213" s="260"/>
      <c r="UXT213" s="260"/>
      <c r="UXU213" s="260"/>
      <c r="UXV213" s="260"/>
      <c r="UXW213" s="260"/>
      <c r="UXX213" s="308"/>
      <c r="UXY213" s="290"/>
      <c r="UXZ213" s="290"/>
      <c r="UYA213" s="260"/>
      <c r="UYB213" s="260"/>
      <c r="UYC213" s="260"/>
      <c r="UYD213" s="260"/>
      <c r="UYE213" s="260"/>
      <c r="UYF213" s="2"/>
      <c r="UYG213" s="2"/>
      <c r="UYH213" s="2"/>
      <c r="UYI213" s="2"/>
      <c r="UYJ213" s="2"/>
      <c r="UYK213" s="2"/>
      <c r="UYL213" s="260"/>
      <c r="UYM213" s="2"/>
      <c r="UYN213" s="2"/>
      <c r="UYO213" s="2"/>
      <c r="UYP213" s="2"/>
      <c r="UYQ213" s="2"/>
      <c r="UYR213" s="2"/>
      <c r="UYS213" s="2"/>
      <c r="UYT213" s="260"/>
      <c r="UYU213" s="260"/>
      <c r="UYV213" s="260"/>
      <c r="UYW213" s="380"/>
      <c r="UYX213" s="380"/>
      <c r="UYY213" s="380"/>
      <c r="UYZ213" s="2"/>
      <c r="UZA213" s="442"/>
      <c r="UZB213" s="442"/>
      <c r="UZC213" s="443"/>
      <c r="UZD213" s="442"/>
      <c r="UZE213" s="442"/>
      <c r="UZF213" s="2"/>
      <c r="UZG213" s="2"/>
      <c r="UZH213" s="2"/>
      <c r="UZI213" s="2"/>
      <c r="UZJ213" s="260"/>
      <c r="UZK213" s="260"/>
      <c r="UZL213" s="260"/>
      <c r="UZM213" s="260"/>
      <c r="UZN213" s="260"/>
      <c r="UZO213" s="260"/>
      <c r="UZP213" s="308"/>
      <c r="UZQ213" s="290"/>
      <c r="UZR213" s="290"/>
      <c r="UZS213" s="260"/>
      <c r="UZT213" s="260"/>
      <c r="UZU213" s="260"/>
      <c r="UZV213" s="260"/>
      <c r="UZW213" s="260"/>
      <c r="UZX213" s="2"/>
      <c r="UZY213" s="2"/>
      <c r="UZZ213" s="2"/>
      <c r="VAA213" s="2"/>
      <c r="VAB213" s="2"/>
      <c r="VAC213" s="2"/>
      <c r="VAD213" s="260"/>
      <c r="VAE213" s="2"/>
      <c r="VAF213" s="2"/>
      <c r="VAG213" s="2"/>
      <c r="VAH213" s="2"/>
      <c r="VAI213" s="2"/>
      <c r="VAJ213" s="2"/>
      <c r="VAK213" s="2"/>
      <c r="VAL213" s="260"/>
      <c r="VAM213" s="260"/>
      <c r="VAN213" s="260"/>
      <c r="VAO213" s="380"/>
      <c r="VAP213" s="380"/>
      <c r="VAQ213" s="380"/>
      <c r="VAR213" s="2"/>
      <c r="VAS213" s="442"/>
      <c r="VAT213" s="442"/>
      <c r="VAU213" s="443"/>
      <c r="VAV213" s="442"/>
      <c r="VAW213" s="442"/>
      <c r="VAX213" s="2"/>
      <c r="VAY213" s="2"/>
      <c r="VAZ213" s="2"/>
      <c r="VBA213" s="2"/>
      <c r="VBB213" s="260"/>
      <c r="VBC213" s="260"/>
      <c r="VBD213" s="260"/>
      <c r="VBE213" s="260"/>
      <c r="VBF213" s="260"/>
      <c r="VBG213" s="260"/>
      <c r="VBH213" s="308"/>
      <c r="VBI213" s="290"/>
      <c r="VBJ213" s="290"/>
      <c r="VBK213" s="260"/>
      <c r="VBL213" s="260"/>
      <c r="VBM213" s="260"/>
      <c r="VBN213" s="260"/>
      <c r="VBO213" s="260"/>
      <c r="VBP213" s="2"/>
      <c r="VBQ213" s="2"/>
      <c r="VBR213" s="2"/>
      <c r="VBS213" s="2"/>
      <c r="VBT213" s="2"/>
      <c r="VBU213" s="2"/>
      <c r="VBV213" s="260"/>
      <c r="VBW213" s="2"/>
      <c r="VBX213" s="2"/>
      <c r="VBY213" s="2"/>
      <c r="VBZ213" s="2"/>
      <c r="VCA213" s="2"/>
      <c r="VCB213" s="2"/>
      <c r="VCC213" s="2"/>
      <c r="VCD213" s="260"/>
      <c r="VCE213" s="260"/>
      <c r="VCF213" s="260"/>
      <c r="VCG213" s="380"/>
      <c r="VCH213" s="380"/>
      <c r="VCI213" s="380"/>
      <c r="VCJ213" s="2"/>
      <c r="VCK213" s="442"/>
      <c r="VCL213" s="442"/>
      <c r="VCM213" s="443"/>
      <c r="VCN213" s="442"/>
      <c r="VCO213" s="442"/>
      <c r="VCP213" s="2"/>
      <c r="VCQ213" s="2"/>
      <c r="VCR213" s="2"/>
      <c r="VCS213" s="2"/>
      <c r="VCT213" s="260"/>
      <c r="VCU213" s="260"/>
      <c r="VCV213" s="260"/>
      <c r="VCW213" s="260"/>
      <c r="VCX213" s="260"/>
      <c r="VCY213" s="260"/>
      <c r="VCZ213" s="308"/>
      <c r="VDA213" s="290"/>
      <c r="VDB213" s="290"/>
      <c r="VDC213" s="260"/>
      <c r="VDD213" s="260"/>
      <c r="VDE213" s="260"/>
      <c r="VDF213" s="260"/>
      <c r="VDG213" s="260"/>
      <c r="VDH213" s="2"/>
      <c r="VDI213" s="2"/>
      <c r="VDJ213" s="2"/>
      <c r="VDK213" s="2"/>
      <c r="VDL213" s="2"/>
      <c r="VDM213" s="2"/>
      <c r="VDN213" s="260"/>
      <c r="VDO213" s="2"/>
      <c r="VDP213" s="2"/>
      <c r="VDQ213" s="2"/>
      <c r="VDR213" s="2"/>
      <c r="VDS213" s="2"/>
      <c r="VDT213" s="2"/>
      <c r="VDU213" s="2"/>
      <c r="VDV213" s="260"/>
      <c r="VDW213" s="260"/>
      <c r="VDX213" s="260"/>
      <c r="VDY213" s="380"/>
      <c r="VDZ213" s="380"/>
      <c r="VEA213" s="380"/>
      <c r="VEB213" s="2"/>
      <c r="VEC213" s="442"/>
      <c r="VED213" s="442"/>
      <c r="VEE213" s="443"/>
      <c r="VEF213" s="442"/>
      <c r="VEG213" s="442"/>
      <c r="VEH213" s="2"/>
      <c r="VEI213" s="2"/>
      <c r="VEJ213" s="2"/>
      <c r="VEK213" s="2"/>
      <c r="VEL213" s="260"/>
      <c r="VEM213" s="260"/>
      <c r="VEN213" s="260"/>
      <c r="VEO213" s="260"/>
      <c r="VEP213" s="260"/>
      <c r="VEQ213" s="260"/>
      <c r="VER213" s="308"/>
      <c r="VES213" s="290"/>
      <c r="VET213" s="290"/>
      <c r="VEU213" s="260"/>
      <c r="VEV213" s="260"/>
      <c r="VEW213" s="260"/>
      <c r="VEX213" s="260"/>
      <c r="VEY213" s="260"/>
      <c r="VEZ213" s="2"/>
      <c r="VFA213" s="2"/>
      <c r="VFB213" s="2"/>
      <c r="VFC213" s="2"/>
      <c r="VFD213" s="2"/>
      <c r="VFE213" s="2"/>
      <c r="VFF213" s="260"/>
      <c r="VFG213" s="2"/>
      <c r="VFH213" s="2"/>
      <c r="VFI213" s="2"/>
      <c r="VFJ213" s="2"/>
      <c r="VFK213" s="2"/>
      <c r="VFL213" s="2"/>
      <c r="VFM213" s="2"/>
      <c r="VFN213" s="260"/>
      <c r="VFO213" s="260"/>
      <c r="VFP213" s="260"/>
      <c r="VFQ213" s="380"/>
      <c r="VFR213" s="380"/>
      <c r="VFS213" s="380"/>
      <c r="VFT213" s="2"/>
      <c r="VFU213" s="442"/>
      <c r="VFV213" s="442"/>
      <c r="VFW213" s="443"/>
      <c r="VFX213" s="442"/>
      <c r="VFY213" s="442"/>
      <c r="VFZ213" s="2"/>
      <c r="VGA213" s="2"/>
      <c r="VGB213" s="2"/>
      <c r="VGC213" s="2"/>
      <c r="VGD213" s="260"/>
      <c r="VGE213" s="260"/>
      <c r="VGF213" s="260"/>
      <c r="VGG213" s="260"/>
      <c r="VGH213" s="260"/>
      <c r="VGI213" s="260"/>
      <c r="VGJ213" s="308"/>
      <c r="VGK213" s="290"/>
      <c r="VGL213" s="290"/>
      <c r="VGM213" s="260"/>
      <c r="VGN213" s="260"/>
      <c r="VGO213" s="260"/>
      <c r="VGP213" s="260"/>
      <c r="VGQ213" s="260"/>
      <c r="VGR213" s="2"/>
      <c r="VGS213" s="2"/>
      <c r="VGT213" s="2"/>
      <c r="VGU213" s="2"/>
      <c r="VGV213" s="2"/>
      <c r="VGW213" s="2"/>
      <c r="VGX213" s="260"/>
      <c r="VGY213" s="2"/>
      <c r="VGZ213" s="2"/>
      <c r="VHA213" s="2"/>
      <c r="VHB213" s="2"/>
      <c r="VHC213" s="2"/>
      <c r="VHD213" s="2"/>
      <c r="VHE213" s="2"/>
      <c r="VHF213" s="260"/>
      <c r="VHG213" s="260"/>
      <c r="VHH213" s="260"/>
      <c r="VHI213" s="380"/>
      <c r="VHJ213" s="380"/>
      <c r="VHK213" s="380"/>
      <c r="VHL213" s="2"/>
      <c r="VHM213" s="442"/>
      <c r="VHN213" s="442"/>
      <c r="VHO213" s="443"/>
      <c r="VHP213" s="442"/>
      <c r="VHQ213" s="442"/>
      <c r="VHR213" s="2"/>
      <c r="VHS213" s="2"/>
      <c r="VHT213" s="2"/>
      <c r="VHU213" s="2"/>
      <c r="VHV213" s="260"/>
      <c r="VHW213" s="260"/>
      <c r="VHX213" s="260"/>
      <c r="VHY213" s="260"/>
      <c r="VHZ213" s="260"/>
      <c r="VIA213" s="260"/>
      <c r="VIB213" s="308"/>
      <c r="VIC213" s="290"/>
      <c r="VID213" s="290"/>
      <c r="VIE213" s="260"/>
      <c r="VIF213" s="260"/>
      <c r="VIG213" s="260"/>
      <c r="VIH213" s="260"/>
      <c r="VII213" s="260"/>
      <c r="VIJ213" s="2"/>
      <c r="VIK213" s="2"/>
      <c r="VIL213" s="2"/>
      <c r="VIM213" s="2"/>
      <c r="VIN213" s="2"/>
      <c r="VIO213" s="2"/>
      <c r="VIP213" s="260"/>
      <c r="VIQ213" s="2"/>
      <c r="VIR213" s="2"/>
      <c r="VIS213" s="2"/>
      <c r="VIT213" s="2"/>
      <c r="VIU213" s="2"/>
      <c r="VIV213" s="2"/>
      <c r="VIW213" s="2"/>
      <c r="VIX213" s="260"/>
      <c r="VIY213" s="260"/>
      <c r="VIZ213" s="260"/>
      <c r="VJA213" s="380"/>
      <c r="VJB213" s="380"/>
      <c r="VJC213" s="380"/>
      <c r="VJD213" s="2"/>
      <c r="VJE213" s="442"/>
      <c r="VJF213" s="442"/>
      <c r="VJG213" s="443"/>
      <c r="VJH213" s="442"/>
      <c r="VJI213" s="442"/>
      <c r="VJJ213" s="2"/>
      <c r="VJK213" s="2"/>
      <c r="VJL213" s="2"/>
      <c r="VJM213" s="2"/>
      <c r="VJN213" s="260"/>
      <c r="VJO213" s="260"/>
      <c r="VJP213" s="260"/>
      <c r="VJQ213" s="260"/>
      <c r="VJR213" s="260"/>
      <c r="VJS213" s="260"/>
      <c r="VJT213" s="308"/>
      <c r="VJU213" s="290"/>
      <c r="VJV213" s="290"/>
      <c r="VJW213" s="260"/>
      <c r="VJX213" s="260"/>
      <c r="VJY213" s="260"/>
      <c r="VJZ213" s="260"/>
      <c r="VKA213" s="260"/>
      <c r="VKB213" s="2"/>
      <c r="VKC213" s="2"/>
      <c r="VKD213" s="2"/>
      <c r="VKE213" s="2"/>
      <c r="VKF213" s="2"/>
      <c r="VKG213" s="2"/>
      <c r="VKH213" s="260"/>
      <c r="VKI213" s="2"/>
      <c r="VKJ213" s="2"/>
      <c r="VKK213" s="2"/>
      <c r="VKL213" s="2"/>
      <c r="VKM213" s="2"/>
      <c r="VKN213" s="2"/>
      <c r="VKO213" s="2"/>
      <c r="VKP213" s="260"/>
      <c r="VKQ213" s="260"/>
      <c r="VKR213" s="260"/>
      <c r="VKS213" s="380"/>
      <c r="VKT213" s="380"/>
      <c r="VKU213" s="380"/>
      <c r="VKV213" s="2"/>
      <c r="VKW213" s="442"/>
      <c r="VKX213" s="442"/>
      <c r="VKY213" s="443"/>
      <c r="VKZ213" s="442"/>
      <c r="VLA213" s="442"/>
      <c r="VLB213" s="2"/>
      <c r="VLC213" s="2"/>
      <c r="VLD213" s="2"/>
      <c r="VLE213" s="2"/>
      <c r="VLF213" s="260"/>
      <c r="VLG213" s="260"/>
      <c r="VLH213" s="260"/>
      <c r="VLI213" s="260"/>
      <c r="VLJ213" s="260"/>
      <c r="VLK213" s="260"/>
      <c r="VLL213" s="308"/>
      <c r="VLM213" s="290"/>
      <c r="VLN213" s="290"/>
      <c r="VLO213" s="260"/>
      <c r="VLP213" s="260"/>
      <c r="VLQ213" s="260"/>
      <c r="VLR213" s="260"/>
      <c r="VLS213" s="260"/>
      <c r="VLT213" s="2"/>
      <c r="VLU213" s="2"/>
      <c r="VLV213" s="2"/>
      <c r="VLW213" s="2"/>
      <c r="VLX213" s="2"/>
      <c r="VLY213" s="2"/>
      <c r="VLZ213" s="260"/>
      <c r="VMA213" s="2"/>
      <c r="VMB213" s="2"/>
      <c r="VMC213" s="2"/>
      <c r="VMD213" s="2"/>
      <c r="VME213" s="2"/>
      <c r="VMF213" s="2"/>
      <c r="VMG213" s="2"/>
      <c r="VMH213" s="260"/>
      <c r="VMI213" s="260"/>
      <c r="VMJ213" s="260"/>
      <c r="VMK213" s="380"/>
      <c r="VML213" s="380"/>
      <c r="VMM213" s="380"/>
      <c r="VMN213" s="2"/>
      <c r="VMO213" s="442"/>
      <c r="VMP213" s="442"/>
      <c r="VMQ213" s="443"/>
      <c r="VMR213" s="442"/>
      <c r="VMS213" s="442"/>
      <c r="VMT213" s="2"/>
      <c r="VMU213" s="2"/>
      <c r="VMV213" s="2"/>
      <c r="VMW213" s="2"/>
      <c r="VMX213" s="260"/>
      <c r="VMY213" s="260"/>
      <c r="VMZ213" s="260"/>
      <c r="VNA213" s="260"/>
      <c r="VNB213" s="260"/>
      <c r="VNC213" s="260"/>
      <c r="VND213" s="308"/>
      <c r="VNE213" s="290"/>
      <c r="VNF213" s="290"/>
      <c r="VNG213" s="260"/>
      <c r="VNH213" s="260"/>
      <c r="VNI213" s="260"/>
      <c r="VNJ213" s="260"/>
      <c r="VNK213" s="260"/>
      <c r="VNL213" s="2"/>
      <c r="VNM213" s="2"/>
      <c r="VNN213" s="2"/>
      <c r="VNO213" s="2"/>
      <c r="VNP213" s="2"/>
      <c r="VNQ213" s="2"/>
      <c r="VNR213" s="260"/>
      <c r="VNS213" s="2"/>
      <c r="VNT213" s="2"/>
      <c r="VNU213" s="2"/>
      <c r="VNV213" s="2"/>
      <c r="VNW213" s="2"/>
      <c r="VNX213" s="2"/>
      <c r="VNY213" s="2"/>
      <c r="VNZ213" s="260"/>
      <c r="VOA213" s="260"/>
      <c r="VOB213" s="260"/>
      <c r="VOC213" s="380"/>
      <c r="VOD213" s="380"/>
      <c r="VOE213" s="380"/>
      <c r="VOF213" s="2"/>
      <c r="VOG213" s="442"/>
      <c r="VOH213" s="442"/>
      <c r="VOI213" s="443"/>
      <c r="VOJ213" s="442"/>
      <c r="VOK213" s="442"/>
      <c r="VOL213" s="2"/>
      <c r="VOM213" s="2"/>
      <c r="VON213" s="2"/>
      <c r="VOO213" s="2"/>
      <c r="VOP213" s="260"/>
      <c r="VOQ213" s="260"/>
      <c r="VOR213" s="260"/>
      <c r="VOS213" s="260"/>
      <c r="VOT213" s="260"/>
      <c r="VOU213" s="260"/>
      <c r="VOV213" s="308"/>
      <c r="VOW213" s="290"/>
      <c r="VOX213" s="290"/>
      <c r="VOY213" s="260"/>
      <c r="VOZ213" s="260"/>
      <c r="VPA213" s="260"/>
      <c r="VPB213" s="260"/>
      <c r="VPC213" s="260"/>
      <c r="VPD213" s="2"/>
      <c r="VPE213" s="2"/>
      <c r="VPF213" s="2"/>
      <c r="VPG213" s="2"/>
      <c r="VPH213" s="2"/>
      <c r="VPI213" s="2"/>
      <c r="VPJ213" s="260"/>
      <c r="VPK213" s="2"/>
      <c r="VPL213" s="2"/>
      <c r="VPM213" s="2"/>
      <c r="VPN213" s="2"/>
      <c r="VPO213" s="2"/>
      <c r="VPP213" s="2"/>
      <c r="VPQ213" s="2"/>
      <c r="VPR213" s="260"/>
      <c r="VPS213" s="260"/>
      <c r="VPT213" s="260"/>
      <c r="VPU213" s="380"/>
      <c r="VPV213" s="380"/>
      <c r="VPW213" s="380"/>
      <c r="VPX213" s="2"/>
      <c r="VPY213" s="442"/>
      <c r="VPZ213" s="442"/>
      <c r="VQA213" s="443"/>
      <c r="VQB213" s="442"/>
      <c r="VQC213" s="442"/>
      <c r="VQD213" s="2"/>
      <c r="VQE213" s="2"/>
      <c r="VQF213" s="2"/>
      <c r="VQG213" s="2"/>
      <c r="VQH213" s="260"/>
      <c r="VQI213" s="260"/>
      <c r="VQJ213" s="260"/>
      <c r="VQK213" s="260"/>
      <c r="VQL213" s="260"/>
      <c r="VQM213" s="260"/>
      <c r="VQN213" s="308"/>
      <c r="VQO213" s="290"/>
      <c r="VQP213" s="290"/>
      <c r="VQQ213" s="260"/>
      <c r="VQR213" s="260"/>
      <c r="VQS213" s="260"/>
      <c r="VQT213" s="260"/>
      <c r="VQU213" s="260"/>
      <c r="VQV213" s="2"/>
      <c r="VQW213" s="2"/>
      <c r="VQX213" s="2"/>
      <c r="VQY213" s="2"/>
      <c r="VQZ213" s="2"/>
      <c r="VRA213" s="2"/>
      <c r="VRB213" s="260"/>
      <c r="VRC213" s="2"/>
      <c r="VRD213" s="2"/>
      <c r="VRE213" s="2"/>
      <c r="VRF213" s="2"/>
      <c r="VRG213" s="2"/>
      <c r="VRH213" s="2"/>
      <c r="VRI213" s="2"/>
      <c r="VRJ213" s="260"/>
      <c r="VRK213" s="260"/>
      <c r="VRL213" s="260"/>
      <c r="VRM213" s="380"/>
      <c r="VRN213" s="380"/>
      <c r="VRO213" s="380"/>
      <c r="VRP213" s="2"/>
      <c r="VRQ213" s="442"/>
      <c r="VRR213" s="442"/>
      <c r="VRS213" s="443"/>
      <c r="VRT213" s="442"/>
      <c r="VRU213" s="442"/>
      <c r="VRV213" s="2"/>
      <c r="VRW213" s="2"/>
      <c r="VRX213" s="2"/>
      <c r="VRY213" s="2"/>
      <c r="VRZ213" s="260"/>
      <c r="VSA213" s="260"/>
      <c r="VSB213" s="260"/>
      <c r="VSC213" s="260"/>
      <c r="VSD213" s="260"/>
      <c r="VSE213" s="260"/>
      <c r="VSF213" s="308"/>
      <c r="VSG213" s="290"/>
      <c r="VSH213" s="290"/>
      <c r="VSI213" s="260"/>
      <c r="VSJ213" s="260"/>
      <c r="VSK213" s="260"/>
      <c r="VSL213" s="260"/>
      <c r="VSM213" s="260"/>
      <c r="VSN213" s="2"/>
      <c r="VSO213" s="2"/>
      <c r="VSP213" s="2"/>
      <c r="VSQ213" s="2"/>
      <c r="VSR213" s="2"/>
      <c r="VSS213" s="2"/>
      <c r="VST213" s="260"/>
      <c r="VSU213" s="2"/>
      <c r="VSV213" s="2"/>
      <c r="VSW213" s="2"/>
      <c r="VSX213" s="2"/>
      <c r="VSY213" s="2"/>
      <c r="VSZ213" s="2"/>
      <c r="VTA213" s="2"/>
      <c r="VTB213" s="260"/>
      <c r="VTC213" s="260"/>
      <c r="VTD213" s="260"/>
      <c r="VTE213" s="380"/>
      <c r="VTF213" s="380"/>
      <c r="VTG213" s="380"/>
      <c r="VTH213" s="2"/>
      <c r="VTI213" s="442"/>
      <c r="VTJ213" s="442"/>
      <c r="VTK213" s="443"/>
      <c r="VTL213" s="442"/>
      <c r="VTM213" s="442"/>
      <c r="VTN213" s="2"/>
      <c r="VTO213" s="2"/>
      <c r="VTP213" s="2"/>
      <c r="VTQ213" s="2"/>
      <c r="VTR213" s="260"/>
      <c r="VTS213" s="260"/>
      <c r="VTT213" s="260"/>
      <c r="VTU213" s="260"/>
      <c r="VTV213" s="260"/>
      <c r="VTW213" s="260"/>
      <c r="VTX213" s="308"/>
      <c r="VTY213" s="290"/>
      <c r="VTZ213" s="290"/>
      <c r="VUA213" s="260"/>
      <c r="VUB213" s="260"/>
      <c r="VUC213" s="260"/>
      <c r="VUD213" s="260"/>
      <c r="VUE213" s="260"/>
      <c r="VUF213" s="2"/>
      <c r="VUG213" s="2"/>
      <c r="VUH213" s="2"/>
      <c r="VUI213" s="2"/>
      <c r="VUJ213" s="2"/>
      <c r="VUK213" s="2"/>
      <c r="VUL213" s="260"/>
      <c r="VUM213" s="2"/>
      <c r="VUN213" s="2"/>
      <c r="VUO213" s="2"/>
      <c r="VUP213" s="2"/>
      <c r="VUQ213" s="2"/>
      <c r="VUR213" s="2"/>
      <c r="VUS213" s="2"/>
      <c r="VUT213" s="260"/>
      <c r="VUU213" s="260"/>
      <c r="VUV213" s="260"/>
      <c r="VUW213" s="380"/>
      <c r="VUX213" s="380"/>
      <c r="VUY213" s="380"/>
      <c r="VUZ213" s="2"/>
      <c r="VVA213" s="442"/>
      <c r="VVB213" s="442"/>
      <c r="VVC213" s="443"/>
      <c r="VVD213" s="442"/>
      <c r="VVE213" s="442"/>
      <c r="VVF213" s="2"/>
      <c r="VVG213" s="2"/>
      <c r="VVH213" s="2"/>
      <c r="VVI213" s="2"/>
      <c r="VVJ213" s="260"/>
      <c r="VVK213" s="260"/>
      <c r="VVL213" s="260"/>
      <c r="VVM213" s="260"/>
      <c r="VVN213" s="260"/>
      <c r="VVO213" s="260"/>
      <c r="VVP213" s="308"/>
      <c r="VVQ213" s="290"/>
      <c r="VVR213" s="290"/>
      <c r="VVS213" s="260"/>
      <c r="VVT213" s="260"/>
      <c r="VVU213" s="260"/>
      <c r="VVV213" s="260"/>
      <c r="VVW213" s="260"/>
      <c r="VVX213" s="2"/>
      <c r="VVY213" s="2"/>
      <c r="VVZ213" s="2"/>
      <c r="VWA213" s="2"/>
      <c r="VWB213" s="2"/>
      <c r="VWC213" s="2"/>
      <c r="VWD213" s="260"/>
      <c r="VWE213" s="2"/>
      <c r="VWF213" s="2"/>
      <c r="VWG213" s="2"/>
      <c r="VWH213" s="2"/>
      <c r="VWI213" s="2"/>
      <c r="VWJ213" s="2"/>
      <c r="VWK213" s="2"/>
      <c r="VWL213" s="260"/>
      <c r="VWM213" s="260"/>
      <c r="VWN213" s="260"/>
      <c r="VWO213" s="380"/>
      <c r="VWP213" s="380"/>
      <c r="VWQ213" s="380"/>
      <c r="VWR213" s="2"/>
      <c r="VWS213" s="442"/>
      <c r="VWT213" s="442"/>
      <c r="VWU213" s="443"/>
      <c r="VWV213" s="442"/>
      <c r="VWW213" s="442"/>
      <c r="VWX213" s="2"/>
      <c r="VWY213" s="2"/>
      <c r="VWZ213" s="2"/>
      <c r="VXA213" s="2"/>
      <c r="VXB213" s="260"/>
      <c r="VXC213" s="260"/>
      <c r="VXD213" s="260"/>
      <c r="VXE213" s="260"/>
      <c r="VXF213" s="260"/>
      <c r="VXG213" s="260"/>
      <c r="VXH213" s="308"/>
      <c r="VXI213" s="290"/>
      <c r="VXJ213" s="290"/>
      <c r="VXK213" s="260"/>
      <c r="VXL213" s="260"/>
      <c r="VXM213" s="260"/>
      <c r="VXN213" s="260"/>
      <c r="VXO213" s="260"/>
      <c r="VXP213" s="2"/>
      <c r="VXQ213" s="2"/>
      <c r="VXR213" s="2"/>
      <c r="VXS213" s="2"/>
      <c r="VXT213" s="2"/>
      <c r="VXU213" s="2"/>
      <c r="VXV213" s="260"/>
      <c r="VXW213" s="2"/>
      <c r="VXX213" s="2"/>
      <c r="VXY213" s="2"/>
      <c r="VXZ213" s="2"/>
      <c r="VYA213" s="2"/>
      <c r="VYB213" s="2"/>
      <c r="VYC213" s="2"/>
      <c r="VYD213" s="260"/>
      <c r="VYE213" s="260"/>
      <c r="VYF213" s="260"/>
      <c r="VYG213" s="380"/>
      <c r="VYH213" s="380"/>
      <c r="VYI213" s="380"/>
      <c r="VYJ213" s="2"/>
      <c r="VYK213" s="442"/>
      <c r="VYL213" s="442"/>
      <c r="VYM213" s="443"/>
      <c r="VYN213" s="442"/>
      <c r="VYO213" s="442"/>
      <c r="VYP213" s="2"/>
      <c r="VYQ213" s="2"/>
      <c r="VYR213" s="2"/>
      <c r="VYS213" s="2"/>
      <c r="VYT213" s="260"/>
      <c r="VYU213" s="260"/>
      <c r="VYV213" s="260"/>
      <c r="VYW213" s="260"/>
      <c r="VYX213" s="260"/>
      <c r="VYY213" s="260"/>
      <c r="VYZ213" s="308"/>
      <c r="VZA213" s="290"/>
      <c r="VZB213" s="290"/>
      <c r="VZC213" s="260"/>
      <c r="VZD213" s="260"/>
      <c r="VZE213" s="260"/>
      <c r="VZF213" s="260"/>
      <c r="VZG213" s="260"/>
      <c r="VZH213" s="2"/>
      <c r="VZI213" s="2"/>
      <c r="VZJ213" s="2"/>
      <c r="VZK213" s="2"/>
      <c r="VZL213" s="2"/>
      <c r="VZM213" s="2"/>
      <c r="VZN213" s="260"/>
      <c r="VZO213" s="2"/>
      <c r="VZP213" s="2"/>
      <c r="VZQ213" s="2"/>
      <c r="VZR213" s="2"/>
      <c r="VZS213" s="2"/>
      <c r="VZT213" s="2"/>
      <c r="VZU213" s="2"/>
      <c r="VZV213" s="260"/>
      <c r="VZW213" s="260"/>
      <c r="VZX213" s="260"/>
      <c r="VZY213" s="380"/>
      <c r="VZZ213" s="380"/>
      <c r="WAA213" s="380"/>
      <c r="WAB213" s="2"/>
      <c r="WAC213" s="442"/>
      <c r="WAD213" s="442"/>
      <c r="WAE213" s="443"/>
      <c r="WAF213" s="442"/>
      <c r="WAG213" s="442"/>
      <c r="WAH213" s="2"/>
      <c r="WAI213" s="2"/>
      <c r="WAJ213" s="2"/>
      <c r="WAK213" s="2"/>
      <c r="WAL213" s="260"/>
      <c r="WAM213" s="260"/>
      <c r="WAN213" s="260"/>
      <c r="WAO213" s="260"/>
      <c r="WAP213" s="260"/>
      <c r="WAQ213" s="260"/>
      <c r="WAR213" s="308"/>
      <c r="WAS213" s="290"/>
      <c r="WAT213" s="290"/>
      <c r="WAU213" s="260"/>
      <c r="WAV213" s="260"/>
      <c r="WAW213" s="260"/>
      <c r="WAX213" s="260"/>
      <c r="WAY213" s="260"/>
      <c r="WAZ213" s="2"/>
      <c r="WBA213" s="2"/>
      <c r="WBB213" s="2"/>
      <c r="WBC213" s="2"/>
      <c r="WBD213" s="2"/>
      <c r="WBE213" s="2"/>
      <c r="WBF213" s="260"/>
      <c r="WBG213" s="2"/>
      <c r="WBH213" s="2"/>
      <c r="WBI213" s="2"/>
      <c r="WBJ213" s="2"/>
      <c r="WBK213" s="2"/>
      <c r="WBL213" s="2"/>
      <c r="WBM213" s="2"/>
      <c r="WBN213" s="260"/>
      <c r="WBO213" s="260"/>
      <c r="WBP213" s="260"/>
      <c r="WBQ213" s="380"/>
      <c r="WBR213" s="380"/>
      <c r="WBS213" s="380"/>
      <c r="WBT213" s="2"/>
      <c r="WBU213" s="442"/>
      <c r="WBV213" s="442"/>
      <c r="WBW213" s="443"/>
      <c r="WBX213" s="442"/>
      <c r="WBY213" s="442"/>
      <c r="WBZ213" s="2"/>
      <c r="WCA213" s="2"/>
      <c r="WCB213" s="2"/>
      <c r="WCC213" s="2"/>
      <c r="WCD213" s="260"/>
      <c r="WCE213" s="260"/>
      <c r="WCF213" s="260"/>
      <c r="WCG213" s="260"/>
      <c r="WCH213" s="260"/>
      <c r="WCI213" s="260"/>
      <c r="WCJ213" s="308"/>
      <c r="WCK213" s="290"/>
      <c r="WCL213" s="290"/>
      <c r="WCM213" s="260"/>
      <c r="WCN213" s="260"/>
      <c r="WCO213" s="260"/>
      <c r="WCP213" s="260"/>
      <c r="WCQ213" s="260"/>
      <c r="WCR213" s="2"/>
      <c r="WCS213" s="2"/>
      <c r="WCT213" s="2"/>
      <c r="WCU213" s="2"/>
      <c r="WCV213" s="2"/>
      <c r="WCW213" s="2"/>
      <c r="WCX213" s="260"/>
      <c r="WCY213" s="2"/>
      <c r="WCZ213" s="2"/>
      <c r="WDA213" s="2"/>
      <c r="WDB213" s="2"/>
      <c r="WDC213" s="2"/>
      <c r="WDD213" s="2"/>
      <c r="WDE213" s="2"/>
      <c r="WDF213" s="260"/>
      <c r="WDG213" s="260"/>
      <c r="WDH213" s="260"/>
      <c r="WDI213" s="380"/>
      <c r="WDJ213" s="380"/>
      <c r="WDK213" s="380"/>
      <c r="WDL213" s="2"/>
      <c r="WDM213" s="442"/>
      <c r="WDN213" s="442"/>
      <c r="WDO213" s="443"/>
      <c r="WDP213" s="442"/>
      <c r="WDQ213" s="442"/>
      <c r="WDR213" s="2"/>
      <c r="WDS213" s="2"/>
      <c r="WDT213" s="2"/>
      <c r="WDU213" s="2"/>
      <c r="WDV213" s="260"/>
      <c r="WDW213" s="260"/>
      <c r="WDX213" s="260"/>
      <c r="WDY213" s="260"/>
      <c r="WDZ213" s="260"/>
      <c r="WEA213" s="260"/>
      <c r="WEB213" s="308"/>
      <c r="WEC213" s="290"/>
      <c r="WED213" s="290"/>
      <c r="WEE213" s="260"/>
      <c r="WEF213" s="260"/>
      <c r="WEG213" s="260"/>
      <c r="WEH213" s="260"/>
      <c r="WEI213" s="260"/>
      <c r="WEJ213" s="2"/>
      <c r="WEK213" s="2"/>
      <c r="WEL213" s="2"/>
      <c r="WEM213" s="2"/>
      <c r="WEN213" s="2"/>
      <c r="WEO213" s="2"/>
      <c r="WEP213" s="260"/>
      <c r="WEQ213" s="2"/>
      <c r="WER213" s="2"/>
      <c r="WES213" s="2"/>
      <c r="WET213" s="2"/>
      <c r="WEU213" s="2"/>
      <c r="WEV213" s="2"/>
      <c r="WEW213" s="2"/>
      <c r="WEX213" s="260"/>
      <c r="WEY213" s="260"/>
      <c r="WEZ213" s="260"/>
      <c r="WFA213" s="380"/>
      <c r="WFB213" s="380"/>
      <c r="WFC213" s="380"/>
      <c r="WFD213" s="2"/>
      <c r="WFE213" s="442"/>
      <c r="WFF213" s="442"/>
      <c r="WFG213" s="443"/>
      <c r="WFH213" s="442"/>
      <c r="WFI213" s="442"/>
      <c r="WFJ213" s="2"/>
      <c r="WFK213" s="2"/>
      <c r="WFL213" s="2"/>
      <c r="WFM213" s="2"/>
      <c r="WFN213" s="260"/>
      <c r="WFO213" s="260"/>
      <c r="WFP213" s="260"/>
      <c r="WFQ213" s="260"/>
      <c r="WFR213" s="260"/>
      <c r="WFS213" s="260"/>
      <c r="WFT213" s="308"/>
      <c r="WFU213" s="290"/>
      <c r="WFV213" s="290"/>
      <c r="WFW213" s="260"/>
      <c r="WFX213" s="260"/>
      <c r="WFY213" s="260"/>
      <c r="WFZ213" s="260"/>
      <c r="WGA213" s="260"/>
      <c r="WGB213" s="2"/>
      <c r="WGC213" s="2"/>
      <c r="WGD213" s="2"/>
      <c r="WGE213" s="2"/>
      <c r="WGF213" s="2"/>
      <c r="WGG213" s="2"/>
      <c r="WGH213" s="260"/>
      <c r="WGI213" s="2"/>
      <c r="WGJ213" s="2"/>
      <c r="WGK213" s="2"/>
      <c r="WGL213" s="2"/>
      <c r="WGM213" s="2"/>
      <c r="WGN213" s="2"/>
      <c r="WGO213" s="2"/>
      <c r="WGP213" s="260"/>
      <c r="WGQ213" s="260"/>
      <c r="WGR213" s="260"/>
      <c r="WGS213" s="380"/>
      <c r="WGT213" s="380"/>
      <c r="WGU213" s="380"/>
      <c r="WGV213" s="2"/>
      <c r="WGW213" s="442"/>
      <c r="WGX213" s="442"/>
      <c r="WGY213" s="443"/>
      <c r="WGZ213" s="442"/>
      <c r="WHA213" s="442"/>
      <c r="WHB213" s="2"/>
      <c r="WHC213" s="2"/>
      <c r="WHD213" s="2"/>
      <c r="WHE213" s="2"/>
      <c r="WHF213" s="260"/>
      <c r="WHG213" s="260"/>
      <c r="WHH213" s="260"/>
      <c r="WHI213" s="260"/>
      <c r="WHJ213" s="260"/>
      <c r="WHK213" s="260"/>
      <c r="WHL213" s="308"/>
      <c r="WHM213" s="290"/>
      <c r="WHN213" s="290"/>
      <c r="WHO213" s="260"/>
      <c r="WHP213" s="260"/>
      <c r="WHQ213" s="260"/>
      <c r="WHR213" s="260"/>
      <c r="WHS213" s="260"/>
      <c r="WHT213" s="2"/>
      <c r="WHU213" s="2"/>
      <c r="WHV213" s="2"/>
      <c r="WHW213" s="2"/>
      <c r="WHX213" s="2"/>
      <c r="WHY213" s="2"/>
      <c r="WHZ213" s="260"/>
      <c r="WIA213" s="2"/>
      <c r="WIB213" s="2"/>
      <c r="WIC213" s="2"/>
      <c r="WID213" s="2"/>
      <c r="WIE213" s="2"/>
      <c r="WIF213" s="2"/>
      <c r="WIG213" s="2"/>
      <c r="WIH213" s="260"/>
      <c r="WII213" s="260"/>
      <c r="WIJ213" s="260"/>
      <c r="WIK213" s="380"/>
      <c r="WIL213" s="380"/>
      <c r="WIM213" s="380"/>
      <c r="WIN213" s="2"/>
      <c r="WIO213" s="442"/>
      <c r="WIP213" s="442"/>
      <c r="WIQ213" s="443"/>
      <c r="WIR213" s="442"/>
      <c r="WIS213" s="442"/>
      <c r="WIT213" s="2"/>
      <c r="WIU213" s="2"/>
      <c r="WIV213" s="2"/>
      <c r="WIW213" s="2"/>
      <c r="WIX213" s="260"/>
      <c r="WIY213" s="260"/>
      <c r="WIZ213" s="260"/>
      <c r="WJA213" s="260"/>
      <c r="WJB213" s="260"/>
      <c r="WJC213" s="260"/>
      <c r="WJD213" s="308"/>
      <c r="WJE213" s="290"/>
      <c r="WJF213" s="290"/>
      <c r="WJG213" s="260"/>
      <c r="WJH213" s="260"/>
      <c r="WJI213" s="260"/>
      <c r="WJJ213" s="260"/>
      <c r="WJK213" s="260"/>
      <c r="WJL213" s="2"/>
      <c r="WJM213" s="2"/>
      <c r="WJN213" s="2"/>
      <c r="WJO213" s="2"/>
      <c r="WJP213" s="2"/>
      <c r="WJQ213" s="2"/>
      <c r="WJR213" s="260"/>
      <c r="WJS213" s="2"/>
      <c r="WJT213" s="2"/>
      <c r="WJU213" s="2"/>
      <c r="WJV213" s="2"/>
      <c r="WJW213" s="2"/>
      <c r="WJX213" s="2"/>
      <c r="WJY213" s="2"/>
      <c r="WJZ213" s="260"/>
      <c r="WKA213" s="260"/>
      <c r="WKB213" s="260"/>
      <c r="WKC213" s="380"/>
      <c r="WKD213" s="380"/>
      <c r="WKE213" s="380"/>
      <c r="WKF213" s="2"/>
      <c r="WKG213" s="442"/>
      <c r="WKH213" s="442"/>
      <c r="WKI213" s="443"/>
      <c r="WKJ213" s="442"/>
      <c r="WKK213" s="442"/>
      <c r="WKL213" s="2"/>
      <c r="WKM213" s="2"/>
      <c r="WKN213" s="2"/>
      <c r="WKO213" s="2"/>
      <c r="WKP213" s="260"/>
      <c r="WKQ213" s="260"/>
      <c r="WKR213" s="260"/>
      <c r="WKS213" s="260"/>
      <c r="WKT213" s="260"/>
      <c r="WKU213" s="260"/>
      <c r="WKV213" s="308"/>
      <c r="WKW213" s="290"/>
      <c r="WKX213" s="290"/>
      <c r="WKY213" s="260"/>
      <c r="WKZ213" s="260"/>
      <c r="WLA213" s="260"/>
      <c r="WLB213" s="260"/>
      <c r="WLC213" s="260"/>
      <c r="WLD213" s="2"/>
      <c r="WLE213" s="2"/>
      <c r="WLF213" s="2"/>
      <c r="WLG213" s="2"/>
      <c r="WLH213" s="2"/>
      <c r="WLI213" s="2"/>
      <c r="WLJ213" s="260"/>
      <c r="WLK213" s="2"/>
      <c r="WLL213" s="2"/>
      <c r="WLM213" s="2"/>
      <c r="WLN213" s="2"/>
      <c r="WLO213" s="2"/>
      <c r="WLP213" s="2"/>
      <c r="WLQ213" s="2"/>
      <c r="WLR213" s="260"/>
      <c r="WLS213" s="260"/>
      <c r="WLT213" s="260"/>
      <c r="WLU213" s="380"/>
      <c r="WLV213" s="380"/>
      <c r="WLW213" s="380"/>
      <c r="WLX213" s="2"/>
      <c r="WLY213" s="442"/>
      <c r="WLZ213" s="442"/>
      <c r="WMA213" s="443"/>
      <c r="WMB213" s="442"/>
      <c r="WMC213" s="442"/>
      <c r="WMD213" s="2"/>
      <c r="WME213" s="2"/>
      <c r="WMF213" s="2"/>
      <c r="WMG213" s="2"/>
      <c r="WMH213" s="260"/>
      <c r="WMI213" s="260"/>
      <c r="WMJ213" s="260"/>
      <c r="WMK213" s="260"/>
      <c r="WML213" s="260"/>
      <c r="WMM213" s="260"/>
      <c r="WMN213" s="308"/>
      <c r="WMO213" s="290"/>
      <c r="WMP213" s="290"/>
      <c r="WMQ213" s="260"/>
      <c r="WMR213" s="260"/>
      <c r="WMS213" s="260"/>
      <c r="WMT213" s="260"/>
      <c r="WMU213" s="260"/>
      <c r="WMV213" s="2"/>
      <c r="WMW213" s="2"/>
      <c r="WMX213" s="2"/>
      <c r="WMY213" s="2"/>
      <c r="WMZ213" s="2"/>
      <c r="WNA213" s="2"/>
      <c r="WNB213" s="260"/>
      <c r="WNC213" s="2"/>
      <c r="WND213" s="2"/>
      <c r="WNE213" s="2"/>
      <c r="WNF213" s="2"/>
      <c r="WNG213" s="2"/>
      <c r="WNH213" s="2"/>
      <c r="WNI213" s="2"/>
      <c r="WNJ213" s="260"/>
      <c r="WNK213" s="260"/>
      <c r="WNL213" s="260"/>
      <c r="WNM213" s="380"/>
      <c r="WNN213" s="380"/>
      <c r="WNO213" s="380"/>
      <c r="WNP213" s="2"/>
      <c r="WNQ213" s="442"/>
      <c r="WNR213" s="442"/>
      <c r="WNS213" s="443"/>
      <c r="WNT213" s="442"/>
      <c r="WNU213" s="442"/>
      <c r="WNV213" s="2"/>
      <c r="WNW213" s="2"/>
      <c r="WNX213" s="2"/>
      <c r="WNY213" s="2"/>
      <c r="WNZ213" s="260"/>
      <c r="WOA213" s="260"/>
      <c r="WOB213" s="260"/>
      <c r="WOC213" s="260"/>
      <c r="WOD213" s="260"/>
      <c r="WOE213" s="260"/>
      <c r="WOF213" s="308"/>
      <c r="WOG213" s="290"/>
      <c r="WOH213" s="290"/>
      <c r="WOI213" s="260"/>
      <c r="WOJ213" s="260"/>
      <c r="WOK213" s="260"/>
      <c r="WOL213" s="260"/>
      <c r="WOM213" s="260"/>
      <c r="WON213" s="2"/>
      <c r="WOO213" s="2"/>
      <c r="WOP213" s="2"/>
      <c r="WOQ213" s="2"/>
      <c r="WOR213" s="2"/>
      <c r="WOS213" s="2"/>
      <c r="WOT213" s="260"/>
      <c r="WOU213" s="2"/>
      <c r="WOV213" s="2"/>
      <c r="WOW213" s="2"/>
      <c r="WOX213" s="2"/>
      <c r="WOY213" s="2"/>
      <c r="WOZ213" s="2"/>
      <c r="WPA213" s="2"/>
      <c r="WPB213" s="260"/>
      <c r="WPC213" s="260"/>
      <c r="WPD213" s="260"/>
      <c r="WPE213" s="380"/>
      <c r="WPF213" s="380"/>
      <c r="WPG213" s="380"/>
      <c r="WPH213" s="2"/>
      <c r="WPI213" s="442"/>
      <c r="WPJ213" s="442"/>
      <c r="WPK213" s="443"/>
      <c r="WPL213" s="442"/>
      <c r="WPM213" s="442"/>
      <c r="WPN213" s="2"/>
      <c r="WPO213" s="2"/>
      <c r="WPP213" s="2"/>
      <c r="WPQ213" s="2"/>
      <c r="WPR213" s="260"/>
      <c r="WPS213" s="260"/>
      <c r="WPT213" s="260"/>
      <c r="WPU213" s="260"/>
      <c r="WPV213" s="260"/>
      <c r="WPW213" s="260"/>
      <c r="WPX213" s="308"/>
      <c r="WPY213" s="290"/>
      <c r="WPZ213" s="290"/>
      <c r="WQA213" s="260"/>
      <c r="WQB213" s="260"/>
      <c r="WQC213" s="260"/>
      <c r="WQD213" s="260"/>
      <c r="WQE213" s="260"/>
      <c r="WQF213" s="2"/>
      <c r="WQG213" s="2"/>
      <c r="WQH213" s="2"/>
      <c r="WQI213" s="2"/>
      <c r="WQJ213" s="2"/>
      <c r="WQK213" s="2"/>
      <c r="WQL213" s="260"/>
      <c r="WQM213" s="2"/>
      <c r="WQN213" s="2"/>
      <c r="WQO213" s="2"/>
      <c r="WQP213" s="2"/>
      <c r="WQQ213" s="2"/>
      <c r="WQR213" s="2"/>
      <c r="WQS213" s="2"/>
      <c r="WQT213" s="260"/>
      <c r="WQU213" s="260"/>
      <c r="WQV213" s="260"/>
      <c r="WQW213" s="380"/>
      <c r="WQX213" s="380"/>
      <c r="WQY213" s="380"/>
      <c r="WQZ213" s="2"/>
      <c r="WRA213" s="442"/>
      <c r="WRB213" s="442"/>
      <c r="WRC213" s="443"/>
      <c r="WRD213" s="442"/>
      <c r="WRE213" s="442"/>
      <c r="WRF213" s="2"/>
      <c r="WRG213" s="2"/>
      <c r="WRH213" s="2"/>
      <c r="WRI213" s="2"/>
      <c r="WRJ213" s="260"/>
      <c r="WRK213" s="260"/>
      <c r="WRL213" s="260"/>
      <c r="WRM213" s="260"/>
      <c r="WRN213" s="260"/>
      <c r="WRO213" s="260"/>
      <c r="WRP213" s="308"/>
      <c r="WRQ213" s="290"/>
      <c r="WRR213" s="290"/>
      <c r="WRS213" s="260"/>
      <c r="WRT213" s="260"/>
      <c r="WRU213" s="260"/>
      <c r="WRV213" s="260"/>
      <c r="WRW213" s="260"/>
      <c r="WRX213" s="2"/>
      <c r="WRY213" s="2"/>
      <c r="WRZ213" s="2"/>
      <c r="WSA213" s="2"/>
      <c r="WSB213" s="2"/>
      <c r="WSC213" s="2"/>
      <c r="WSD213" s="260"/>
      <c r="WSE213" s="2"/>
      <c r="WSF213" s="2"/>
      <c r="WSG213" s="2"/>
      <c r="WSH213" s="2"/>
      <c r="WSI213" s="2"/>
      <c r="WSJ213" s="2"/>
      <c r="WSK213" s="2"/>
      <c r="WSL213" s="260"/>
      <c r="WSM213" s="260"/>
      <c r="WSN213" s="260"/>
      <c r="WSO213" s="380"/>
      <c r="WSP213" s="380"/>
      <c r="WSQ213" s="380"/>
      <c r="WSR213" s="2"/>
      <c r="WSS213" s="442"/>
      <c r="WST213" s="442"/>
      <c r="WSU213" s="443"/>
      <c r="WSV213" s="442"/>
      <c r="WSW213" s="442"/>
      <c r="WSX213" s="2"/>
      <c r="WSY213" s="2"/>
      <c r="WSZ213" s="2"/>
      <c r="WTA213" s="2"/>
      <c r="WTB213" s="260"/>
      <c r="WTC213" s="260"/>
      <c r="WTD213" s="260"/>
      <c r="WTE213" s="260"/>
      <c r="WTF213" s="260"/>
      <c r="WTG213" s="260"/>
      <c r="WTH213" s="308"/>
      <c r="WTI213" s="290"/>
      <c r="WTJ213" s="290"/>
      <c r="WTK213" s="260"/>
      <c r="WTL213" s="260"/>
      <c r="WTM213" s="260"/>
      <c r="WTN213" s="260"/>
      <c r="WTO213" s="260"/>
      <c r="WTP213" s="2"/>
      <c r="WTQ213" s="2"/>
      <c r="WTR213" s="2"/>
      <c r="WTS213" s="2"/>
      <c r="WTT213" s="2"/>
      <c r="WTU213" s="2"/>
      <c r="WTV213" s="260"/>
      <c r="WTW213" s="2"/>
      <c r="WTX213" s="2"/>
      <c r="WTY213" s="2"/>
      <c r="WTZ213" s="2"/>
      <c r="WUA213" s="2"/>
      <c r="WUB213" s="2"/>
      <c r="WUC213" s="2"/>
      <c r="WUD213" s="260"/>
      <c r="WUE213" s="260"/>
      <c r="WUF213" s="260"/>
      <c r="WUG213" s="380"/>
      <c r="WUH213" s="380"/>
      <c r="WUI213" s="380"/>
      <c r="WUJ213" s="2"/>
      <c r="WUK213" s="442"/>
      <c r="WUL213" s="442"/>
      <c r="WUM213" s="443"/>
      <c r="WUN213" s="442"/>
      <c r="WUO213" s="442"/>
      <c r="WUP213" s="2"/>
      <c r="WUQ213" s="2"/>
      <c r="WUR213" s="2"/>
      <c r="WUS213" s="2"/>
      <c r="WUT213" s="260"/>
      <c r="WUU213" s="260"/>
      <c r="WUV213" s="260"/>
      <c r="WUW213" s="260"/>
      <c r="WUX213" s="260"/>
      <c r="WUY213" s="260"/>
      <c r="WUZ213" s="308"/>
      <c r="WVA213" s="290"/>
      <c r="WVB213" s="290"/>
      <c r="WVC213" s="260"/>
      <c r="WVD213" s="260"/>
      <c r="WVE213" s="260"/>
      <c r="WVF213" s="260"/>
      <c r="WVG213" s="260"/>
      <c r="WVH213" s="2"/>
      <c r="WVI213" s="2"/>
      <c r="WVJ213" s="2"/>
      <c r="WVK213" s="2"/>
      <c r="WVL213" s="2"/>
      <c r="WVM213" s="2"/>
      <c r="WVN213" s="260"/>
      <c r="WVO213" s="2"/>
      <c r="WVP213" s="2"/>
      <c r="WVQ213" s="2"/>
      <c r="WVR213" s="2"/>
      <c r="WVS213" s="2"/>
      <c r="WVT213" s="2"/>
      <c r="WVU213" s="2"/>
      <c r="WVV213" s="260"/>
      <c r="WVW213" s="260"/>
      <c r="WVX213" s="260"/>
      <c r="WVY213" s="380"/>
      <c r="WVZ213" s="380"/>
      <c r="WWA213" s="380"/>
      <c r="WWB213" s="2"/>
      <c r="WWC213" s="442"/>
      <c r="WWD213" s="442"/>
      <c r="WWE213" s="443"/>
      <c r="WWF213" s="442"/>
      <c r="WWG213" s="442"/>
      <c r="WWH213" s="2"/>
      <c r="WWI213" s="2"/>
      <c r="WWJ213" s="2"/>
      <c r="WWK213" s="2"/>
      <c r="WWL213" s="260"/>
      <c r="WWM213" s="260"/>
      <c r="WWN213" s="260"/>
      <c r="WWO213" s="260"/>
      <c r="WWP213" s="260"/>
      <c r="WWQ213" s="260"/>
      <c r="WWR213" s="308"/>
      <c r="WWS213" s="290"/>
      <c r="WWT213" s="290"/>
      <c r="WWU213" s="260"/>
      <c r="WWV213" s="260"/>
      <c r="WWW213" s="260"/>
      <c r="WWX213" s="260"/>
      <c r="WWY213" s="260"/>
      <c r="WWZ213" s="2"/>
      <c r="WXA213" s="2"/>
      <c r="WXB213" s="2"/>
      <c r="WXC213" s="2"/>
      <c r="WXD213" s="2"/>
      <c r="WXE213" s="2"/>
      <c r="WXF213" s="260"/>
      <c r="WXG213" s="2"/>
      <c r="WXH213" s="2"/>
      <c r="WXI213" s="2"/>
      <c r="WXJ213" s="2"/>
      <c r="WXK213" s="2"/>
      <c r="WXL213" s="2"/>
      <c r="WXM213" s="2"/>
      <c r="WXN213" s="260"/>
      <c r="WXO213" s="260"/>
      <c r="WXP213" s="260"/>
      <c r="WXQ213" s="380"/>
      <c r="WXR213" s="380"/>
      <c r="WXS213" s="380"/>
      <c r="WXT213" s="2"/>
      <c r="WXU213" s="442"/>
      <c r="WXV213" s="442"/>
      <c r="WXW213" s="443"/>
      <c r="WXX213" s="442"/>
      <c r="WXY213" s="442"/>
      <c r="WXZ213" s="2"/>
      <c r="WYA213" s="2"/>
      <c r="WYB213" s="2"/>
      <c r="WYC213" s="2"/>
      <c r="WYD213" s="260"/>
      <c r="WYE213" s="260"/>
      <c r="WYF213" s="260"/>
      <c r="WYG213" s="260"/>
      <c r="WYH213" s="260"/>
      <c r="WYI213" s="260"/>
      <c r="WYJ213" s="308"/>
      <c r="WYK213" s="290"/>
      <c r="WYL213" s="290"/>
      <c r="WYM213" s="260"/>
      <c r="WYN213" s="260"/>
      <c r="WYO213" s="260"/>
      <c r="WYP213" s="260"/>
      <c r="WYQ213" s="260"/>
      <c r="WYR213" s="2"/>
      <c r="WYS213" s="2"/>
      <c r="WYT213" s="2"/>
      <c r="WYU213" s="2"/>
      <c r="WYV213" s="2"/>
      <c r="WYW213" s="2"/>
      <c r="WYX213" s="260"/>
      <c r="WYY213" s="2"/>
      <c r="WYZ213" s="2"/>
      <c r="WZA213" s="2"/>
      <c r="WZB213" s="2"/>
      <c r="WZC213" s="2"/>
      <c r="WZD213" s="2"/>
      <c r="WZE213" s="2"/>
      <c r="WZF213" s="260"/>
      <c r="WZG213" s="260"/>
      <c r="WZH213" s="260"/>
      <c r="WZI213" s="380"/>
      <c r="WZJ213" s="380"/>
      <c r="WZK213" s="380"/>
      <c r="WZL213" s="2"/>
      <c r="WZM213" s="442"/>
      <c r="WZN213" s="442"/>
      <c r="WZO213" s="443"/>
      <c r="WZP213" s="442"/>
      <c r="WZQ213" s="442"/>
      <c r="WZR213" s="2"/>
      <c r="WZS213" s="2"/>
      <c r="WZT213" s="2"/>
      <c r="WZU213" s="2"/>
      <c r="WZV213" s="260"/>
      <c r="WZW213" s="260"/>
      <c r="WZX213" s="260"/>
      <c r="WZY213" s="260"/>
      <c r="WZZ213" s="260"/>
      <c r="XAA213" s="260"/>
      <c r="XAB213" s="308"/>
      <c r="XAC213" s="290"/>
      <c r="XAD213" s="290"/>
      <c r="XAE213" s="260"/>
      <c r="XAF213" s="260"/>
      <c r="XAG213" s="260"/>
      <c r="XAH213" s="260"/>
      <c r="XAI213" s="260"/>
      <c r="XAJ213" s="2"/>
      <c r="XAK213" s="2"/>
      <c r="XAL213" s="2"/>
      <c r="XAM213" s="2"/>
      <c r="XAN213" s="2"/>
      <c r="XAO213" s="2"/>
      <c r="XAP213" s="260"/>
      <c r="XAQ213" s="2"/>
      <c r="XAR213" s="2"/>
      <c r="XAS213" s="2"/>
      <c r="XAT213" s="2"/>
      <c r="XAU213" s="2"/>
      <c r="XAV213" s="2"/>
      <c r="XAW213" s="2"/>
      <c r="XAX213" s="260"/>
      <c r="XAY213" s="260"/>
      <c r="XAZ213" s="260"/>
      <c r="XBA213" s="380"/>
      <c r="XBB213" s="380"/>
      <c r="XBC213" s="380"/>
      <c r="XBD213" s="2"/>
      <c r="XBE213" s="442"/>
      <c r="XBF213" s="442"/>
      <c r="XBG213" s="443"/>
      <c r="XBH213" s="442"/>
      <c r="XBI213" s="442"/>
      <c r="XBJ213" s="2"/>
      <c r="XBK213" s="2"/>
      <c r="XBL213" s="2"/>
      <c r="XBM213" s="2"/>
      <c r="XBN213" s="260"/>
      <c r="XBO213" s="260"/>
      <c r="XBP213" s="260"/>
      <c r="XBQ213" s="260"/>
      <c r="XBR213" s="260"/>
      <c r="XBS213" s="260"/>
      <c r="XBT213" s="308"/>
      <c r="XBU213" s="290"/>
      <c r="XBV213" s="290"/>
      <c r="XBW213" s="260"/>
      <c r="XBX213" s="260"/>
      <c r="XBY213" s="260"/>
      <c r="XBZ213" s="260"/>
      <c r="XCA213" s="260"/>
      <c r="XCB213" s="2"/>
      <c r="XCC213" s="2"/>
      <c r="XCD213" s="2"/>
      <c r="XCE213" s="2"/>
      <c r="XCF213" s="2"/>
      <c r="XCG213" s="2"/>
      <c r="XCH213" s="260"/>
      <c r="XCI213" s="2"/>
      <c r="XCJ213" s="2"/>
      <c r="XCK213" s="2"/>
      <c r="XCL213" s="2"/>
      <c r="XCM213" s="2"/>
      <c r="XCN213" s="2"/>
      <c r="XCO213" s="2"/>
      <c r="XCP213" s="260"/>
      <c r="XCQ213" s="260"/>
      <c r="XCR213" s="260"/>
      <c r="XCS213" s="380"/>
      <c r="XCT213" s="380"/>
      <c r="XCU213" s="380"/>
      <c r="XCV213" s="2"/>
      <c r="XCW213" s="442"/>
      <c r="XCX213" s="442"/>
      <c r="XCY213" s="443"/>
      <c r="XCZ213" s="442"/>
      <c r="XDA213" s="442"/>
      <c r="XDB213" s="2"/>
      <c r="XDC213" s="2"/>
      <c r="XDD213" s="2"/>
      <c r="XDE213" s="2"/>
      <c r="XDF213" s="260"/>
      <c r="XDG213" s="260"/>
      <c r="XDH213" s="260"/>
      <c r="XDI213" s="260"/>
      <c r="XDJ213" s="260"/>
      <c r="XDK213" s="260"/>
      <c r="XDL213" s="308"/>
      <c r="XDM213" s="290"/>
      <c r="XDN213" s="290"/>
      <c r="XDO213" s="260"/>
      <c r="XDP213" s="260"/>
      <c r="XDQ213" s="260"/>
      <c r="XDR213" s="260"/>
      <c r="XDS213" s="260"/>
      <c r="XDT213" s="2"/>
      <c r="XDU213" s="2"/>
      <c r="XDV213" s="2"/>
      <c r="XDW213" s="2"/>
      <c r="XDX213" s="2"/>
      <c r="XDY213" s="2"/>
      <c r="XDZ213" s="260"/>
      <c r="XEA213" s="2"/>
      <c r="XEB213" s="2"/>
      <c r="XEC213" s="2"/>
      <c r="XED213" s="2"/>
      <c r="XEE213" s="2"/>
      <c r="XEF213" s="2"/>
      <c r="XEG213" s="2"/>
      <c r="XEH213" s="260"/>
      <c r="XEI213" s="260"/>
      <c r="XEJ213" s="260"/>
      <c r="XEK213" s="380"/>
      <c r="XEL213" s="380"/>
      <c r="XEM213" s="380"/>
      <c r="XEN213" s="2"/>
      <c r="XEO213" s="442"/>
      <c r="XEP213" s="442"/>
      <c r="XEQ213" s="443"/>
      <c r="XER213" s="442"/>
      <c r="XES213" s="442"/>
      <c r="XET213" s="2"/>
      <c r="XEU213" s="2"/>
      <c r="XEV213" s="2"/>
      <c r="XEW213" s="2"/>
      <c r="XEX213" s="260"/>
      <c r="XEY213" s="260"/>
      <c r="XEZ213" s="260"/>
      <c r="XFA213" s="260"/>
      <c r="XFB213" s="260"/>
      <c r="XFC213" s="260"/>
      <c r="XFD213" s="308"/>
    </row>
    <row r="214" spans="1:16384" customFormat="1" ht="18" hidden="1" customHeight="1" x14ac:dyDescent="0.25">
      <c r="A214" s="448" t="s">
        <v>501</v>
      </c>
      <c r="B214" s="254"/>
      <c r="C214" s="449">
        <v>218013106</v>
      </c>
      <c r="D214" s="254" t="s">
        <v>565</v>
      </c>
      <c r="E214" s="450">
        <v>39970</v>
      </c>
      <c r="F214" s="2" t="s">
        <v>1341</v>
      </c>
      <c r="G214" s="2" t="s">
        <v>1671</v>
      </c>
      <c r="H214" s="2"/>
      <c r="I214" s="2" t="s">
        <v>1672</v>
      </c>
      <c r="J214" s="260">
        <v>97</v>
      </c>
      <c r="K214" s="260">
        <v>173</v>
      </c>
      <c r="L214" s="2"/>
      <c r="M214" s="260"/>
      <c r="N214" s="260"/>
      <c r="O214" s="260"/>
      <c r="P214" s="260"/>
      <c r="Q214" s="290"/>
      <c r="R214" s="2"/>
      <c r="S214" s="260"/>
      <c r="T214" s="260"/>
      <c r="U214" s="260"/>
      <c r="V214" s="260"/>
      <c r="W214" s="2"/>
      <c r="X214" s="2"/>
      <c r="Y214" s="2">
        <f t="shared" ref="Y214:Y226" si="110">IF(OR(ISBLANK(K214),ISBLANK(J214)),"",IF(AND(K214&gt;=J214,K214-J214&lt;=K214),(K214-J214)*$AK214,"!!!!"))</f>
        <v>76</v>
      </c>
      <c r="Z214" s="2" t="str">
        <f t="shared" ref="Z214:Z226" si="111">IF(OR(ISBLANK(L214),ISBLANK(K214)),"",IF(AND(L214&gt;=K214,L214-K214&lt;=L214),(L214-K214)*$AK214,"!!!!"))</f>
        <v/>
      </c>
      <c r="AA214" s="2" t="str">
        <f>IF(OR(ISBLANK(#REF!),ISBLANK(L214)),"",IF(AND(#REF!&gt;=L214,#REF!-L214&lt;=#REF!),(#REF!-L214)*$AK214,"!!!!"))</f>
        <v/>
      </c>
      <c r="AB214" s="2" t="str">
        <f>IF(OR(ISBLANK(N214),ISBLANK(#REF!)),"",IF(AND(N214&gt;=#REF!,N214-#REF!&lt;=N214),(N214-#REF!)*$AK214,"!!!!"))</f>
        <v/>
      </c>
      <c r="AC214" s="2" t="str">
        <f t="shared" ref="AC214:AC226" si="112">IF(OR(ISBLANK(O214),ISBLANK(N214)),"",IF(AND(O214&gt;=N214,O214-N214&lt;=O214),(O214-N214)*$AK214,"!!!!"))</f>
        <v/>
      </c>
      <c r="AD214" s="260" t="str">
        <f t="shared" ref="AD214:AD226" si="113">IF(OR(ISBLANK(P214),ISBLANK(O214)),"",IF(AND(P214&gt;=O214,P214-O214&lt;=P214),(P214-O214)*$AK214,"!!!!"))</f>
        <v/>
      </c>
      <c r="AE214" s="2" t="str">
        <f t="shared" ref="AE214:AE226" si="114">IF(OR(ISBLANK(Q214),ISBLANK(P214)),"",IF(AND(Q214&gt;=P214,Q214-P214&lt;=Q214),(Q214-P214)*$AK214,"!!!!"))</f>
        <v/>
      </c>
      <c r="AF214" s="2" t="str">
        <f t="shared" ref="AF214:AF226" si="115">IF(OR(ISBLANK(R214),ISBLANK(Q214)),"",IF(AND(R214&gt;=Q214,R214-Q214&lt;=R214),(R214-Q214)*$AK214,"!!!!"))</f>
        <v/>
      </c>
      <c r="AG214" s="2" t="str">
        <f t="shared" ref="AG214:AG226" si="116">IF(OR(ISBLANK(S214),ISBLANK(R214)),"",IF(AND(S214&gt;=R214,S214-R214&lt;=S214),(S214-R214)*$AK214,"!!!!"))</f>
        <v/>
      </c>
      <c r="AH214" s="2" t="str">
        <f t="shared" ref="AH214:AH226" si="117">IF(OR(ISBLANK(T214),ISBLANK(S214)),"",IF(AND(T214&gt;=S214,T214-S214&lt;=T214),(T214-S214)*$AK214,"!!!!"))</f>
        <v/>
      </c>
      <c r="AI214" s="2" t="str">
        <f t="shared" ref="AI214:AI226" si="118">IF(OR(ISBLANK(U214),ISBLANK(T214)),"",IF(AND(U214&gt;=T214,U214-T214&lt;=U214),(U214-T214)*$AK214,"!!!!"))</f>
        <v/>
      </c>
      <c r="AJ214" s="2" t="str">
        <f t="shared" ref="AJ214:AJ226" si="119">IF(OR(ISBLANK(V214),ISBLANK(U214)),"",IF(AND(V214&gt;=U214,V214-U214&lt;=V214),(V214-U214)*$AK214,"!!!!"))</f>
        <v/>
      </c>
      <c r="AK214" s="2">
        <v>1</v>
      </c>
      <c r="AL214" s="260">
        <f t="shared" ca="1" si="106"/>
        <v>0</v>
      </c>
      <c r="AM214" s="260">
        <f t="shared" ca="1" si="107"/>
        <v>0</v>
      </c>
      <c r="AN214" s="260" t="str">
        <f ca="1">IF(AND(Tabla7[[#This Row],[UltLec]]&lt;&gt;0,Tabla7[[#This Row],[PenLect]]&lt;&gt;0),(AM214-AL214)*Tabla7[[#This Row],[RT]],"N/A")</f>
        <v>N/A</v>
      </c>
      <c r="AO214" s="380" t="s">
        <v>1020</v>
      </c>
      <c r="AP214" s="380" t="s">
        <v>1075</v>
      </c>
      <c r="AQ214" s="380" t="s">
        <v>1074</v>
      </c>
      <c r="AR214" s="2">
        <f t="shared" si="108"/>
        <v>0</v>
      </c>
      <c r="AS214" s="442"/>
      <c r="AT214" s="2" t="e">
        <f t="shared" ca="1" si="109"/>
        <v>#VALUE!</v>
      </c>
      <c r="AU214" s="443"/>
      <c r="AV214" s="442"/>
      <c r="AW214" s="442"/>
      <c r="AX214" s="2"/>
      <c r="AY214" s="2"/>
      <c r="AZ214" s="2"/>
      <c r="BA214" s="2"/>
      <c r="BB214" s="260"/>
      <c r="BC214" s="260"/>
      <c r="BD214" s="260"/>
      <c r="BE214" s="260"/>
      <c r="BF214" s="260"/>
      <c r="BG214" s="260"/>
      <c r="BH214" s="308"/>
      <c r="BI214" s="290"/>
      <c r="BJ214" s="290"/>
      <c r="BK214" s="260"/>
      <c r="BL214" s="260"/>
      <c r="BM214" s="260"/>
      <c r="BN214" s="260"/>
      <c r="BO214" s="260"/>
      <c r="BP214" s="2"/>
      <c r="BQ214" s="2"/>
      <c r="BR214" s="2"/>
      <c r="BS214" s="2"/>
      <c r="BT214" s="2"/>
      <c r="BU214" s="2"/>
      <c r="BV214" s="260"/>
      <c r="BW214" s="2"/>
      <c r="BX214" s="2"/>
      <c r="BY214" s="2"/>
      <c r="BZ214" s="2"/>
      <c r="CA214" s="2"/>
      <c r="CB214" s="2"/>
      <c r="CC214" s="2"/>
      <c r="CD214" s="260"/>
      <c r="CE214" s="260"/>
      <c r="CF214" s="260"/>
      <c r="CG214" s="380"/>
      <c r="CH214" s="380"/>
      <c r="CI214" s="380"/>
      <c r="CJ214" s="2"/>
      <c r="CK214" s="442"/>
      <c r="CL214" s="442"/>
      <c r="CM214" s="443"/>
      <c r="CN214" s="442"/>
      <c r="CO214" s="442"/>
      <c r="CP214" s="2"/>
      <c r="CQ214" s="2"/>
      <c r="CR214" s="2"/>
      <c r="CS214" s="2"/>
      <c r="CT214" s="260"/>
      <c r="CU214" s="260"/>
      <c r="CV214" s="260"/>
      <c r="CW214" s="260"/>
      <c r="CX214" s="260"/>
      <c r="CY214" s="260"/>
      <c r="CZ214" s="308"/>
      <c r="DA214" s="290"/>
      <c r="DB214" s="290"/>
      <c r="DC214" s="260"/>
      <c r="DD214" s="260"/>
      <c r="DE214" s="260"/>
      <c r="DF214" s="260"/>
      <c r="DG214" s="260"/>
      <c r="DH214" s="2"/>
      <c r="DI214" s="2"/>
      <c r="DJ214" s="2"/>
      <c r="DK214" s="2"/>
      <c r="DL214" s="2"/>
      <c r="DM214" s="2"/>
      <c r="DN214" s="260"/>
      <c r="DO214" s="2"/>
      <c r="DP214" s="2"/>
      <c r="DQ214" s="2"/>
      <c r="DR214" s="2"/>
      <c r="DS214" s="2"/>
      <c r="DT214" s="2"/>
      <c r="DU214" s="2"/>
      <c r="DV214" s="260"/>
      <c r="DW214" s="260"/>
      <c r="DX214" s="260"/>
      <c r="DY214" s="380"/>
      <c r="DZ214" s="380"/>
      <c r="EA214" s="380"/>
      <c r="EB214" s="2"/>
      <c r="EC214" s="442"/>
      <c r="ED214" s="442"/>
      <c r="EE214" s="443"/>
      <c r="EF214" s="442"/>
      <c r="EG214" s="442"/>
      <c r="EH214" s="2"/>
      <c r="EI214" s="2"/>
      <c r="EJ214" s="2"/>
      <c r="EK214" s="2"/>
      <c r="EL214" s="260"/>
      <c r="EM214" s="260"/>
      <c r="EN214" s="260"/>
      <c r="EO214" s="260"/>
      <c r="EP214" s="260"/>
      <c r="EQ214" s="260"/>
      <c r="ER214" s="308"/>
      <c r="ES214" s="290"/>
      <c r="ET214" s="290"/>
      <c r="EU214" s="260"/>
      <c r="EV214" s="260"/>
      <c r="EW214" s="260"/>
      <c r="EX214" s="260"/>
      <c r="EY214" s="260"/>
      <c r="EZ214" s="2"/>
      <c r="FA214" s="2"/>
      <c r="FB214" s="2"/>
      <c r="FC214" s="2"/>
      <c r="FD214" s="2"/>
      <c r="FE214" s="2"/>
      <c r="FF214" s="260"/>
      <c r="FG214" s="2"/>
      <c r="FH214" s="2"/>
      <c r="FI214" s="2"/>
      <c r="FJ214" s="2"/>
      <c r="FK214" s="2"/>
      <c r="FL214" s="2"/>
      <c r="FM214" s="2"/>
      <c r="FN214" s="260"/>
      <c r="FO214" s="260"/>
      <c r="FP214" s="260"/>
      <c r="FQ214" s="380"/>
      <c r="FR214" s="380"/>
      <c r="FS214" s="380"/>
      <c r="FT214" s="2"/>
      <c r="FU214" s="442"/>
      <c r="FV214" s="442"/>
      <c r="FW214" s="443"/>
      <c r="FX214" s="442"/>
      <c r="FY214" s="442"/>
      <c r="FZ214" s="2"/>
      <c r="GA214" s="2"/>
      <c r="GB214" s="2"/>
      <c r="GC214" s="2"/>
      <c r="GD214" s="260"/>
      <c r="GE214" s="260"/>
      <c r="GF214" s="260"/>
      <c r="GG214" s="260"/>
      <c r="GH214" s="260"/>
      <c r="GI214" s="260"/>
      <c r="GJ214" s="308"/>
      <c r="GK214" s="290"/>
      <c r="GL214" s="290"/>
      <c r="GM214" s="260"/>
      <c r="GN214" s="260"/>
      <c r="GO214" s="260"/>
      <c r="GP214" s="260"/>
      <c r="GQ214" s="260"/>
      <c r="GR214" s="2"/>
      <c r="GS214" s="2"/>
      <c r="GT214" s="2"/>
      <c r="GU214" s="2"/>
      <c r="GV214" s="2"/>
      <c r="GW214" s="2"/>
      <c r="GX214" s="260"/>
      <c r="GY214" s="2"/>
      <c r="GZ214" s="2"/>
      <c r="HA214" s="2"/>
      <c r="HB214" s="2"/>
      <c r="HC214" s="2"/>
      <c r="HD214" s="2"/>
      <c r="HE214" s="2"/>
      <c r="HF214" s="260"/>
      <c r="HG214" s="260"/>
      <c r="HH214" s="260"/>
      <c r="HI214" s="380"/>
      <c r="HJ214" s="380"/>
      <c r="HK214" s="380"/>
      <c r="HL214" s="2"/>
      <c r="HM214" s="442"/>
      <c r="HN214" s="442"/>
      <c r="HO214" s="443"/>
      <c r="HP214" s="442"/>
      <c r="HQ214" s="442"/>
      <c r="HR214" s="2"/>
      <c r="HS214" s="2"/>
      <c r="HT214" s="2"/>
      <c r="HU214" s="2"/>
      <c r="HV214" s="260"/>
      <c r="HW214" s="260"/>
      <c r="HX214" s="260"/>
      <c r="HY214" s="260"/>
      <c r="HZ214" s="260"/>
      <c r="IA214" s="260"/>
      <c r="IB214" s="308"/>
      <c r="IC214" s="290"/>
      <c r="ID214" s="290"/>
      <c r="IE214" s="260"/>
      <c r="IF214" s="260"/>
      <c r="IG214" s="260"/>
      <c r="IH214" s="260"/>
      <c r="II214" s="260"/>
      <c r="IJ214" s="2"/>
      <c r="IK214" s="2"/>
      <c r="IL214" s="2"/>
      <c r="IM214" s="2"/>
      <c r="IN214" s="2"/>
      <c r="IO214" s="2"/>
      <c r="IP214" s="260"/>
      <c r="IQ214" s="2"/>
      <c r="IR214" s="2"/>
      <c r="IS214" s="2"/>
      <c r="IT214" s="2"/>
      <c r="IU214" s="2"/>
      <c r="IV214" s="2"/>
      <c r="IW214" s="2"/>
      <c r="IX214" s="260"/>
      <c r="IY214" s="260"/>
      <c r="IZ214" s="260"/>
      <c r="JA214" s="380"/>
      <c r="JB214" s="380"/>
      <c r="JC214" s="380"/>
      <c r="JD214" s="2"/>
      <c r="JE214" s="442"/>
      <c r="JF214" s="442"/>
      <c r="JG214" s="443"/>
      <c r="JH214" s="442"/>
      <c r="JI214" s="442"/>
      <c r="JJ214" s="2"/>
      <c r="JK214" s="2"/>
      <c r="JL214" s="2"/>
      <c r="JM214" s="2"/>
      <c r="JN214" s="260"/>
      <c r="JO214" s="260"/>
      <c r="JP214" s="260"/>
      <c r="JQ214" s="260"/>
      <c r="JR214" s="260"/>
      <c r="JS214" s="260"/>
      <c r="JT214" s="308"/>
      <c r="JU214" s="290"/>
      <c r="JV214" s="290"/>
      <c r="JW214" s="260"/>
      <c r="JX214" s="260"/>
      <c r="JY214" s="260"/>
      <c r="JZ214" s="260"/>
      <c r="KA214" s="260"/>
      <c r="KB214" s="2"/>
      <c r="KC214" s="2"/>
      <c r="KD214" s="2"/>
      <c r="KE214" s="2"/>
      <c r="KF214" s="2"/>
      <c r="KG214" s="2"/>
      <c r="KH214" s="260"/>
      <c r="KI214" s="2"/>
      <c r="KJ214" s="2"/>
      <c r="KK214" s="2"/>
      <c r="KL214" s="2"/>
      <c r="KM214" s="2"/>
      <c r="KN214" s="2"/>
      <c r="KO214" s="2"/>
      <c r="KP214" s="260"/>
      <c r="KQ214" s="260"/>
      <c r="KR214" s="260"/>
      <c r="KS214" s="380"/>
      <c r="KT214" s="380"/>
      <c r="KU214" s="380"/>
      <c r="KV214" s="2"/>
      <c r="KW214" s="442"/>
      <c r="KX214" s="442"/>
      <c r="KY214" s="443"/>
      <c r="KZ214" s="442"/>
      <c r="LA214" s="442"/>
      <c r="LB214" s="2"/>
      <c r="LC214" s="2"/>
      <c r="LD214" s="2"/>
      <c r="LE214" s="2"/>
      <c r="LF214" s="260"/>
      <c r="LG214" s="260"/>
      <c r="LH214" s="260"/>
      <c r="LI214" s="260"/>
      <c r="LJ214" s="260"/>
      <c r="LK214" s="260"/>
      <c r="LL214" s="308"/>
      <c r="LM214" s="290"/>
      <c r="LN214" s="290"/>
      <c r="LO214" s="260"/>
      <c r="LP214" s="260"/>
      <c r="LQ214" s="260"/>
      <c r="LR214" s="260"/>
      <c r="LS214" s="260"/>
      <c r="LT214" s="2"/>
      <c r="LU214" s="2"/>
      <c r="LV214" s="2"/>
      <c r="LW214" s="2"/>
      <c r="LX214" s="2"/>
      <c r="LY214" s="2"/>
      <c r="LZ214" s="260"/>
      <c r="MA214" s="2"/>
      <c r="MB214" s="2"/>
      <c r="MC214" s="2"/>
      <c r="MD214" s="2"/>
      <c r="ME214" s="2"/>
      <c r="MF214" s="2"/>
      <c r="MG214" s="2"/>
      <c r="MH214" s="260"/>
      <c r="MI214" s="260"/>
      <c r="MJ214" s="260"/>
      <c r="MK214" s="380"/>
      <c r="ML214" s="380"/>
      <c r="MM214" s="380"/>
      <c r="MN214" s="2"/>
      <c r="MO214" s="442"/>
      <c r="MP214" s="442"/>
      <c r="MQ214" s="443"/>
      <c r="MR214" s="442"/>
      <c r="MS214" s="442"/>
      <c r="MT214" s="2"/>
      <c r="MU214" s="2"/>
      <c r="MV214" s="2"/>
      <c r="MW214" s="2"/>
      <c r="MX214" s="260"/>
      <c r="MY214" s="260"/>
      <c r="MZ214" s="260"/>
      <c r="NA214" s="260"/>
      <c r="NB214" s="260"/>
      <c r="NC214" s="260"/>
      <c r="ND214" s="308"/>
      <c r="NE214" s="290"/>
      <c r="NF214" s="290"/>
      <c r="NG214" s="260"/>
      <c r="NH214" s="260"/>
      <c r="NI214" s="260"/>
      <c r="NJ214" s="260"/>
      <c r="NK214" s="260"/>
      <c r="NL214" s="2"/>
      <c r="NM214" s="2"/>
      <c r="NN214" s="2"/>
      <c r="NO214" s="2"/>
      <c r="NP214" s="2"/>
      <c r="NQ214" s="2"/>
      <c r="NR214" s="260"/>
      <c r="NS214" s="2"/>
      <c r="NT214" s="2"/>
      <c r="NU214" s="2"/>
      <c r="NV214" s="2"/>
      <c r="NW214" s="2"/>
      <c r="NX214" s="2"/>
      <c r="NY214" s="2"/>
      <c r="NZ214" s="260"/>
      <c r="OA214" s="260"/>
      <c r="OB214" s="260"/>
      <c r="OC214" s="380"/>
      <c r="OD214" s="380"/>
      <c r="OE214" s="380"/>
      <c r="OF214" s="2"/>
      <c r="OG214" s="442"/>
      <c r="OH214" s="442"/>
      <c r="OI214" s="443"/>
      <c r="OJ214" s="442"/>
      <c r="OK214" s="442"/>
      <c r="OL214" s="2"/>
      <c r="OM214" s="2"/>
      <c r="ON214" s="2"/>
      <c r="OO214" s="2"/>
      <c r="OP214" s="260"/>
      <c r="OQ214" s="260"/>
      <c r="OR214" s="260"/>
      <c r="OS214" s="260"/>
      <c r="OT214" s="260"/>
      <c r="OU214" s="260"/>
      <c r="OV214" s="308"/>
      <c r="OW214" s="290"/>
      <c r="OX214" s="290"/>
      <c r="OY214" s="260"/>
      <c r="OZ214" s="260"/>
      <c r="PA214" s="260"/>
      <c r="PB214" s="260"/>
      <c r="PC214" s="260"/>
      <c r="PD214" s="2"/>
      <c r="PE214" s="2"/>
      <c r="PF214" s="2"/>
      <c r="PG214" s="2"/>
      <c r="PH214" s="2"/>
      <c r="PI214" s="2"/>
      <c r="PJ214" s="260"/>
      <c r="PK214" s="2"/>
      <c r="PL214" s="2"/>
      <c r="PM214" s="2"/>
      <c r="PN214" s="2"/>
      <c r="PO214" s="2"/>
      <c r="PP214" s="2"/>
      <c r="PQ214" s="2"/>
      <c r="PR214" s="260"/>
      <c r="PS214" s="260"/>
      <c r="PT214" s="260"/>
      <c r="PU214" s="380"/>
      <c r="PV214" s="380"/>
      <c r="PW214" s="380"/>
      <c r="PX214" s="2"/>
      <c r="PY214" s="442"/>
      <c r="PZ214" s="442"/>
      <c r="QA214" s="443"/>
      <c r="QB214" s="442"/>
      <c r="QC214" s="442"/>
      <c r="QD214" s="2"/>
      <c r="QE214" s="2"/>
      <c r="QF214" s="2"/>
      <c r="QG214" s="2"/>
      <c r="QH214" s="260"/>
      <c r="QI214" s="260"/>
      <c r="QJ214" s="260"/>
      <c r="QK214" s="260"/>
      <c r="QL214" s="260"/>
      <c r="QM214" s="260"/>
      <c r="QN214" s="308"/>
      <c r="QO214" s="290"/>
      <c r="QP214" s="290"/>
      <c r="QQ214" s="260"/>
      <c r="QR214" s="260"/>
      <c r="QS214" s="260"/>
      <c r="QT214" s="260"/>
      <c r="QU214" s="260"/>
      <c r="QV214" s="2"/>
      <c r="QW214" s="2"/>
      <c r="QX214" s="2"/>
      <c r="QY214" s="2"/>
      <c r="QZ214" s="2"/>
      <c r="RA214" s="2"/>
      <c r="RB214" s="260"/>
      <c r="RC214" s="2"/>
      <c r="RD214" s="2"/>
      <c r="RE214" s="2"/>
      <c r="RF214" s="2"/>
      <c r="RG214" s="2"/>
      <c r="RH214" s="2"/>
      <c r="RI214" s="2"/>
      <c r="RJ214" s="260"/>
      <c r="RK214" s="260"/>
      <c r="RL214" s="260"/>
      <c r="RM214" s="380"/>
      <c r="RN214" s="380"/>
      <c r="RO214" s="380"/>
      <c r="RP214" s="2"/>
      <c r="RQ214" s="442"/>
      <c r="RR214" s="442"/>
      <c r="RS214" s="443"/>
      <c r="RT214" s="442"/>
      <c r="RU214" s="442"/>
      <c r="RV214" s="2"/>
      <c r="RW214" s="2"/>
      <c r="RX214" s="2"/>
      <c r="RY214" s="2"/>
      <c r="RZ214" s="260"/>
      <c r="SA214" s="260"/>
      <c r="SB214" s="260"/>
      <c r="SC214" s="260"/>
      <c r="SD214" s="260"/>
      <c r="SE214" s="260"/>
      <c r="SF214" s="308"/>
      <c r="SG214" s="290"/>
      <c r="SH214" s="290"/>
      <c r="SI214" s="260"/>
      <c r="SJ214" s="260"/>
      <c r="SK214" s="260"/>
      <c r="SL214" s="260"/>
      <c r="SM214" s="260"/>
      <c r="SN214" s="2"/>
      <c r="SO214" s="2"/>
      <c r="SP214" s="2"/>
      <c r="SQ214" s="2"/>
      <c r="SR214" s="2"/>
      <c r="SS214" s="2"/>
      <c r="ST214" s="260"/>
      <c r="SU214" s="2"/>
      <c r="SV214" s="2"/>
      <c r="SW214" s="2"/>
      <c r="SX214" s="2"/>
      <c r="SY214" s="2"/>
      <c r="SZ214" s="2"/>
      <c r="TA214" s="2"/>
      <c r="TB214" s="260"/>
      <c r="TC214" s="260"/>
      <c r="TD214" s="260"/>
      <c r="TE214" s="380"/>
      <c r="TF214" s="380"/>
      <c r="TG214" s="380"/>
      <c r="TH214" s="2"/>
      <c r="TI214" s="442"/>
      <c r="TJ214" s="442"/>
      <c r="TK214" s="443"/>
      <c r="TL214" s="442"/>
      <c r="TM214" s="442"/>
      <c r="TN214" s="2"/>
      <c r="TO214" s="2"/>
      <c r="TP214" s="2"/>
      <c r="TQ214" s="2"/>
      <c r="TR214" s="260"/>
      <c r="TS214" s="260"/>
      <c r="TT214" s="260"/>
      <c r="TU214" s="260"/>
      <c r="TV214" s="260"/>
      <c r="TW214" s="260"/>
      <c r="TX214" s="308"/>
      <c r="TY214" s="290"/>
      <c r="TZ214" s="290"/>
      <c r="UA214" s="260"/>
      <c r="UB214" s="260"/>
      <c r="UC214" s="260"/>
      <c r="UD214" s="260"/>
      <c r="UE214" s="260"/>
      <c r="UF214" s="2"/>
      <c r="UG214" s="2"/>
      <c r="UH214" s="2"/>
      <c r="UI214" s="2"/>
      <c r="UJ214" s="2"/>
      <c r="UK214" s="2"/>
      <c r="UL214" s="260"/>
      <c r="UM214" s="2"/>
      <c r="UN214" s="2"/>
      <c r="UO214" s="2"/>
      <c r="UP214" s="2"/>
      <c r="UQ214" s="2"/>
      <c r="UR214" s="2"/>
      <c r="US214" s="2"/>
      <c r="UT214" s="260"/>
      <c r="UU214" s="260"/>
      <c r="UV214" s="260"/>
      <c r="UW214" s="380"/>
      <c r="UX214" s="380"/>
      <c r="UY214" s="380"/>
      <c r="UZ214" s="2"/>
      <c r="VA214" s="442"/>
      <c r="VB214" s="442"/>
      <c r="VC214" s="443"/>
      <c r="VD214" s="442"/>
      <c r="VE214" s="442"/>
      <c r="VF214" s="2"/>
      <c r="VG214" s="2"/>
      <c r="VH214" s="2"/>
      <c r="VI214" s="2"/>
      <c r="VJ214" s="260"/>
      <c r="VK214" s="260"/>
      <c r="VL214" s="260"/>
      <c r="VM214" s="260"/>
      <c r="VN214" s="260"/>
      <c r="VO214" s="260"/>
      <c r="VP214" s="308"/>
      <c r="VQ214" s="290"/>
      <c r="VR214" s="290"/>
      <c r="VS214" s="260"/>
      <c r="VT214" s="260"/>
      <c r="VU214" s="260"/>
      <c r="VV214" s="260"/>
      <c r="VW214" s="260"/>
      <c r="VX214" s="2"/>
      <c r="VY214" s="2"/>
      <c r="VZ214" s="2"/>
      <c r="WA214" s="2"/>
      <c r="WB214" s="2"/>
      <c r="WC214" s="2"/>
      <c r="WD214" s="260"/>
      <c r="WE214" s="2"/>
      <c r="WF214" s="2"/>
      <c r="WG214" s="2"/>
      <c r="WH214" s="2"/>
      <c r="WI214" s="2"/>
      <c r="WJ214" s="2"/>
      <c r="WK214" s="2"/>
      <c r="WL214" s="260"/>
      <c r="WM214" s="260"/>
      <c r="WN214" s="260"/>
      <c r="WO214" s="380"/>
      <c r="WP214" s="380"/>
      <c r="WQ214" s="380"/>
      <c r="WR214" s="2"/>
      <c r="WS214" s="442"/>
      <c r="WT214" s="442"/>
      <c r="WU214" s="443"/>
      <c r="WV214" s="442"/>
      <c r="WW214" s="442"/>
      <c r="WX214" s="2"/>
      <c r="WY214" s="2"/>
      <c r="WZ214" s="2"/>
      <c r="XA214" s="2"/>
      <c r="XB214" s="260"/>
      <c r="XC214" s="260"/>
      <c r="XD214" s="260"/>
      <c r="XE214" s="260"/>
      <c r="XF214" s="260"/>
      <c r="XG214" s="260"/>
      <c r="XH214" s="308"/>
      <c r="XI214" s="290"/>
      <c r="XJ214" s="290"/>
      <c r="XK214" s="260"/>
      <c r="XL214" s="260"/>
      <c r="XM214" s="260"/>
      <c r="XN214" s="260"/>
      <c r="XO214" s="260"/>
      <c r="XP214" s="2"/>
      <c r="XQ214" s="2"/>
      <c r="XR214" s="2"/>
      <c r="XS214" s="2"/>
      <c r="XT214" s="2"/>
      <c r="XU214" s="2"/>
      <c r="XV214" s="260"/>
      <c r="XW214" s="2"/>
      <c r="XX214" s="2"/>
      <c r="XY214" s="2"/>
      <c r="XZ214" s="2"/>
      <c r="YA214" s="2"/>
      <c r="YB214" s="2"/>
      <c r="YC214" s="2"/>
      <c r="YD214" s="260"/>
      <c r="YE214" s="260"/>
      <c r="YF214" s="260"/>
      <c r="YG214" s="380"/>
      <c r="YH214" s="380"/>
      <c r="YI214" s="380"/>
      <c r="YJ214" s="2"/>
      <c r="YK214" s="442"/>
      <c r="YL214" s="442"/>
      <c r="YM214" s="443"/>
      <c r="YN214" s="442"/>
      <c r="YO214" s="442"/>
      <c r="YP214" s="2"/>
      <c r="YQ214" s="2"/>
      <c r="YR214" s="2"/>
      <c r="YS214" s="2"/>
      <c r="YT214" s="260"/>
      <c r="YU214" s="260"/>
      <c r="YV214" s="260"/>
      <c r="YW214" s="260"/>
      <c r="YX214" s="260"/>
      <c r="YY214" s="260"/>
      <c r="YZ214" s="308"/>
      <c r="ZA214" s="290"/>
      <c r="ZB214" s="290"/>
      <c r="ZC214" s="260"/>
      <c r="ZD214" s="260"/>
      <c r="ZE214" s="260"/>
      <c r="ZF214" s="260"/>
      <c r="ZG214" s="260"/>
      <c r="ZH214" s="2"/>
      <c r="ZI214" s="2"/>
      <c r="ZJ214" s="2"/>
      <c r="ZK214" s="2"/>
      <c r="ZL214" s="2"/>
      <c r="ZM214" s="2"/>
      <c r="ZN214" s="260"/>
      <c r="ZO214" s="2"/>
      <c r="ZP214" s="2"/>
      <c r="ZQ214" s="2"/>
      <c r="ZR214" s="2"/>
      <c r="ZS214" s="2"/>
      <c r="ZT214" s="2"/>
      <c r="ZU214" s="2"/>
      <c r="ZV214" s="260"/>
      <c r="ZW214" s="260"/>
      <c r="ZX214" s="260"/>
      <c r="ZY214" s="380"/>
      <c r="ZZ214" s="380"/>
      <c r="AAA214" s="380"/>
      <c r="AAB214" s="2"/>
      <c r="AAC214" s="442"/>
      <c r="AAD214" s="442"/>
      <c r="AAE214" s="443"/>
      <c r="AAF214" s="442"/>
      <c r="AAG214" s="442"/>
      <c r="AAH214" s="2"/>
      <c r="AAI214" s="2"/>
      <c r="AAJ214" s="2"/>
      <c r="AAK214" s="2"/>
      <c r="AAL214" s="260"/>
      <c r="AAM214" s="260"/>
      <c r="AAN214" s="260"/>
      <c r="AAO214" s="260"/>
      <c r="AAP214" s="260"/>
      <c r="AAQ214" s="260"/>
      <c r="AAR214" s="308"/>
      <c r="AAS214" s="290"/>
      <c r="AAT214" s="290"/>
      <c r="AAU214" s="260"/>
      <c r="AAV214" s="260"/>
      <c r="AAW214" s="260"/>
      <c r="AAX214" s="260"/>
      <c r="AAY214" s="260"/>
      <c r="AAZ214" s="2"/>
      <c r="ABA214" s="2"/>
      <c r="ABB214" s="2"/>
      <c r="ABC214" s="2"/>
      <c r="ABD214" s="2"/>
      <c r="ABE214" s="2"/>
      <c r="ABF214" s="260"/>
      <c r="ABG214" s="2"/>
      <c r="ABH214" s="2"/>
      <c r="ABI214" s="2"/>
      <c r="ABJ214" s="2"/>
      <c r="ABK214" s="2"/>
      <c r="ABL214" s="2"/>
      <c r="ABM214" s="2"/>
      <c r="ABN214" s="260"/>
      <c r="ABO214" s="260"/>
      <c r="ABP214" s="260"/>
      <c r="ABQ214" s="380"/>
      <c r="ABR214" s="380"/>
      <c r="ABS214" s="380"/>
      <c r="ABT214" s="2"/>
      <c r="ABU214" s="442"/>
      <c r="ABV214" s="442"/>
      <c r="ABW214" s="443"/>
      <c r="ABX214" s="442"/>
      <c r="ABY214" s="442"/>
      <c r="ABZ214" s="2"/>
      <c r="ACA214" s="2"/>
      <c r="ACB214" s="2"/>
      <c r="ACC214" s="2"/>
      <c r="ACD214" s="260"/>
      <c r="ACE214" s="260"/>
      <c r="ACF214" s="260"/>
      <c r="ACG214" s="260"/>
      <c r="ACH214" s="260"/>
      <c r="ACI214" s="260"/>
      <c r="ACJ214" s="308"/>
      <c r="ACK214" s="290"/>
      <c r="ACL214" s="290"/>
      <c r="ACM214" s="260"/>
      <c r="ACN214" s="260"/>
      <c r="ACO214" s="260"/>
      <c r="ACP214" s="260"/>
      <c r="ACQ214" s="260"/>
      <c r="ACR214" s="2"/>
      <c r="ACS214" s="2"/>
      <c r="ACT214" s="2"/>
      <c r="ACU214" s="2"/>
      <c r="ACV214" s="2"/>
      <c r="ACW214" s="2"/>
      <c r="ACX214" s="260"/>
      <c r="ACY214" s="2"/>
      <c r="ACZ214" s="2"/>
      <c r="ADA214" s="2"/>
      <c r="ADB214" s="2"/>
      <c r="ADC214" s="2"/>
      <c r="ADD214" s="2"/>
      <c r="ADE214" s="2"/>
      <c r="ADF214" s="260"/>
      <c r="ADG214" s="260"/>
      <c r="ADH214" s="260"/>
      <c r="ADI214" s="380"/>
      <c r="ADJ214" s="380"/>
      <c r="ADK214" s="380"/>
      <c r="ADL214" s="2"/>
      <c r="ADM214" s="442"/>
      <c r="ADN214" s="442"/>
      <c r="ADO214" s="443"/>
      <c r="ADP214" s="442"/>
      <c r="ADQ214" s="442"/>
      <c r="ADR214" s="2"/>
      <c r="ADS214" s="2"/>
      <c r="ADT214" s="2"/>
      <c r="ADU214" s="2"/>
      <c r="ADV214" s="260"/>
      <c r="ADW214" s="260"/>
      <c r="ADX214" s="260"/>
      <c r="ADY214" s="260"/>
      <c r="ADZ214" s="260"/>
      <c r="AEA214" s="260"/>
      <c r="AEB214" s="308"/>
      <c r="AEC214" s="290"/>
      <c r="AED214" s="290"/>
      <c r="AEE214" s="260"/>
      <c r="AEF214" s="260"/>
      <c r="AEG214" s="260"/>
      <c r="AEH214" s="260"/>
      <c r="AEI214" s="260"/>
      <c r="AEJ214" s="2"/>
      <c r="AEK214" s="2"/>
      <c r="AEL214" s="2"/>
      <c r="AEM214" s="2"/>
      <c r="AEN214" s="2"/>
      <c r="AEO214" s="2"/>
      <c r="AEP214" s="260"/>
      <c r="AEQ214" s="2"/>
      <c r="AER214" s="2"/>
      <c r="AES214" s="2"/>
      <c r="AET214" s="2"/>
      <c r="AEU214" s="2"/>
      <c r="AEV214" s="2"/>
      <c r="AEW214" s="2"/>
      <c r="AEX214" s="260"/>
      <c r="AEY214" s="260"/>
      <c r="AEZ214" s="260"/>
      <c r="AFA214" s="380"/>
      <c r="AFB214" s="380"/>
      <c r="AFC214" s="380"/>
      <c r="AFD214" s="2"/>
      <c r="AFE214" s="442"/>
      <c r="AFF214" s="442"/>
      <c r="AFG214" s="443"/>
      <c r="AFH214" s="442"/>
      <c r="AFI214" s="442"/>
      <c r="AFJ214" s="2"/>
      <c r="AFK214" s="2"/>
      <c r="AFL214" s="2"/>
      <c r="AFM214" s="2"/>
      <c r="AFN214" s="260"/>
      <c r="AFO214" s="260"/>
      <c r="AFP214" s="260"/>
      <c r="AFQ214" s="260"/>
      <c r="AFR214" s="260"/>
      <c r="AFS214" s="260"/>
      <c r="AFT214" s="308"/>
      <c r="AFU214" s="290"/>
      <c r="AFV214" s="290"/>
      <c r="AFW214" s="260"/>
      <c r="AFX214" s="260"/>
      <c r="AFY214" s="260"/>
      <c r="AFZ214" s="260"/>
      <c r="AGA214" s="260"/>
      <c r="AGB214" s="2"/>
      <c r="AGC214" s="2"/>
      <c r="AGD214" s="2"/>
      <c r="AGE214" s="2"/>
      <c r="AGF214" s="2"/>
      <c r="AGG214" s="2"/>
      <c r="AGH214" s="260"/>
      <c r="AGI214" s="2"/>
      <c r="AGJ214" s="2"/>
      <c r="AGK214" s="2"/>
      <c r="AGL214" s="2"/>
      <c r="AGM214" s="2"/>
      <c r="AGN214" s="2"/>
      <c r="AGO214" s="2"/>
      <c r="AGP214" s="260"/>
      <c r="AGQ214" s="260"/>
      <c r="AGR214" s="260"/>
      <c r="AGS214" s="380"/>
      <c r="AGT214" s="380"/>
      <c r="AGU214" s="380"/>
      <c r="AGV214" s="2"/>
      <c r="AGW214" s="442"/>
      <c r="AGX214" s="442"/>
      <c r="AGY214" s="443"/>
      <c r="AGZ214" s="442"/>
      <c r="AHA214" s="442"/>
      <c r="AHB214" s="2"/>
      <c r="AHC214" s="2"/>
      <c r="AHD214" s="2"/>
      <c r="AHE214" s="2"/>
      <c r="AHF214" s="260"/>
      <c r="AHG214" s="260"/>
      <c r="AHH214" s="260"/>
      <c r="AHI214" s="260"/>
      <c r="AHJ214" s="260"/>
      <c r="AHK214" s="260"/>
      <c r="AHL214" s="308"/>
      <c r="AHM214" s="290"/>
      <c r="AHN214" s="290"/>
      <c r="AHO214" s="260"/>
      <c r="AHP214" s="260"/>
      <c r="AHQ214" s="260"/>
      <c r="AHR214" s="260"/>
      <c r="AHS214" s="260"/>
      <c r="AHT214" s="2"/>
      <c r="AHU214" s="2"/>
      <c r="AHV214" s="2"/>
      <c r="AHW214" s="2"/>
      <c r="AHX214" s="2"/>
      <c r="AHY214" s="2"/>
      <c r="AHZ214" s="260"/>
      <c r="AIA214" s="2"/>
      <c r="AIB214" s="2"/>
      <c r="AIC214" s="2"/>
      <c r="AID214" s="2"/>
      <c r="AIE214" s="2"/>
      <c r="AIF214" s="2"/>
      <c r="AIG214" s="2"/>
      <c r="AIH214" s="260"/>
      <c r="AII214" s="260"/>
      <c r="AIJ214" s="260"/>
      <c r="AIK214" s="380"/>
      <c r="AIL214" s="380"/>
      <c r="AIM214" s="380"/>
      <c r="AIN214" s="2"/>
      <c r="AIO214" s="442"/>
      <c r="AIP214" s="442"/>
      <c r="AIQ214" s="443"/>
      <c r="AIR214" s="442"/>
      <c r="AIS214" s="442"/>
      <c r="AIT214" s="2"/>
      <c r="AIU214" s="2"/>
      <c r="AIV214" s="2"/>
      <c r="AIW214" s="2"/>
      <c r="AIX214" s="260"/>
      <c r="AIY214" s="260"/>
      <c r="AIZ214" s="260"/>
      <c r="AJA214" s="260"/>
      <c r="AJB214" s="260"/>
      <c r="AJC214" s="260"/>
      <c r="AJD214" s="308"/>
      <c r="AJE214" s="290"/>
      <c r="AJF214" s="290"/>
      <c r="AJG214" s="260"/>
      <c r="AJH214" s="260"/>
      <c r="AJI214" s="260"/>
      <c r="AJJ214" s="260"/>
      <c r="AJK214" s="260"/>
      <c r="AJL214" s="2"/>
      <c r="AJM214" s="2"/>
      <c r="AJN214" s="2"/>
      <c r="AJO214" s="2"/>
      <c r="AJP214" s="2"/>
      <c r="AJQ214" s="2"/>
      <c r="AJR214" s="260"/>
      <c r="AJS214" s="2"/>
      <c r="AJT214" s="2"/>
      <c r="AJU214" s="2"/>
      <c r="AJV214" s="2"/>
      <c r="AJW214" s="2"/>
      <c r="AJX214" s="2"/>
      <c r="AJY214" s="2"/>
      <c r="AJZ214" s="260"/>
      <c r="AKA214" s="260"/>
      <c r="AKB214" s="260"/>
      <c r="AKC214" s="380"/>
      <c r="AKD214" s="380"/>
      <c r="AKE214" s="380"/>
      <c r="AKF214" s="2"/>
      <c r="AKG214" s="442"/>
      <c r="AKH214" s="442"/>
      <c r="AKI214" s="443"/>
      <c r="AKJ214" s="442"/>
      <c r="AKK214" s="442"/>
      <c r="AKL214" s="2"/>
      <c r="AKM214" s="2"/>
      <c r="AKN214" s="2"/>
      <c r="AKO214" s="2"/>
      <c r="AKP214" s="260"/>
      <c r="AKQ214" s="260"/>
      <c r="AKR214" s="260"/>
      <c r="AKS214" s="260"/>
      <c r="AKT214" s="260"/>
      <c r="AKU214" s="260"/>
      <c r="AKV214" s="308"/>
      <c r="AKW214" s="290"/>
      <c r="AKX214" s="290"/>
      <c r="AKY214" s="260"/>
      <c r="AKZ214" s="260"/>
      <c r="ALA214" s="260"/>
      <c r="ALB214" s="260"/>
      <c r="ALC214" s="260"/>
      <c r="ALD214" s="2"/>
      <c r="ALE214" s="2"/>
      <c r="ALF214" s="2"/>
      <c r="ALG214" s="2"/>
      <c r="ALH214" s="2"/>
      <c r="ALI214" s="2"/>
      <c r="ALJ214" s="260"/>
      <c r="ALK214" s="2"/>
      <c r="ALL214" s="2"/>
      <c r="ALM214" s="2"/>
      <c r="ALN214" s="2"/>
      <c r="ALO214" s="2"/>
      <c r="ALP214" s="2"/>
      <c r="ALQ214" s="2"/>
      <c r="ALR214" s="260"/>
      <c r="ALS214" s="260"/>
      <c r="ALT214" s="260"/>
      <c r="ALU214" s="380"/>
      <c r="ALV214" s="380"/>
      <c r="ALW214" s="380"/>
      <c r="ALX214" s="2"/>
      <c r="ALY214" s="442"/>
      <c r="ALZ214" s="442"/>
      <c r="AMA214" s="443"/>
      <c r="AMB214" s="442"/>
      <c r="AMC214" s="442"/>
      <c r="AMD214" s="2"/>
      <c r="AME214" s="2"/>
      <c r="AMF214" s="2"/>
      <c r="AMG214" s="2"/>
      <c r="AMH214" s="260"/>
      <c r="AMI214" s="260"/>
      <c r="AMJ214" s="260"/>
      <c r="AMK214" s="260"/>
      <c r="AML214" s="260"/>
      <c r="AMM214" s="260"/>
      <c r="AMN214" s="308"/>
      <c r="AMO214" s="290"/>
      <c r="AMP214" s="290"/>
      <c r="AMQ214" s="260"/>
      <c r="AMR214" s="260"/>
      <c r="AMS214" s="260"/>
      <c r="AMT214" s="260"/>
      <c r="AMU214" s="260"/>
      <c r="AMV214" s="2"/>
      <c r="AMW214" s="2"/>
      <c r="AMX214" s="2"/>
      <c r="AMY214" s="2"/>
      <c r="AMZ214" s="2"/>
      <c r="ANA214" s="2"/>
      <c r="ANB214" s="260"/>
      <c r="ANC214" s="2"/>
      <c r="AND214" s="2"/>
      <c r="ANE214" s="2"/>
      <c r="ANF214" s="2"/>
      <c r="ANG214" s="2"/>
      <c r="ANH214" s="2"/>
      <c r="ANI214" s="2"/>
      <c r="ANJ214" s="260"/>
      <c r="ANK214" s="260"/>
      <c r="ANL214" s="260"/>
      <c r="ANM214" s="380"/>
      <c r="ANN214" s="380"/>
      <c r="ANO214" s="380"/>
      <c r="ANP214" s="2"/>
      <c r="ANQ214" s="442"/>
      <c r="ANR214" s="442"/>
      <c r="ANS214" s="443"/>
      <c r="ANT214" s="442"/>
      <c r="ANU214" s="442"/>
      <c r="ANV214" s="2"/>
      <c r="ANW214" s="2"/>
      <c r="ANX214" s="2"/>
      <c r="ANY214" s="2"/>
      <c r="ANZ214" s="260"/>
      <c r="AOA214" s="260"/>
      <c r="AOB214" s="260"/>
      <c r="AOC214" s="260"/>
      <c r="AOD214" s="260"/>
      <c r="AOE214" s="260"/>
      <c r="AOF214" s="308"/>
      <c r="AOG214" s="290"/>
      <c r="AOH214" s="290"/>
      <c r="AOI214" s="260"/>
      <c r="AOJ214" s="260"/>
      <c r="AOK214" s="260"/>
      <c r="AOL214" s="260"/>
      <c r="AOM214" s="260"/>
      <c r="AON214" s="2"/>
      <c r="AOO214" s="2"/>
      <c r="AOP214" s="2"/>
      <c r="AOQ214" s="2"/>
      <c r="AOR214" s="2"/>
      <c r="AOS214" s="2"/>
      <c r="AOT214" s="260"/>
      <c r="AOU214" s="2"/>
      <c r="AOV214" s="2"/>
      <c r="AOW214" s="2"/>
      <c r="AOX214" s="2"/>
      <c r="AOY214" s="2"/>
      <c r="AOZ214" s="2"/>
      <c r="APA214" s="2"/>
      <c r="APB214" s="260"/>
      <c r="APC214" s="260"/>
      <c r="APD214" s="260"/>
      <c r="APE214" s="380"/>
      <c r="APF214" s="380"/>
      <c r="APG214" s="380"/>
      <c r="APH214" s="2"/>
      <c r="API214" s="442"/>
      <c r="APJ214" s="442"/>
      <c r="APK214" s="443"/>
      <c r="APL214" s="442"/>
      <c r="APM214" s="442"/>
      <c r="APN214" s="2"/>
      <c r="APO214" s="2"/>
      <c r="APP214" s="2"/>
      <c r="APQ214" s="2"/>
      <c r="APR214" s="260"/>
      <c r="APS214" s="260"/>
      <c r="APT214" s="260"/>
      <c r="APU214" s="260"/>
      <c r="APV214" s="260"/>
      <c r="APW214" s="260"/>
      <c r="APX214" s="308"/>
      <c r="APY214" s="290"/>
      <c r="APZ214" s="290"/>
      <c r="AQA214" s="260"/>
      <c r="AQB214" s="260"/>
      <c r="AQC214" s="260"/>
      <c r="AQD214" s="260"/>
      <c r="AQE214" s="260"/>
      <c r="AQF214" s="2"/>
      <c r="AQG214" s="2"/>
      <c r="AQH214" s="2"/>
      <c r="AQI214" s="2"/>
      <c r="AQJ214" s="2"/>
      <c r="AQK214" s="2"/>
      <c r="AQL214" s="260"/>
      <c r="AQM214" s="2"/>
      <c r="AQN214" s="2"/>
      <c r="AQO214" s="2"/>
      <c r="AQP214" s="2"/>
      <c r="AQQ214" s="2"/>
      <c r="AQR214" s="2"/>
      <c r="AQS214" s="2"/>
      <c r="AQT214" s="260"/>
      <c r="AQU214" s="260"/>
      <c r="AQV214" s="260"/>
      <c r="AQW214" s="380"/>
      <c r="AQX214" s="380"/>
      <c r="AQY214" s="380"/>
      <c r="AQZ214" s="2"/>
      <c r="ARA214" s="442"/>
      <c r="ARB214" s="442"/>
      <c r="ARC214" s="443"/>
      <c r="ARD214" s="442"/>
      <c r="ARE214" s="442"/>
      <c r="ARF214" s="2"/>
      <c r="ARG214" s="2"/>
      <c r="ARH214" s="2"/>
      <c r="ARI214" s="2"/>
      <c r="ARJ214" s="260"/>
      <c r="ARK214" s="260"/>
      <c r="ARL214" s="260"/>
      <c r="ARM214" s="260"/>
      <c r="ARN214" s="260"/>
      <c r="ARO214" s="260"/>
      <c r="ARP214" s="308"/>
      <c r="ARQ214" s="290"/>
      <c r="ARR214" s="290"/>
      <c r="ARS214" s="260"/>
      <c r="ART214" s="260"/>
      <c r="ARU214" s="260"/>
      <c r="ARV214" s="260"/>
      <c r="ARW214" s="260"/>
      <c r="ARX214" s="2"/>
      <c r="ARY214" s="2"/>
      <c r="ARZ214" s="2"/>
      <c r="ASA214" s="2"/>
      <c r="ASB214" s="2"/>
      <c r="ASC214" s="2"/>
      <c r="ASD214" s="260"/>
      <c r="ASE214" s="2"/>
      <c r="ASF214" s="2"/>
      <c r="ASG214" s="2"/>
      <c r="ASH214" s="2"/>
      <c r="ASI214" s="2"/>
      <c r="ASJ214" s="2"/>
      <c r="ASK214" s="2"/>
      <c r="ASL214" s="260"/>
      <c r="ASM214" s="260"/>
      <c r="ASN214" s="260"/>
      <c r="ASO214" s="380"/>
      <c r="ASP214" s="380"/>
      <c r="ASQ214" s="380"/>
      <c r="ASR214" s="2"/>
      <c r="ASS214" s="442"/>
      <c r="AST214" s="442"/>
      <c r="ASU214" s="443"/>
      <c r="ASV214" s="442"/>
      <c r="ASW214" s="442"/>
      <c r="ASX214" s="2"/>
      <c r="ASY214" s="2"/>
      <c r="ASZ214" s="2"/>
      <c r="ATA214" s="2"/>
      <c r="ATB214" s="260"/>
      <c r="ATC214" s="260"/>
      <c r="ATD214" s="260"/>
      <c r="ATE214" s="260"/>
      <c r="ATF214" s="260"/>
      <c r="ATG214" s="260"/>
      <c r="ATH214" s="308"/>
      <c r="ATI214" s="290"/>
      <c r="ATJ214" s="290"/>
      <c r="ATK214" s="260"/>
      <c r="ATL214" s="260"/>
      <c r="ATM214" s="260"/>
      <c r="ATN214" s="260"/>
      <c r="ATO214" s="260"/>
      <c r="ATP214" s="2"/>
      <c r="ATQ214" s="2"/>
      <c r="ATR214" s="2"/>
      <c r="ATS214" s="2"/>
      <c r="ATT214" s="2"/>
      <c r="ATU214" s="2"/>
      <c r="ATV214" s="260"/>
      <c r="ATW214" s="2"/>
      <c r="ATX214" s="2"/>
      <c r="ATY214" s="2"/>
      <c r="ATZ214" s="2"/>
      <c r="AUA214" s="2"/>
      <c r="AUB214" s="2"/>
      <c r="AUC214" s="2"/>
      <c r="AUD214" s="260"/>
      <c r="AUE214" s="260"/>
      <c r="AUF214" s="260"/>
      <c r="AUG214" s="380"/>
      <c r="AUH214" s="380"/>
      <c r="AUI214" s="380"/>
      <c r="AUJ214" s="2"/>
      <c r="AUK214" s="442"/>
      <c r="AUL214" s="442"/>
      <c r="AUM214" s="443"/>
      <c r="AUN214" s="442"/>
      <c r="AUO214" s="442"/>
      <c r="AUP214" s="2"/>
      <c r="AUQ214" s="2"/>
      <c r="AUR214" s="2"/>
      <c r="AUS214" s="2"/>
      <c r="AUT214" s="260"/>
      <c r="AUU214" s="260"/>
      <c r="AUV214" s="260"/>
      <c r="AUW214" s="260"/>
      <c r="AUX214" s="260"/>
      <c r="AUY214" s="260"/>
      <c r="AUZ214" s="308"/>
      <c r="AVA214" s="290"/>
      <c r="AVB214" s="290"/>
      <c r="AVC214" s="260"/>
      <c r="AVD214" s="260"/>
      <c r="AVE214" s="260"/>
      <c r="AVF214" s="260"/>
      <c r="AVG214" s="260"/>
      <c r="AVH214" s="2"/>
      <c r="AVI214" s="2"/>
      <c r="AVJ214" s="2"/>
      <c r="AVK214" s="2"/>
      <c r="AVL214" s="2"/>
      <c r="AVM214" s="2"/>
      <c r="AVN214" s="260"/>
      <c r="AVO214" s="2"/>
      <c r="AVP214" s="2"/>
      <c r="AVQ214" s="2"/>
      <c r="AVR214" s="2"/>
      <c r="AVS214" s="2"/>
      <c r="AVT214" s="2"/>
      <c r="AVU214" s="2"/>
      <c r="AVV214" s="260"/>
      <c r="AVW214" s="260"/>
      <c r="AVX214" s="260"/>
      <c r="AVY214" s="380"/>
      <c r="AVZ214" s="380"/>
      <c r="AWA214" s="380"/>
      <c r="AWB214" s="2"/>
      <c r="AWC214" s="442"/>
      <c r="AWD214" s="442"/>
      <c r="AWE214" s="443"/>
      <c r="AWF214" s="442"/>
      <c r="AWG214" s="442"/>
      <c r="AWH214" s="2"/>
      <c r="AWI214" s="2"/>
      <c r="AWJ214" s="2"/>
      <c r="AWK214" s="2"/>
      <c r="AWL214" s="260"/>
      <c r="AWM214" s="260"/>
      <c r="AWN214" s="260"/>
      <c r="AWO214" s="260"/>
      <c r="AWP214" s="260"/>
      <c r="AWQ214" s="260"/>
      <c r="AWR214" s="308"/>
      <c r="AWS214" s="290"/>
      <c r="AWT214" s="290"/>
      <c r="AWU214" s="260"/>
      <c r="AWV214" s="260"/>
      <c r="AWW214" s="260"/>
      <c r="AWX214" s="260"/>
      <c r="AWY214" s="260"/>
      <c r="AWZ214" s="2"/>
      <c r="AXA214" s="2"/>
      <c r="AXB214" s="2"/>
      <c r="AXC214" s="2"/>
      <c r="AXD214" s="2"/>
      <c r="AXE214" s="2"/>
      <c r="AXF214" s="260"/>
      <c r="AXG214" s="2"/>
      <c r="AXH214" s="2"/>
      <c r="AXI214" s="2"/>
      <c r="AXJ214" s="2"/>
      <c r="AXK214" s="2"/>
      <c r="AXL214" s="2"/>
      <c r="AXM214" s="2"/>
      <c r="AXN214" s="260"/>
      <c r="AXO214" s="260"/>
      <c r="AXP214" s="260"/>
      <c r="AXQ214" s="380"/>
      <c r="AXR214" s="380"/>
      <c r="AXS214" s="380"/>
      <c r="AXT214" s="2"/>
      <c r="AXU214" s="442"/>
      <c r="AXV214" s="442"/>
      <c r="AXW214" s="443"/>
      <c r="AXX214" s="442"/>
      <c r="AXY214" s="442"/>
      <c r="AXZ214" s="2"/>
      <c r="AYA214" s="2"/>
      <c r="AYB214" s="2"/>
      <c r="AYC214" s="2"/>
      <c r="AYD214" s="260"/>
      <c r="AYE214" s="260"/>
      <c r="AYF214" s="260"/>
      <c r="AYG214" s="260"/>
      <c r="AYH214" s="260"/>
      <c r="AYI214" s="260"/>
      <c r="AYJ214" s="308"/>
      <c r="AYK214" s="290"/>
      <c r="AYL214" s="290"/>
      <c r="AYM214" s="260"/>
      <c r="AYN214" s="260"/>
      <c r="AYO214" s="260"/>
      <c r="AYP214" s="260"/>
      <c r="AYQ214" s="260"/>
      <c r="AYR214" s="2"/>
      <c r="AYS214" s="2"/>
      <c r="AYT214" s="2"/>
      <c r="AYU214" s="2"/>
      <c r="AYV214" s="2"/>
      <c r="AYW214" s="2"/>
      <c r="AYX214" s="260"/>
      <c r="AYY214" s="2"/>
      <c r="AYZ214" s="2"/>
      <c r="AZA214" s="2"/>
      <c r="AZB214" s="2"/>
      <c r="AZC214" s="2"/>
      <c r="AZD214" s="2"/>
      <c r="AZE214" s="2"/>
      <c r="AZF214" s="260"/>
      <c r="AZG214" s="260"/>
      <c r="AZH214" s="260"/>
      <c r="AZI214" s="380"/>
      <c r="AZJ214" s="380"/>
      <c r="AZK214" s="380"/>
      <c r="AZL214" s="2"/>
      <c r="AZM214" s="442"/>
      <c r="AZN214" s="442"/>
      <c r="AZO214" s="443"/>
      <c r="AZP214" s="442"/>
      <c r="AZQ214" s="442"/>
      <c r="AZR214" s="2"/>
      <c r="AZS214" s="2"/>
      <c r="AZT214" s="2"/>
      <c r="AZU214" s="2"/>
      <c r="AZV214" s="260"/>
      <c r="AZW214" s="260"/>
      <c r="AZX214" s="260"/>
      <c r="AZY214" s="260"/>
      <c r="AZZ214" s="260"/>
      <c r="BAA214" s="260"/>
      <c r="BAB214" s="308"/>
      <c r="BAC214" s="290"/>
      <c r="BAD214" s="290"/>
      <c r="BAE214" s="260"/>
      <c r="BAF214" s="260"/>
      <c r="BAG214" s="260"/>
      <c r="BAH214" s="260"/>
      <c r="BAI214" s="260"/>
      <c r="BAJ214" s="2"/>
      <c r="BAK214" s="2"/>
      <c r="BAL214" s="2"/>
      <c r="BAM214" s="2"/>
      <c r="BAN214" s="2"/>
      <c r="BAO214" s="2"/>
      <c r="BAP214" s="260"/>
      <c r="BAQ214" s="2"/>
      <c r="BAR214" s="2"/>
      <c r="BAS214" s="2"/>
      <c r="BAT214" s="2"/>
      <c r="BAU214" s="2"/>
      <c r="BAV214" s="2"/>
      <c r="BAW214" s="2"/>
      <c r="BAX214" s="260"/>
      <c r="BAY214" s="260"/>
      <c r="BAZ214" s="260"/>
      <c r="BBA214" s="380"/>
      <c r="BBB214" s="380"/>
      <c r="BBC214" s="380"/>
      <c r="BBD214" s="2"/>
      <c r="BBE214" s="442"/>
      <c r="BBF214" s="442"/>
      <c r="BBG214" s="443"/>
      <c r="BBH214" s="442"/>
      <c r="BBI214" s="442"/>
      <c r="BBJ214" s="2"/>
      <c r="BBK214" s="2"/>
      <c r="BBL214" s="2"/>
      <c r="BBM214" s="2"/>
      <c r="BBN214" s="260"/>
      <c r="BBO214" s="260"/>
      <c r="BBP214" s="260"/>
      <c r="BBQ214" s="260"/>
      <c r="BBR214" s="260"/>
      <c r="BBS214" s="260"/>
      <c r="BBT214" s="308"/>
      <c r="BBU214" s="290"/>
      <c r="BBV214" s="290"/>
      <c r="BBW214" s="260"/>
      <c r="BBX214" s="260"/>
      <c r="BBY214" s="260"/>
      <c r="BBZ214" s="260"/>
      <c r="BCA214" s="260"/>
      <c r="BCB214" s="2"/>
      <c r="BCC214" s="2"/>
      <c r="BCD214" s="2"/>
      <c r="BCE214" s="2"/>
      <c r="BCF214" s="2"/>
      <c r="BCG214" s="2"/>
      <c r="BCH214" s="260"/>
      <c r="BCI214" s="2"/>
      <c r="BCJ214" s="2"/>
      <c r="BCK214" s="2"/>
      <c r="BCL214" s="2"/>
      <c r="BCM214" s="2"/>
      <c r="BCN214" s="2"/>
      <c r="BCO214" s="2"/>
      <c r="BCP214" s="260"/>
      <c r="BCQ214" s="260"/>
      <c r="BCR214" s="260"/>
      <c r="BCS214" s="380"/>
      <c r="BCT214" s="380"/>
      <c r="BCU214" s="380"/>
      <c r="BCV214" s="2"/>
      <c r="BCW214" s="442"/>
      <c r="BCX214" s="442"/>
      <c r="BCY214" s="443"/>
      <c r="BCZ214" s="442"/>
      <c r="BDA214" s="442"/>
      <c r="BDB214" s="2"/>
      <c r="BDC214" s="2"/>
      <c r="BDD214" s="2"/>
      <c r="BDE214" s="2"/>
      <c r="BDF214" s="260"/>
      <c r="BDG214" s="260"/>
      <c r="BDH214" s="260"/>
      <c r="BDI214" s="260"/>
      <c r="BDJ214" s="260"/>
      <c r="BDK214" s="260"/>
      <c r="BDL214" s="308"/>
      <c r="BDM214" s="290"/>
      <c r="BDN214" s="290"/>
      <c r="BDO214" s="260"/>
      <c r="BDP214" s="260"/>
      <c r="BDQ214" s="260"/>
      <c r="BDR214" s="260"/>
      <c r="BDS214" s="260"/>
      <c r="BDT214" s="2"/>
      <c r="BDU214" s="2"/>
      <c r="BDV214" s="2"/>
      <c r="BDW214" s="2"/>
      <c r="BDX214" s="2"/>
      <c r="BDY214" s="2"/>
      <c r="BDZ214" s="260"/>
      <c r="BEA214" s="2"/>
      <c r="BEB214" s="2"/>
      <c r="BEC214" s="2"/>
      <c r="BED214" s="2"/>
      <c r="BEE214" s="2"/>
      <c r="BEF214" s="2"/>
      <c r="BEG214" s="2"/>
      <c r="BEH214" s="260"/>
      <c r="BEI214" s="260"/>
      <c r="BEJ214" s="260"/>
      <c r="BEK214" s="380"/>
      <c r="BEL214" s="380"/>
      <c r="BEM214" s="380"/>
      <c r="BEN214" s="2"/>
      <c r="BEO214" s="442"/>
      <c r="BEP214" s="442"/>
      <c r="BEQ214" s="443"/>
      <c r="BER214" s="442"/>
      <c r="BES214" s="442"/>
      <c r="BET214" s="2"/>
      <c r="BEU214" s="2"/>
      <c r="BEV214" s="2"/>
      <c r="BEW214" s="2"/>
      <c r="BEX214" s="260"/>
      <c r="BEY214" s="260"/>
      <c r="BEZ214" s="260"/>
      <c r="BFA214" s="260"/>
      <c r="BFB214" s="260"/>
      <c r="BFC214" s="260"/>
      <c r="BFD214" s="308"/>
      <c r="BFE214" s="290"/>
      <c r="BFF214" s="290"/>
      <c r="BFG214" s="260"/>
      <c r="BFH214" s="260"/>
      <c r="BFI214" s="260"/>
      <c r="BFJ214" s="260"/>
      <c r="BFK214" s="260"/>
      <c r="BFL214" s="2"/>
      <c r="BFM214" s="2"/>
      <c r="BFN214" s="2"/>
      <c r="BFO214" s="2"/>
      <c r="BFP214" s="2"/>
      <c r="BFQ214" s="2"/>
      <c r="BFR214" s="260"/>
      <c r="BFS214" s="2"/>
      <c r="BFT214" s="2"/>
      <c r="BFU214" s="2"/>
      <c r="BFV214" s="2"/>
      <c r="BFW214" s="2"/>
      <c r="BFX214" s="2"/>
      <c r="BFY214" s="2"/>
      <c r="BFZ214" s="260"/>
      <c r="BGA214" s="260"/>
      <c r="BGB214" s="260"/>
      <c r="BGC214" s="380"/>
      <c r="BGD214" s="380"/>
      <c r="BGE214" s="380"/>
      <c r="BGF214" s="2"/>
      <c r="BGG214" s="442"/>
      <c r="BGH214" s="442"/>
      <c r="BGI214" s="443"/>
      <c r="BGJ214" s="442"/>
      <c r="BGK214" s="442"/>
      <c r="BGL214" s="2"/>
      <c r="BGM214" s="2"/>
      <c r="BGN214" s="2"/>
      <c r="BGO214" s="2"/>
      <c r="BGP214" s="260"/>
      <c r="BGQ214" s="260"/>
      <c r="BGR214" s="260"/>
      <c r="BGS214" s="260"/>
      <c r="BGT214" s="260"/>
      <c r="BGU214" s="260"/>
      <c r="BGV214" s="308"/>
      <c r="BGW214" s="290"/>
      <c r="BGX214" s="290"/>
      <c r="BGY214" s="260"/>
      <c r="BGZ214" s="260"/>
      <c r="BHA214" s="260"/>
      <c r="BHB214" s="260"/>
      <c r="BHC214" s="260"/>
      <c r="BHD214" s="2"/>
      <c r="BHE214" s="2"/>
      <c r="BHF214" s="2"/>
      <c r="BHG214" s="2"/>
      <c r="BHH214" s="2"/>
      <c r="BHI214" s="2"/>
      <c r="BHJ214" s="260"/>
      <c r="BHK214" s="2"/>
      <c r="BHL214" s="2"/>
      <c r="BHM214" s="2"/>
      <c r="BHN214" s="2"/>
      <c r="BHO214" s="2"/>
      <c r="BHP214" s="2"/>
      <c r="BHQ214" s="2"/>
      <c r="BHR214" s="260"/>
      <c r="BHS214" s="260"/>
      <c r="BHT214" s="260"/>
      <c r="BHU214" s="380"/>
      <c r="BHV214" s="380"/>
      <c r="BHW214" s="380"/>
      <c r="BHX214" s="2"/>
      <c r="BHY214" s="442"/>
      <c r="BHZ214" s="442"/>
      <c r="BIA214" s="443"/>
      <c r="BIB214" s="442"/>
      <c r="BIC214" s="442"/>
      <c r="BID214" s="2"/>
      <c r="BIE214" s="2"/>
      <c r="BIF214" s="2"/>
      <c r="BIG214" s="2"/>
      <c r="BIH214" s="260"/>
      <c r="BII214" s="260"/>
      <c r="BIJ214" s="260"/>
      <c r="BIK214" s="260"/>
      <c r="BIL214" s="260"/>
      <c r="BIM214" s="260"/>
      <c r="BIN214" s="308"/>
      <c r="BIO214" s="290"/>
      <c r="BIP214" s="290"/>
      <c r="BIQ214" s="260"/>
      <c r="BIR214" s="260"/>
      <c r="BIS214" s="260"/>
      <c r="BIT214" s="260"/>
      <c r="BIU214" s="260"/>
      <c r="BIV214" s="2"/>
      <c r="BIW214" s="2"/>
      <c r="BIX214" s="2"/>
      <c r="BIY214" s="2"/>
      <c r="BIZ214" s="2"/>
      <c r="BJA214" s="2"/>
      <c r="BJB214" s="260"/>
      <c r="BJC214" s="2"/>
      <c r="BJD214" s="2"/>
      <c r="BJE214" s="2"/>
      <c r="BJF214" s="2"/>
      <c r="BJG214" s="2"/>
      <c r="BJH214" s="2"/>
      <c r="BJI214" s="2"/>
      <c r="BJJ214" s="260"/>
      <c r="BJK214" s="260"/>
      <c r="BJL214" s="260"/>
      <c r="BJM214" s="380"/>
      <c r="BJN214" s="380"/>
      <c r="BJO214" s="380"/>
      <c r="BJP214" s="2"/>
      <c r="BJQ214" s="442"/>
      <c r="BJR214" s="442"/>
      <c r="BJS214" s="443"/>
      <c r="BJT214" s="442"/>
      <c r="BJU214" s="442"/>
      <c r="BJV214" s="2"/>
      <c r="BJW214" s="2"/>
      <c r="BJX214" s="2"/>
      <c r="BJY214" s="2"/>
      <c r="BJZ214" s="260"/>
      <c r="BKA214" s="260"/>
      <c r="BKB214" s="260"/>
      <c r="BKC214" s="260"/>
      <c r="BKD214" s="260"/>
      <c r="BKE214" s="260"/>
      <c r="BKF214" s="308"/>
      <c r="BKG214" s="290"/>
      <c r="BKH214" s="290"/>
      <c r="BKI214" s="260"/>
      <c r="BKJ214" s="260"/>
      <c r="BKK214" s="260"/>
      <c r="BKL214" s="260"/>
      <c r="BKM214" s="260"/>
      <c r="BKN214" s="2"/>
      <c r="BKO214" s="2"/>
      <c r="BKP214" s="2"/>
      <c r="BKQ214" s="2"/>
      <c r="BKR214" s="2"/>
      <c r="BKS214" s="2"/>
      <c r="BKT214" s="260"/>
      <c r="BKU214" s="2"/>
      <c r="BKV214" s="2"/>
      <c r="BKW214" s="2"/>
      <c r="BKX214" s="2"/>
      <c r="BKY214" s="2"/>
      <c r="BKZ214" s="2"/>
      <c r="BLA214" s="2"/>
      <c r="BLB214" s="260"/>
      <c r="BLC214" s="260"/>
      <c r="BLD214" s="260"/>
      <c r="BLE214" s="380"/>
      <c r="BLF214" s="380"/>
      <c r="BLG214" s="380"/>
      <c r="BLH214" s="2"/>
      <c r="BLI214" s="442"/>
      <c r="BLJ214" s="442"/>
      <c r="BLK214" s="443"/>
      <c r="BLL214" s="442"/>
      <c r="BLM214" s="442"/>
      <c r="BLN214" s="2"/>
      <c r="BLO214" s="2"/>
      <c r="BLP214" s="2"/>
      <c r="BLQ214" s="2"/>
      <c r="BLR214" s="260"/>
      <c r="BLS214" s="260"/>
      <c r="BLT214" s="260"/>
      <c r="BLU214" s="260"/>
      <c r="BLV214" s="260"/>
      <c r="BLW214" s="260"/>
      <c r="BLX214" s="308"/>
      <c r="BLY214" s="290"/>
      <c r="BLZ214" s="290"/>
      <c r="BMA214" s="260"/>
      <c r="BMB214" s="260"/>
      <c r="BMC214" s="260"/>
      <c r="BMD214" s="260"/>
      <c r="BME214" s="260"/>
      <c r="BMF214" s="2"/>
      <c r="BMG214" s="2"/>
      <c r="BMH214" s="2"/>
      <c r="BMI214" s="2"/>
      <c r="BMJ214" s="2"/>
      <c r="BMK214" s="2"/>
      <c r="BML214" s="260"/>
      <c r="BMM214" s="2"/>
      <c r="BMN214" s="2"/>
      <c r="BMO214" s="2"/>
      <c r="BMP214" s="2"/>
      <c r="BMQ214" s="2"/>
      <c r="BMR214" s="2"/>
      <c r="BMS214" s="2"/>
      <c r="BMT214" s="260"/>
      <c r="BMU214" s="260"/>
      <c r="BMV214" s="260"/>
      <c r="BMW214" s="380"/>
      <c r="BMX214" s="380"/>
      <c r="BMY214" s="380"/>
      <c r="BMZ214" s="2"/>
      <c r="BNA214" s="442"/>
      <c r="BNB214" s="442"/>
      <c r="BNC214" s="443"/>
      <c r="BND214" s="442"/>
      <c r="BNE214" s="442"/>
      <c r="BNF214" s="2"/>
      <c r="BNG214" s="2"/>
      <c r="BNH214" s="2"/>
      <c r="BNI214" s="2"/>
      <c r="BNJ214" s="260"/>
      <c r="BNK214" s="260"/>
      <c r="BNL214" s="260"/>
      <c r="BNM214" s="260"/>
      <c r="BNN214" s="260"/>
      <c r="BNO214" s="260"/>
      <c r="BNP214" s="308"/>
      <c r="BNQ214" s="290"/>
      <c r="BNR214" s="290"/>
      <c r="BNS214" s="260"/>
      <c r="BNT214" s="260"/>
      <c r="BNU214" s="260"/>
      <c r="BNV214" s="260"/>
      <c r="BNW214" s="260"/>
      <c r="BNX214" s="2"/>
      <c r="BNY214" s="2"/>
      <c r="BNZ214" s="2"/>
      <c r="BOA214" s="2"/>
      <c r="BOB214" s="2"/>
      <c r="BOC214" s="2"/>
      <c r="BOD214" s="260"/>
      <c r="BOE214" s="2"/>
      <c r="BOF214" s="2"/>
      <c r="BOG214" s="2"/>
      <c r="BOH214" s="2"/>
      <c r="BOI214" s="2"/>
      <c r="BOJ214" s="2"/>
      <c r="BOK214" s="2"/>
      <c r="BOL214" s="260"/>
      <c r="BOM214" s="260"/>
      <c r="BON214" s="260"/>
      <c r="BOO214" s="380"/>
      <c r="BOP214" s="380"/>
      <c r="BOQ214" s="380"/>
      <c r="BOR214" s="2"/>
      <c r="BOS214" s="442"/>
      <c r="BOT214" s="442"/>
      <c r="BOU214" s="443"/>
      <c r="BOV214" s="442"/>
      <c r="BOW214" s="442"/>
      <c r="BOX214" s="2"/>
      <c r="BOY214" s="2"/>
      <c r="BOZ214" s="2"/>
      <c r="BPA214" s="2"/>
      <c r="BPB214" s="260"/>
      <c r="BPC214" s="260"/>
      <c r="BPD214" s="260"/>
      <c r="BPE214" s="260"/>
      <c r="BPF214" s="260"/>
      <c r="BPG214" s="260"/>
      <c r="BPH214" s="308"/>
      <c r="BPI214" s="290"/>
      <c r="BPJ214" s="290"/>
      <c r="BPK214" s="260"/>
      <c r="BPL214" s="260"/>
      <c r="BPM214" s="260"/>
      <c r="BPN214" s="260"/>
      <c r="BPO214" s="260"/>
      <c r="BPP214" s="2"/>
      <c r="BPQ214" s="2"/>
      <c r="BPR214" s="2"/>
      <c r="BPS214" s="2"/>
      <c r="BPT214" s="2"/>
      <c r="BPU214" s="2"/>
      <c r="BPV214" s="260"/>
      <c r="BPW214" s="2"/>
      <c r="BPX214" s="2"/>
      <c r="BPY214" s="2"/>
      <c r="BPZ214" s="2"/>
      <c r="BQA214" s="2"/>
      <c r="BQB214" s="2"/>
      <c r="BQC214" s="2"/>
      <c r="BQD214" s="260"/>
      <c r="BQE214" s="260"/>
      <c r="BQF214" s="260"/>
      <c r="BQG214" s="380"/>
      <c r="BQH214" s="380"/>
      <c r="BQI214" s="380"/>
      <c r="BQJ214" s="2"/>
      <c r="BQK214" s="442"/>
      <c r="BQL214" s="442"/>
      <c r="BQM214" s="443"/>
      <c r="BQN214" s="442"/>
      <c r="BQO214" s="442"/>
      <c r="BQP214" s="2"/>
      <c r="BQQ214" s="2"/>
      <c r="BQR214" s="2"/>
      <c r="BQS214" s="2"/>
      <c r="BQT214" s="260"/>
      <c r="BQU214" s="260"/>
      <c r="BQV214" s="260"/>
      <c r="BQW214" s="260"/>
      <c r="BQX214" s="260"/>
      <c r="BQY214" s="260"/>
      <c r="BQZ214" s="308"/>
      <c r="BRA214" s="290"/>
      <c r="BRB214" s="290"/>
      <c r="BRC214" s="260"/>
      <c r="BRD214" s="260"/>
      <c r="BRE214" s="260"/>
      <c r="BRF214" s="260"/>
      <c r="BRG214" s="260"/>
      <c r="BRH214" s="2"/>
      <c r="BRI214" s="2"/>
      <c r="BRJ214" s="2"/>
      <c r="BRK214" s="2"/>
      <c r="BRL214" s="2"/>
      <c r="BRM214" s="2"/>
      <c r="BRN214" s="260"/>
      <c r="BRO214" s="2"/>
      <c r="BRP214" s="2"/>
      <c r="BRQ214" s="2"/>
      <c r="BRR214" s="2"/>
      <c r="BRS214" s="2"/>
      <c r="BRT214" s="2"/>
      <c r="BRU214" s="2"/>
      <c r="BRV214" s="260"/>
      <c r="BRW214" s="260"/>
      <c r="BRX214" s="260"/>
      <c r="BRY214" s="380"/>
      <c r="BRZ214" s="380"/>
      <c r="BSA214" s="380"/>
      <c r="BSB214" s="2"/>
      <c r="BSC214" s="442"/>
      <c r="BSD214" s="442"/>
      <c r="BSE214" s="443"/>
      <c r="BSF214" s="442"/>
      <c r="BSG214" s="442"/>
      <c r="BSH214" s="2"/>
      <c r="BSI214" s="2"/>
      <c r="BSJ214" s="2"/>
      <c r="BSK214" s="2"/>
      <c r="BSL214" s="260"/>
      <c r="BSM214" s="260"/>
      <c r="BSN214" s="260"/>
      <c r="BSO214" s="260"/>
      <c r="BSP214" s="260"/>
      <c r="BSQ214" s="260"/>
      <c r="BSR214" s="308"/>
      <c r="BSS214" s="290"/>
      <c r="BST214" s="290"/>
      <c r="BSU214" s="260"/>
      <c r="BSV214" s="260"/>
      <c r="BSW214" s="260"/>
      <c r="BSX214" s="260"/>
      <c r="BSY214" s="260"/>
      <c r="BSZ214" s="2"/>
      <c r="BTA214" s="2"/>
      <c r="BTB214" s="2"/>
      <c r="BTC214" s="2"/>
      <c r="BTD214" s="2"/>
      <c r="BTE214" s="2"/>
      <c r="BTF214" s="260"/>
      <c r="BTG214" s="2"/>
      <c r="BTH214" s="2"/>
      <c r="BTI214" s="2"/>
      <c r="BTJ214" s="2"/>
      <c r="BTK214" s="2"/>
      <c r="BTL214" s="2"/>
      <c r="BTM214" s="2"/>
      <c r="BTN214" s="260"/>
      <c r="BTO214" s="260"/>
      <c r="BTP214" s="260"/>
      <c r="BTQ214" s="380"/>
      <c r="BTR214" s="380"/>
      <c r="BTS214" s="380"/>
      <c r="BTT214" s="2"/>
      <c r="BTU214" s="442"/>
      <c r="BTV214" s="442"/>
      <c r="BTW214" s="443"/>
      <c r="BTX214" s="442"/>
      <c r="BTY214" s="442"/>
      <c r="BTZ214" s="2"/>
      <c r="BUA214" s="2"/>
      <c r="BUB214" s="2"/>
      <c r="BUC214" s="2"/>
      <c r="BUD214" s="260"/>
      <c r="BUE214" s="260"/>
      <c r="BUF214" s="260"/>
      <c r="BUG214" s="260"/>
      <c r="BUH214" s="260"/>
      <c r="BUI214" s="260"/>
      <c r="BUJ214" s="308"/>
      <c r="BUK214" s="290"/>
      <c r="BUL214" s="290"/>
      <c r="BUM214" s="260"/>
      <c r="BUN214" s="260"/>
      <c r="BUO214" s="260"/>
      <c r="BUP214" s="260"/>
      <c r="BUQ214" s="260"/>
      <c r="BUR214" s="2"/>
      <c r="BUS214" s="2"/>
      <c r="BUT214" s="2"/>
      <c r="BUU214" s="2"/>
      <c r="BUV214" s="2"/>
      <c r="BUW214" s="2"/>
      <c r="BUX214" s="260"/>
      <c r="BUY214" s="2"/>
      <c r="BUZ214" s="2"/>
      <c r="BVA214" s="2"/>
      <c r="BVB214" s="2"/>
      <c r="BVC214" s="2"/>
      <c r="BVD214" s="2"/>
      <c r="BVE214" s="2"/>
      <c r="BVF214" s="260"/>
      <c r="BVG214" s="260"/>
      <c r="BVH214" s="260"/>
      <c r="BVI214" s="380"/>
      <c r="BVJ214" s="380"/>
      <c r="BVK214" s="380"/>
      <c r="BVL214" s="2"/>
      <c r="BVM214" s="442"/>
      <c r="BVN214" s="442"/>
      <c r="BVO214" s="443"/>
      <c r="BVP214" s="442"/>
      <c r="BVQ214" s="442"/>
      <c r="BVR214" s="2"/>
      <c r="BVS214" s="2"/>
      <c r="BVT214" s="2"/>
      <c r="BVU214" s="2"/>
      <c r="BVV214" s="260"/>
      <c r="BVW214" s="260"/>
      <c r="BVX214" s="260"/>
      <c r="BVY214" s="260"/>
      <c r="BVZ214" s="260"/>
      <c r="BWA214" s="260"/>
      <c r="BWB214" s="308"/>
      <c r="BWC214" s="290"/>
      <c r="BWD214" s="290"/>
      <c r="BWE214" s="260"/>
      <c r="BWF214" s="260"/>
      <c r="BWG214" s="260"/>
      <c r="BWH214" s="260"/>
      <c r="BWI214" s="260"/>
      <c r="BWJ214" s="2"/>
      <c r="BWK214" s="2"/>
      <c r="BWL214" s="2"/>
      <c r="BWM214" s="2"/>
      <c r="BWN214" s="2"/>
      <c r="BWO214" s="2"/>
      <c r="BWP214" s="260"/>
      <c r="BWQ214" s="2"/>
      <c r="BWR214" s="2"/>
      <c r="BWS214" s="2"/>
      <c r="BWT214" s="2"/>
      <c r="BWU214" s="2"/>
      <c r="BWV214" s="2"/>
      <c r="BWW214" s="2"/>
      <c r="BWX214" s="260"/>
      <c r="BWY214" s="260"/>
      <c r="BWZ214" s="260"/>
      <c r="BXA214" s="380"/>
      <c r="BXB214" s="380"/>
      <c r="BXC214" s="380"/>
      <c r="BXD214" s="2"/>
      <c r="BXE214" s="442"/>
      <c r="BXF214" s="442"/>
      <c r="BXG214" s="443"/>
      <c r="BXH214" s="442"/>
      <c r="BXI214" s="442"/>
      <c r="BXJ214" s="2"/>
      <c r="BXK214" s="2"/>
      <c r="BXL214" s="2"/>
      <c r="BXM214" s="2"/>
      <c r="BXN214" s="260"/>
      <c r="BXO214" s="260"/>
      <c r="BXP214" s="260"/>
      <c r="BXQ214" s="260"/>
      <c r="BXR214" s="260"/>
      <c r="BXS214" s="260"/>
      <c r="BXT214" s="308"/>
      <c r="BXU214" s="290"/>
      <c r="BXV214" s="290"/>
      <c r="BXW214" s="260"/>
      <c r="BXX214" s="260"/>
      <c r="BXY214" s="260"/>
      <c r="BXZ214" s="260"/>
      <c r="BYA214" s="260"/>
      <c r="BYB214" s="2"/>
      <c r="BYC214" s="2"/>
      <c r="BYD214" s="2"/>
      <c r="BYE214" s="2"/>
      <c r="BYF214" s="2"/>
      <c r="BYG214" s="2"/>
      <c r="BYH214" s="260"/>
      <c r="BYI214" s="2"/>
      <c r="BYJ214" s="2"/>
      <c r="BYK214" s="2"/>
      <c r="BYL214" s="2"/>
      <c r="BYM214" s="2"/>
      <c r="BYN214" s="2"/>
      <c r="BYO214" s="2"/>
      <c r="BYP214" s="260"/>
      <c r="BYQ214" s="260"/>
      <c r="BYR214" s="260"/>
      <c r="BYS214" s="380"/>
      <c r="BYT214" s="380"/>
      <c r="BYU214" s="380"/>
      <c r="BYV214" s="2"/>
      <c r="BYW214" s="442"/>
      <c r="BYX214" s="442"/>
      <c r="BYY214" s="443"/>
      <c r="BYZ214" s="442"/>
      <c r="BZA214" s="442"/>
      <c r="BZB214" s="2"/>
      <c r="BZC214" s="2"/>
      <c r="BZD214" s="2"/>
      <c r="BZE214" s="2"/>
      <c r="BZF214" s="260"/>
      <c r="BZG214" s="260"/>
      <c r="BZH214" s="260"/>
      <c r="BZI214" s="260"/>
      <c r="BZJ214" s="260"/>
      <c r="BZK214" s="260"/>
      <c r="BZL214" s="308"/>
      <c r="BZM214" s="290"/>
      <c r="BZN214" s="290"/>
      <c r="BZO214" s="260"/>
      <c r="BZP214" s="260"/>
      <c r="BZQ214" s="260"/>
      <c r="BZR214" s="260"/>
      <c r="BZS214" s="260"/>
      <c r="BZT214" s="2"/>
      <c r="BZU214" s="2"/>
      <c r="BZV214" s="2"/>
      <c r="BZW214" s="2"/>
      <c r="BZX214" s="2"/>
      <c r="BZY214" s="2"/>
      <c r="BZZ214" s="260"/>
      <c r="CAA214" s="2"/>
      <c r="CAB214" s="2"/>
      <c r="CAC214" s="2"/>
      <c r="CAD214" s="2"/>
      <c r="CAE214" s="2"/>
      <c r="CAF214" s="2"/>
      <c r="CAG214" s="2"/>
      <c r="CAH214" s="260"/>
      <c r="CAI214" s="260"/>
      <c r="CAJ214" s="260"/>
      <c r="CAK214" s="380"/>
      <c r="CAL214" s="380"/>
      <c r="CAM214" s="380"/>
      <c r="CAN214" s="2"/>
      <c r="CAO214" s="442"/>
      <c r="CAP214" s="442"/>
      <c r="CAQ214" s="443"/>
      <c r="CAR214" s="442"/>
      <c r="CAS214" s="442"/>
      <c r="CAT214" s="2"/>
      <c r="CAU214" s="2"/>
      <c r="CAV214" s="2"/>
      <c r="CAW214" s="2"/>
      <c r="CAX214" s="260"/>
      <c r="CAY214" s="260"/>
      <c r="CAZ214" s="260"/>
      <c r="CBA214" s="260"/>
      <c r="CBB214" s="260"/>
      <c r="CBC214" s="260"/>
      <c r="CBD214" s="308"/>
      <c r="CBE214" s="290"/>
      <c r="CBF214" s="290"/>
      <c r="CBG214" s="260"/>
      <c r="CBH214" s="260"/>
      <c r="CBI214" s="260"/>
      <c r="CBJ214" s="260"/>
      <c r="CBK214" s="260"/>
      <c r="CBL214" s="2"/>
      <c r="CBM214" s="2"/>
      <c r="CBN214" s="2"/>
      <c r="CBO214" s="2"/>
      <c r="CBP214" s="2"/>
      <c r="CBQ214" s="2"/>
      <c r="CBR214" s="260"/>
      <c r="CBS214" s="2"/>
      <c r="CBT214" s="2"/>
      <c r="CBU214" s="2"/>
      <c r="CBV214" s="2"/>
      <c r="CBW214" s="2"/>
      <c r="CBX214" s="2"/>
      <c r="CBY214" s="2"/>
      <c r="CBZ214" s="260"/>
      <c r="CCA214" s="260"/>
      <c r="CCB214" s="260"/>
      <c r="CCC214" s="380"/>
      <c r="CCD214" s="380"/>
      <c r="CCE214" s="380"/>
      <c r="CCF214" s="2"/>
      <c r="CCG214" s="442"/>
      <c r="CCH214" s="442"/>
      <c r="CCI214" s="443"/>
      <c r="CCJ214" s="442"/>
      <c r="CCK214" s="442"/>
      <c r="CCL214" s="2"/>
      <c r="CCM214" s="2"/>
      <c r="CCN214" s="2"/>
      <c r="CCO214" s="2"/>
      <c r="CCP214" s="260"/>
      <c r="CCQ214" s="260"/>
      <c r="CCR214" s="260"/>
      <c r="CCS214" s="260"/>
      <c r="CCT214" s="260"/>
      <c r="CCU214" s="260"/>
      <c r="CCV214" s="308"/>
      <c r="CCW214" s="290"/>
      <c r="CCX214" s="290"/>
      <c r="CCY214" s="260"/>
      <c r="CCZ214" s="260"/>
      <c r="CDA214" s="260"/>
      <c r="CDB214" s="260"/>
      <c r="CDC214" s="260"/>
      <c r="CDD214" s="2"/>
      <c r="CDE214" s="2"/>
      <c r="CDF214" s="2"/>
      <c r="CDG214" s="2"/>
      <c r="CDH214" s="2"/>
      <c r="CDI214" s="2"/>
      <c r="CDJ214" s="260"/>
      <c r="CDK214" s="2"/>
      <c r="CDL214" s="2"/>
      <c r="CDM214" s="2"/>
      <c r="CDN214" s="2"/>
      <c r="CDO214" s="2"/>
      <c r="CDP214" s="2"/>
      <c r="CDQ214" s="2"/>
      <c r="CDR214" s="260"/>
      <c r="CDS214" s="260"/>
      <c r="CDT214" s="260"/>
      <c r="CDU214" s="380"/>
      <c r="CDV214" s="380"/>
      <c r="CDW214" s="380"/>
      <c r="CDX214" s="2"/>
      <c r="CDY214" s="442"/>
      <c r="CDZ214" s="442"/>
      <c r="CEA214" s="443"/>
      <c r="CEB214" s="442"/>
      <c r="CEC214" s="442"/>
      <c r="CED214" s="2"/>
      <c r="CEE214" s="2"/>
      <c r="CEF214" s="2"/>
      <c r="CEG214" s="2"/>
      <c r="CEH214" s="260"/>
      <c r="CEI214" s="260"/>
      <c r="CEJ214" s="260"/>
      <c r="CEK214" s="260"/>
      <c r="CEL214" s="260"/>
      <c r="CEM214" s="260"/>
      <c r="CEN214" s="308"/>
      <c r="CEO214" s="290"/>
      <c r="CEP214" s="290"/>
      <c r="CEQ214" s="260"/>
      <c r="CER214" s="260"/>
      <c r="CES214" s="260"/>
      <c r="CET214" s="260"/>
      <c r="CEU214" s="260"/>
      <c r="CEV214" s="2"/>
      <c r="CEW214" s="2"/>
      <c r="CEX214" s="2"/>
      <c r="CEY214" s="2"/>
      <c r="CEZ214" s="2"/>
      <c r="CFA214" s="2"/>
      <c r="CFB214" s="260"/>
      <c r="CFC214" s="2"/>
      <c r="CFD214" s="2"/>
      <c r="CFE214" s="2"/>
      <c r="CFF214" s="2"/>
      <c r="CFG214" s="2"/>
      <c r="CFH214" s="2"/>
      <c r="CFI214" s="2"/>
      <c r="CFJ214" s="260"/>
      <c r="CFK214" s="260"/>
      <c r="CFL214" s="260"/>
      <c r="CFM214" s="380"/>
      <c r="CFN214" s="380"/>
      <c r="CFO214" s="380"/>
      <c r="CFP214" s="2"/>
      <c r="CFQ214" s="442"/>
      <c r="CFR214" s="442"/>
      <c r="CFS214" s="443"/>
      <c r="CFT214" s="442"/>
      <c r="CFU214" s="442"/>
      <c r="CFV214" s="2"/>
      <c r="CFW214" s="2"/>
      <c r="CFX214" s="2"/>
      <c r="CFY214" s="2"/>
      <c r="CFZ214" s="260"/>
      <c r="CGA214" s="260"/>
      <c r="CGB214" s="260"/>
      <c r="CGC214" s="260"/>
      <c r="CGD214" s="260"/>
      <c r="CGE214" s="260"/>
      <c r="CGF214" s="308"/>
      <c r="CGG214" s="290"/>
      <c r="CGH214" s="290"/>
      <c r="CGI214" s="260"/>
      <c r="CGJ214" s="260"/>
      <c r="CGK214" s="260"/>
      <c r="CGL214" s="260"/>
      <c r="CGM214" s="260"/>
      <c r="CGN214" s="2"/>
      <c r="CGO214" s="2"/>
      <c r="CGP214" s="2"/>
      <c r="CGQ214" s="2"/>
      <c r="CGR214" s="2"/>
      <c r="CGS214" s="2"/>
      <c r="CGT214" s="260"/>
      <c r="CGU214" s="2"/>
      <c r="CGV214" s="2"/>
      <c r="CGW214" s="2"/>
      <c r="CGX214" s="2"/>
      <c r="CGY214" s="2"/>
      <c r="CGZ214" s="2"/>
      <c r="CHA214" s="2"/>
      <c r="CHB214" s="260"/>
      <c r="CHC214" s="260"/>
      <c r="CHD214" s="260"/>
      <c r="CHE214" s="380"/>
      <c r="CHF214" s="380"/>
      <c r="CHG214" s="380"/>
      <c r="CHH214" s="2"/>
      <c r="CHI214" s="442"/>
      <c r="CHJ214" s="442"/>
      <c r="CHK214" s="443"/>
      <c r="CHL214" s="442"/>
      <c r="CHM214" s="442"/>
      <c r="CHN214" s="2"/>
      <c r="CHO214" s="2"/>
      <c r="CHP214" s="2"/>
      <c r="CHQ214" s="2"/>
      <c r="CHR214" s="260"/>
      <c r="CHS214" s="260"/>
      <c r="CHT214" s="260"/>
      <c r="CHU214" s="260"/>
      <c r="CHV214" s="260"/>
      <c r="CHW214" s="260"/>
      <c r="CHX214" s="308"/>
      <c r="CHY214" s="290"/>
      <c r="CHZ214" s="290"/>
      <c r="CIA214" s="260"/>
      <c r="CIB214" s="260"/>
      <c r="CIC214" s="260"/>
      <c r="CID214" s="260"/>
      <c r="CIE214" s="260"/>
      <c r="CIF214" s="2"/>
      <c r="CIG214" s="2"/>
      <c r="CIH214" s="2"/>
      <c r="CII214" s="2"/>
      <c r="CIJ214" s="2"/>
      <c r="CIK214" s="2"/>
      <c r="CIL214" s="260"/>
      <c r="CIM214" s="2"/>
      <c r="CIN214" s="2"/>
      <c r="CIO214" s="2"/>
      <c r="CIP214" s="2"/>
      <c r="CIQ214" s="2"/>
      <c r="CIR214" s="2"/>
      <c r="CIS214" s="2"/>
      <c r="CIT214" s="260"/>
      <c r="CIU214" s="260"/>
      <c r="CIV214" s="260"/>
      <c r="CIW214" s="380"/>
      <c r="CIX214" s="380"/>
      <c r="CIY214" s="380"/>
      <c r="CIZ214" s="2"/>
      <c r="CJA214" s="442"/>
      <c r="CJB214" s="442"/>
      <c r="CJC214" s="443"/>
      <c r="CJD214" s="442"/>
      <c r="CJE214" s="442"/>
      <c r="CJF214" s="2"/>
      <c r="CJG214" s="2"/>
      <c r="CJH214" s="2"/>
      <c r="CJI214" s="2"/>
      <c r="CJJ214" s="260"/>
      <c r="CJK214" s="260"/>
      <c r="CJL214" s="260"/>
      <c r="CJM214" s="260"/>
      <c r="CJN214" s="260"/>
      <c r="CJO214" s="260"/>
      <c r="CJP214" s="308"/>
      <c r="CJQ214" s="290"/>
      <c r="CJR214" s="290"/>
      <c r="CJS214" s="260"/>
      <c r="CJT214" s="260"/>
      <c r="CJU214" s="260"/>
      <c r="CJV214" s="260"/>
      <c r="CJW214" s="260"/>
      <c r="CJX214" s="2"/>
      <c r="CJY214" s="2"/>
      <c r="CJZ214" s="2"/>
      <c r="CKA214" s="2"/>
      <c r="CKB214" s="2"/>
      <c r="CKC214" s="2"/>
      <c r="CKD214" s="260"/>
      <c r="CKE214" s="2"/>
      <c r="CKF214" s="2"/>
      <c r="CKG214" s="2"/>
      <c r="CKH214" s="2"/>
      <c r="CKI214" s="2"/>
      <c r="CKJ214" s="2"/>
      <c r="CKK214" s="2"/>
      <c r="CKL214" s="260"/>
      <c r="CKM214" s="260"/>
      <c r="CKN214" s="260"/>
      <c r="CKO214" s="380"/>
      <c r="CKP214" s="380"/>
      <c r="CKQ214" s="380"/>
      <c r="CKR214" s="2"/>
      <c r="CKS214" s="442"/>
      <c r="CKT214" s="442"/>
      <c r="CKU214" s="443"/>
      <c r="CKV214" s="442"/>
      <c r="CKW214" s="442"/>
      <c r="CKX214" s="2"/>
      <c r="CKY214" s="2"/>
      <c r="CKZ214" s="2"/>
      <c r="CLA214" s="2"/>
      <c r="CLB214" s="260"/>
      <c r="CLC214" s="260"/>
      <c r="CLD214" s="260"/>
      <c r="CLE214" s="260"/>
      <c r="CLF214" s="260"/>
      <c r="CLG214" s="260"/>
      <c r="CLH214" s="308"/>
      <c r="CLI214" s="290"/>
      <c r="CLJ214" s="290"/>
      <c r="CLK214" s="260"/>
      <c r="CLL214" s="260"/>
      <c r="CLM214" s="260"/>
      <c r="CLN214" s="260"/>
      <c r="CLO214" s="260"/>
      <c r="CLP214" s="2"/>
      <c r="CLQ214" s="2"/>
      <c r="CLR214" s="2"/>
      <c r="CLS214" s="2"/>
      <c r="CLT214" s="2"/>
      <c r="CLU214" s="2"/>
      <c r="CLV214" s="260"/>
      <c r="CLW214" s="2"/>
      <c r="CLX214" s="2"/>
      <c r="CLY214" s="2"/>
      <c r="CLZ214" s="2"/>
      <c r="CMA214" s="2"/>
      <c r="CMB214" s="2"/>
      <c r="CMC214" s="2"/>
      <c r="CMD214" s="260"/>
      <c r="CME214" s="260"/>
      <c r="CMF214" s="260"/>
      <c r="CMG214" s="380"/>
      <c r="CMH214" s="380"/>
      <c r="CMI214" s="380"/>
      <c r="CMJ214" s="2"/>
      <c r="CMK214" s="442"/>
      <c r="CML214" s="442"/>
      <c r="CMM214" s="443"/>
      <c r="CMN214" s="442"/>
      <c r="CMO214" s="442"/>
      <c r="CMP214" s="2"/>
      <c r="CMQ214" s="2"/>
      <c r="CMR214" s="2"/>
      <c r="CMS214" s="2"/>
      <c r="CMT214" s="260"/>
      <c r="CMU214" s="260"/>
      <c r="CMV214" s="260"/>
      <c r="CMW214" s="260"/>
      <c r="CMX214" s="260"/>
      <c r="CMY214" s="260"/>
      <c r="CMZ214" s="308"/>
      <c r="CNA214" s="290"/>
      <c r="CNB214" s="290"/>
      <c r="CNC214" s="260"/>
      <c r="CND214" s="260"/>
      <c r="CNE214" s="260"/>
      <c r="CNF214" s="260"/>
      <c r="CNG214" s="260"/>
      <c r="CNH214" s="2"/>
      <c r="CNI214" s="2"/>
      <c r="CNJ214" s="2"/>
      <c r="CNK214" s="2"/>
      <c r="CNL214" s="2"/>
      <c r="CNM214" s="2"/>
      <c r="CNN214" s="260"/>
      <c r="CNO214" s="2"/>
      <c r="CNP214" s="2"/>
      <c r="CNQ214" s="2"/>
      <c r="CNR214" s="2"/>
      <c r="CNS214" s="2"/>
      <c r="CNT214" s="2"/>
      <c r="CNU214" s="2"/>
      <c r="CNV214" s="260"/>
      <c r="CNW214" s="260"/>
      <c r="CNX214" s="260"/>
      <c r="CNY214" s="380"/>
      <c r="CNZ214" s="380"/>
      <c r="COA214" s="380"/>
      <c r="COB214" s="2"/>
      <c r="COC214" s="442"/>
      <c r="COD214" s="442"/>
      <c r="COE214" s="443"/>
      <c r="COF214" s="442"/>
      <c r="COG214" s="442"/>
      <c r="COH214" s="2"/>
      <c r="COI214" s="2"/>
      <c r="COJ214" s="2"/>
      <c r="COK214" s="2"/>
      <c r="COL214" s="260"/>
      <c r="COM214" s="260"/>
      <c r="CON214" s="260"/>
      <c r="COO214" s="260"/>
      <c r="COP214" s="260"/>
      <c r="COQ214" s="260"/>
      <c r="COR214" s="308"/>
      <c r="COS214" s="290"/>
      <c r="COT214" s="290"/>
      <c r="COU214" s="260"/>
      <c r="COV214" s="260"/>
      <c r="COW214" s="260"/>
      <c r="COX214" s="260"/>
      <c r="COY214" s="260"/>
      <c r="COZ214" s="2"/>
      <c r="CPA214" s="2"/>
      <c r="CPB214" s="2"/>
      <c r="CPC214" s="2"/>
      <c r="CPD214" s="2"/>
      <c r="CPE214" s="2"/>
      <c r="CPF214" s="260"/>
      <c r="CPG214" s="2"/>
      <c r="CPH214" s="2"/>
      <c r="CPI214" s="2"/>
      <c r="CPJ214" s="2"/>
      <c r="CPK214" s="2"/>
      <c r="CPL214" s="2"/>
      <c r="CPM214" s="2"/>
      <c r="CPN214" s="260"/>
      <c r="CPO214" s="260"/>
      <c r="CPP214" s="260"/>
      <c r="CPQ214" s="380"/>
      <c r="CPR214" s="380"/>
      <c r="CPS214" s="380"/>
      <c r="CPT214" s="2"/>
      <c r="CPU214" s="442"/>
      <c r="CPV214" s="442"/>
      <c r="CPW214" s="443"/>
      <c r="CPX214" s="442"/>
      <c r="CPY214" s="442"/>
      <c r="CPZ214" s="2"/>
      <c r="CQA214" s="2"/>
      <c r="CQB214" s="2"/>
      <c r="CQC214" s="2"/>
      <c r="CQD214" s="260"/>
      <c r="CQE214" s="260"/>
      <c r="CQF214" s="260"/>
      <c r="CQG214" s="260"/>
      <c r="CQH214" s="260"/>
      <c r="CQI214" s="260"/>
      <c r="CQJ214" s="308"/>
      <c r="CQK214" s="290"/>
      <c r="CQL214" s="290"/>
      <c r="CQM214" s="260"/>
      <c r="CQN214" s="260"/>
      <c r="CQO214" s="260"/>
      <c r="CQP214" s="260"/>
      <c r="CQQ214" s="260"/>
      <c r="CQR214" s="2"/>
      <c r="CQS214" s="2"/>
      <c r="CQT214" s="2"/>
      <c r="CQU214" s="2"/>
      <c r="CQV214" s="2"/>
      <c r="CQW214" s="2"/>
      <c r="CQX214" s="260"/>
      <c r="CQY214" s="2"/>
      <c r="CQZ214" s="2"/>
      <c r="CRA214" s="2"/>
      <c r="CRB214" s="2"/>
      <c r="CRC214" s="2"/>
      <c r="CRD214" s="2"/>
      <c r="CRE214" s="2"/>
      <c r="CRF214" s="260"/>
      <c r="CRG214" s="260"/>
      <c r="CRH214" s="260"/>
      <c r="CRI214" s="380"/>
      <c r="CRJ214" s="380"/>
      <c r="CRK214" s="380"/>
      <c r="CRL214" s="2"/>
      <c r="CRM214" s="442"/>
      <c r="CRN214" s="442"/>
      <c r="CRO214" s="443"/>
      <c r="CRP214" s="442"/>
      <c r="CRQ214" s="442"/>
      <c r="CRR214" s="2"/>
      <c r="CRS214" s="2"/>
      <c r="CRT214" s="2"/>
      <c r="CRU214" s="2"/>
      <c r="CRV214" s="260"/>
      <c r="CRW214" s="260"/>
      <c r="CRX214" s="260"/>
      <c r="CRY214" s="260"/>
      <c r="CRZ214" s="260"/>
      <c r="CSA214" s="260"/>
      <c r="CSB214" s="308"/>
      <c r="CSC214" s="290"/>
      <c r="CSD214" s="290"/>
      <c r="CSE214" s="260"/>
      <c r="CSF214" s="260"/>
      <c r="CSG214" s="260"/>
      <c r="CSH214" s="260"/>
      <c r="CSI214" s="260"/>
      <c r="CSJ214" s="2"/>
      <c r="CSK214" s="2"/>
      <c r="CSL214" s="2"/>
      <c r="CSM214" s="2"/>
      <c r="CSN214" s="2"/>
      <c r="CSO214" s="2"/>
      <c r="CSP214" s="260"/>
      <c r="CSQ214" s="2"/>
      <c r="CSR214" s="2"/>
      <c r="CSS214" s="2"/>
      <c r="CST214" s="2"/>
      <c r="CSU214" s="2"/>
      <c r="CSV214" s="2"/>
      <c r="CSW214" s="2"/>
      <c r="CSX214" s="260"/>
      <c r="CSY214" s="260"/>
      <c r="CSZ214" s="260"/>
      <c r="CTA214" s="380"/>
      <c r="CTB214" s="380"/>
      <c r="CTC214" s="380"/>
      <c r="CTD214" s="2"/>
      <c r="CTE214" s="442"/>
      <c r="CTF214" s="442"/>
      <c r="CTG214" s="443"/>
      <c r="CTH214" s="442"/>
      <c r="CTI214" s="442"/>
      <c r="CTJ214" s="2"/>
      <c r="CTK214" s="2"/>
      <c r="CTL214" s="2"/>
      <c r="CTM214" s="2"/>
      <c r="CTN214" s="260"/>
      <c r="CTO214" s="260"/>
      <c r="CTP214" s="260"/>
      <c r="CTQ214" s="260"/>
      <c r="CTR214" s="260"/>
      <c r="CTS214" s="260"/>
      <c r="CTT214" s="308"/>
      <c r="CTU214" s="290"/>
      <c r="CTV214" s="290"/>
      <c r="CTW214" s="260"/>
      <c r="CTX214" s="260"/>
      <c r="CTY214" s="260"/>
      <c r="CTZ214" s="260"/>
      <c r="CUA214" s="260"/>
      <c r="CUB214" s="2"/>
      <c r="CUC214" s="2"/>
      <c r="CUD214" s="2"/>
      <c r="CUE214" s="2"/>
      <c r="CUF214" s="2"/>
      <c r="CUG214" s="2"/>
      <c r="CUH214" s="260"/>
      <c r="CUI214" s="2"/>
      <c r="CUJ214" s="2"/>
      <c r="CUK214" s="2"/>
      <c r="CUL214" s="2"/>
      <c r="CUM214" s="2"/>
      <c r="CUN214" s="2"/>
      <c r="CUO214" s="2"/>
      <c r="CUP214" s="260"/>
      <c r="CUQ214" s="260"/>
      <c r="CUR214" s="260"/>
      <c r="CUS214" s="380"/>
      <c r="CUT214" s="380"/>
      <c r="CUU214" s="380"/>
      <c r="CUV214" s="2"/>
      <c r="CUW214" s="442"/>
      <c r="CUX214" s="442"/>
      <c r="CUY214" s="443"/>
      <c r="CUZ214" s="442"/>
      <c r="CVA214" s="442"/>
      <c r="CVB214" s="2"/>
      <c r="CVC214" s="2"/>
      <c r="CVD214" s="2"/>
      <c r="CVE214" s="2"/>
      <c r="CVF214" s="260"/>
      <c r="CVG214" s="260"/>
      <c r="CVH214" s="260"/>
      <c r="CVI214" s="260"/>
      <c r="CVJ214" s="260"/>
      <c r="CVK214" s="260"/>
      <c r="CVL214" s="308"/>
      <c r="CVM214" s="290"/>
      <c r="CVN214" s="290"/>
      <c r="CVO214" s="260"/>
      <c r="CVP214" s="260"/>
      <c r="CVQ214" s="260"/>
      <c r="CVR214" s="260"/>
      <c r="CVS214" s="260"/>
      <c r="CVT214" s="2"/>
      <c r="CVU214" s="2"/>
      <c r="CVV214" s="2"/>
      <c r="CVW214" s="2"/>
      <c r="CVX214" s="2"/>
      <c r="CVY214" s="2"/>
      <c r="CVZ214" s="260"/>
      <c r="CWA214" s="2"/>
      <c r="CWB214" s="2"/>
      <c r="CWC214" s="2"/>
      <c r="CWD214" s="2"/>
      <c r="CWE214" s="2"/>
      <c r="CWF214" s="2"/>
      <c r="CWG214" s="2"/>
      <c r="CWH214" s="260"/>
      <c r="CWI214" s="260"/>
      <c r="CWJ214" s="260"/>
      <c r="CWK214" s="380"/>
      <c r="CWL214" s="380"/>
      <c r="CWM214" s="380"/>
      <c r="CWN214" s="2"/>
      <c r="CWO214" s="442"/>
      <c r="CWP214" s="442"/>
      <c r="CWQ214" s="443"/>
      <c r="CWR214" s="442"/>
      <c r="CWS214" s="442"/>
      <c r="CWT214" s="2"/>
      <c r="CWU214" s="2"/>
      <c r="CWV214" s="2"/>
      <c r="CWW214" s="2"/>
      <c r="CWX214" s="260"/>
      <c r="CWY214" s="260"/>
      <c r="CWZ214" s="260"/>
      <c r="CXA214" s="260"/>
      <c r="CXB214" s="260"/>
      <c r="CXC214" s="260"/>
      <c r="CXD214" s="308"/>
      <c r="CXE214" s="290"/>
      <c r="CXF214" s="290"/>
      <c r="CXG214" s="260"/>
      <c r="CXH214" s="260"/>
      <c r="CXI214" s="260"/>
      <c r="CXJ214" s="260"/>
      <c r="CXK214" s="260"/>
      <c r="CXL214" s="2"/>
      <c r="CXM214" s="2"/>
      <c r="CXN214" s="2"/>
      <c r="CXO214" s="2"/>
      <c r="CXP214" s="2"/>
      <c r="CXQ214" s="2"/>
      <c r="CXR214" s="260"/>
      <c r="CXS214" s="2"/>
      <c r="CXT214" s="2"/>
      <c r="CXU214" s="2"/>
      <c r="CXV214" s="2"/>
      <c r="CXW214" s="2"/>
      <c r="CXX214" s="2"/>
      <c r="CXY214" s="2"/>
      <c r="CXZ214" s="260"/>
      <c r="CYA214" s="260"/>
      <c r="CYB214" s="260"/>
      <c r="CYC214" s="380"/>
      <c r="CYD214" s="380"/>
      <c r="CYE214" s="380"/>
      <c r="CYF214" s="2"/>
      <c r="CYG214" s="442"/>
      <c r="CYH214" s="442"/>
      <c r="CYI214" s="443"/>
      <c r="CYJ214" s="442"/>
      <c r="CYK214" s="442"/>
      <c r="CYL214" s="2"/>
      <c r="CYM214" s="2"/>
      <c r="CYN214" s="2"/>
      <c r="CYO214" s="2"/>
      <c r="CYP214" s="260"/>
      <c r="CYQ214" s="260"/>
      <c r="CYR214" s="260"/>
      <c r="CYS214" s="260"/>
      <c r="CYT214" s="260"/>
      <c r="CYU214" s="260"/>
      <c r="CYV214" s="308"/>
      <c r="CYW214" s="290"/>
      <c r="CYX214" s="290"/>
      <c r="CYY214" s="260"/>
      <c r="CYZ214" s="260"/>
      <c r="CZA214" s="260"/>
      <c r="CZB214" s="260"/>
      <c r="CZC214" s="260"/>
      <c r="CZD214" s="2"/>
      <c r="CZE214" s="2"/>
      <c r="CZF214" s="2"/>
      <c r="CZG214" s="2"/>
      <c r="CZH214" s="2"/>
      <c r="CZI214" s="2"/>
      <c r="CZJ214" s="260"/>
      <c r="CZK214" s="2"/>
      <c r="CZL214" s="2"/>
      <c r="CZM214" s="2"/>
      <c r="CZN214" s="2"/>
      <c r="CZO214" s="2"/>
      <c r="CZP214" s="2"/>
      <c r="CZQ214" s="2"/>
      <c r="CZR214" s="260"/>
      <c r="CZS214" s="260"/>
      <c r="CZT214" s="260"/>
      <c r="CZU214" s="380"/>
      <c r="CZV214" s="380"/>
      <c r="CZW214" s="380"/>
      <c r="CZX214" s="2"/>
      <c r="CZY214" s="442"/>
      <c r="CZZ214" s="442"/>
      <c r="DAA214" s="443"/>
      <c r="DAB214" s="442"/>
      <c r="DAC214" s="442"/>
      <c r="DAD214" s="2"/>
      <c r="DAE214" s="2"/>
      <c r="DAF214" s="2"/>
      <c r="DAG214" s="2"/>
      <c r="DAH214" s="260"/>
      <c r="DAI214" s="260"/>
      <c r="DAJ214" s="260"/>
      <c r="DAK214" s="260"/>
      <c r="DAL214" s="260"/>
      <c r="DAM214" s="260"/>
      <c r="DAN214" s="308"/>
      <c r="DAO214" s="290"/>
      <c r="DAP214" s="290"/>
      <c r="DAQ214" s="260"/>
      <c r="DAR214" s="260"/>
      <c r="DAS214" s="260"/>
      <c r="DAT214" s="260"/>
      <c r="DAU214" s="260"/>
      <c r="DAV214" s="2"/>
      <c r="DAW214" s="2"/>
      <c r="DAX214" s="2"/>
      <c r="DAY214" s="2"/>
      <c r="DAZ214" s="2"/>
      <c r="DBA214" s="2"/>
      <c r="DBB214" s="260"/>
      <c r="DBC214" s="2"/>
      <c r="DBD214" s="2"/>
      <c r="DBE214" s="2"/>
      <c r="DBF214" s="2"/>
      <c r="DBG214" s="2"/>
      <c r="DBH214" s="2"/>
      <c r="DBI214" s="2"/>
      <c r="DBJ214" s="260"/>
      <c r="DBK214" s="260"/>
      <c r="DBL214" s="260"/>
      <c r="DBM214" s="380"/>
      <c r="DBN214" s="380"/>
      <c r="DBO214" s="380"/>
      <c r="DBP214" s="2"/>
      <c r="DBQ214" s="442"/>
      <c r="DBR214" s="442"/>
      <c r="DBS214" s="443"/>
      <c r="DBT214" s="442"/>
      <c r="DBU214" s="442"/>
      <c r="DBV214" s="2"/>
      <c r="DBW214" s="2"/>
      <c r="DBX214" s="2"/>
      <c r="DBY214" s="2"/>
      <c r="DBZ214" s="260"/>
      <c r="DCA214" s="260"/>
      <c r="DCB214" s="260"/>
      <c r="DCC214" s="260"/>
      <c r="DCD214" s="260"/>
      <c r="DCE214" s="260"/>
      <c r="DCF214" s="308"/>
      <c r="DCG214" s="290"/>
      <c r="DCH214" s="290"/>
      <c r="DCI214" s="260"/>
      <c r="DCJ214" s="260"/>
      <c r="DCK214" s="260"/>
      <c r="DCL214" s="260"/>
      <c r="DCM214" s="260"/>
      <c r="DCN214" s="2"/>
      <c r="DCO214" s="2"/>
      <c r="DCP214" s="2"/>
      <c r="DCQ214" s="2"/>
      <c r="DCR214" s="2"/>
      <c r="DCS214" s="2"/>
      <c r="DCT214" s="260"/>
      <c r="DCU214" s="2"/>
      <c r="DCV214" s="2"/>
      <c r="DCW214" s="2"/>
      <c r="DCX214" s="2"/>
      <c r="DCY214" s="2"/>
      <c r="DCZ214" s="2"/>
      <c r="DDA214" s="2"/>
      <c r="DDB214" s="260"/>
      <c r="DDC214" s="260"/>
      <c r="DDD214" s="260"/>
      <c r="DDE214" s="380"/>
      <c r="DDF214" s="380"/>
      <c r="DDG214" s="380"/>
      <c r="DDH214" s="2"/>
      <c r="DDI214" s="442"/>
      <c r="DDJ214" s="442"/>
      <c r="DDK214" s="443"/>
      <c r="DDL214" s="442"/>
      <c r="DDM214" s="442"/>
      <c r="DDN214" s="2"/>
      <c r="DDO214" s="2"/>
      <c r="DDP214" s="2"/>
      <c r="DDQ214" s="2"/>
      <c r="DDR214" s="260"/>
      <c r="DDS214" s="260"/>
      <c r="DDT214" s="260"/>
      <c r="DDU214" s="260"/>
      <c r="DDV214" s="260"/>
      <c r="DDW214" s="260"/>
      <c r="DDX214" s="308"/>
      <c r="DDY214" s="290"/>
      <c r="DDZ214" s="290"/>
      <c r="DEA214" s="260"/>
      <c r="DEB214" s="260"/>
      <c r="DEC214" s="260"/>
      <c r="DED214" s="260"/>
      <c r="DEE214" s="260"/>
      <c r="DEF214" s="2"/>
      <c r="DEG214" s="2"/>
      <c r="DEH214" s="2"/>
      <c r="DEI214" s="2"/>
      <c r="DEJ214" s="2"/>
      <c r="DEK214" s="2"/>
      <c r="DEL214" s="260"/>
      <c r="DEM214" s="2"/>
      <c r="DEN214" s="2"/>
      <c r="DEO214" s="2"/>
      <c r="DEP214" s="2"/>
      <c r="DEQ214" s="2"/>
      <c r="DER214" s="2"/>
      <c r="DES214" s="2"/>
      <c r="DET214" s="260"/>
      <c r="DEU214" s="260"/>
      <c r="DEV214" s="260"/>
      <c r="DEW214" s="380"/>
      <c r="DEX214" s="380"/>
      <c r="DEY214" s="380"/>
      <c r="DEZ214" s="2"/>
      <c r="DFA214" s="442"/>
      <c r="DFB214" s="442"/>
      <c r="DFC214" s="443"/>
      <c r="DFD214" s="442"/>
      <c r="DFE214" s="442"/>
      <c r="DFF214" s="2"/>
      <c r="DFG214" s="2"/>
      <c r="DFH214" s="2"/>
      <c r="DFI214" s="2"/>
      <c r="DFJ214" s="260"/>
      <c r="DFK214" s="260"/>
      <c r="DFL214" s="260"/>
      <c r="DFM214" s="260"/>
      <c r="DFN214" s="260"/>
      <c r="DFO214" s="260"/>
      <c r="DFP214" s="308"/>
      <c r="DFQ214" s="290"/>
      <c r="DFR214" s="290"/>
      <c r="DFS214" s="260"/>
      <c r="DFT214" s="260"/>
      <c r="DFU214" s="260"/>
      <c r="DFV214" s="260"/>
      <c r="DFW214" s="260"/>
      <c r="DFX214" s="2"/>
      <c r="DFY214" s="2"/>
      <c r="DFZ214" s="2"/>
      <c r="DGA214" s="2"/>
      <c r="DGB214" s="2"/>
      <c r="DGC214" s="2"/>
      <c r="DGD214" s="260"/>
      <c r="DGE214" s="2"/>
      <c r="DGF214" s="2"/>
      <c r="DGG214" s="2"/>
      <c r="DGH214" s="2"/>
      <c r="DGI214" s="2"/>
      <c r="DGJ214" s="2"/>
      <c r="DGK214" s="2"/>
      <c r="DGL214" s="260"/>
      <c r="DGM214" s="260"/>
      <c r="DGN214" s="260"/>
      <c r="DGO214" s="380"/>
      <c r="DGP214" s="380"/>
      <c r="DGQ214" s="380"/>
      <c r="DGR214" s="2"/>
      <c r="DGS214" s="442"/>
      <c r="DGT214" s="442"/>
      <c r="DGU214" s="443"/>
      <c r="DGV214" s="442"/>
      <c r="DGW214" s="442"/>
      <c r="DGX214" s="2"/>
      <c r="DGY214" s="2"/>
      <c r="DGZ214" s="2"/>
      <c r="DHA214" s="2"/>
      <c r="DHB214" s="260"/>
      <c r="DHC214" s="260"/>
      <c r="DHD214" s="260"/>
      <c r="DHE214" s="260"/>
      <c r="DHF214" s="260"/>
      <c r="DHG214" s="260"/>
      <c r="DHH214" s="308"/>
      <c r="DHI214" s="290"/>
      <c r="DHJ214" s="290"/>
      <c r="DHK214" s="260"/>
      <c r="DHL214" s="260"/>
      <c r="DHM214" s="260"/>
      <c r="DHN214" s="260"/>
      <c r="DHO214" s="260"/>
      <c r="DHP214" s="2"/>
      <c r="DHQ214" s="2"/>
      <c r="DHR214" s="2"/>
      <c r="DHS214" s="2"/>
      <c r="DHT214" s="2"/>
      <c r="DHU214" s="2"/>
      <c r="DHV214" s="260"/>
      <c r="DHW214" s="2"/>
      <c r="DHX214" s="2"/>
      <c r="DHY214" s="2"/>
      <c r="DHZ214" s="2"/>
      <c r="DIA214" s="2"/>
      <c r="DIB214" s="2"/>
      <c r="DIC214" s="2"/>
      <c r="DID214" s="260"/>
      <c r="DIE214" s="260"/>
      <c r="DIF214" s="260"/>
      <c r="DIG214" s="380"/>
      <c r="DIH214" s="380"/>
      <c r="DII214" s="380"/>
      <c r="DIJ214" s="2"/>
      <c r="DIK214" s="442"/>
      <c r="DIL214" s="442"/>
      <c r="DIM214" s="443"/>
      <c r="DIN214" s="442"/>
      <c r="DIO214" s="442"/>
      <c r="DIP214" s="2"/>
      <c r="DIQ214" s="2"/>
      <c r="DIR214" s="2"/>
      <c r="DIS214" s="2"/>
      <c r="DIT214" s="260"/>
      <c r="DIU214" s="260"/>
      <c r="DIV214" s="260"/>
      <c r="DIW214" s="260"/>
      <c r="DIX214" s="260"/>
      <c r="DIY214" s="260"/>
      <c r="DIZ214" s="308"/>
      <c r="DJA214" s="290"/>
      <c r="DJB214" s="290"/>
      <c r="DJC214" s="260"/>
      <c r="DJD214" s="260"/>
      <c r="DJE214" s="260"/>
      <c r="DJF214" s="260"/>
      <c r="DJG214" s="260"/>
      <c r="DJH214" s="2"/>
      <c r="DJI214" s="2"/>
      <c r="DJJ214" s="2"/>
      <c r="DJK214" s="2"/>
      <c r="DJL214" s="2"/>
      <c r="DJM214" s="2"/>
      <c r="DJN214" s="260"/>
      <c r="DJO214" s="2"/>
      <c r="DJP214" s="2"/>
      <c r="DJQ214" s="2"/>
      <c r="DJR214" s="2"/>
      <c r="DJS214" s="2"/>
      <c r="DJT214" s="2"/>
      <c r="DJU214" s="2"/>
      <c r="DJV214" s="260"/>
      <c r="DJW214" s="260"/>
      <c r="DJX214" s="260"/>
      <c r="DJY214" s="380"/>
      <c r="DJZ214" s="380"/>
      <c r="DKA214" s="380"/>
      <c r="DKB214" s="2"/>
      <c r="DKC214" s="442"/>
      <c r="DKD214" s="442"/>
      <c r="DKE214" s="443"/>
      <c r="DKF214" s="442"/>
      <c r="DKG214" s="442"/>
      <c r="DKH214" s="2"/>
      <c r="DKI214" s="2"/>
      <c r="DKJ214" s="2"/>
      <c r="DKK214" s="2"/>
      <c r="DKL214" s="260"/>
      <c r="DKM214" s="260"/>
      <c r="DKN214" s="260"/>
      <c r="DKO214" s="260"/>
      <c r="DKP214" s="260"/>
      <c r="DKQ214" s="260"/>
      <c r="DKR214" s="308"/>
      <c r="DKS214" s="290"/>
      <c r="DKT214" s="290"/>
      <c r="DKU214" s="260"/>
      <c r="DKV214" s="260"/>
      <c r="DKW214" s="260"/>
      <c r="DKX214" s="260"/>
      <c r="DKY214" s="260"/>
      <c r="DKZ214" s="2"/>
      <c r="DLA214" s="2"/>
      <c r="DLB214" s="2"/>
      <c r="DLC214" s="2"/>
      <c r="DLD214" s="2"/>
      <c r="DLE214" s="2"/>
      <c r="DLF214" s="260"/>
      <c r="DLG214" s="2"/>
      <c r="DLH214" s="2"/>
      <c r="DLI214" s="2"/>
      <c r="DLJ214" s="2"/>
      <c r="DLK214" s="2"/>
      <c r="DLL214" s="2"/>
      <c r="DLM214" s="2"/>
      <c r="DLN214" s="260"/>
      <c r="DLO214" s="260"/>
      <c r="DLP214" s="260"/>
      <c r="DLQ214" s="380"/>
      <c r="DLR214" s="380"/>
      <c r="DLS214" s="380"/>
      <c r="DLT214" s="2"/>
      <c r="DLU214" s="442"/>
      <c r="DLV214" s="442"/>
      <c r="DLW214" s="443"/>
      <c r="DLX214" s="442"/>
      <c r="DLY214" s="442"/>
      <c r="DLZ214" s="2"/>
      <c r="DMA214" s="2"/>
      <c r="DMB214" s="2"/>
      <c r="DMC214" s="2"/>
      <c r="DMD214" s="260"/>
      <c r="DME214" s="260"/>
      <c r="DMF214" s="260"/>
      <c r="DMG214" s="260"/>
      <c r="DMH214" s="260"/>
      <c r="DMI214" s="260"/>
      <c r="DMJ214" s="308"/>
      <c r="DMK214" s="290"/>
      <c r="DML214" s="290"/>
      <c r="DMM214" s="260"/>
      <c r="DMN214" s="260"/>
      <c r="DMO214" s="260"/>
      <c r="DMP214" s="260"/>
      <c r="DMQ214" s="260"/>
      <c r="DMR214" s="2"/>
      <c r="DMS214" s="2"/>
      <c r="DMT214" s="2"/>
      <c r="DMU214" s="2"/>
      <c r="DMV214" s="2"/>
      <c r="DMW214" s="2"/>
      <c r="DMX214" s="260"/>
      <c r="DMY214" s="2"/>
      <c r="DMZ214" s="2"/>
      <c r="DNA214" s="2"/>
      <c r="DNB214" s="2"/>
      <c r="DNC214" s="2"/>
      <c r="DND214" s="2"/>
      <c r="DNE214" s="2"/>
      <c r="DNF214" s="260"/>
      <c r="DNG214" s="260"/>
      <c r="DNH214" s="260"/>
      <c r="DNI214" s="380"/>
      <c r="DNJ214" s="380"/>
      <c r="DNK214" s="380"/>
      <c r="DNL214" s="2"/>
      <c r="DNM214" s="442"/>
      <c r="DNN214" s="442"/>
      <c r="DNO214" s="443"/>
      <c r="DNP214" s="442"/>
      <c r="DNQ214" s="442"/>
      <c r="DNR214" s="2"/>
      <c r="DNS214" s="2"/>
      <c r="DNT214" s="2"/>
      <c r="DNU214" s="2"/>
      <c r="DNV214" s="260"/>
      <c r="DNW214" s="260"/>
      <c r="DNX214" s="260"/>
      <c r="DNY214" s="260"/>
      <c r="DNZ214" s="260"/>
      <c r="DOA214" s="260"/>
      <c r="DOB214" s="308"/>
      <c r="DOC214" s="290"/>
      <c r="DOD214" s="290"/>
      <c r="DOE214" s="260"/>
      <c r="DOF214" s="260"/>
      <c r="DOG214" s="260"/>
      <c r="DOH214" s="260"/>
      <c r="DOI214" s="260"/>
      <c r="DOJ214" s="2"/>
      <c r="DOK214" s="2"/>
      <c r="DOL214" s="2"/>
      <c r="DOM214" s="2"/>
      <c r="DON214" s="2"/>
      <c r="DOO214" s="2"/>
      <c r="DOP214" s="260"/>
      <c r="DOQ214" s="2"/>
      <c r="DOR214" s="2"/>
      <c r="DOS214" s="2"/>
      <c r="DOT214" s="2"/>
      <c r="DOU214" s="2"/>
      <c r="DOV214" s="2"/>
      <c r="DOW214" s="2"/>
      <c r="DOX214" s="260"/>
      <c r="DOY214" s="260"/>
      <c r="DOZ214" s="260"/>
      <c r="DPA214" s="380"/>
      <c r="DPB214" s="380"/>
      <c r="DPC214" s="380"/>
      <c r="DPD214" s="2"/>
      <c r="DPE214" s="442"/>
      <c r="DPF214" s="442"/>
      <c r="DPG214" s="443"/>
      <c r="DPH214" s="442"/>
      <c r="DPI214" s="442"/>
      <c r="DPJ214" s="2"/>
      <c r="DPK214" s="2"/>
      <c r="DPL214" s="2"/>
      <c r="DPM214" s="2"/>
      <c r="DPN214" s="260"/>
      <c r="DPO214" s="260"/>
      <c r="DPP214" s="260"/>
      <c r="DPQ214" s="260"/>
      <c r="DPR214" s="260"/>
      <c r="DPS214" s="260"/>
      <c r="DPT214" s="308"/>
      <c r="DPU214" s="290"/>
      <c r="DPV214" s="290"/>
      <c r="DPW214" s="260"/>
      <c r="DPX214" s="260"/>
      <c r="DPY214" s="260"/>
      <c r="DPZ214" s="260"/>
      <c r="DQA214" s="260"/>
      <c r="DQB214" s="2"/>
      <c r="DQC214" s="2"/>
      <c r="DQD214" s="2"/>
      <c r="DQE214" s="2"/>
      <c r="DQF214" s="2"/>
      <c r="DQG214" s="2"/>
      <c r="DQH214" s="260"/>
      <c r="DQI214" s="2"/>
      <c r="DQJ214" s="2"/>
      <c r="DQK214" s="2"/>
      <c r="DQL214" s="2"/>
      <c r="DQM214" s="2"/>
      <c r="DQN214" s="2"/>
      <c r="DQO214" s="2"/>
      <c r="DQP214" s="260"/>
      <c r="DQQ214" s="260"/>
      <c r="DQR214" s="260"/>
      <c r="DQS214" s="380"/>
      <c r="DQT214" s="380"/>
      <c r="DQU214" s="380"/>
      <c r="DQV214" s="2"/>
      <c r="DQW214" s="442"/>
      <c r="DQX214" s="442"/>
      <c r="DQY214" s="443"/>
      <c r="DQZ214" s="442"/>
      <c r="DRA214" s="442"/>
      <c r="DRB214" s="2"/>
      <c r="DRC214" s="2"/>
      <c r="DRD214" s="2"/>
      <c r="DRE214" s="2"/>
      <c r="DRF214" s="260"/>
      <c r="DRG214" s="260"/>
      <c r="DRH214" s="260"/>
      <c r="DRI214" s="260"/>
      <c r="DRJ214" s="260"/>
      <c r="DRK214" s="260"/>
      <c r="DRL214" s="308"/>
      <c r="DRM214" s="290"/>
      <c r="DRN214" s="290"/>
      <c r="DRO214" s="260"/>
      <c r="DRP214" s="260"/>
      <c r="DRQ214" s="260"/>
      <c r="DRR214" s="260"/>
      <c r="DRS214" s="260"/>
      <c r="DRT214" s="2"/>
      <c r="DRU214" s="2"/>
      <c r="DRV214" s="2"/>
      <c r="DRW214" s="2"/>
      <c r="DRX214" s="2"/>
      <c r="DRY214" s="2"/>
      <c r="DRZ214" s="260"/>
      <c r="DSA214" s="2"/>
      <c r="DSB214" s="2"/>
      <c r="DSC214" s="2"/>
      <c r="DSD214" s="2"/>
      <c r="DSE214" s="2"/>
      <c r="DSF214" s="2"/>
      <c r="DSG214" s="2"/>
      <c r="DSH214" s="260"/>
      <c r="DSI214" s="260"/>
      <c r="DSJ214" s="260"/>
      <c r="DSK214" s="380"/>
      <c r="DSL214" s="380"/>
      <c r="DSM214" s="380"/>
      <c r="DSN214" s="2"/>
      <c r="DSO214" s="442"/>
      <c r="DSP214" s="442"/>
      <c r="DSQ214" s="443"/>
      <c r="DSR214" s="442"/>
      <c r="DSS214" s="442"/>
      <c r="DST214" s="2"/>
      <c r="DSU214" s="2"/>
      <c r="DSV214" s="2"/>
      <c r="DSW214" s="2"/>
      <c r="DSX214" s="260"/>
      <c r="DSY214" s="260"/>
      <c r="DSZ214" s="260"/>
      <c r="DTA214" s="260"/>
      <c r="DTB214" s="260"/>
      <c r="DTC214" s="260"/>
      <c r="DTD214" s="308"/>
      <c r="DTE214" s="290"/>
      <c r="DTF214" s="290"/>
      <c r="DTG214" s="260"/>
      <c r="DTH214" s="260"/>
      <c r="DTI214" s="260"/>
      <c r="DTJ214" s="260"/>
      <c r="DTK214" s="260"/>
      <c r="DTL214" s="2"/>
      <c r="DTM214" s="2"/>
      <c r="DTN214" s="2"/>
      <c r="DTO214" s="2"/>
      <c r="DTP214" s="2"/>
      <c r="DTQ214" s="2"/>
      <c r="DTR214" s="260"/>
      <c r="DTS214" s="2"/>
      <c r="DTT214" s="2"/>
      <c r="DTU214" s="2"/>
      <c r="DTV214" s="2"/>
      <c r="DTW214" s="2"/>
      <c r="DTX214" s="2"/>
      <c r="DTY214" s="2"/>
      <c r="DTZ214" s="260"/>
      <c r="DUA214" s="260"/>
      <c r="DUB214" s="260"/>
      <c r="DUC214" s="380"/>
      <c r="DUD214" s="380"/>
      <c r="DUE214" s="380"/>
      <c r="DUF214" s="2"/>
      <c r="DUG214" s="442"/>
      <c r="DUH214" s="442"/>
      <c r="DUI214" s="443"/>
      <c r="DUJ214" s="442"/>
      <c r="DUK214" s="442"/>
      <c r="DUL214" s="2"/>
      <c r="DUM214" s="2"/>
      <c r="DUN214" s="2"/>
      <c r="DUO214" s="2"/>
      <c r="DUP214" s="260"/>
      <c r="DUQ214" s="260"/>
      <c r="DUR214" s="260"/>
      <c r="DUS214" s="260"/>
      <c r="DUT214" s="260"/>
      <c r="DUU214" s="260"/>
      <c r="DUV214" s="308"/>
      <c r="DUW214" s="290"/>
      <c r="DUX214" s="290"/>
      <c r="DUY214" s="260"/>
      <c r="DUZ214" s="260"/>
      <c r="DVA214" s="260"/>
      <c r="DVB214" s="260"/>
      <c r="DVC214" s="260"/>
      <c r="DVD214" s="2"/>
      <c r="DVE214" s="2"/>
      <c r="DVF214" s="2"/>
      <c r="DVG214" s="2"/>
      <c r="DVH214" s="2"/>
      <c r="DVI214" s="2"/>
      <c r="DVJ214" s="260"/>
      <c r="DVK214" s="2"/>
      <c r="DVL214" s="2"/>
      <c r="DVM214" s="2"/>
      <c r="DVN214" s="2"/>
      <c r="DVO214" s="2"/>
      <c r="DVP214" s="2"/>
      <c r="DVQ214" s="2"/>
      <c r="DVR214" s="260"/>
      <c r="DVS214" s="260"/>
      <c r="DVT214" s="260"/>
      <c r="DVU214" s="380"/>
      <c r="DVV214" s="380"/>
      <c r="DVW214" s="380"/>
      <c r="DVX214" s="2"/>
      <c r="DVY214" s="442"/>
      <c r="DVZ214" s="442"/>
      <c r="DWA214" s="443"/>
      <c r="DWB214" s="442"/>
      <c r="DWC214" s="442"/>
      <c r="DWD214" s="2"/>
      <c r="DWE214" s="2"/>
      <c r="DWF214" s="2"/>
      <c r="DWG214" s="2"/>
      <c r="DWH214" s="260"/>
      <c r="DWI214" s="260"/>
      <c r="DWJ214" s="260"/>
      <c r="DWK214" s="260"/>
      <c r="DWL214" s="260"/>
      <c r="DWM214" s="260"/>
      <c r="DWN214" s="308"/>
      <c r="DWO214" s="290"/>
      <c r="DWP214" s="290"/>
      <c r="DWQ214" s="260"/>
      <c r="DWR214" s="260"/>
      <c r="DWS214" s="260"/>
      <c r="DWT214" s="260"/>
      <c r="DWU214" s="260"/>
      <c r="DWV214" s="2"/>
      <c r="DWW214" s="2"/>
      <c r="DWX214" s="2"/>
      <c r="DWY214" s="2"/>
      <c r="DWZ214" s="2"/>
      <c r="DXA214" s="2"/>
      <c r="DXB214" s="260"/>
      <c r="DXC214" s="2"/>
      <c r="DXD214" s="2"/>
      <c r="DXE214" s="2"/>
      <c r="DXF214" s="2"/>
      <c r="DXG214" s="2"/>
      <c r="DXH214" s="2"/>
      <c r="DXI214" s="2"/>
      <c r="DXJ214" s="260"/>
      <c r="DXK214" s="260"/>
      <c r="DXL214" s="260"/>
      <c r="DXM214" s="380"/>
      <c r="DXN214" s="380"/>
      <c r="DXO214" s="380"/>
      <c r="DXP214" s="2"/>
      <c r="DXQ214" s="442"/>
      <c r="DXR214" s="442"/>
      <c r="DXS214" s="443"/>
      <c r="DXT214" s="442"/>
      <c r="DXU214" s="442"/>
      <c r="DXV214" s="2"/>
      <c r="DXW214" s="2"/>
      <c r="DXX214" s="2"/>
      <c r="DXY214" s="2"/>
      <c r="DXZ214" s="260"/>
      <c r="DYA214" s="260"/>
      <c r="DYB214" s="260"/>
      <c r="DYC214" s="260"/>
      <c r="DYD214" s="260"/>
      <c r="DYE214" s="260"/>
      <c r="DYF214" s="308"/>
      <c r="DYG214" s="290"/>
      <c r="DYH214" s="290"/>
      <c r="DYI214" s="260"/>
      <c r="DYJ214" s="260"/>
      <c r="DYK214" s="260"/>
      <c r="DYL214" s="260"/>
      <c r="DYM214" s="260"/>
      <c r="DYN214" s="2"/>
      <c r="DYO214" s="2"/>
      <c r="DYP214" s="2"/>
      <c r="DYQ214" s="2"/>
      <c r="DYR214" s="2"/>
      <c r="DYS214" s="2"/>
      <c r="DYT214" s="260"/>
      <c r="DYU214" s="2"/>
      <c r="DYV214" s="2"/>
      <c r="DYW214" s="2"/>
      <c r="DYX214" s="2"/>
      <c r="DYY214" s="2"/>
      <c r="DYZ214" s="2"/>
      <c r="DZA214" s="2"/>
      <c r="DZB214" s="260"/>
      <c r="DZC214" s="260"/>
      <c r="DZD214" s="260"/>
      <c r="DZE214" s="380"/>
      <c r="DZF214" s="380"/>
      <c r="DZG214" s="380"/>
      <c r="DZH214" s="2"/>
      <c r="DZI214" s="442"/>
      <c r="DZJ214" s="442"/>
      <c r="DZK214" s="443"/>
      <c r="DZL214" s="442"/>
      <c r="DZM214" s="442"/>
      <c r="DZN214" s="2"/>
      <c r="DZO214" s="2"/>
      <c r="DZP214" s="2"/>
      <c r="DZQ214" s="2"/>
      <c r="DZR214" s="260"/>
      <c r="DZS214" s="260"/>
      <c r="DZT214" s="260"/>
      <c r="DZU214" s="260"/>
      <c r="DZV214" s="260"/>
      <c r="DZW214" s="260"/>
      <c r="DZX214" s="308"/>
      <c r="DZY214" s="290"/>
      <c r="DZZ214" s="290"/>
      <c r="EAA214" s="260"/>
      <c r="EAB214" s="260"/>
      <c r="EAC214" s="260"/>
      <c r="EAD214" s="260"/>
      <c r="EAE214" s="260"/>
      <c r="EAF214" s="2"/>
      <c r="EAG214" s="2"/>
      <c r="EAH214" s="2"/>
      <c r="EAI214" s="2"/>
      <c r="EAJ214" s="2"/>
      <c r="EAK214" s="2"/>
      <c r="EAL214" s="260"/>
      <c r="EAM214" s="2"/>
      <c r="EAN214" s="2"/>
      <c r="EAO214" s="2"/>
      <c r="EAP214" s="2"/>
      <c r="EAQ214" s="2"/>
      <c r="EAR214" s="2"/>
      <c r="EAS214" s="2"/>
      <c r="EAT214" s="260"/>
      <c r="EAU214" s="260"/>
      <c r="EAV214" s="260"/>
      <c r="EAW214" s="380"/>
      <c r="EAX214" s="380"/>
      <c r="EAY214" s="380"/>
      <c r="EAZ214" s="2"/>
      <c r="EBA214" s="442"/>
      <c r="EBB214" s="442"/>
      <c r="EBC214" s="443"/>
      <c r="EBD214" s="442"/>
      <c r="EBE214" s="442"/>
      <c r="EBF214" s="2"/>
      <c r="EBG214" s="2"/>
      <c r="EBH214" s="2"/>
      <c r="EBI214" s="2"/>
      <c r="EBJ214" s="260"/>
      <c r="EBK214" s="260"/>
      <c r="EBL214" s="260"/>
      <c r="EBM214" s="260"/>
      <c r="EBN214" s="260"/>
      <c r="EBO214" s="260"/>
      <c r="EBP214" s="308"/>
      <c r="EBQ214" s="290"/>
      <c r="EBR214" s="290"/>
      <c r="EBS214" s="260"/>
      <c r="EBT214" s="260"/>
      <c r="EBU214" s="260"/>
      <c r="EBV214" s="260"/>
      <c r="EBW214" s="260"/>
      <c r="EBX214" s="2"/>
      <c r="EBY214" s="2"/>
      <c r="EBZ214" s="2"/>
      <c r="ECA214" s="2"/>
      <c r="ECB214" s="2"/>
      <c r="ECC214" s="2"/>
      <c r="ECD214" s="260"/>
      <c r="ECE214" s="2"/>
      <c r="ECF214" s="2"/>
      <c r="ECG214" s="2"/>
      <c r="ECH214" s="2"/>
      <c r="ECI214" s="2"/>
      <c r="ECJ214" s="2"/>
      <c r="ECK214" s="2"/>
      <c r="ECL214" s="260"/>
      <c r="ECM214" s="260"/>
      <c r="ECN214" s="260"/>
      <c r="ECO214" s="380"/>
      <c r="ECP214" s="380"/>
      <c r="ECQ214" s="380"/>
      <c r="ECR214" s="2"/>
      <c r="ECS214" s="442"/>
      <c r="ECT214" s="442"/>
      <c r="ECU214" s="443"/>
      <c r="ECV214" s="442"/>
      <c r="ECW214" s="442"/>
      <c r="ECX214" s="2"/>
      <c r="ECY214" s="2"/>
      <c r="ECZ214" s="2"/>
      <c r="EDA214" s="2"/>
      <c r="EDB214" s="260"/>
      <c r="EDC214" s="260"/>
      <c r="EDD214" s="260"/>
      <c r="EDE214" s="260"/>
      <c r="EDF214" s="260"/>
      <c r="EDG214" s="260"/>
      <c r="EDH214" s="308"/>
      <c r="EDI214" s="290"/>
      <c r="EDJ214" s="290"/>
      <c r="EDK214" s="260"/>
      <c r="EDL214" s="260"/>
      <c r="EDM214" s="260"/>
      <c r="EDN214" s="260"/>
      <c r="EDO214" s="260"/>
      <c r="EDP214" s="2"/>
      <c r="EDQ214" s="2"/>
      <c r="EDR214" s="2"/>
      <c r="EDS214" s="2"/>
      <c r="EDT214" s="2"/>
      <c r="EDU214" s="2"/>
      <c r="EDV214" s="260"/>
      <c r="EDW214" s="2"/>
      <c r="EDX214" s="2"/>
      <c r="EDY214" s="2"/>
      <c r="EDZ214" s="2"/>
      <c r="EEA214" s="2"/>
      <c r="EEB214" s="2"/>
      <c r="EEC214" s="2"/>
      <c r="EED214" s="260"/>
      <c r="EEE214" s="260"/>
      <c r="EEF214" s="260"/>
      <c r="EEG214" s="380"/>
      <c r="EEH214" s="380"/>
      <c r="EEI214" s="380"/>
      <c r="EEJ214" s="2"/>
      <c r="EEK214" s="442"/>
      <c r="EEL214" s="442"/>
      <c r="EEM214" s="443"/>
      <c r="EEN214" s="442"/>
      <c r="EEO214" s="442"/>
      <c r="EEP214" s="2"/>
      <c r="EEQ214" s="2"/>
      <c r="EER214" s="2"/>
      <c r="EES214" s="2"/>
      <c r="EET214" s="260"/>
      <c r="EEU214" s="260"/>
      <c r="EEV214" s="260"/>
      <c r="EEW214" s="260"/>
      <c r="EEX214" s="260"/>
      <c r="EEY214" s="260"/>
      <c r="EEZ214" s="308"/>
      <c r="EFA214" s="290"/>
      <c r="EFB214" s="290"/>
      <c r="EFC214" s="260"/>
      <c r="EFD214" s="260"/>
      <c r="EFE214" s="260"/>
      <c r="EFF214" s="260"/>
      <c r="EFG214" s="260"/>
      <c r="EFH214" s="2"/>
      <c r="EFI214" s="2"/>
      <c r="EFJ214" s="2"/>
      <c r="EFK214" s="2"/>
      <c r="EFL214" s="2"/>
      <c r="EFM214" s="2"/>
      <c r="EFN214" s="260"/>
      <c r="EFO214" s="2"/>
      <c r="EFP214" s="2"/>
      <c r="EFQ214" s="2"/>
      <c r="EFR214" s="2"/>
      <c r="EFS214" s="2"/>
      <c r="EFT214" s="2"/>
      <c r="EFU214" s="2"/>
      <c r="EFV214" s="260"/>
      <c r="EFW214" s="260"/>
      <c r="EFX214" s="260"/>
      <c r="EFY214" s="380"/>
      <c r="EFZ214" s="380"/>
      <c r="EGA214" s="380"/>
      <c r="EGB214" s="2"/>
      <c r="EGC214" s="442"/>
      <c r="EGD214" s="442"/>
      <c r="EGE214" s="443"/>
      <c r="EGF214" s="442"/>
      <c r="EGG214" s="442"/>
      <c r="EGH214" s="2"/>
      <c r="EGI214" s="2"/>
      <c r="EGJ214" s="2"/>
      <c r="EGK214" s="2"/>
      <c r="EGL214" s="260"/>
      <c r="EGM214" s="260"/>
      <c r="EGN214" s="260"/>
      <c r="EGO214" s="260"/>
      <c r="EGP214" s="260"/>
      <c r="EGQ214" s="260"/>
      <c r="EGR214" s="308"/>
      <c r="EGS214" s="290"/>
      <c r="EGT214" s="290"/>
      <c r="EGU214" s="260"/>
      <c r="EGV214" s="260"/>
      <c r="EGW214" s="260"/>
      <c r="EGX214" s="260"/>
      <c r="EGY214" s="260"/>
      <c r="EGZ214" s="2"/>
      <c r="EHA214" s="2"/>
      <c r="EHB214" s="2"/>
      <c r="EHC214" s="2"/>
      <c r="EHD214" s="2"/>
      <c r="EHE214" s="2"/>
      <c r="EHF214" s="260"/>
      <c r="EHG214" s="2"/>
      <c r="EHH214" s="2"/>
      <c r="EHI214" s="2"/>
      <c r="EHJ214" s="2"/>
      <c r="EHK214" s="2"/>
      <c r="EHL214" s="2"/>
      <c r="EHM214" s="2"/>
      <c r="EHN214" s="260"/>
      <c r="EHO214" s="260"/>
      <c r="EHP214" s="260"/>
      <c r="EHQ214" s="380"/>
      <c r="EHR214" s="380"/>
      <c r="EHS214" s="380"/>
      <c r="EHT214" s="2"/>
      <c r="EHU214" s="442"/>
      <c r="EHV214" s="442"/>
      <c r="EHW214" s="443"/>
      <c r="EHX214" s="442"/>
      <c r="EHY214" s="442"/>
      <c r="EHZ214" s="2"/>
      <c r="EIA214" s="2"/>
      <c r="EIB214" s="2"/>
      <c r="EIC214" s="2"/>
      <c r="EID214" s="260"/>
      <c r="EIE214" s="260"/>
      <c r="EIF214" s="260"/>
      <c r="EIG214" s="260"/>
      <c r="EIH214" s="260"/>
      <c r="EII214" s="260"/>
      <c r="EIJ214" s="308"/>
      <c r="EIK214" s="290"/>
      <c r="EIL214" s="290"/>
      <c r="EIM214" s="260"/>
      <c r="EIN214" s="260"/>
      <c r="EIO214" s="260"/>
      <c r="EIP214" s="260"/>
      <c r="EIQ214" s="260"/>
      <c r="EIR214" s="2"/>
      <c r="EIS214" s="2"/>
      <c r="EIT214" s="2"/>
      <c r="EIU214" s="2"/>
      <c r="EIV214" s="2"/>
      <c r="EIW214" s="2"/>
      <c r="EIX214" s="260"/>
      <c r="EIY214" s="2"/>
      <c r="EIZ214" s="2"/>
      <c r="EJA214" s="2"/>
      <c r="EJB214" s="2"/>
      <c r="EJC214" s="2"/>
      <c r="EJD214" s="2"/>
      <c r="EJE214" s="2"/>
      <c r="EJF214" s="260"/>
      <c r="EJG214" s="260"/>
      <c r="EJH214" s="260"/>
      <c r="EJI214" s="380"/>
      <c r="EJJ214" s="380"/>
      <c r="EJK214" s="380"/>
      <c r="EJL214" s="2"/>
      <c r="EJM214" s="442"/>
      <c r="EJN214" s="442"/>
      <c r="EJO214" s="443"/>
      <c r="EJP214" s="442"/>
      <c r="EJQ214" s="442"/>
      <c r="EJR214" s="2"/>
      <c r="EJS214" s="2"/>
      <c r="EJT214" s="2"/>
      <c r="EJU214" s="2"/>
      <c r="EJV214" s="260"/>
      <c r="EJW214" s="260"/>
      <c r="EJX214" s="260"/>
      <c r="EJY214" s="260"/>
      <c r="EJZ214" s="260"/>
      <c r="EKA214" s="260"/>
      <c r="EKB214" s="308"/>
      <c r="EKC214" s="290"/>
      <c r="EKD214" s="290"/>
      <c r="EKE214" s="260"/>
      <c r="EKF214" s="260"/>
      <c r="EKG214" s="260"/>
      <c r="EKH214" s="260"/>
      <c r="EKI214" s="260"/>
      <c r="EKJ214" s="2"/>
      <c r="EKK214" s="2"/>
      <c r="EKL214" s="2"/>
      <c r="EKM214" s="2"/>
      <c r="EKN214" s="2"/>
      <c r="EKO214" s="2"/>
      <c r="EKP214" s="260"/>
      <c r="EKQ214" s="2"/>
      <c r="EKR214" s="2"/>
      <c r="EKS214" s="2"/>
      <c r="EKT214" s="2"/>
      <c r="EKU214" s="2"/>
      <c r="EKV214" s="2"/>
      <c r="EKW214" s="2"/>
      <c r="EKX214" s="260"/>
      <c r="EKY214" s="260"/>
      <c r="EKZ214" s="260"/>
      <c r="ELA214" s="380"/>
      <c r="ELB214" s="380"/>
      <c r="ELC214" s="380"/>
      <c r="ELD214" s="2"/>
      <c r="ELE214" s="442"/>
      <c r="ELF214" s="442"/>
      <c r="ELG214" s="443"/>
      <c r="ELH214" s="442"/>
      <c r="ELI214" s="442"/>
      <c r="ELJ214" s="2"/>
      <c r="ELK214" s="2"/>
      <c r="ELL214" s="2"/>
      <c r="ELM214" s="2"/>
      <c r="ELN214" s="260"/>
      <c r="ELO214" s="260"/>
      <c r="ELP214" s="260"/>
      <c r="ELQ214" s="260"/>
      <c r="ELR214" s="260"/>
      <c r="ELS214" s="260"/>
      <c r="ELT214" s="308"/>
      <c r="ELU214" s="290"/>
      <c r="ELV214" s="290"/>
      <c r="ELW214" s="260"/>
      <c r="ELX214" s="260"/>
      <c r="ELY214" s="260"/>
      <c r="ELZ214" s="260"/>
      <c r="EMA214" s="260"/>
      <c r="EMB214" s="2"/>
      <c r="EMC214" s="2"/>
      <c r="EMD214" s="2"/>
      <c r="EME214" s="2"/>
      <c r="EMF214" s="2"/>
      <c r="EMG214" s="2"/>
      <c r="EMH214" s="260"/>
      <c r="EMI214" s="2"/>
      <c r="EMJ214" s="2"/>
      <c r="EMK214" s="2"/>
      <c r="EML214" s="2"/>
      <c r="EMM214" s="2"/>
      <c r="EMN214" s="2"/>
      <c r="EMO214" s="2"/>
      <c r="EMP214" s="260"/>
      <c r="EMQ214" s="260"/>
      <c r="EMR214" s="260"/>
      <c r="EMS214" s="380"/>
      <c r="EMT214" s="380"/>
      <c r="EMU214" s="380"/>
      <c r="EMV214" s="2"/>
      <c r="EMW214" s="442"/>
      <c r="EMX214" s="442"/>
      <c r="EMY214" s="443"/>
      <c r="EMZ214" s="442"/>
      <c r="ENA214" s="442"/>
      <c r="ENB214" s="2"/>
      <c r="ENC214" s="2"/>
      <c r="END214" s="2"/>
      <c r="ENE214" s="2"/>
      <c r="ENF214" s="260"/>
      <c r="ENG214" s="260"/>
      <c r="ENH214" s="260"/>
      <c r="ENI214" s="260"/>
      <c r="ENJ214" s="260"/>
      <c r="ENK214" s="260"/>
      <c r="ENL214" s="308"/>
      <c r="ENM214" s="290"/>
      <c r="ENN214" s="290"/>
      <c r="ENO214" s="260"/>
      <c r="ENP214" s="260"/>
      <c r="ENQ214" s="260"/>
      <c r="ENR214" s="260"/>
      <c r="ENS214" s="260"/>
      <c r="ENT214" s="2"/>
      <c r="ENU214" s="2"/>
      <c r="ENV214" s="2"/>
      <c r="ENW214" s="2"/>
      <c r="ENX214" s="2"/>
      <c r="ENY214" s="2"/>
      <c r="ENZ214" s="260"/>
      <c r="EOA214" s="2"/>
      <c r="EOB214" s="2"/>
      <c r="EOC214" s="2"/>
      <c r="EOD214" s="2"/>
      <c r="EOE214" s="2"/>
      <c r="EOF214" s="2"/>
      <c r="EOG214" s="2"/>
      <c r="EOH214" s="260"/>
      <c r="EOI214" s="260"/>
      <c r="EOJ214" s="260"/>
      <c r="EOK214" s="380"/>
      <c r="EOL214" s="380"/>
      <c r="EOM214" s="380"/>
      <c r="EON214" s="2"/>
      <c r="EOO214" s="442"/>
      <c r="EOP214" s="442"/>
      <c r="EOQ214" s="443"/>
      <c r="EOR214" s="442"/>
      <c r="EOS214" s="442"/>
      <c r="EOT214" s="2"/>
      <c r="EOU214" s="2"/>
      <c r="EOV214" s="2"/>
      <c r="EOW214" s="2"/>
      <c r="EOX214" s="260"/>
      <c r="EOY214" s="260"/>
      <c r="EOZ214" s="260"/>
      <c r="EPA214" s="260"/>
      <c r="EPB214" s="260"/>
      <c r="EPC214" s="260"/>
      <c r="EPD214" s="308"/>
      <c r="EPE214" s="290"/>
      <c r="EPF214" s="290"/>
      <c r="EPG214" s="260"/>
      <c r="EPH214" s="260"/>
      <c r="EPI214" s="260"/>
      <c r="EPJ214" s="260"/>
      <c r="EPK214" s="260"/>
      <c r="EPL214" s="2"/>
      <c r="EPM214" s="2"/>
      <c r="EPN214" s="2"/>
      <c r="EPO214" s="2"/>
      <c r="EPP214" s="2"/>
      <c r="EPQ214" s="2"/>
      <c r="EPR214" s="260"/>
      <c r="EPS214" s="2"/>
      <c r="EPT214" s="2"/>
      <c r="EPU214" s="2"/>
      <c r="EPV214" s="2"/>
      <c r="EPW214" s="2"/>
      <c r="EPX214" s="2"/>
      <c r="EPY214" s="2"/>
      <c r="EPZ214" s="260"/>
      <c r="EQA214" s="260"/>
      <c r="EQB214" s="260"/>
      <c r="EQC214" s="380"/>
      <c r="EQD214" s="380"/>
      <c r="EQE214" s="380"/>
      <c r="EQF214" s="2"/>
      <c r="EQG214" s="442"/>
      <c r="EQH214" s="442"/>
      <c r="EQI214" s="443"/>
      <c r="EQJ214" s="442"/>
      <c r="EQK214" s="442"/>
      <c r="EQL214" s="2"/>
      <c r="EQM214" s="2"/>
      <c r="EQN214" s="2"/>
      <c r="EQO214" s="2"/>
      <c r="EQP214" s="260"/>
      <c r="EQQ214" s="260"/>
      <c r="EQR214" s="260"/>
      <c r="EQS214" s="260"/>
      <c r="EQT214" s="260"/>
      <c r="EQU214" s="260"/>
      <c r="EQV214" s="308"/>
      <c r="EQW214" s="290"/>
      <c r="EQX214" s="290"/>
      <c r="EQY214" s="260"/>
      <c r="EQZ214" s="260"/>
      <c r="ERA214" s="260"/>
      <c r="ERB214" s="260"/>
      <c r="ERC214" s="260"/>
      <c r="ERD214" s="2"/>
      <c r="ERE214" s="2"/>
      <c r="ERF214" s="2"/>
      <c r="ERG214" s="2"/>
      <c r="ERH214" s="2"/>
      <c r="ERI214" s="2"/>
      <c r="ERJ214" s="260"/>
      <c r="ERK214" s="2"/>
      <c r="ERL214" s="2"/>
      <c r="ERM214" s="2"/>
      <c r="ERN214" s="2"/>
      <c r="ERO214" s="2"/>
      <c r="ERP214" s="2"/>
      <c r="ERQ214" s="2"/>
      <c r="ERR214" s="260"/>
      <c r="ERS214" s="260"/>
      <c r="ERT214" s="260"/>
      <c r="ERU214" s="380"/>
      <c r="ERV214" s="380"/>
      <c r="ERW214" s="380"/>
      <c r="ERX214" s="2"/>
      <c r="ERY214" s="442"/>
      <c r="ERZ214" s="442"/>
      <c r="ESA214" s="443"/>
      <c r="ESB214" s="442"/>
      <c r="ESC214" s="442"/>
      <c r="ESD214" s="2"/>
      <c r="ESE214" s="2"/>
      <c r="ESF214" s="2"/>
      <c r="ESG214" s="2"/>
      <c r="ESH214" s="260"/>
      <c r="ESI214" s="260"/>
      <c r="ESJ214" s="260"/>
      <c r="ESK214" s="260"/>
      <c r="ESL214" s="260"/>
      <c r="ESM214" s="260"/>
      <c r="ESN214" s="308"/>
      <c r="ESO214" s="290"/>
      <c r="ESP214" s="290"/>
      <c r="ESQ214" s="260"/>
      <c r="ESR214" s="260"/>
      <c r="ESS214" s="260"/>
      <c r="EST214" s="260"/>
      <c r="ESU214" s="260"/>
      <c r="ESV214" s="2"/>
      <c r="ESW214" s="2"/>
      <c r="ESX214" s="2"/>
      <c r="ESY214" s="2"/>
      <c r="ESZ214" s="2"/>
      <c r="ETA214" s="2"/>
      <c r="ETB214" s="260"/>
      <c r="ETC214" s="2"/>
      <c r="ETD214" s="2"/>
      <c r="ETE214" s="2"/>
      <c r="ETF214" s="2"/>
      <c r="ETG214" s="2"/>
      <c r="ETH214" s="2"/>
      <c r="ETI214" s="2"/>
      <c r="ETJ214" s="260"/>
      <c r="ETK214" s="260"/>
      <c r="ETL214" s="260"/>
      <c r="ETM214" s="380"/>
      <c r="ETN214" s="380"/>
      <c r="ETO214" s="380"/>
      <c r="ETP214" s="2"/>
      <c r="ETQ214" s="442"/>
      <c r="ETR214" s="442"/>
      <c r="ETS214" s="443"/>
      <c r="ETT214" s="442"/>
      <c r="ETU214" s="442"/>
      <c r="ETV214" s="2"/>
      <c r="ETW214" s="2"/>
      <c r="ETX214" s="2"/>
      <c r="ETY214" s="2"/>
      <c r="ETZ214" s="260"/>
      <c r="EUA214" s="260"/>
      <c r="EUB214" s="260"/>
      <c r="EUC214" s="260"/>
      <c r="EUD214" s="260"/>
      <c r="EUE214" s="260"/>
      <c r="EUF214" s="308"/>
      <c r="EUG214" s="290"/>
      <c r="EUH214" s="290"/>
      <c r="EUI214" s="260"/>
      <c r="EUJ214" s="260"/>
      <c r="EUK214" s="260"/>
      <c r="EUL214" s="260"/>
      <c r="EUM214" s="260"/>
      <c r="EUN214" s="2"/>
      <c r="EUO214" s="2"/>
      <c r="EUP214" s="2"/>
      <c r="EUQ214" s="2"/>
      <c r="EUR214" s="2"/>
      <c r="EUS214" s="2"/>
      <c r="EUT214" s="260"/>
      <c r="EUU214" s="2"/>
      <c r="EUV214" s="2"/>
      <c r="EUW214" s="2"/>
      <c r="EUX214" s="2"/>
      <c r="EUY214" s="2"/>
      <c r="EUZ214" s="2"/>
      <c r="EVA214" s="2"/>
      <c r="EVB214" s="260"/>
      <c r="EVC214" s="260"/>
      <c r="EVD214" s="260"/>
      <c r="EVE214" s="380"/>
      <c r="EVF214" s="380"/>
      <c r="EVG214" s="380"/>
      <c r="EVH214" s="2"/>
      <c r="EVI214" s="442"/>
      <c r="EVJ214" s="442"/>
      <c r="EVK214" s="443"/>
      <c r="EVL214" s="442"/>
      <c r="EVM214" s="442"/>
      <c r="EVN214" s="2"/>
      <c r="EVO214" s="2"/>
      <c r="EVP214" s="2"/>
      <c r="EVQ214" s="2"/>
      <c r="EVR214" s="260"/>
      <c r="EVS214" s="260"/>
      <c r="EVT214" s="260"/>
      <c r="EVU214" s="260"/>
      <c r="EVV214" s="260"/>
      <c r="EVW214" s="260"/>
      <c r="EVX214" s="308"/>
      <c r="EVY214" s="290"/>
      <c r="EVZ214" s="290"/>
      <c r="EWA214" s="260"/>
      <c r="EWB214" s="260"/>
      <c r="EWC214" s="260"/>
      <c r="EWD214" s="260"/>
      <c r="EWE214" s="260"/>
      <c r="EWF214" s="2"/>
      <c r="EWG214" s="2"/>
      <c r="EWH214" s="2"/>
      <c r="EWI214" s="2"/>
      <c r="EWJ214" s="2"/>
      <c r="EWK214" s="2"/>
      <c r="EWL214" s="260"/>
      <c r="EWM214" s="2"/>
      <c r="EWN214" s="2"/>
      <c r="EWO214" s="2"/>
      <c r="EWP214" s="2"/>
      <c r="EWQ214" s="2"/>
      <c r="EWR214" s="2"/>
      <c r="EWS214" s="2"/>
      <c r="EWT214" s="260"/>
      <c r="EWU214" s="260"/>
      <c r="EWV214" s="260"/>
      <c r="EWW214" s="380"/>
      <c r="EWX214" s="380"/>
      <c r="EWY214" s="380"/>
      <c r="EWZ214" s="2"/>
      <c r="EXA214" s="442"/>
      <c r="EXB214" s="442"/>
      <c r="EXC214" s="443"/>
      <c r="EXD214" s="442"/>
      <c r="EXE214" s="442"/>
      <c r="EXF214" s="2"/>
      <c r="EXG214" s="2"/>
      <c r="EXH214" s="2"/>
      <c r="EXI214" s="2"/>
      <c r="EXJ214" s="260"/>
      <c r="EXK214" s="260"/>
      <c r="EXL214" s="260"/>
      <c r="EXM214" s="260"/>
      <c r="EXN214" s="260"/>
      <c r="EXO214" s="260"/>
      <c r="EXP214" s="308"/>
      <c r="EXQ214" s="290"/>
      <c r="EXR214" s="290"/>
      <c r="EXS214" s="260"/>
      <c r="EXT214" s="260"/>
      <c r="EXU214" s="260"/>
      <c r="EXV214" s="260"/>
      <c r="EXW214" s="260"/>
      <c r="EXX214" s="2"/>
      <c r="EXY214" s="2"/>
      <c r="EXZ214" s="2"/>
      <c r="EYA214" s="2"/>
      <c r="EYB214" s="2"/>
      <c r="EYC214" s="2"/>
      <c r="EYD214" s="260"/>
      <c r="EYE214" s="2"/>
      <c r="EYF214" s="2"/>
      <c r="EYG214" s="2"/>
      <c r="EYH214" s="2"/>
      <c r="EYI214" s="2"/>
      <c r="EYJ214" s="2"/>
      <c r="EYK214" s="2"/>
      <c r="EYL214" s="260"/>
      <c r="EYM214" s="260"/>
      <c r="EYN214" s="260"/>
      <c r="EYO214" s="380"/>
      <c r="EYP214" s="380"/>
      <c r="EYQ214" s="380"/>
      <c r="EYR214" s="2"/>
      <c r="EYS214" s="442"/>
      <c r="EYT214" s="442"/>
      <c r="EYU214" s="443"/>
      <c r="EYV214" s="442"/>
      <c r="EYW214" s="442"/>
      <c r="EYX214" s="2"/>
      <c r="EYY214" s="2"/>
      <c r="EYZ214" s="2"/>
      <c r="EZA214" s="2"/>
      <c r="EZB214" s="260"/>
      <c r="EZC214" s="260"/>
      <c r="EZD214" s="260"/>
      <c r="EZE214" s="260"/>
      <c r="EZF214" s="260"/>
      <c r="EZG214" s="260"/>
      <c r="EZH214" s="308"/>
      <c r="EZI214" s="290"/>
      <c r="EZJ214" s="290"/>
      <c r="EZK214" s="260"/>
      <c r="EZL214" s="260"/>
      <c r="EZM214" s="260"/>
      <c r="EZN214" s="260"/>
      <c r="EZO214" s="260"/>
      <c r="EZP214" s="2"/>
      <c r="EZQ214" s="2"/>
      <c r="EZR214" s="2"/>
      <c r="EZS214" s="2"/>
      <c r="EZT214" s="2"/>
      <c r="EZU214" s="2"/>
      <c r="EZV214" s="260"/>
      <c r="EZW214" s="2"/>
      <c r="EZX214" s="2"/>
      <c r="EZY214" s="2"/>
      <c r="EZZ214" s="2"/>
      <c r="FAA214" s="2"/>
      <c r="FAB214" s="2"/>
      <c r="FAC214" s="2"/>
      <c r="FAD214" s="260"/>
      <c r="FAE214" s="260"/>
      <c r="FAF214" s="260"/>
      <c r="FAG214" s="380"/>
      <c r="FAH214" s="380"/>
      <c r="FAI214" s="380"/>
      <c r="FAJ214" s="2"/>
      <c r="FAK214" s="442"/>
      <c r="FAL214" s="442"/>
      <c r="FAM214" s="443"/>
      <c r="FAN214" s="442"/>
      <c r="FAO214" s="442"/>
      <c r="FAP214" s="2"/>
      <c r="FAQ214" s="2"/>
      <c r="FAR214" s="2"/>
      <c r="FAS214" s="2"/>
      <c r="FAT214" s="260"/>
      <c r="FAU214" s="260"/>
      <c r="FAV214" s="260"/>
      <c r="FAW214" s="260"/>
      <c r="FAX214" s="260"/>
      <c r="FAY214" s="260"/>
      <c r="FAZ214" s="308"/>
      <c r="FBA214" s="290"/>
      <c r="FBB214" s="290"/>
      <c r="FBC214" s="260"/>
      <c r="FBD214" s="260"/>
      <c r="FBE214" s="260"/>
      <c r="FBF214" s="260"/>
      <c r="FBG214" s="260"/>
      <c r="FBH214" s="2"/>
      <c r="FBI214" s="2"/>
      <c r="FBJ214" s="2"/>
      <c r="FBK214" s="2"/>
      <c r="FBL214" s="2"/>
      <c r="FBM214" s="2"/>
      <c r="FBN214" s="260"/>
      <c r="FBO214" s="2"/>
      <c r="FBP214" s="2"/>
      <c r="FBQ214" s="2"/>
      <c r="FBR214" s="2"/>
      <c r="FBS214" s="2"/>
      <c r="FBT214" s="2"/>
      <c r="FBU214" s="2"/>
      <c r="FBV214" s="260"/>
      <c r="FBW214" s="260"/>
      <c r="FBX214" s="260"/>
      <c r="FBY214" s="380"/>
      <c r="FBZ214" s="380"/>
      <c r="FCA214" s="380"/>
      <c r="FCB214" s="2"/>
      <c r="FCC214" s="442"/>
      <c r="FCD214" s="442"/>
      <c r="FCE214" s="443"/>
      <c r="FCF214" s="442"/>
      <c r="FCG214" s="442"/>
      <c r="FCH214" s="2"/>
      <c r="FCI214" s="2"/>
      <c r="FCJ214" s="2"/>
      <c r="FCK214" s="2"/>
      <c r="FCL214" s="260"/>
      <c r="FCM214" s="260"/>
      <c r="FCN214" s="260"/>
      <c r="FCO214" s="260"/>
      <c r="FCP214" s="260"/>
      <c r="FCQ214" s="260"/>
      <c r="FCR214" s="308"/>
      <c r="FCS214" s="290"/>
      <c r="FCT214" s="290"/>
      <c r="FCU214" s="260"/>
      <c r="FCV214" s="260"/>
      <c r="FCW214" s="260"/>
      <c r="FCX214" s="260"/>
      <c r="FCY214" s="260"/>
      <c r="FCZ214" s="2"/>
      <c r="FDA214" s="2"/>
      <c r="FDB214" s="2"/>
      <c r="FDC214" s="2"/>
      <c r="FDD214" s="2"/>
      <c r="FDE214" s="2"/>
      <c r="FDF214" s="260"/>
      <c r="FDG214" s="2"/>
      <c r="FDH214" s="2"/>
      <c r="FDI214" s="2"/>
      <c r="FDJ214" s="2"/>
      <c r="FDK214" s="2"/>
      <c r="FDL214" s="2"/>
      <c r="FDM214" s="2"/>
      <c r="FDN214" s="260"/>
      <c r="FDO214" s="260"/>
      <c r="FDP214" s="260"/>
      <c r="FDQ214" s="380"/>
      <c r="FDR214" s="380"/>
      <c r="FDS214" s="380"/>
      <c r="FDT214" s="2"/>
      <c r="FDU214" s="442"/>
      <c r="FDV214" s="442"/>
      <c r="FDW214" s="443"/>
      <c r="FDX214" s="442"/>
      <c r="FDY214" s="442"/>
      <c r="FDZ214" s="2"/>
      <c r="FEA214" s="2"/>
      <c r="FEB214" s="2"/>
      <c r="FEC214" s="2"/>
      <c r="FED214" s="260"/>
      <c r="FEE214" s="260"/>
      <c r="FEF214" s="260"/>
      <c r="FEG214" s="260"/>
      <c r="FEH214" s="260"/>
      <c r="FEI214" s="260"/>
      <c r="FEJ214" s="308"/>
      <c r="FEK214" s="290"/>
      <c r="FEL214" s="290"/>
      <c r="FEM214" s="260"/>
      <c r="FEN214" s="260"/>
      <c r="FEO214" s="260"/>
      <c r="FEP214" s="260"/>
      <c r="FEQ214" s="260"/>
      <c r="FER214" s="2"/>
      <c r="FES214" s="2"/>
      <c r="FET214" s="2"/>
      <c r="FEU214" s="2"/>
      <c r="FEV214" s="2"/>
      <c r="FEW214" s="2"/>
      <c r="FEX214" s="260"/>
      <c r="FEY214" s="2"/>
      <c r="FEZ214" s="2"/>
      <c r="FFA214" s="2"/>
      <c r="FFB214" s="2"/>
      <c r="FFC214" s="2"/>
      <c r="FFD214" s="2"/>
      <c r="FFE214" s="2"/>
      <c r="FFF214" s="260"/>
      <c r="FFG214" s="260"/>
      <c r="FFH214" s="260"/>
      <c r="FFI214" s="380"/>
      <c r="FFJ214" s="380"/>
      <c r="FFK214" s="380"/>
      <c r="FFL214" s="2"/>
      <c r="FFM214" s="442"/>
      <c r="FFN214" s="442"/>
      <c r="FFO214" s="443"/>
      <c r="FFP214" s="442"/>
      <c r="FFQ214" s="442"/>
      <c r="FFR214" s="2"/>
      <c r="FFS214" s="2"/>
      <c r="FFT214" s="2"/>
      <c r="FFU214" s="2"/>
      <c r="FFV214" s="260"/>
      <c r="FFW214" s="260"/>
      <c r="FFX214" s="260"/>
      <c r="FFY214" s="260"/>
      <c r="FFZ214" s="260"/>
      <c r="FGA214" s="260"/>
      <c r="FGB214" s="308"/>
      <c r="FGC214" s="290"/>
      <c r="FGD214" s="290"/>
      <c r="FGE214" s="260"/>
      <c r="FGF214" s="260"/>
      <c r="FGG214" s="260"/>
      <c r="FGH214" s="260"/>
      <c r="FGI214" s="260"/>
      <c r="FGJ214" s="2"/>
      <c r="FGK214" s="2"/>
      <c r="FGL214" s="2"/>
      <c r="FGM214" s="2"/>
      <c r="FGN214" s="2"/>
      <c r="FGO214" s="2"/>
      <c r="FGP214" s="260"/>
      <c r="FGQ214" s="2"/>
      <c r="FGR214" s="2"/>
      <c r="FGS214" s="2"/>
      <c r="FGT214" s="2"/>
      <c r="FGU214" s="2"/>
      <c r="FGV214" s="2"/>
      <c r="FGW214" s="2"/>
      <c r="FGX214" s="260"/>
      <c r="FGY214" s="260"/>
      <c r="FGZ214" s="260"/>
      <c r="FHA214" s="380"/>
      <c r="FHB214" s="380"/>
      <c r="FHC214" s="380"/>
      <c r="FHD214" s="2"/>
      <c r="FHE214" s="442"/>
      <c r="FHF214" s="442"/>
      <c r="FHG214" s="443"/>
      <c r="FHH214" s="442"/>
      <c r="FHI214" s="442"/>
      <c r="FHJ214" s="2"/>
      <c r="FHK214" s="2"/>
      <c r="FHL214" s="2"/>
      <c r="FHM214" s="2"/>
      <c r="FHN214" s="260"/>
      <c r="FHO214" s="260"/>
      <c r="FHP214" s="260"/>
      <c r="FHQ214" s="260"/>
      <c r="FHR214" s="260"/>
      <c r="FHS214" s="260"/>
      <c r="FHT214" s="308"/>
      <c r="FHU214" s="290"/>
      <c r="FHV214" s="290"/>
      <c r="FHW214" s="260"/>
      <c r="FHX214" s="260"/>
      <c r="FHY214" s="260"/>
      <c r="FHZ214" s="260"/>
      <c r="FIA214" s="260"/>
      <c r="FIB214" s="2"/>
      <c r="FIC214" s="2"/>
      <c r="FID214" s="2"/>
      <c r="FIE214" s="2"/>
      <c r="FIF214" s="2"/>
      <c r="FIG214" s="2"/>
      <c r="FIH214" s="260"/>
      <c r="FII214" s="2"/>
      <c r="FIJ214" s="2"/>
      <c r="FIK214" s="2"/>
      <c r="FIL214" s="2"/>
      <c r="FIM214" s="2"/>
      <c r="FIN214" s="2"/>
      <c r="FIO214" s="2"/>
      <c r="FIP214" s="260"/>
      <c r="FIQ214" s="260"/>
      <c r="FIR214" s="260"/>
      <c r="FIS214" s="380"/>
      <c r="FIT214" s="380"/>
      <c r="FIU214" s="380"/>
      <c r="FIV214" s="2"/>
      <c r="FIW214" s="442"/>
      <c r="FIX214" s="442"/>
      <c r="FIY214" s="443"/>
      <c r="FIZ214" s="442"/>
      <c r="FJA214" s="442"/>
      <c r="FJB214" s="2"/>
      <c r="FJC214" s="2"/>
      <c r="FJD214" s="2"/>
      <c r="FJE214" s="2"/>
      <c r="FJF214" s="260"/>
      <c r="FJG214" s="260"/>
      <c r="FJH214" s="260"/>
      <c r="FJI214" s="260"/>
      <c r="FJJ214" s="260"/>
      <c r="FJK214" s="260"/>
      <c r="FJL214" s="308"/>
      <c r="FJM214" s="290"/>
      <c r="FJN214" s="290"/>
      <c r="FJO214" s="260"/>
      <c r="FJP214" s="260"/>
      <c r="FJQ214" s="260"/>
      <c r="FJR214" s="260"/>
      <c r="FJS214" s="260"/>
      <c r="FJT214" s="2"/>
      <c r="FJU214" s="2"/>
      <c r="FJV214" s="2"/>
      <c r="FJW214" s="2"/>
      <c r="FJX214" s="2"/>
      <c r="FJY214" s="2"/>
      <c r="FJZ214" s="260"/>
      <c r="FKA214" s="2"/>
      <c r="FKB214" s="2"/>
      <c r="FKC214" s="2"/>
      <c r="FKD214" s="2"/>
      <c r="FKE214" s="2"/>
      <c r="FKF214" s="2"/>
      <c r="FKG214" s="2"/>
      <c r="FKH214" s="260"/>
      <c r="FKI214" s="260"/>
      <c r="FKJ214" s="260"/>
      <c r="FKK214" s="380"/>
      <c r="FKL214" s="380"/>
      <c r="FKM214" s="380"/>
      <c r="FKN214" s="2"/>
      <c r="FKO214" s="442"/>
      <c r="FKP214" s="442"/>
      <c r="FKQ214" s="443"/>
      <c r="FKR214" s="442"/>
      <c r="FKS214" s="442"/>
      <c r="FKT214" s="2"/>
      <c r="FKU214" s="2"/>
      <c r="FKV214" s="2"/>
      <c r="FKW214" s="2"/>
      <c r="FKX214" s="260"/>
      <c r="FKY214" s="260"/>
      <c r="FKZ214" s="260"/>
      <c r="FLA214" s="260"/>
      <c r="FLB214" s="260"/>
      <c r="FLC214" s="260"/>
      <c r="FLD214" s="308"/>
      <c r="FLE214" s="290"/>
      <c r="FLF214" s="290"/>
      <c r="FLG214" s="260"/>
      <c r="FLH214" s="260"/>
      <c r="FLI214" s="260"/>
      <c r="FLJ214" s="260"/>
      <c r="FLK214" s="260"/>
      <c r="FLL214" s="2"/>
      <c r="FLM214" s="2"/>
      <c r="FLN214" s="2"/>
      <c r="FLO214" s="2"/>
      <c r="FLP214" s="2"/>
      <c r="FLQ214" s="2"/>
      <c r="FLR214" s="260"/>
      <c r="FLS214" s="2"/>
      <c r="FLT214" s="2"/>
      <c r="FLU214" s="2"/>
      <c r="FLV214" s="2"/>
      <c r="FLW214" s="2"/>
      <c r="FLX214" s="2"/>
      <c r="FLY214" s="2"/>
      <c r="FLZ214" s="260"/>
      <c r="FMA214" s="260"/>
      <c r="FMB214" s="260"/>
      <c r="FMC214" s="380"/>
      <c r="FMD214" s="380"/>
      <c r="FME214" s="380"/>
      <c r="FMF214" s="2"/>
      <c r="FMG214" s="442"/>
      <c r="FMH214" s="442"/>
      <c r="FMI214" s="443"/>
      <c r="FMJ214" s="442"/>
      <c r="FMK214" s="442"/>
      <c r="FML214" s="2"/>
      <c r="FMM214" s="2"/>
      <c r="FMN214" s="2"/>
      <c r="FMO214" s="2"/>
      <c r="FMP214" s="260"/>
      <c r="FMQ214" s="260"/>
      <c r="FMR214" s="260"/>
      <c r="FMS214" s="260"/>
      <c r="FMT214" s="260"/>
      <c r="FMU214" s="260"/>
      <c r="FMV214" s="308"/>
      <c r="FMW214" s="290"/>
      <c r="FMX214" s="290"/>
      <c r="FMY214" s="260"/>
      <c r="FMZ214" s="260"/>
      <c r="FNA214" s="260"/>
      <c r="FNB214" s="260"/>
      <c r="FNC214" s="260"/>
      <c r="FND214" s="2"/>
      <c r="FNE214" s="2"/>
      <c r="FNF214" s="2"/>
      <c r="FNG214" s="2"/>
      <c r="FNH214" s="2"/>
      <c r="FNI214" s="2"/>
      <c r="FNJ214" s="260"/>
      <c r="FNK214" s="2"/>
      <c r="FNL214" s="2"/>
      <c r="FNM214" s="2"/>
      <c r="FNN214" s="2"/>
      <c r="FNO214" s="2"/>
      <c r="FNP214" s="2"/>
      <c r="FNQ214" s="2"/>
      <c r="FNR214" s="260"/>
      <c r="FNS214" s="260"/>
      <c r="FNT214" s="260"/>
      <c r="FNU214" s="380"/>
      <c r="FNV214" s="380"/>
      <c r="FNW214" s="380"/>
      <c r="FNX214" s="2"/>
      <c r="FNY214" s="442"/>
      <c r="FNZ214" s="442"/>
      <c r="FOA214" s="443"/>
      <c r="FOB214" s="442"/>
      <c r="FOC214" s="442"/>
      <c r="FOD214" s="2"/>
      <c r="FOE214" s="2"/>
      <c r="FOF214" s="2"/>
      <c r="FOG214" s="2"/>
      <c r="FOH214" s="260"/>
      <c r="FOI214" s="260"/>
      <c r="FOJ214" s="260"/>
      <c r="FOK214" s="260"/>
      <c r="FOL214" s="260"/>
      <c r="FOM214" s="260"/>
      <c r="FON214" s="308"/>
      <c r="FOO214" s="290"/>
      <c r="FOP214" s="290"/>
      <c r="FOQ214" s="260"/>
      <c r="FOR214" s="260"/>
      <c r="FOS214" s="260"/>
      <c r="FOT214" s="260"/>
      <c r="FOU214" s="260"/>
      <c r="FOV214" s="2"/>
      <c r="FOW214" s="2"/>
      <c r="FOX214" s="2"/>
      <c r="FOY214" s="2"/>
      <c r="FOZ214" s="2"/>
      <c r="FPA214" s="2"/>
      <c r="FPB214" s="260"/>
      <c r="FPC214" s="2"/>
      <c r="FPD214" s="2"/>
      <c r="FPE214" s="2"/>
      <c r="FPF214" s="2"/>
      <c r="FPG214" s="2"/>
      <c r="FPH214" s="2"/>
      <c r="FPI214" s="2"/>
      <c r="FPJ214" s="260"/>
      <c r="FPK214" s="260"/>
      <c r="FPL214" s="260"/>
      <c r="FPM214" s="380"/>
      <c r="FPN214" s="380"/>
      <c r="FPO214" s="380"/>
      <c r="FPP214" s="2"/>
      <c r="FPQ214" s="442"/>
      <c r="FPR214" s="442"/>
      <c r="FPS214" s="443"/>
      <c r="FPT214" s="442"/>
      <c r="FPU214" s="442"/>
      <c r="FPV214" s="2"/>
      <c r="FPW214" s="2"/>
      <c r="FPX214" s="2"/>
      <c r="FPY214" s="2"/>
      <c r="FPZ214" s="260"/>
      <c r="FQA214" s="260"/>
      <c r="FQB214" s="260"/>
      <c r="FQC214" s="260"/>
      <c r="FQD214" s="260"/>
      <c r="FQE214" s="260"/>
      <c r="FQF214" s="308"/>
      <c r="FQG214" s="290"/>
      <c r="FQH214" s="290"/>
      <c r="FQI214" s="260"/>
      <c r="FQJ214" s="260"/>
      <c r="FQK214" s="260"/>
      <c r="FQL214" s="260"/>
      <c r="FQM214" s="260"/>
      <c r="FQN214" s="2"/>
      <c r="FQO214" s="2"/>
      <c r="FQP214" s="2"/>
      <c r="FQQ214" s="2"/>
      <c r="FQR214" s="2"/>
      <c r="FQS214" s="2"/>
      <c r="FQT214" s="260"/>
      <c r="FQU214" s="2"/>
      <c r="FQV214" s="2"/>
      <c r="FQW214" s="2"/>
      <c r="FQX214" s="2"/>
      <c r="FQY214" s="2"/>
      <c r="FQZ214" s="2"/>
      <c r="FRA214" s="2"/>
      <c r="FRB214" s="260"/>
      <c r="FRC214" s="260"/>
      <c r="FRD214" s="260"/>
      <c r="FRE214" s="380"/>
      <c r="FRF214" s="380"/>
      <c r="FRG214" s="380"/>
      <c r="FRH214" s="2"/>
      <c r="FRI214" s="442"/>
      <c r="FRJ214" s="442"/>
      <c r="FRK214" s="443"/>
      <c r="FRL214" s="442"/>
      <c r="FRM214" s="442"/>
      <c r="FRN214" s="2"/>
      <c r="FRO214" s="2"/>
      <c r="FRP214" s="2"/>
      <c r="FRQ214" s="2"/>
      <c r="FRR214" s="260"/>
      <c r="FRS214" s="260"/>
      <c r="FRT214" s="260"/>
      <c r="FRU214" s="260"/>
      <c r="FRV214" s="260"/>
      <c r="FRW214" s="260"/>
      <c r="FRX214" s="308"/>
      <c r="FRY214" s="290"/>
      <c r="FRZ214" s="290"/>
      <c r="FSA214" s="260"/>
      <c r="FSB214" s="260"/>
      <c r="FSC214" s="260"/>
      <c r="FSD214" s="260"/>
      <c r="FSE214" s="260"/>
      <c r="FSF214" s="2"/>
      <c r="FSG214" s="2"/>
      <c r="FSH214" s="2"/>
      <c r="FSI214" s="2"/>
      <c r="FSJ214" s="2"/>
      <c r="FSK214" s="2"/>
      <c r="FSL214" s="260"/>
      <c r="FSM214" s="2"/>
      <c r="FSN214" s="2"/>
      <c r="FSO214" s="2"/>
      <c r="FSP214" s="2"/>
      <c r="FSQ214" s="2"/>
      <c r="FSR214" s="2"/>
      <c r="FSS214" s="2"/>
      <c r="FST214" s="260"/>
      <c r="FSU214" s="260"/>
      <c r="FSV214" s="260"/>
      <c r="FSW214" s="380"/>
      <c r="FSX214" s="380"/>
      <c r="FSY214" s="380"/>
      <c r="FSZ214" s="2"/>
      <c r="FTA214" s="442"/>
      <c r="FTB214" s="442"/>
      <c r="FTC214" s="443"/>
      <c r="FTD214" s="442"/>
      <c r="FTE214" s="442"/>
      <c r="FTF214" s="2"/>
      <c r="FTG214" s="2"/>
      <c r="FTH214" s="2"/>
      <c r="FTI214" s="2"/>
      <c r="FTJ214" s="260"/>
      <c r="FTK214" s="260"/>
      <c r="FTL214" s="260"/>
      <c r="FTM214" s="260"/>
      <c r="FTN214" s="260"/>
      <c r="FTO214" s="260"/>
      <c r="FTP214" s="308"/>
      <c r="FTQ214" s="290"/>
      <c r="FTR214" s="290"/>
      <c r="FTS214" s="260"/>
      <c r="FTT214" s="260"/>
      <c r="FTU214" s="260"/>
      <c r="FTV214" s="260"/>
      <c r="FTW214" s="260"/>
      <c r="FTX214" s="2"/>
      <c r="FTY214" s="2"/>
      <c r="FTZ214" s="2"/>
      <c r="FUA214" s="2"/>
      <c r="FUB214" s="2"/>
      <c r="FUC214" s="2"/>
      <c r="FUD214" s="260"/>
      <c r="FUE214" s="2"/>
      <c r="FUF214" s="2"/>
      <c r="FUG214" s="2"/>
      <c r="FUH214" s="2"/>
      <c r="FUI214" s="2"/>
      <c r="FUJ214" s="2"/>
      <c r="FUK214" s="2"/>
      <c r="FUL214" s="260"/>
      <c r="FUM214" s="260"/>
      <c r="FUN214" s="260"/>
      <c r="FUO214" s="380"/>
      <c r="FUP214" s="380"/>
      <c r="FUQ214" s="380"/>
      <c r="FUR214" s="2"/>
      <c r="FUS214" s="442"/>
      <c r="FUT214" s="442"/>
      <c r="FUU214" s="443"/>
      <c r="FUV214" s="442"/>
      <c r="FUW214" s="442"/>
      <c r="FUX214" s="2"/>
      <c r="FUY214" s="2"/>
      <c r="FUZ214" s="2"/>
      <c r="FVA214" s="2"/>
      <c r="FVB214" s="260"/>
      <c r="FVC214" s="260"/>
      <c r="FVD214" s="260"/>
      <c r="FVE214" s="260"/>
      <c r="FVF214" s="260"/>
      <c r="FVG214" s="260"/>
      <c r="FVH214" s="308"/>
      <c r="FVI214" s="290"/>
      <c r="FVJ214" s="290"/>
      <c r="FVK214" s="260"/>
      <c r="FVL214" s="260"/>
      <c r="FVM214" s="260"/>
      <c r="FVN214" s="260"/>
      <c r="FVO214" s="260"/>
      <c r="FVP214" s="2"/>
      <c r="FVQ214" s="2"/>
      <c r="FVR214" s="2"/>
      <c r="FVS214" s="2"/>
      <c r="FVT214" s="2"/>
      <c r="FVU214" s="2"/>
      <c r="FVV214" s="260"/>
      <c r="FVW214" s="2"/>
      <c r="FVX214" s="2"/>
      <c r="FVY214" s="2"/>
      <c r="FVZ214" s="2"/>
      <c r="FWA214" s="2"/>
      <c r="FWB214" s="2"/>
      <c r="FWC214" s="2"/>
      <c r="FWD214" s="260"/>
      <c r="FWE214" s="260"/>
      <c r="FWF214" s="260"/>
      <c r="FWG214" s="380"/>
      <c r="FWH214" s="380"/>
      <c r="FWI214" s="380"/>
      <c r="FWJ214" s="2"/>
      <c r="FWK214" s="442"/>
      <c r="FWL214" s="442"/>
      <c r="FWM214" s="443"/>
      <c r="FWN214" s="442"/>
      <c r="FWO214" s="442"/>
      <c r="FWP214" s="2"/>
      <c r="FWQ214" s="2"/>
      <c r="FWR214" s="2"/>
      <c r="FWS214" s="2"/>
      <c r="FWT214" s="260"/>
      <c r="FWU214" s="260"/>
      <c r="FWV214" s="260"/>
      <c r="FWW214" s="260"/>
      <c r="FWX214" s="260"/>
      <c r="FWY214" s="260"/>
      <c r="FWZ214" s="308"/>
      <c r="FXA214" s="290"/>
      <c r="FXB214" s="290"/>
      <c r="FXC214" s="260"/>
      <c r="FXD214" s="260"/>
      <c r="FXE214" s="260"/>
      <c r="FXF214" s="260"/>
      <c r="FXG214" s="260"/>
      <c r="FXH214" s="2"/>
      <c r="FXI214" s="2"/>
      <c r="FXJ214" s="2"/>
      <c r="FXK214" s="2"/>
      <c r="FXL214" s="2"/>
      <c r="FXM214" s="2"/>
      <c r="FXN214" s="260"/>
      <c r="FXO214" s="2"/>
      <c r="FXP214" s="2"/>
      <c r="FXQ214" s="2"/>
      <c r="FXR214" s="2"/>
      <c r="FXS214" s="2"/>
      <c r="FXT214" s="2"/>
      <c r="FXU214" s="2"/>
      <c r="FXV214" s="260"/>
      <c r="FXW214" s="260"/>
      <c r="FXX214" s="260"/>
      <c r="FXY214" s="380"/>
      <c r="FXZ214" s="380"/>
      <c r="FYA214" s="380"/>
      <c r="FYB214" s="2"/>
      <c r="FYC214" s="442"/>
      <c r="FYD214" s="442"/>
      <c r="FYE214" s="443"/>
      <c r="FYF214" s="442"/>
      <c r="FYG214" s="442"/>
      <c r="FYH214" s="2"/>
      <c r="FYI214" s="2"/>
      <c r="FYJ214" s="2"/>
      <c r="FYK214" s="2"/>
      <c r="FYL214" s="260"/>
      <c r="FYM214" s="260"/>
      <c r="FYN214" s="260"/>
      <c r="FYO214" s="260"/>
      <c r="FYP214" s="260"/>
      <c r="FYQ214" s="260"/>
      <c r="FYR214" s="308"/>
      <c r="FYS214" s="290"/>
      <c r="FYT214" s="290"/>
      <c r="FYU214" s="260"/>
      <c r="FYV214" s="260"/>
      <c r="FYW214" s="260"/>
      <c r="FYX214" s="260"/>
      <c r="FYY214" s="260"/>
      <c r="FYZ214" s="2"/>
      <c r="FZA214" s="2"/>
      <c r="FZB214" s="2"/>
      <c r="FZC214" s="2"/>
      <c r="FZD214" s="2"/>
      <c r="FZE214" s="2"/>
      <c r="FZF214" s="260"/>
      <c r="FZG214" s="2"/>
      <c r="FZH214" s="2"/>
      <c r="FZI214" s="2"/>
      <c r="FZJ214" s="2"/>
      <c r="FZK214" s="2"/>
      <c r="FZL214" s="2"/>
      <c r="FZM214" s="2"/>
      <c r="FZN214" s="260"/>
      <c r="FZO214" s="260"/>
      <c r="FZP214" s="260"/>
      <c r="FZQ214" s="380"/>
      <c r="FZR214" s="380"/>
      <c r="FZS214" s="380"/>
      <c r="FZT214" s="2"/>
      <c r="FZU214" s="442"/>
      <c r="FZV214" s="442"/>
      <c r="FZW214" s="443"/>
      <c r="FZX214" s="442"/>
      <c r="FZY214" s="442"/>
      <c r="FZZ214" s="2"/>
      <c r="GAA214" s="2"/>
      <c r="GAB214" s="2"/>
      <c r="GAC214" s="2"/>
      <c r="GAD214" s="260"/>
      <c r="GAE214" s="260"/>
      <c r="GAF214" s="260"/>
      <c r="GAG214" s="260"/>
      <c r="GAH214" s="260"/>
      <c r="GAI214" s="260"/>
      <c r="GAJ214" s="308"/>
      <c r="GAK214" s="290"/>
      <c r="GAL214" s="290"/>
      <c r="GAM214" s="260"/>
      <c r="GAN214" s="260"/>
      <c r="GAO214" s="260"/>
      <c r="GAP214" s="260"/>
      <c r="GAQ214" s="260"/>
      <c r="GAR214" s="2"/>
      <c r="GAS214" s="2"/>
      <c r="GAT214" s="2"/>
      <c r="GAU214" s="2"/>
      <c r="GAV214" s="2"/>
      <c r="GAW214" s="2"/>
      <c r="GAX214" s="260"/>
      <c r="GAY214" s="2"/>
      <c r="GAZ214" s="2"/>
      <c r="GBA214" s="2"/>
      <c r="GBB214" s="2"/>
      <c r="GBC214" s="2"/>
      <c r="GBD214" s="2"/>
      <c r="GBE214" s="2"/>
      <c r="GBF214" s="260"/>
      <c r="GBG214" s="260"/>
      <c r="GBH214" s="260"/>
      <c r="GBI214" s="380"/>
      <c r="GBJ214" s="380"/>
      <c r="GBK214" s="380"/>
      <c r="GBL214" s="2"/>
      <c r="GBM214" s="442"/>
      <c r="GBN214" s="442"/>
      <c r="GBO214" s="443"/>
      <c r="GBP214" s="442"/>
      <c r="GBQ214" s="442"/>
      <c r="GBR214" s="2"/>
      <c r="GBS214" s="2"/>
      <c r="GBT214" s="2"/>
      <c r="GBU214" s="2"/>
      <c r="GBV214" s="260"/>
      <c r="GBW214" s="260"/>
      <c r="GBX214" s="260"/>
      <c r="GBY214" s="260"/>
      <c r="GBZ214" s="260"/>
      <c r="GCA214" s="260"/>
      <c r="GCB214" s="308"/>
      <c r="GCC214" s="290"/>
      <c r="GCD214" s="290"/>
      <c r="GCE214" s="260"/>
      <c r="GCF214" s="260"/>
      <c r="GCG214" s="260"/>
      <c r="GCH214" s="260"/>
      <c r="GCI214" s="260"/>
      <c r="GCJ214" s="2"/>
      <c r="GCK214" s="2"/>
      <c r="GCL214" s="2"/>
      <c r="GCM214" s="2"/>
      <c r="GCN214" s="2"/>
      <c r="GCO214" s="2"/>
      <c r="GCP214" s="260"/>
      <c r="GCQ214" s="2"/>
      <c r="GCR214" s="2"/>
      <c r="GCS214" s="2"/>
      <c r="GCT214" s="2"/>
      <c r="GCU214" s="2"/>
      <c r="GCV214" s="2"/>
      <c r="GCW214" s="2"/>
      <c r="GCX214" s="260"/>
      <c r="GCY214" s="260"/>
      <c r="GCZ214" s="260"/>
      <c r="GDA214" s="380"/>
      <c r="GDB214" s="380"/>
      <c r="GDC214" s="380"/>
      <c r="GDD214" s="2"/>
      <c r="GDE214" s="442"/>
      <c r="GDF214" s="442"/>
      <c r="GDG214" s="443"/>
      <c r="GDH214" s="442"/>
      <c r="GDI214" s="442"/>
      <c r="GDJ214" s="2"/>
      <c r="GDK214" s="2"/>
      <c r="GDL214" s="2"/>
      <c r="GDM214" s="2"/>
      <c r="GDN214" s="260"/>
      <c r="GDO214" s="260"/>
      <c r="GDP214" s="260"/>
      <c r="GDQ214" s="260"/>
      <c r="GDR214" s="260"/>
      <c r="GDS214" s="260"/>
      <c r="GDT214" s="308"/>
      <c r="GDU214" s="290"/>
      <c r="GDV214" s="290"/>
      <c r="GDW214" s="260"/>
      <c r="GDX214" s="260"/>
      <c r="GDY214" s="260"/>
      <c r="GDZ214" s="260"/>
      <c r="GEA214" s="260"/>
      <c r="GEB214" s="2"/>
      <c r="GEC214" s="2"/>
      <c r="GED214" s="2"/>
      <c r="GEE214" s="2"/>
      <c r="GEF214" s="2"/>
      <c r="GEG214" s="2"/>
      <c r="GEH214" s="260"/>
      <c r="GEI214" s="2"/>
      <c r="GEJ214" s="2"/>
      <c r="GEK214" s="2"/>
      <c r="GEL214" s="2"/>
      <c r="GEM214" s="2"/>
      <c r="GEN214" s="2"/>
      <c r="GEO214" s="2"/>
      <c r="GEP214" s="260"/>
      <c r="GEQ214" s="260"/>
      <c r="GER214" s="260"/>
      <c r="GES214" s="380"/>
      <c r="GET214" s="380"/>
      <c r="GEU214" s="380"/>
      <c r="GEV214" s="2"/>
      <c r="GEW214" s="442"/>
      <c r="GEX214" s="442"/>
      <c r="GEY214" s="443"/>
      <c r="GEZ214" s="442"/>
      <c r="GFA214" s="442"/>
      <c r="GFB214" s="2"/>
      <c r="GFC214" s="2"/>
      <c r="GFD214" s="2"/>
      <c r="GFE214" s="2"/>
      <c r="GFF214" s="260"/>
      <c r="GFG214" s="260"/>
      <c r="GFH214" s="260"/>
      <c r="GFI214" s="260"/>
      <c r="GFJ214" s="260"/>
      <c r="GFK214" s="260"/>
      <c r="GFL214" s="308"/>
      <c r="GFM214" s="290"/>
      <c r="GFN214" s="290"/>
      <c r="GFO214" s="260"/>
      <c r="GFP214" s="260"/>
      <c r="GFQ214" s="260"/>
      <c r="GFR214" s="260"/>
      <c r="GFS214" s="260"/>
      <c r="GFT214" s="2"/>
      <c r="GFU214" s="2"/>
      <c r="GFV214" s="2"/>
      <c r="GFW214" s="2"/>
      <c r="GFX214" s="2"/>
      <c r="GFY214" s="2"/>
      <c r="GFZ214" s="260"/>
      <c r="GGA214" s="2"/>
      <c r="GGB214" s="2"/>
      <c r="GGC214" s="2"/>
      <c r="GGD214" s="2"/>
      <c r="GGE214" s="2"/>
      <c r="GGF214" s="2"/>
      <c r="GGG214" s="2"/>
      <c r="GGH214" s="260"/>
      <c r="GGI214" s="260"/>
      <c r="GGJ214" s="260"/>
      <c r="GGK214" s="380"/>
      <c r="GGL214" s="380"/>
      <c r="GGM214" s="380"/>
      <c r="GGN214" s="2"/>
      <c r="GGO214" s="442"/>
      <c r="GGP214" s="442"/>
      <c r="GGQ214" s="443"/>
      <c r="GGR214" s="442"/>
      <c r="GGS214" s="442"/>
      <c r="GGT214" s="2"/>
      <c r="GGU214" s="2"/>
      <c r="GGV214" s="2"/>
      <c r="GGW214" s="2"/>
      <c r="GGX214" s="260"/>
      <c r="GGY214" s="260"/>
      <c r="GGZ214" s="260"/>
      <c r="GHA214" s="260"/>
      <c r="GHB214" s="260"/>
      <c r="GHC214" s="260"/>
      <c r="GHD214" s="308"/>
      <c r="GHE214" s="290"/>
      <c r="GHF214" s="290"/>
      <c r="GHG214" s="260"/>
      <c r="GHH214" s="260"/>
      <c r="GHI214" s="260"/>
      <c r="GHJ214" s="260"/>
      <c r="GHK214" s="260"/>
      <c r="GHL214" s="2"/>
      <c r="GHM214" s="2"/>
      <c r="GHN214" s="2"/>
      <c r="GHO214" s="2"/>
      <c r="GHP214" s="2"/>
      <c r="GHQ214" s="2"/>
      <c r="GHR214" s="260"/>
      <c r="GHS214" s="2"/>
      <c r="GHT214" s="2"/>
      <c r="GHU214" s="2"/>
      <c r="GHV214" s="2"/>
      <c r="GHW214" s="2"/>
      <c r="GHX214" s="2"/>
      <c r="GHY214" s="2"/>
      <c r="GHZ214" s="260"/>
      <c r="GIA214" s="260"/>
      <c r="GIB214" s="260"/>
      <c r="GIC214" s="380"/>
      <c r="GID214" s="380"/>
      <c r="GIE214" s="380"/>
      <c r="GIF214" s="2"/>
      <c r="GIG214" s="442"/>
      <c r="GIH214" s="442"/>
      <c r="GII214" s="443"/>
      <c r="GIJ214" s="442"/>
      <c r="GIK214" s="442"/>
      <c r="GIL214" s="2"/>
      <c r="GIM214" s="2"/>
      <c r="GIN214" s="2"/>
      <c r="GIO214" s="2"/>
      <c r="GIP214" s="260"/>
      <c r="GIQ214" s="260"/>
      <c r="GIR214" s="260"/>
      <c r="GIS214" s="260"/>
      <c r="GIT214" s="260"/>
      <c r="GIU214" s="260"/>
      <c r="GIV214" s="308"/>
      <c r="GIW214" s="290"/>
      <c r="GIX214" s="290"/>
      <c r="GIY214" s="260"/>
      <c r="GIZ214" s="260"/>
      <c r="GJA214" s="260"/>
      <c r="GJB214" s="260"/>
      <c r="GJC214" s="260"/>
      <c r="GJD214" s="2"/>
      <c r="GJE214" s="2"/>
      <c r="GJF214" s="2"/>
      <c r="GJG214" s="2"/>
      <c r="GJH214" s="2"/>
      <c r="GJI214" s="2"/>
      <c r="GJJ214" s="260"/>
      <c r="GJK214" s="2"/>
      <c r="GJL214" s="2"/>
      <c r="GJM214" s="2"/>
      <c r="GJN214" s="2"/>
      <c r="GJO214" s="2"/>
      <c r="GJP214" s="2"/>
      <c r="GJQ214" s="2"/>
      <c r="GJR214" s="260"/>
      <c r="GJS214" s="260"/>
      <c r="GJT214" s="260"/>
      <c r="GJU214" s="380"/>
      <c r="GJV214" s="380"/>
      <c r="GJW214" s="380"/>
      <c r="GJX214" s="2"/>
      <c r="GJY214" s="442"/>
      <c r="GJZ214" s="442"/>
      <c r="GKA214" s="443"/>
      <c r="GKB214" s="442"/>
      <c r="GKC214" s="442"/>
      <c r="GKD214" s="2"/>
      <c r="GKE214" s="2"/>
      <c r="GKF214" s="2"/>
      <c r="GKG214" s="2"/>
      <c r="GKH214" s="260"/>
      <c r="GKI214" s="260"/>
      <c r="GKJ214" s="260"/>
      <c r="GKK214" s="260"/>
      <c r="GKL214" s="260"/>
      <c r="GKM214" s="260"/>
      <c r="GKN214" s="308"/>
      <c r="GKO214" s="290"/>
      <c r="GKP214" s="290"/>
      <c r="GKQ214" s="260"/>
      <c r="GKR214" s="260"/>
      <c r="GKS214" s="260"/>
      <c r="GKT214" s="260"/>
      <c r="GKU214" s="260"/>
      <c r="GKV214" s="2"/>
      <c r="GKW214" s="2"/>
      <c r="GKX214" s="2"/>
      <c r="GKY214" s="2"/>
      <c r="GKZ214" s="2"/>
      <c r="GLA214" s="2"/>
      <c r="GLB214" s="260"/>
      <c r="GLC214" s="2"/>
      <c r="GLD214" s="2"/>
      <c r="GLE214" s="2"/>
      <c r="GLF214" s="2"/>
      <c r="GLG214" s="2"/>
      <c r="GLH214" s="2"/>
      <c r="GLI214" s="2"/>
      <c r="GLJ214" s="260"/>
      <c r="GLK214" s="260"/>
      <c r="GLL214" s="260"/>
      <c r="GLM214" s="380"/>
      <c r="GLN214" s="380"/>
      <c r="GLO214" s="380"/>
      <c r="GLP214" s="2"/>
      <c r="GLQ214" s="442"/>
      <c r="GLR214" s="442"/>
      <c r="GLS214" s="443"/>
      <c r="GLT214" s="442"/>
      <c r="GLU214" s="442"/>
      <c r="GLV214" s="2"/>
      <c r="GLW214" s="2"/>
      <c r="GLX214" s="2"/>
      <c r="GLY214" s="2"/>
      <c r="GLZ214" s="260"/>
      <c r="GMA214" s="260"/>
      <c r="GMB214" s="260"/>
      <c r="GMC214" s="260"/>
      <c r="GMD214" s="260"/>
      <c r="GME214" s="260"/>
      <c r="GMF214" s="308"/>
      <c r="GMG214" s="290"/>
      <c r="GMH214" s="290"/>
      <c r="GMI214" s="260"/>
      <c r="GMJ214" s="260"/>
      <c r="GMK214" s="260"/>
      <c r="GML214" s="260"/>
      <c r="GMM214" s="260"/>
      <c r="GMN214" s="2"/>
      <c r="GMO214" s="2"/>
      <c r="GMP214" s="2"/>
      <c r="GMQ214" s="2"/>
      <c r="GMR214" s="2"/>
      <c r="GMS214" s="2"/>
      <c r="GMT214" s="260"/>
      <c r="GMU214" s="2"/>
      <c r="GMV214" s="2"/>
      <c r="GMW214" s="2"/>
      <c r="GMX214" s="2"/>
      <c r="GMY214" s="2"/>
      <c r="GMZ214" s="2"/>
      <c r="GNA214" s="2"/>
      <c r="GNB214" s="260"/>
      <c r="GNC214" s="260"/>
      <c r="GND214" s="260"/>
      <c r="GNE214" s="380"/>
      <c r="GNF214" s="380"/>
      <c r="GNG214" s="380"/>
      <c r="GNH214" s="2"/>
      <c r="GNI214" s="442"/>
      <c r="GNJ214" s="442"/>
      <c r="GNK214" s="443"/>
      <c r="GNL214" s="442"/>
      <c r="GNM214" s="442"/>
      <c r="GNN214" s="2"/>
      <c r="GNO214" s="2"/>
      <c r="GNP214" s="2"/>
      <c r="GNQ214" s="2"/>
      <c r="GNR214" s="260"/>
      <c r="GNS214" s="260"/>
      <c r="GNT214" s="260"/>
      <c r="GNU214" s="260"/>
      <c r="GNV214" s="260"/>
      <c r="GNW214" s="260"/>
      <c r="GNX214" s="308"/>
      <c r="GNY214" s="290"/>
      <c r="GNZ214" s="290"/>
      <c r="GOA214" s="260"/>
      <c r="GOB214" s="260"/>
      <c r="GOC214" s="260"/>
      <c r="GOD214" s="260"/>
      <c r="GOE214" s="260"/>
      <c r="GOF214" s="2"/>
      <c r="GOG214" s="2"/>
      <c r="GOH214" s="2"/>
      <c r="GOI214" s="2"/>
      <c r="GOJ214" s="2"/>
      <c r="GOK214" s="2"/>
      <c r="GOL214" s="260"/>
      <c r="GOM214" s="2"/>
      <c r="GON214" s="2"/>
      <c r="GOO214" s="2"/>
      <c r="GOP214" s="2"/>
      <c r="GOQ214" s="2"/>
      <c r="GOR214" s="2"/>
      <c r="GOS214" s="2"/>
      <c r="GOT214" s="260"/>
      <c r="GOU214" s="260"/>
      <c r="GOV214" s="260"/>
      <c r="GOW214" s="380"/>
      <c r="GOX214" s="380"/>
      <c r="GOY214" s="380"/>
      <c r="GOZ214" s="2"/>
      <c r="GPA214" s="442"/>
      <c r="GPB214" s="442"/>
      <c r="GPC214" s="443"/>
      <c r="GPD214" s="442"/>
      <c r="GPE214" s="442"/>
      <c r="GPF214" s="2"/>
      <c r="GPG214" s="2"/>
      <c r="GPH214" s="2"/>
      <c r="GPI214" s="2"/>
      <c r="GPJ214" s="260"/>
      <c r="GPK214" s="260"/>
      <c r="GPL214" s="260"/>
      <c r="GPM214" s="260"/>
      <c r="GPN214" s="260"/>
      <c r="GPO214" s="260"/>
      <c r="GPP214" s="308"/>
      <c r="GPQ214" s="290"/>
      <c r="GPR214" s="290"/>
      <c r="GPS214" s="260"/>
      <c r="GPT214" s="260"/>
      <c r="GPU214" s="260"/>
      <c r="GPV214" s="260"/>
      <c r="GPW214" s="260"/>
      <c r="GPX214" s="2"/>
      <c r="GPY214" s="2"/>
      <c r="GPZ214" s="2"/>
      <c r="GQA214" s="2"/>
      <c r="GQB214" s="2"/>
      <c r="GQC214" s="2"/>
      <c r="GQD214" s="260"/>
      <c r="GQE214" s="2"/>
      <c r="GQF214" s="2"/>
      <c r="GQG214" s="2"/>
      <c r="GQH214" s="2"/>
      <c r="GQI214" s="2"/>
      <c r="GQJ214" s="2"/>
      <c r="GQK214" s="2"/>
      <c r="GQL214" s="260"/>
      <c r="GQM214" s="260"/>
      <c r="GQN214" s="260"/>
      <c r="GQO214" s="380"/>
      <c r="GQP214" s="380"/>
      <c r="GQQ214" s="380"/>
      <c r="GQR214" s="2"/>
      <c r="GQS214" s="442"/>
      <c r="GQT214" s="442"/>
      <c r="GQU214" s="443"/>
      <c r="GQV214" s="442"/>
      <c r="GQW214" s="442"/>
      <c r="GQX214" s="2"/>
      <c r="GQY214" s="2"/>
      <c r="GQZ214" s="2"/>
      <c r="GRA214" s="2"/>
      <c r="GRB214" s="260"/>
      <c r="GRC214" s="260"/>
      <c r="GRD214" s="260"/>
      <c r="GRE214" s="260"/>
      <c r="GRF214" s="260"/>
      <c r="GRG214" s="260"/>
      <c r="GRH214" s="308"/>
      <c r="GRI214" s="290"/>
      <c r="GRJ214" s="290"/>
      <c r="GRK214" s="260"/>
      <c r="GRL214" s="260"/>
      <c r="GRM214" s="260"/>
      <c r="GRN214" s="260"/>
      <c r="GRO214" s="260"/>
      <c r="GRP214" s="2"/>
      <c r="GRQ214" s="2"/>
      <c r="GRR214" s="2"/>
      <c r="GRS214" s="2"/>
      <c r="GRT214" s="2"/>
      <c r="GRU214" s="2"/>
      <c r="GRV214" s="260"/>
      <c r="GRW214" s="2"/>
      <c r="GRX214" s="2"/>
      <c r="GRY214" s="2"/>
      <c r="GRZ214" s="2"/>
      <c r="GSA214" s="2"/>
      <c r="GSB214" s="2"/>
      <c r="GSC214" s="2"/>
      <c r="GSD214" s="260"/>
      <c r="GSE214" s="260"/>
      <c r="GSF214" s="260"/>
      <c r="GSG214" s="380"/>
      <c r="GSH214" s="380"/>
      <c r="GSI214" s="380"/>
      <c r="GSJ214" s="2"/>
      <c r="GSK214" s="442"/>
      <c r="GSL214" s="442"/>
      <c r="GSM214" s="443"/>
      <c r="GSN214" s="442"/>
      <c r="GSO214" s="442"/>
      <c r="GSP214" s="2"/>
      <c r="GSQ214" s="2"/>
      <c r="GSR214" s="2"/>
      <c r="GSS214" s="2"/>
      <c r="GST214" s="260"/>
      <c r="GSU214" s="260"/>
      <c r="GSV214" s="260"/>
      <c r="GSW214" s="260"/>
      <c r="GSX214" s="260"/>
      <c r="GSY214" s="260"/>
      <c r="GSZ214" s="308"/>
      <c r="GTA214" s="290"/>
      <c r="GTB214" s="290"/>
      <c r="GTC214" s="260"/>
      <c r="GTD214" s="260"/>
      <c r="GTE214" s="260"/>
      <c r="GTF214" s="260"/>
      <c r="GTG214" s="260"/>
      <c r="GTH214" s="2"/>
      <c r="GTI214" s="2"/>
      <c r="GTJ214" s="2"/>
      <c r="GTK214" s="2"/>
      <c r="GTL214" s="2"/>
      <c r="GTM214" s="2"/>
      <c r="GTN214" s="260"/>
      <c r="GTO214" s="2"/>
      <c r="GTP214" s="2"/>
      <c r="GTQ214" s="2"/>
      <c r="GTR214" s="2"/>
      <c r="GTS214" s="2"/>
      <c r="GTT214" s="2"/>
      <c r="GTU214" s="2"/>
      <c r="GTV214" s="260"/>
      <c r="GTW214" s="260"/>
      <c r="GTX214" s="260"/>
      <c r="GTY214" s="380"/>
      <c r="GTZ214" s="380"/>
      <c r="GUA214" s="380"/>
      <c r="GUB214" s="2"/>
      <c r="GUC214" s="442"/>
      <c r="GUD214" s="442"/>
      <c r="GUE214" s="443"/>
      <c r="GUF214" s="442"/>
      <c r="GUG214" s="442"/>
      <c r="GUH214" s="2"/>
      <c r="GUI214" s="2"/>
      <c r="GUJ214" s="2"/>
      <c r="GUK214" s="2"/>
      <c r="GUL214" s="260"/>
      <c r="GUM214" s="260"/>
      <c r="GUN214" s="260"/>
      <c r="GUO214" s="260"/>
      <c r="GUP214" s="260"/>
      <c r="GUQ214" s="260"/>
      <c r="GUR214" s="308"/>
      <c r="GUS214" s="290"/>
      <c r="GUT214" s="290"/>
      <c r="GUU214" s="260"/>
      <c r="GUV214" s="260"/>
      <c r="GUW214" s="260"/>
      <c r="GUX214" s="260"/>
      <c r="GUY214" s="260"/>
      <c r="GUZ214" s="2"/>
      <c r="GVA214" s="2"/>
      <c r="GVB214" s="2"/>
      <c r="GVC214" s="2"/>
      <c r="GVD214" s="2"/>
      <c r="GVE214" s="2"/>
      <c r="GVF214" s="260"/>
      <c r="GVG214" s="2"/>
      <c r="GVH214" s="2"/>
      <c r="GVI214" s="2"/>
      <c r="GVJ214" s="2"/>
      <c r="GVK214" s="2"/>
      <c r="GVL214" s="2"/>
      <c r="GVM214" s="2"/>
      <c r="GVN214" s="260"/>
      <c r="GVO214" s="260"/>
      <c r="GVP214" s="260"/>
      <c r="GVQ214" s="380"/>
      <c r="GVR214" s="380"/>
      <c r="GVS214" s="380"/>
      <c r="GVT214" s="2"/>
      <c r="GVU214" s="442"/>
      <c r="GVV214" s="442"/>
      <c r="GVW214" s="443"/>
      <c r="GVX214" s="442"/>
      <c r="GVY214" s="442"/>
      <c r="GVZ214" s="2"/>
      <c r="GWA214" s="2"/>
      <c r="GWB214" s="2"/>
      <c r="GWC214" s="2"/>
      <c r="GWD214" s="260"/>
      <c r="GWE214" s="260"/>
      <c r="GWF214" s="260"/>
      <c r="GWG214" s="260"/>
      <c r="GWH214" s="260"/>
      <c r="GWI214" s="260"/>
      <c r="GWJ214" s="308"/>
      <c r="GWK214" s="290"/>
      <c r="GWL214" s="290"/>
      <c r="GWM214" s="260"/>
      <c r="GWN214" s="260"/>
      <c r="GWO214" s="260"/>
      <c r="GWP214" s="260"/>
      <c r="GWQ214" s="260"/>
      <c r="GWR214" s="2"/>
      <c r="GWS214" s="2"/>
      <c r="GWT214" s="2"/>
      <c r="GWU214" s="2"/>
      <c r="GWV214" s="2"/>
      <c r="GWW214" s="2"/>
      <c r="GWX214" s="260"/>
      <c r="GWY214" s="2"/>
      <c r="GWZ214" s="2"/>
      <c r="GXA214" s="2"/>
      <c r="GXB214" s="2"/>
      <c r="GXC214" s="2"/>
      <c r="GXD214" s="2"/>
      <c r="GXE214" s="2"/>
      <c r="GXF214" s="260"/>
      <c r="GXG214" s="260"/>
      <c r="GXH214" s="260"/>
      <c r="GXI214" s="380"/>
      <c r="GXJ214" s="380"/>
      <c r="GXK214" s="380"/>
      <c r="GXL214" s="2"/>
      <c r="GXM214" s="442"/>
      <c r="GXN214" s="442"/>
      <c r="GXO214" s="443"/>
      <c r="GXP214" s="442"/>
      <c r="GXQ214" s="442"/>
      <c r="GXR214" s="2"/>
      <c r="GXS214" s="2"/>
      <c r="GXT214" s="2"/>
      <c r="GXU214" s="2"/>
      <c r="GXV214" s="260"/>
      <c r="GXW214" s="260"/>
      <c r="GXX214" s="260"/>
      <c r="GXY214" s="260"/>
      <c r="GXZ214" s="260"/>
      <c r="GYA214" s="260"/>
      <c r="GYB214" s="308"/>
      <c r="GYC214" s="290"/>
      <c r="GYD214" s="290"/>
      <c r="GYE214" s="260"/>
      <c r="GYF214" s="260"/>
      <c r="GYG214" s="260"/>
      <c r="GYH214" s="260"/>
      <c r="GYI214" s="260"/>
      <c r="GYJ214" s="2"/>
      <c r="GYK214" s="2"/>
      <c r="GYL214" s="2"/>
      <c r="GYM214" s="2"/>
      <c r="GYN214" s="2"/>
      <c r="GYO214" s="2"/>
      <c r="GYP214" s="260"/>
      <c r="GYQ214" s="2"/>
      <c r="GYR214" s="2"/>
      <c r="GYS214" s="2"/>
      <c r="GYT214" s="2"/>
      <c r="GYU214" s="2"/>
      <c r="GYV214" s="2"/>
      <c r="GYW214" s="2"/>
      <c r="GYX214" s="260"/>
      <c r="GYY214" s="260"/>
      <c r="GYZ214" s="260"/>
      <c r="GZA214" s="380"/>
      <c r="GZB214" s="380"/>
      <c r="GZC214" s="380"/>
      <c r="GZD214" s="2"/>
      <c r="GZE214" s="442"/>
      <c r="GZF214" s="442"/>
      <c r="GZG214" s="443"/>
      <c r="GZH214" s="442"/>
      <c r="GZI214" s="442"/>
      <c r="GZJ214" s="2"/>
      <c r="GZK214" s="2"/>
      <c r="GZL214" s="2"/>
      <c r="GZM214" s="2"/>
      <c r="GZN214" s="260"/>
      <c r="GZO214" s="260"/>
      <c r="GZP214" s="260"/>
      <c r="GZQ214" s="260"/>
      <c r="GZR214" s="260"/>
      <c r="GZS214" s="260"/>
      <c r="GZT214" s="308"/>
      <c r="GZU214" s="290"/>
      <c r="GZV214" s="290"/>
      <c r="GZW214" s="260"/>
      <c r="GZX214" s="260"/>
      <c r="GZY214" s="260"/>
      <c r="GZZ214" s="260"/>
      <c r="HAA214" s="260"/>
      <c r="HAB214" s="2"/>
      <c r="HAC214" s="2"/>
      <c r="HAD214" s="2"/>
      <c r="HAE214" s="2"/>
      <c r="HAF214" s="2"/>
      <c r="HAG214" s="2"/>
      <c r="HAH214" s="260"/>
      <c r="HAI214" s="2"/>
      <c r="HAJ214" s="2"/>
      <c r="HAK214" s="2"/>
      <c r="HAL214" s="2"/>
      <c r="HAM214" s="2"/>
      <c r="HAN214" s="2"/>
      <c r="HAO214" s="2"/>
      <c r="HAP214" s="260"/>
      <c r="HAQ214" s="260"/>
      <c r="HAR214" s="260"/>
      <c r="HAS214" s="380"/>
      <c r="HAT214" s="380"/>
      <c r="HAU214" s="380"/>
      <c r="HAV214" s="2"/>
      <c r="HAW214" s="442"/>
      <c r="HAX214" s="442"/>
      <c r="HAY214" s="443"/>
      <c r="HAZ214" s="442"/>
      <c r="HBA214" s="442"/>
      <c r="HBB214" s="2"/>
      <c r="HBC214" s="2"/>
      <c r="HBD214" s="2"/>
      <c r="HBE214" s="2"/>
      <c r="HBF214" s="260"/>
      <c r="HBG214" s="260"/>
      <c r="HBH214" s="260"/>
      <c r="HBI214" s="260"/>
      <c r="HBJ214" s="260"/>
      <c r="HBK214" s="260"/>
      <c r="HBL214" s="308"/>
      <c r="HBM214" s="290"/>
      <c r="HBN214" s="290"/>
      <c r="HBO214" s="260"/>
      <c r="HBP214" s="260"/>
      <c r="HBQ214" s="260"/>
      <c r="HBR214" s="260"/>
      <c r="HBS214" s="260"/>
      <c r="HBT214" s="2"/>
      <c r="HBU214" s="2"/>
      <c r="HBV214" s="2"/>
      <c r="HBW214" s="2"/>
      <c r="HBX214" s="2"/>
      <c r="HBY214" s="2"/>
      <c r="HBZ214" s="260"/>
      <c r="HCA214" s="2"/>
      <c r="HCB214" s="2"/>
      <c r="HCC214" s="2"/>
      <c r="HCD214" s="2"/>
      <c r="HCE214" s="2"/>
      <c r="HCF214" s="2"/>
      <c r="HCG214" s="2"/>
      <c r="HCH214" s="260"/>
      <c r="HCI214" s="260"/>
      <c r="HCJ214" s="260"/>
      <c r="HCK214" s="380"/>
      <c r="HCL214" s="380"/>
      <c r="HCM214" s="380"/>
      <c r="HCN214" s="2"/>
      <c r="HCO214" s="442"/>
      <c r="HCP214" s="442"/>
      <c r="HCQ214" s="443"/>
      <c r="HCR214" s="442"/>
      <c r="HCS214" s="442"/>
      <c r="HCT214" s="2"/>
      <c r="HCU214" s="2"/>
      <c r="HCV214" s="2"/>
      <c r="HCW214" s="2"/>
      <c r="HCX214" s="260"/>
      <c r="HCY214" s="260"/>
      <c r="HCZ214" s="260"/>
      <c r="HDA214" s="260"/>
      <c r="HDB214" s="260"/>
      <c r="HDC214" s="260"/>
      <c r="HDD214" s="308"/>
      <c r="HDE214" s="290"/>
      <c r="HDF214" s="290"/>
      <c r="HDG214" s="260"/>
      <c r="HDH214" s="260"/>
      <c r="HDI214" s="260"/>
      <c r="HDJ214" s="260"/>
      <c r="HDK214" s="260"/>
      <c r="HDL214" s="2"/>
      <c r="HDM214" s="2"/>
      <c r="HDN214" s="2"/>
      <c r="HDO214" s="2"/>
      <c r="HDP214" s="2"/>
      <c r="HDQ214" s="2"/>
      <c r="HDR214" s="260"/>
      <c r="HDS214" s="2"/>
      <c r="HDT214" s="2"/>
      <c r="HDU214" s="2"/>
      <c r="HDV214" s="2"/>
      <c r="HDW214" s="2"/>
      <c r="HDX214" s="2"/>
      <c r="HDY214" s="2"/>
      <c r="HDZ214" s="260"/>
      <c r="HEA214" s="260"/>
      <c r="HEB214" s="260"/>
      <c r="HEC214" s="380"/>
      <c r="HED214" s="380"/>
      <c r="HEE214" s="380"/>
      <c r="HEF214" s="2"/>
      <c r="HEG214" s="442"/>
      <c r="HEH214" s="442"/>
      <c r="HEI214" s="443"/>
      <c r="HEJ214" s="442"/>
      <c r="HEK214" s="442"/>
      <c r="HEL214" s="2"/>
      <c r="HEM214" s="2"/>
      <c r="HEN214" s="2"/>
      <c r="HEO214" s="2"/>
      <c r="HEP214" s="260"/>
      <c r="HEQ214" s="260"/>
      <c r="HER214" s="260"/>
      <c r="HES214" s="260"/>
      <c r="HET214" s="260"/>
      <c r="HEU214" s="260"/>
      <c r="HEV214" s="308"/>
      <c r="HEW214" s="290"/>
      <c r="HEX214" s="290"/>
      <c r="HEY214" s="260"/>
      <c r="HEZ214" s="260"/>
      <c r="HFA214" s="260"/>
      <c r="HFB214" s="260"/>
      <c r="HFC214" s="260"/>
      <c r="HFD214" s="2"/>
      <c r="HFE214" s="2"/>
      <c r="HFF214" s="2"/>
      <c r="HFG214" s="2"/>
      <c r="HFH214" s="2"/>
      <c r="HFI214" s="2"/>
      <c r="HFJ214" s="260"/>
      <c r="HFK214" s="2"/>
      <c r="HFL214" s="2"/>
      <c r="HFM214" s="2"/>
      <c r="HFN214" s="2"/>
      <c r="HFO214" s="2"/>
      <c r="HFP214" s="2"/>
      <c r="HFQ214" s="2"/>
      <c r="HFR214" s="260"/>
      <c r="HFS214" s="260"/>
      <c r="HFT214" s="260"/>
      <c r="HFU214" s="380"/>
      <c r="HFV214" s="380"/>
      <c r="HFW214" s="380"/>
      <c r="HFX214" s="2"/>
      <c r="HFY214" s="442"/>
      <c r="HFZ214" s="442"/>
      <c r="HGA214" s="443"/>
      <c r="HGB214" s="442"/>
      <c r="HGC214" s="442"/>
      <c r="HGD214" s="2"/>
      <c r="HGE214" s="2"/>
      <c r="HGF214" s="2"/>
      <c r="HGG214" s="2"/>
      <c r="HGH214" s="260"/>
      <c r="HGI214" s="260"/>
      <c r="HGJ214" s="260"/>
      <c r="HGK214" s="260"/>
      <c r="HGL214" s="260"/>
      <c r="HGM214" s="260"/>
      <c r="HGN214" s="308"/>
      <c r="HGO214" s="290"/>
      <c r="HGP214" s="290"/>
      <c r="HGQ214" s="260"/>
      <c r="HGR214" s="260"/>
      <c r="HGS214" s="260"/>
      <c r="HGT214" s="260"/>
      <c r="HGU214" s="260"/>
      <c r="HGV214" s="2"/>
      <c r="HGW214" s="2"/>
      <c r="HGX214" s="2"/>
      <c r="HGY214" s="2"/>
      <c r="HGZ214" s="2"/>
      <c r="HHA214" s="2"/>
      <c r="HHB214" s="260"/>
      <c r="HHC214" s="2"/>
      <c r="HHD214" s="2"/>
      <c r="HHE214" s="2"/>
      <c r="HHF214" s="2"/>
      <c r="HHG214" s="2"/>
      <c r="HHH214" s="2"/>
      <c r="HHI214" s="2"/>
      <c r="HHJ214" s="260"/>
      <c r="HHK214" s="260"/>
      <c r="HHL214" s="260"/>
      <c r="HHM214" s="380"/>
      <c r="HHN214" s="380"/>
      <c r="HHO214" s="380"/>
      <c r="HHP214" s="2"/>
      <c r="HHQ214" s="442"/>
      <c r="HHR214" s="442"/>
      <c r="HHS214" s="443"/>
      <c r="HHT214" s="442"/>
      <c r="HHU214" s="442"/>
      <c r="HHV214" s="2"/>
      <c r="HHW214" s="2"/>
      <c r="HHX214" s="2"/>
      <c r="HHY214" s="2"/>
      <c r="HHZ214" s="260"/>
      <c r="HIA214" s="260"/>
      <c r="HIB214" s="260"/>
      <c r="HIC214" s="260"/>
      <c r="HID214" s="260"/>
      <c r="HIE214" s="260"/>
      <c r="HIF214" s="308"/>
      <c r="HIG214" s="290"/>
      <c r="HIH214" s="290"/>
      <c r="HII214" s="260"/>
      <c r="HIJ214" s="260"/>
      <c r="HIK214" s="260"/>
      <c r="HIL214" s="260"/>
      <c r="HIM214" s="260"/>
      <c r="HIN214" s="2"/>
      <c r="HIO214" s="2"/>
      <c r="HIP214" s="2"/>
      <c r="HIQ214" s="2"/>
      <c r="HIR214" s="2"/>
      <c r="HIS214" s="2"/>
      <c r="HIT214" s="260"/>
      <c r="HIU214" s="2"/>
      <c r="HIV214" s="2"/>
      <c r="HIW214" s="2"/>
      <c r="HIX214" s="2"/>
      <c r="HIY214" s="2"/>
      <c r="HIZ214" s="2"/>
      <c r="HJA214" s="2"/>
      <c r="HJB214" s="260"/>
      <c r="HJC214" s="260"/>
      <c r="HJD214" s="260"/>
      <c r="HJE214" s="380"/>
      <c r="HJF214" s="380"/>
      <c r="HJG214" s="380"/>
      <c r="HJH214" s="2"/>
      <c r="HJI214" s="442"/>
      <c r="HJJ214" s="442"/>
      <c r="HJK214" s="443"/>
      <c r="HJL214" s="442"/>
      <c r="HJM214" s="442"/>
      <c r="HJN214" s="2"/>
      <c r="HJO214" s="2"/>
      <c r="HJP214" s="2"/>
      <c r="HJQ214" s="2"/>
      <c r="HJR214" s="260"/>
      <c r="HJS214" s="260"/>
      <c r="HJT214" s="260"/>
      <c r="HJU214" s="260"/>
      <c r="HJV214" s="260"/>
      <c r="HJW214" s="260"/>
      <c r="HJX214" s="308"/>
      <c r="HJY214" s="290"/>
      <c r="HJZ214" s="290"/>
      <c r="HKA214" s="260"/>
      <c r="HKB214" s="260"/>
      <c r="HKC214" s="260"/>
      <c r="HKD214" s="260"/>
      <c r="HKE214" s="260"/>
      <c r="HKF214" s="2"/>
      <c r="HKG214" s="2"/>
      <c r="HKH214" s="2"/>
      <c r="HKI214" s="2"/>
      <c r="HKJ214" s="2"/>
      <c r="HKK214" s="2"/>
      <c r="HKL214" s="260"/>
      <c r="HKM214" s="2"/>
      <c r="HKN214" s="2"/>
      <c r="HKO214" s="2"/>
      <c r="HKP214" s="2"/>
      <c r="HKQ214" s="2"/>
      <c r="HKR214" s="2"/>
      <c r="HKS214" s="2"/>
      <c r="HKT214" s="260"/>
      <c r="HKU214" s="260"/>
      <c r="HKV214" s="260"/>
      <c r="HKW214" s="380"/>
      <c r="HKX214" s="380"/>
      <c r="HKY214" s="380"/>
      <c r="HKZ214" s="2"/>
      <c r="HLA214" s="442"/>
      <c r="HLB214" s="442"/>
      <c r="HLC214" s="443"/>
      <c r="HLD214" s="442"/>
      <c r="HLE214" s="442"/>
      <c r="HLF214" s="2"/>
      <c r="HLG214" s="2"/>
      <c r="HLH214" s="2"/>
      <c r="HLI214" s="2"/>
      <c r="HLJ214" s="260"/>
      <c r="HLK214" s="260"/>
      <c r="HLL214" s="260"/>
      <c r="HLM214" s="260"/>
      <c r="HLN214" s="260"/>
      <c r="HLO214" s="260"/>
      <c r="HLP214" s="308"/>
      <c r="HLQ214" s="290"/>
      <c r="HLR214" s="290"/>
      <c r="HLS214" s="260"/>
      <c r="HLT214" s="260"/>
      <c r="HLU214" s="260"/>
      <c r="HLV214" s="260"/>
      <c r="HLW214" s="260"/>
      <c r="HLX214" s="2"/>
      <c r="HLY214" s="2"/>
      <c r="HLZ214" s="2"/>
      <c r="HMA214" s="2"/>
      <c r="HMB214" s="2"/>
      <c r="HMC214" s="2"/>
      <c r="HMD214" s="260"/>
      <c r="HME214" s="2"/>
      <c r="HMF214" s="2"/>
      <c r="HMG214" s="2"/>
      <c r="HMH214" s="2"/>
      <c r="HMI214" s="2"/>
      <c r="HMJ214" s="2"/>
      <c r="HMK214" s="2"/>
      <c r="HML214" s="260"/>
      <c r="HMM214" s="260"/>
      <c r="HMN214" s="260"/>
      <c r="HMO214" s="380"/>
      <c r="HMP214" s="380"/>
      <c r="HMQ214" s="380"/>
      <c r="HMR214" s="2"/>
      <c r="HMS214" s="442"/>
      <c r="HMT214" s="442"/>
      <c r="HMU214" s="443"/>
      <c r="HMV214" s="442"/>
      <c r="HMW214" s="442"/>
      <c r="HMX214" s="2"/>
      <c r="HMY214" s="2"/>
      <c r="HMZ214" s="2"/>
      <c r="HNA214" s="2"/>
      <c r="HNB214" s="260"/>
      <c r="HNC214" s="260"/>
      <c r="HND214" s="260"/>
      <c r="HNE214" s="260"/>
      <c r="HNF214" s="260"/>
      <c r="HNG214" s="260"/>
      <c r="HNH214" s="308"/>
      <c r="HNI214" s="290"/>
      <c r="HNJ214" s="290"/>
      <c r="HNK214" s="260"/>
      <c r="HNL214" s="260"/>
      <c r="HNM214" s="260"/>
      <c r="HNN214" s="260"/>
      <c r="HNO214" s="260"/>
      <c r="HNP214" s="2"/>
      <c r="HNQ214" s="2"/>
      <c r="HNR214" s="2"/>
      <c r="HNS214" s="2"/>
      <c r="HNT214" s="2"/>
      <c r="HNU214" s="2"/>
      <c r="HNV214" s="260"/>
      <c r="HNW214" s="2"/>
      <c r="HNX214" s="2"/>
      <c r="HNY214" s="2"/>
      <c r="HNZ214" s="2"/>
      <c r="HOA214" s="2"/>
      <c r="HOB214" s="2"/>
      <c r="HOC214" s="2"/>
      <c r="HOD214" s="260"/>
      <c r="HOE214" s="260"/>
      <c r="HOF214" s="260"/>
      <c r="HOG214" s="380"/>
      <c r="HOH214" s="380"/>
      <c r="HOI214" s="380"/>
      <c r="HOJ214" s="2"/>
      <c r="HOK214" s="442"/>
      <c r="HOL214" s="442"/>
      <c r="HOM214" s="443"/>
      <c r="HON214" s="442"/>
      <c r="HOO214" s="442"/>
      <c r="HOP214" s="2"/>
      <c r="HOQ214" s="2"/>
      <c r="HOR214" s="2"/>
      <c r="HOS214" s="2"/>
      <c r="HOT214" s="260"/>
      <c r="HOU214" s="260"/>
      <c r="HOV214" s="260"/>
      <c r="HOW214" s="260"/>
      <c r="HOX214" s="260"/>
      <c r="HOY214" s="260"/>
      <c r="HOZ214" s="308"/>
      <c r="HPA214" s="290"/>
      <c r="HPB214" s="290"/>
      <c r="HPC214" s="260"/>
      <c r="HPD214" s="260"/>
      <c r="HPE214" s="260"/>
      <c r="HPF214" s="260"/>
      <c r="HPG214" s="260"/>
      <c r="HPH214" s="2"/>
      <c r="HPI214" s="2"/>
      <c r="HPJ214" s="2"/>
      <c r="HPK214" s="2"/>
      <c r="HPL214" s="2"/>
      <c r="HPM214" s="2"/>
      <c r="HPN214" s="260"/>
      <c r="HPO214" s="2"/>
      <c r="HPP214" s="2"/>
      <c r="HPQ214" s="2"/>
      <c r="HPR214" s="2"/>
      <c r="HPS214" s="2"/>
      <c r="HPT214" s="2"/>
      <c r="HPU214" s="2"/>
      <c r="HPV214" s="260"/>
      <c r="HPW214" s="260"/>
      <c r="HPX214" s="260"/>
      <c r="HPY214" s="380"/>
      <c r="HPZ214" s="380"/>
      <c r="HQA214" s="380"/>
      <c r="HQB214" s="2"/>
      <c r="HQC214" s="442"/>
      <c r="HQD214" s="442"/>
      <c r="HQE214" s="443"/>
      <c r="HQF214" s="442"/>
      <c r="HQG214" s="442"/>
      <c r="HQH214" s="2"/>
      <c r="HQI214" s="2"/>
      <c r="HQJ214" s="2"/>
      <c r="HQK214" s="2"/>
      <c r="HQL214" s="260"/>
      <c r="HQM214" s="260"/>
      <c r="HQN214" s="260"/>
      <c r="HQO214" s="260"/>
      <c r="HQP214" s="260"/>
      <c r="HQQ214" s="260"/>
      <c r="HQR214" s="308"/>
      <c r="HQS214" s="290"/>
      <c r="HQT214" s="290"/>
      <c r="HQU214" s="260"/>
      <c r="HQV214" s="260"/>
      <c r="HQW214" s="260"/>
      <c r="HQX214" s="260"/>
      <c r="HQY214" s="260"/>
      <c r="HQZ214" s="2"/>
      <c r="HRA214" s="2"/>
      <c r="HRB214" s="2"/>
      <c r="HRC214" s="2"/>
      <c r="HRD214" s="2"/>
      <c r="HRE214" s="2"/>
      <c r="HRF214" s="260"/>
      <c r="HRG214" s="2"/>
      <c r="HRH214" s="2"/>
      <c r="HRI214" s="2"/>
      <c r="HRJ214" s="2"/>
      <c r="HRK214" s="2"/>
      <c r="HRL214" s="2"/>
      <c r="HRM214" s="2"/>
      <c r="HRN214" s="260"/>
      <c r="HRO214" s="260"/>
      <c r="HRP214" s="260"/>
      <c r="HRQ214" s="380"/>
      <c r="HRR214" s="380"/>
      <c r="HRS214" s="380"/>
      <c r="HRT214" s="2"/>
      <c r="HRU214" s="442"/>
      <c r="HRV214" s="442"/>
      <c r="HRW214" s="443"/>
      <c r="HRX214" s="442"/>
      <c r="HRY214" s="442"/>
      <c r="HRZ214" s="2"/>
      <c r="HSA214" s="2"/>
      <c r="HSB214" s="2"/>
      <c r="HSC214" s="2"/>
      <c r="HSD214" s="260"/>
      <c r="HSE214" s="260"/>
      <c r="HSF214" s="260"/>
      <c r="HSG214" s="260"/>
      <c r="HSH214" s="260"/>
      <c r="HSI214" s="260"/>
      <c r="HSJ214" s="308"/>
      <c r="HSK214" s="290"/>
      <c r="HSL214" s="290"/>
      <c r="HSM214" s="260"/>
      <c r="HSN214" s="260"/>
      <c r="HSO214" s="260"/>
      <c r="HSP214" s="260"/>
      <c r="HSQ214" s="260"/>
      <c r="HSR214" s="2"/>
      <c r="HSS214" s="2"/>
      <c r="HST214" s="2"/>
      <c r="HSU214" s="2"/>
      <c r="HSV214" s="2"/>
      <c r="HSW214" s="2"/>
      <c r="HSX214" s="260"/>
      <c r="HSY214" s="2"/>
      <c r="HSZ214" s="2"/>
      <c r="HTA214" s="2"/>
      <c r="HTB214" s="2"/>
      <c r="HTC214" s="2"/>
      <c r="HTD214" s="2"/>
      <c r="HTE214" s="2"/>
      <c r="HTF214" s="260"/>
      <c r="HTG214" s="260"/>
      <c r="HTH214" s="260"/>
      <c r="HTI214" s="380"/>
      <c r="HTJ214" s="380"/>
      <c r="HTK214" s="380"/>
      <c r="HTL214" s="2"/>
      <c r="HTM214" s="442"/>
      <c r="HTN214" s="442"/>
      <c r="HTO214" s="443"/>
      <c r="HTP214" s="442"/>
      <c r="HTQ214" s="442"/>
      <c r="HTR214" s="2"/>
      <c r="HTS214" s="2"/>
      <c r="HTT214" s="2"/>
      <c r="HTU214" s="2"/>
      <c r="HTV214" s="260"/>
      <c r="HTW214" s="260"/>
      <c r="HTX214" s="260"/>
      <c r="HTY214" s="260"/>
      <c r="HTZ214" s="260"/>
      <c r="HUA214" s="260"/>
      <c r="HUB214" s="308"/>
      <c r="HUC214" s="290"/>
      <c r="HUD214" s="290"/>
      <c r="HUE214" s="260"/>
      <c r="HUF214" s="260"/>
      <c r="HUG214" s="260"/>
      <c r="HUH214" s="260"/>
      <c r="HUI214" s="260"/>
      <c r="HUJ214" s="2"/>
      <c r="HUK214" s="2"/>
      <c r="HUL214" s="2"/>
      <c r="HUM214" s="2"/>
      <c r="HUN214" s="2"/>
      <c r="HUO214" s="2"/>
      <c r="HUP214" s="260"/>
      <c r="HUQ214" s="2"/>
      <c r="HUR214" s="2"/>
      <c r="HUS214" s="2"/>
      <c r="HUT214" s="2"/>
      <c r="HUU214" s="2"/>
      <c r="HUV214" s="2"/>
      <c r="HUW214" s="2"/>
      <c r="HUX214" s="260"/>
      <c r="HUY214" s="260"/>
      <c r="HUZ214" s="260"/>
      <c r="HVA214" s="380"/>
      <c r="HVB214" s="380"/>
      <c r="HVC214" s="380"/>
      <c r="HVD214" s="2"/>
      <c r="HVE214" s="442"/>
      <c r="HVF214" s="442"/>
      <c r="HVG214" s="443"/>
      <c r="HVH214" s="442"/>
      <c r="HVI214" s="442"/>
      <c r="HVJ214" s="2"/>
      <c r="HVK214" s="2"/>
      <c r="HVL214" s="2"/>
      <c r="HVM214" s="2"/>
      <c r="HVN214" s="260"/>
      <c r="HVO214" s="260"/>
      <c r="HVP214" s="260"/>
      <c r="HVQ214" s="260"/>
      <c r="HVR214" s="260"/>
      <c r="HVS214" s="260"/>
      <c r="HVT214" s="308"/>
      <c r="HVU214" s="290"/>
      <c r="HVV214" s="290"/>
      <c r="HVW214" s="260"/>
      <c r="HVX214" s="260"/>
      <c r="HVY214" s="260"/>
      <c r="HVZ214" s="260"/>
      <c r="HWA214" s="260"/>
      <c r="HWB214" s="2"/>
      <c r="HWC214" s="2"/>
      <c r="HWD214" s="2"/>
      <c r="HWE214" s="2"/>
      <c r="HWF214" s="2"/>
      <c r="HWG214" s="2"/>
      <c r="HWH214" s="260"/>
      <c r="HWI214" s="2"/>
      <c r="HWJ214" s="2"/>
      <c r="HWK214" s="2"/>
      <c r="HWL214" s="2"/>
      <c r="HWM214" s="2"/>
      <c r="HWN214" s="2"/>
      <c r="HWO214" s="2"/>
      <c r="HWP214" s="260"/>
      <c r="HWQ214" s="260"/>
      <c r="HWR214" s="260"/>
      <c r="HWS214" s="380"/>
      <c r="HWT214" s="380"/>
      <c r="HWU214" s="380"/>
      <c r="HWV214" s="2"/>
      <c r="HWW214" s="442"/>
      <c r="HWX214" s="442"/>
      <c r="HWY214" s="443"/>
      <c r="HWZ214" s="442"/>
      <c r="HXA214" s="442"/>
      <c r="HXB214" s="2"/>
      <c r="HXC214" s="2"/>
      <c r="HXD214" s="2"/>
      <c r="HXE214" s="2"/>
      <c r="HXF214" s="260"/>
      <c r="HXG214" s="260"/>
      <c r="HXH214" s="260"/>
      <c r="HXI214" s="260"/>
      <c r="HXJ214" s="260"/>
      <c r="HXK214" s="260"/>
      <c r="HXL214" s="308"/>
      <c r="HXM214" s="290"/>
      <c r="HXN214" s="290"/>
      <c r="HXO214" s="260"/>
      <c r="HXP214" s="260"/>
      <c r="HXQ214" s="260"/>
      <c r="HXR214" s="260"/>
      <c r="HXS214" s="260"/>
      <c r="HXT214" s="2"/>
      <c r="HXU214" s="2"/>
      <c r="HXV214" s="2"/>
      <c r="HXW214" s="2"/>
      <c r="HXX214" s="2"/>
      <c r="HXY214" s="2"/>
      <c r="HXZ214" s="260"/>
      <c r="HYA214" s="2"/>
      <c r="HYB214" s="2"/>
      <c r="HYC214" s="2"/>
      <c r="HYD214" s="2"/>
      <c r="HYE214" s="2"/>
      <c r="HYF214" s="2"/>
      <c r="HYG214" s="2"/>
      <c r="HYH214" s="260"/>
      <c r="HYI214" s="260"/>
      <c r="HYJ214" s="260"/>
      <c r="HYK214" s="380"/>
      <c r="HYL214" s="380"/>
      <c r="HYM214" s="380"/>
      <c r="HYN214" s="2"/>
      <c r="HYO214" s="442"/>
      <c r="HYP214" s="442"/>
      <c r="HYQ214" s="443"/>
      <c r="HYR214" s="442"/>
      <c r="HYS214" s="442"/>
      <c r="HYT214" s="2"/>
      <c r="HYU214" s="2"/>
      <c r="HYV214" s="2"/>
      <c r="HYW214" s="2"/>
      <c r="HYX214" s="260"/>
      <c r="HYY214" s="260"/>
      <c r="HYZ214" s="260"/>
      <c r="HZA214" s="260"/>
      <c r="HZB214" s="260"/>
      <c r="HZC214" s="260"/>
      <c r="HZD214" s="308"/>
      <c r="HZE214" s="290"/>
      <c r="HZF214" s="290"/>
      <c r="HZG214" s="260"/>
      <c r="HZH214" s="260"/>
      <c r="HZI214" s="260"/>
      <c r="HZJ214" s="260"/>
      <c r="HZK214" s="260"/>
      <c r="HZL214" s="2"/>
      <c r="HZM214" s="2"/>
      <c r="HZN214" s="2"/>
      <c r="HZO214" s="2"/>
      <c r="HZP214" s="2"/>
      <c r="HZQ214" s="2"/>
      <c r="HZR214" s="260"/>
      <c r="HZS214" s="2"/>
      <c r="HZT214" s="2"/>
      <c r="HZU214" s="2"/>
      <c r="HZV214" s="2"/>
      <c r="HZW214" s="2"/>
      <c r="HZX214" s="2"/>
      <c r="HZY214" s="2"/>
      <c r="HZZ214" s="260"/>
      <c r="IAA214" s="260"/>
      <c r="IAB214" s="260"/>
      <c r="IAC214" s="380"/>
      <c r="IAD214" s="380"/>
      <c r="IAE214" s="380"/>
      <c r="IAF214" s="2"/>
      <c r="IAG214" s="442"/>
      <c r="IAH214" s="442"/>
      <c r="IAI214" s="443"/>
      <c r="IAJ214" s="442"/>
      <c r="IAK214" s="442"/>
      <c r="IAL214" s="2"/>
      <c r="IAM214" s="2"/>
      <c r="IAN214" s="2"/>
      <c r="IAO214" s="2"/>
      <c r="IAP214" s="260"/>
      <c r="IAQ214" s="260"/>
      <c r="IAR214" s="260"/>
      <c r="IAS214" s="260"/>
      <c r="IAT214" s="260"/>
      <c r="IAU214" s="260"/>
      <c r="IAV214" s="308"/>
      <c r="IAW214" s="290"/>
      <c r="IAX214" s="290"/>
      <c r="IAY214" s="260"/>
      <c r="IAZ214" s="260"/>
      <c r="IBA214" s="260"/>
      <c r="IBB214" s="260"/>
      <c r="IBC214" s="260"/>
      <c r="IBD214" s="2"/>
      <c r="IBE214" s="2"/>
      <c r="IBF214" s="2"/>
      <c r="IBG214" s="2"/>
      <c r="IBH214" s="2"/>
      <c r="IBI214" s="2"/>
      <c r="IBJ214" s="260"/>
      <c r="IBK214" s="2"/>
      <c r="IBL214" s="2"/>
      <c r="IBM214" s="2"/>
      <c r="IBN214" s="2"/>
      <c r="IBO214" s="2"/>
      <c r="IBP214" s="2"/>
      <c r="IBQ214" s="2"/>
      <c r="IBR214" s="260"/>
      <c r="IBS214" s="260"/>
      <c r="IBT214" s="260"/>
      <c r="IBU214" s="380"/>
      <c r="IBV214" s="380"/>
      <c r="IBW214" s="380"/>
      <c r="IBX214" s="2"/>
      <c r="IBY214" s="442"/>
      <c r="IBZ214" s="442"/>
      <c r="ICA214" s="443"/>
      <c r="ICB214" s="442"/>
      <c r="ICC214" s="442"/>
      <c r="ICD214" s="2"/>
      <c r="ICE214" s="2"/>
      <c r="ICF214" s="2"/>
      <c r="ICG214" s="2"/>
      <c r="ICH214" s="260"/>
      <c r="ICI214" s="260"/>
      <c r="ICJ214" s="260"/>
      <c r="ICK214" s="260"/>
      <c r="ICL214" s="260"/>
      <c r="ICM214" s="260"/>
      <c r="ICN214" s="308"/>
      <c r="ICO214" s="290"/>
      <c r="ICP214" s="290"/>
      <c r="ICQ214" s="260"/>
      <c r="ICR214" s="260"/>
      <c r="ICS214" s="260"/>
      <c r="ICT214" s="260"/>
      <c r="ICU214" s="260"/>
      <c r="ICV214" s="2"/>
      <c r="ICW214" s="2"/>
      <c r="ICX214" s="2"/>
      <c r="ICY214" s="2"/>
      <c r="ICZ214" s="2"/>
      <c r="IDA214" s="2"/>
      <c r="IDB214" s="260"/>
      <c r="IDC214" s="2"/>
      <c r="IDD214" s="2"/>
      <c r="IDE214" s="2"/>
      <c r="IDF214" s="2"/>
      <c r="IDG214" s="2"/>
      <c r="IDH214" s="2"/>
      <c r="IDI214" s="2"/>
      <c r="IDJ214" s="260"/>
      <c r="IDK214" s="260"/>
      <c r="IDL214" s="260"/>
      <c r="IDM214" s="380"/>
      <c r="IDN214" s="380"/>
      <c r="IDO214" s="380"/>
      <c r="IDP214" s="2"/>
      <c r="IDQ214" s="442"/>
      <c r="IDR214" s="442"/>
      <c r="IDS214" s="443"/>
      <c r="IDT214" s="442"/>
      <c r="IDU214" s="442"/>
      <c r="IDV214" s="2"/>
      <c r="IDW214" s="2"/>
      <c r="IDX214" s="2"/>
      <c r="IDY214" s="2"/>
      <c r="IDZ214" s="260"/>
      <c r="IEA214" s="260"/>
      <c r="IEB214" s="260"/>
      <c r="IEC214" s="260"/>
      <c r="IED214" s="260"/>
      <c r="IEE214" s="260"/>
      <c r="IEF214" s="308"/>
      <c r="IEG214" s="290"/>
      <c r="IEH214" s="290"/>
      <c r="IEI214" s="260"/>
      <c r="IEJ214" s="260"/>
      <c r="IEK214" s="260"/>
      <c r="IEL214" s="260"/>
      <c r="IEM214" s="260"/>
      <c r="IEN214" s="2"/>
      <c r="IEO214" s="2"/>
      <c r="IEP214" s="2"/>
      <c r="IEQ214" s="2"/>
      <c r="IER214" s="2"/>
      <c r="IES214" s="2"/>
      <c r="IET214" s="260"/>
      <c r="IEU214" s="2"/>
      <c r="IEV214" s="2"/>
      <c r="IEW214" s="2"/>
      <c r="IEX214" s="2"/>
      <c r="IEY214" s="2"/>
      <c r="IEZ214" s="2"/>
      <c r="IFA214" s="2"/>
      <c r="IFB214" s="260"/>
      <c r="IFC214" s="260"/>
      <c r="IFD214" s="260"/>
      <c r="IFE214" s="380"/>
      <c r="IFF214" s="380"/>
      <c r="IFG214" s="380"/>
      <c r="IFH214" s="2"/>
      <c r="IFI214" s="442"/>
      <c r="IFJ214" s="442"/>
      <c r="IFK214" s="443"/>
      <c r="IFL214" s="442"/>
      <c r="IFM214" s="442"/>
      <c r="IFN214" s="2"/>
      <c r="IFO214" s="2"/>
      <c r="IFP214" s="2"/>
      <c r="IFQ214" s="2"/>
      <c r="IFR214" s="260"/>
      <c r="IFS214" s="260"/>
      <c r="IFT214" s="260"/>
      <c r="IFU214" s="260"/>
      <c r="IFV214" s="260"/>
      <c r="IFW214" s="260"/>
      <c r="IFX214" s="308"/>
      <c r="IFY214" s="290"/>
      <c r="IFZ214" s="290"/>
      <c r="IGA214" s="260"/>
      <c r="IGB214" s="260"/>
      <c r="IGC214" s="260"/>
      <c r="IGD214" s="260"/>
      <c r="IGE214" s="260"/>
      <c r="IGF214" s="2"/>
      <c r="IGG214" s="2"/>
      <c r="IGH214" s="2"/>
      <c r="IGI214" s="2"/>
      <c r="IGJ214" s="2"/>
      <c r="IGK214" s="2"/>
      <c r="IGL214" s="260"/>
      <c r="IGM214" s="2"/>
      <c r="IGN214" s="2"/>
      <c r="IGO214" s="2"/>
      <c r="IGP214" s="2"/>
      <c r="IGQ214" s="2"/>
      <c r="IGR214" s="2"/>
      <c r="IGS214" s="2"/>
      <c r="IGT214" s="260"/>
      <c r="IGU214" s="260"/>
      <c r="IGV214" s="260"/>
      <c r="IGW214" s="380"/>
      <c r="IGX214" s="380"/>
      <c r="IGY214" s="380"/>
      <c r="IGZ214" s="2"/>
      <c r="IHA214" s="442"/>
      <c r="IHB214" s="442"/>
      <c r="IHC214" s="443"/>
      <c r="IHD214" s="442"/>
      <c r="IHE214" s="442"/>
      <c r="IHF214" s="2"/>
      <c r="IHG214" s="2"/>
      <c r="IHH214" s="2"/>
      <c r="IHI214" s="2"/>
      <c r="IHJ214" s="260"/>
      <c r="IHK214" s="260"/>
      <c r="IHL214" s="260"/>
      <c r="IHM214" s="260"/>
      <c r="IHN214" s="260"/>
      <c r="IHO214" s="260"/>
      <c r="IHP214" s="308"/>
      <c r="IHQ214" s="290"/>
      <c r="IHR214" s="290"/>
      <c r="IHS214" s="260"/>
      <c r="IHT214" s="260"/>
      <c r="IHU214" s="260"/>
      <c r="IHV214" s="260"/>
      <c r="IHW214" s="260"/>
      <c r="IHX214" s="2"/>
      <c r="IHY214" s="2"/>
      <c r="IHZ214" s="2"/>
      <c r="IIA214" s="2"/>
      <c r="IIB214" s="2"/>
      <c r="IIC214" s="2"/>
      <c r="IID214" s="260"/>
      <c r="IIE214" s="2"/>
      <c r="IIF214" s="2"/>
      <c r="IIG214" s="2"/>
      <c r="IIH214" s="2"/>
      <c r="III214" s="2"/>
      <c r="IIJ214" s="2"/>
      <c r="IIK214" s="2"/>
      <c r="IIL214" s="260"/>
      <c r="IIM214" s="260"/>
      <c r="IIN214" s="260"/>
      <c r="IIO214" s="380"/>
      <c r="IIP214" s="380"/>
      <c r="IIQ214" s="380"/>
      <c r="IIR214" s="2"/>
      <c r="IIS214" s="442"/>
      <c r="IIT214" s="442"/>
      <c r="IIU214" s="443"/>
      <c r="IIV214" s="442"/>
      <c r="IIW214" s="442"/>
      <c r="IIX214" s="2"/>
      <c r="IIY214" s="2"/>
      <c r="IIZ214" s="2"/>
      <c r="IJA214" s="2"/>
      <c r="IJB214" s="260"/>
      <c r="IJC214" s="260"/>
      <c r="IJD214" s="260"/>
      <c r="IJE214" s="260"/>
      <c r="IJF214" s="260"/>
      <c r="IJG214" s="260"/>
      <c r="IJH214" s="308"/>
      <c r="IJI214" s="290"/>
      <c r="IJJ214" s="290"/>
      <c r="IJK214" s="260"/>
      <c r="IJL214" s="260"/>
      <c r="IJM214" s="260"/>
      <c r="IJN214" s="260"/>
      <c r="IJO214" s="260"/>
      <c r="IJP214" s="2"/>
      <c r="IJQ214" s="2"/>
      <c r="IJR214" s="2"/>
      <c r="IJS214" s="2"/>
      <c r="IJT214" s="2"/>
      <c r="IJU214" s="2"/>
      <c r="IJV214" s="260"/>
      <c r="IJW214" s="2"/>
      <c r="IJX214" s="2"/>
      <c r="IJY214" s="2"/>
      <c r="IJZ214" s="2"/>
      <c r="IKA214" s="2"/>
      <c r="IKB214" s="2"/>
      <c r="IKC214" s="2"/>
      <c r="IKD214" s="260"/>
      <c r="IKE214" s="260"/>
      <c r="IKF214" s="260"/>
      <c r="IKG214" s="380"/>
      <c r="IKH214" s="380"/>
      <c r="IKI214" s="380"/>
      <c r="IKJ214" s="2"/>
      <c r="IKK214" s="442"/>
      <c r="IKL214" s="442"/>
      <c r="IKM214" s="443"/>
      <c r="IKN214" s="442"/>
      <c r="IKO214" s="442"/>
      <c r="IKP214" s="2"/>
      <c r="IKQ214" s="2"/>
      <c r="IKR214" s="2"/>
      <c r="IKS214" s="2"/>
      <c r="IKT214" s="260"/>
      <c r="IKU214" s="260"/>
      <c r="IKV214" s="260"/>
      <c r="IKW214" s="260"/>
      <c r="IKX214" s="260"/>
      <c r="IKY214" s="260"/>
      <c r="IKZ214" s="308"/>
      <c r="ILA214" s="290"/>
      <c r="ILB214" s="290"/>
      <c r="ILC214" s="260"/>
      <c r="ILD214" s="260"/>
      <c r="ILE214" s="260"/>
      <c r="ILF214" s="260"/>
      <c r="ILG214" s="260"/>
      <c r="ILH214" s="2"/>
      <c r="ILI214" s="2"/>
      <c r="ILJ214" s="2"/>
      <c r="ILK214" s="2"/>
      <c r="ILL214" s="2"/>
      <c r="ILM214" s="2"/>
      <c r="ILN214" s="260"/>
      <c r="ILO214" s="2"/>
      <c r="ILP214" s="2"/>
      <c r="ILQ214" s="2"/>
      <c r="ILR214" s="2"/>
      <c r="ILS214" s="2"/>
      <c r="ILT214" s="2"/>
      <c r="ILU214" s="2"/>
      <c r="ILV214" s="260"/>
      <c r="ILW214" s="260"/>
      <c r="ILX214" s="260"/>
      <c r="ILY214" s="380"/>
      <c r="ILZ214" s="380"/>
      <c r="IMA214" s="380"/>
      <c r="IMB214" s="2"/>
      <c r="IMC214" s="442"/>
      <c r="IMD214" s="442"/>
      <c r="IME214" s="443"/>
      <c r="IMF214" s="442"/>
      <c r="IMG214" s="442"/>
      <c r="IMH214" s="2"/>
      <c r="IMI214" s="2"/>
      <c r="IMJ214" s="2"/>
      <c r="IMK214" s="2"/>
      <c r="IML214" s="260"/>
      <c r="IMM214" s="260"/>
      <c r="IMN214" s="260"/>
      <c r="IMO214" s="260"/>
      <c r="IMP214" s="260"/>
      <c r="IMQ214" s="260"/>
      <c r="IMR214" s="308"/>
      <c r="IMS214" s="290"/>
      <c r="IMT214" s="290"/>
      <c r="IMU214" s="260"/>
      <c r="IMV214" s="260"/>
      <c r="IMW214" s="260"/>
      <c r="IMX214" s="260"/>
      <c r="IMY214" s="260"/>
      <c r="IMZ214" s="2"/>
      <c r="INA214" s="2"/>
      <c r="INB214" s="2"/>
      <c r="INC214" s="2"/>
      <c r="IND214" s="2"/>
      <c r="INE214" s="2"/>
      <c r="INF214" s="260"/>
      <c r="ING214" s="2"/>
      <c r="INH214" s="2"/>
      <c r="INI214" s="2"/>
      <c r="INJ214" s="2"/>
      <c r="INK214" s="2"/>
      <c r="INL214" s="2"/>
      <c r="INM214" s="2"/>
      <c r="INN214" s="260"/>
      <c r="INO214" s="260"/>
      <c r="INP214" s="260"/>
      <c r="INQ214" s="380"/>
      <c r="INR214" s="380"/>
      <c r="INS214" s="380"/>
      <c r="INT214" s="2"/>
      <c r="INU214" s="442"/>
      <c r="INV214" s="442"/>
      <c r="INW214" s="443"/>
      <c r="INX214" s="442"/>
      <c r="INY214" s="442"/>
      <c r="INZ214" s="2"/>
      <c r="IOA214" s="2"/>
      <c r="IOB214" s="2"/>
      <c r="IOC214" s="2"/>
      <c r="IOD214" s="260"/>
      <c r="IOE214" s="260"/>
      <c r="IOF214" s="260"/>
      <c r="IOG214" s="260"/>
      <c r="IOH214" s="260"/>
      <c r="IOI214" s="260"/>
      <c r="IOJ214" s="308"/>
      <c r="IOK214" s="290"/>
      <c r="IOL214" s="290"/>
      <c r="IOM214" s="260"/>
      <c r="ION214" s="260"/>
      <c r="IOO214" s="260"/>
      <c r="IOP214" s="260"/>
      <c r="IOQ214" s="260"/>
      <c r="IOR214" s="2"/>
      <c r="IOS214" s="2"/>
      <c r="IOT214" s="2"/>
      <c r="IOU214" s="2"/>
      <c r="IOV214" s="2"/>
      <c r="IOW214" s="2"/>
      <c r="IOX214" s="260"/>
      <c r="IOY214" s="2"/>
      <c r="IOZ214" s="2"/>
      <c r="IPA214" s="2"/>
      <c r="IPB214" s="2"/>
      <c r="IPC214" s="2"/>
      <c r="IPD214" s="2"/>
      <c r="IPE214" s="2"/>
      <c r="IPF214" s="260"/>
      <c r="IPG214" s="260"/>
      <c r="IPH214" s="260"/>
      <c r="IPI214" s="380"/>
      <c r="IPJ214" s="380"/>
      <c r="IPK214" s="380"/>
      <c r="IPL214" s="2"/>
      <c r="IPM214" s="442"/>
      <c r="IPN214" s="442"/>
      <c r="IPO214" s="443"/>
      <c r="IPP214" s="442"/>
      <c r="IPQ214" s="442"/>
      <c r="IPR214" s="2"/>
      <c r="IPS214" s="2"/>
      <c r="IPT214" s="2"/>
      <c r="IPU214" s="2"/>
      <c r="IPV214" s="260"/>
      <c r="IPW214" s="260"/>
      <c r="IPX214" s="260"/>
      <c r="IPY214" s="260"/>
      <c r="IPZ214" s="260"/>
      <c r="IQA214" s="260"/>
      <c r="IQB214" s="308"/>
      <c r="IQC214" s="290"/>
      <c r="IQD214" s="290"/>
      <c r="IQE214" s="260"/>
      <c r="IQF214" s="260"/>
      <c r="IQG214" s="260"/>
      <c r="IQH214" s="260"/>
      <c r="IQI214" s="260"/>
      <c r="IQJ214" s="2"/>
      <c r="IQK214" s="2"/>
      <c r="IQL214" s="2"/>
      <c r="IQM214" s="2"/>
      <c r="IQN214" s="2"/>
      <c r="IQO214" s="2"/>
      <c r="IQP214" s="260"/>
      <c r="IQQ214" s="2"/>
      <c r="IQR214" s="2"/>
      <c r="IQS214" s="2"/>
      <c r="IQT214" s="2"/>
      <c r="IQU214" s="2"/>
      <c r="IQV214" s="2"/>
      <c r="IQW214" s="2"/>
      <c r="IQX214" s="260"/>
      <c r="IQY214" s="260"/>
      <c r="IQZ214" s="260"/>
      <c r="IRA214" s="380"/>
      <c r="IRB214" s="380"/>
      <c r="IRC214" s="380"/>
      <c r="IRD214" s="2"/>
      <c r="IRE214" s="442"/>
      <c r="IRF214" s="442"/>
      <c r="IRG214" s="443"/>
      <c r="IRH214" s="442"/>
      <c r="IRI214" s="442"/>
      <c r="IRJ214" s="2"/>
      <c r="IRK214" s="2"/>
      <c r="IRL214" s="2"/>
      <c r="IRM214" s="2"/>
      <c r="IRN214" s="260"/>
      <c r="IRO214" s="260"/>
      <c r="IRP214" s="260"/>
      <c r="IRQ214" s="260"/>
      <c r="IRR214" s="260"/>
      <c r="IRS214" s="260"/>
      <c r="IRT214" s="308"/>
      <c r="IRU214" s="290"/>
      <c r="IRV214" s="290"/>
      <c r="IRW214" s="260"/>
      <c r="IRX214" s="260"/>
      <c r="IRY214" s="260"/>
      <c r="IRZ214" s="260"/>
      <c r="ISA214" s="260"/>
      <c r="ISB214" s="2"/>
      <c r="ISC214" s="2"/>
      <c r="ISD214" s="2"/>
      <c r="ISE214" s="2"/>
      <c r="ISF214" s="2"/>
      <c r="ISG214" s="2"/>
      <c r="ISH214" s="260"/>
      <c r="ISI214" s="2"/>
      <c r="ISJ214" s="2"/>
      <c r="ISK214" s="2"/>
      <c r="ISL214" s="2"/>
      <c r="ISM214" s="2"/>
      <c r="ISN214" s="2"/>
      <c r="ISO214" s="2"/>
      <c r="ISP214" s="260"/>
      <c r="ISQ214" s="260"/>
      <c r="ISR214" s="260"/>
      <c r="ISS214" s="380"/>
      <c r="IST214" s="380"/>
      <c r="ISU214" s="380"/>
      <c r="ISV214" s="2"/>
      <c r="ISW214" s="442"/>
      <c r="ISX214" s="442"/>
      <c r="ISY214" s="443"/>
      <c r="ISZ214" s="442"/>
      <c r="ITA214" s="442"/>
      <c r="ITB214" s="2"/>
      <c r="ITC214" s="2"/>
      <c r="ITD214" s="2"/>
      <c r="ITE214" s="2"/>
      <c r="ITF214" s="260"/>
      <c r="ITG214" s="260"/>
      <c r="ITH214" s="260"/>
      <c r="ITI214" s="260"/>
      <c r="ITJ214" s="260"/>
      <c r="ITK214" s="260"/>
      <c r="ITL214" s="308"/>
      <c r="ITM214" s="290"/>
      <c r="ITN214" s="290"/>
      <c r="ITO214" s="260"/>
      <c r="ITP214" s="260"/>
      <c r="ITQ214" s="260"/>
      <c r="ITR214" s="260"/>
      <c r="ITS214" s="260"/>
      <c r="ITT214" s="2"/>
      <c r="ITU214" s="2"/>
      <c r="ITV214" s="2"/>
      <c r="ITW214" s="2"/>
      <c r="ITX214" s="2"/>
      <c r="ITY214" s="2"/>
      <c r="ITZ214" s="260"/>
      <c r="IUA214" s="2"/>
      <c r="IUB214" s="2"/>
      <c r="IUC214" s="2"/>
      <c r="IUD214" s="2"/>
      <c r="IUE214" s="2"/>
      <c r="IUF214" s="2"/>
      <c r="IUG214" s="2"/>
      <c r="IUH214" s="260"/>
      <c r="IUI214" s="260"/>
      <c r="IUJ214" s="260"/>
      <c r="IUK214" s="380"/>
      <c r="IUL214" s="380"/>
      <c r="IUM214" s="380"/>
      <c r="IUN214" s="2"/>
      <c r="IUO214" s="442"/>
      <c r="IUP214" s="442"/>
      <c r="IUQ214" s="443"/>
      <c r="IUR214" s="442"/>
      <c r="IUS214" s="442"/>
      <c r="IUT214" s="2"/>
      <c r="IUU214" s="2"/>
      <c r="IUV214" s="2"/>
      <c r="IUW214" s="2"/>
      <c r="IUX214" s="260"/>
      <c r="IUY214" s="260"/>
      <c r="IUZ214" s="260"/>
      <c r="IVA214" s="260"/>
      <c r="IVB214" s="260"/>
      <c r="IVC214" s="260"/>
      <c r="IVD214" s="308"/>
      <c r="IVE214" s="290"/>
      <c r="IVF214" s="290"/>
      <c r="IVG214" s="260"/>
      <c r="IVH214" s="260"/>
      <c r="IVI214" s="260"/>
      <c r="IVJ214" s="260"/>
      <c r="IVK214" s="260"/>
      <c r="IVL214" s="2"/>
      <c r="IVM214" s="2"/>
      <c r="IVN214" s="2"/>
      <c r="IVO214" s="2"/>
      <c r="IVP214" s="2"/>
      <c r="IVQ214" s="2"/>
      <c r="IVR214" s="260"/>
      <c r="IVS214" s="2"/>
      <c r="IVT214" s="2"/>
      <c r="IVU214" s="2"/>
      <c r="IVV214" s="2"/>
      <c r="IVW214" s="2"/>
      <c r="IVX214" s="2"/>
      <c r="IVY214" s="2"/>
      <c r="IVZ214" s="260"/>
      <c r="IWA214" s="260"/>
      <c r="IWB214" s="260"/>
      <c r="IWC214" s="380"/>
      <c r="IWD214" s="380"/>
      <c r="IWE214" s="380"/>
      <c r="IWF214" s="2"/>
      <c r="IWG214" s="442"/>
      <c r="IWH214" s="442"/>
      <c r="IWI214" s="443"/>
      <c r="IWJ214" s="442"/>
      <c r="IWK214" s="442"/>
      <c r="IWL214" s="2"/>
      <c r="IWM214" s="2"/>
      <c r="IWN214" s="2"/>
      <c r="IWO214" s="2"/>
      <c r="IWP214" s="260"/>
      <c r="IWQ214" s="260"/>
      <c r="IWR214" s="260"/>
      <c r="IWS214" s="260"/>
      <c r="IWT214" s="260"/>
      <c r="IWU214" s="260"/>
      <c r="IWV214" s="308"/>
      <c r="IWW214" s="290"/>
      <c r="IWX214" s="290"/>
      <c r="IWY214" s="260"/>
      <c r="IWZ214" s="260"/>
      <c r="IXA214" s="260"/>
      <c r="IXB214" s="260"/>
      <c r="IXC214" s="260"/>
      <c r="IXD214" s="2"/>
      <c r="IXE214" s="2"/>
      <c r="IXF214" s="2"/>
      <c r="IXG214" s="2"/>
      <c r="IXH214" s="2"/>
      <c r="IXI214" s="2"/>
      <c r="IXJ214" s="260"/>
      <c r="IXK214" s="2"/>
      <c r="IXL214" s="2"/>
      <c r="IXM214" s="2"/>
      <c r="IXN214" s="2"/>
      <c r="IXO214" s="2"/>
      <c r="IXP214" s="2"/>
      <c r="IXQ214" s="2"/>
      <c r="IXR214" s="260"/>
      <c r="IXS214" s="260"/>
      <c r="IXT214" s="260"/>
      <c r="IXU214" s="380"/>
      <c r="IXV214" s="380"/>
      <c r="IXW214" s="380"/>
      <c r="IXX214" s="2"/>
      <c r="IXY214" s="442"/>
      <c r="IXZ214" s="442"/>
      <c r="IYA214" s="443"/>
      <c r="IYB214" s="442"/>
      <c r="IYC214" s="442"/>
      <c r="IYD214" s="2"/>
      <c r="IYE214" s="2"/>
      <c r="IYF214" s="2"/>
      <c r="IYG214" s="2"/>
      <c r="IYH214" s="260"/>
      <c r="IYI214" s="260"/>
      <c r="IYJ214" s="260"/>
      <c r="IYK214" s="260"/>
      <c r="IYL214" s="260"/>
      <c r="IYM214" s="260"/>
      <c r="IYN214" s="308"/>
      <c r="IYO214" s="290"/>
      <c r="IYP214" s="290"/>
      <c r="IYQ214" s="260"/>
      <c r="IYR214" s="260"/>
      <c r="IYS214" s="260"/>
      <c r="IYT214" s="260"/>
      <c r="IYU214" s="260"/>
      <c r="IYV214" s="2"/>
      <c r="IYW214" s="2"/>
      <c r="IYX214" s="2"/>
      <c r="IYY214" s="2"/>
      <c r="IYZ214" s="2"/>
      <c r="IZA214" s="2"/>
      <c r="IZB214" s="260"/>
      <c r="IZC214" s="2"/>
      <c r="IZD214" s="2"/>
      <c r="IZE214" s="2"/>
      <c r="IZF214" s="2"/>
      <c r="IZG214" s="2"/>
      <c r="IZH214" s="2"/>
      <c r="IZI214" s="2"/>
      <c r="IZJ214" s="260"/>
      <c r="IZK214" s="260"/>
      <c r="IZL214" s="260"/>
      <c r="IZM214" s="380"/>
      <c r="IZN214" s="380"/>
      <c r="IZO214" s="380"/>
      <c r="IZP214" s="2"/>
      <c r="IZQ214" s="442"/>
      <c r="IZR214" s="442"/>
      <c r="IZS214" s="443"/>
      <c r="IZT214" s="442"/>
      <c r="IZU214" s="442"/>
      <c r="IZV214" s="2"/>
      <c r="IZW214" s="2"/>
      <c r="IZX214" s="2"/>
      <c r="IZY214" s="2"/>
      <c r="IZZ214" s="260"/>
      <c r="JAA214" s="260"/>
      <c r="JAB214" s="260"/>
      <c r="JAC214" s="260"/>
      <c r="JAD214" s="260"/>
      <c r="JAE214" s="260"/>
      <c r="JAF214" s="308"/>
      <c r="JAG214" s="290"/>
      <c r="JAH214" s="290"/>
      <c r="JAI214" s="260"/>
      <c r="JAJ214" s="260"/>
      <c r="JAK214" s="260"/>
      <c r="JAL214" s="260"/>
      <c r="JAM214" s="260"/>
      <c r="JAN214" s="2"/>
      <c r="JAO214" s="2"/>
      <c r="JAP214" s="2"/>
      <c r="JAQ214" s="2"/>
      <c r="JAR214" s="2"/>
      <c r="JAS214" s="2"/>
      <c r="JAT214" s="260"/>
      <c r="JAU214" s="2"/>
      <c r="JAV214" s="2"/>
      <c r="JAW214" s="2"/>
      <c r="JAX214" s="2"/>
      <c r="JAY214" s="2"/>
      <c r="JAZ214" s="2"/>
      <c r="JBA214" s="2"/>
      <c r="JBB214" s="260"/>
      <c r="JBC214" s="260"/>
      <c r="JBD214" s="260"/>
      <c r="JBE214" s="380"/>
      <c r="JBF214" s="380"/>
      <c r="JBG214" s="380"/>
      <c r="JBH214" s="2"/>
      <c r="JBI214" s="442"/>
      <c r="JBJ214" s="442"/>
      <c r="JBK214" s="443"/>
      <c r="JBL214" s="442"/>
      <c r="JBM214" s="442"/>
      <c r="JBN214" s="2"/>
      <c r="JBO214" s="2"/>
      <c r="JBP214" s="2"/>
      <c r="JBQ214" s="2"/>
      <c r="JBR214" s="260"/>
      <c r="JBS214" s="260"/>
      <c r="JBT214" s="260"/>
      <c r="JBU214" s="260"/>
      <c r="JBV214" s="260"/>
      <c r="JBW214" s="260"/>
      <c r="JBX214" s="308"/>
      <c r="JBY214" s="290"/>
      <c r="JBZ214" s="290"/>
      <c r="JCA214" s="260"/>
      <c r="JCB214" s="260"/>
      <c r="JCC214" s="260"/>
      <c r="JCD214" s="260"/>
      <c r="JCE214" s="260"/>
      <c r="JCF214" s="2"/>
      <c r="JCG214" s="2"/>
      <c r="JCH214" s="2"/>
      <c r="JCI214" s="2"/>
      <c r="JCJ214" s="2"/>
      <c r="JCK214" s="2"/>
      <c r="JCL214" s="260"/>
      <c r="JCM214" s="2"/>
      <c r="JCN214" s="2"/>
      <c r="JCO214" s="2"/>
      <c r="JCP214" s="2"/>
      <c r="JCQ214" s="2"/>
      <c r="JCR214" s="2"/>
      <c r="JCS214" s="2"/>
      <c r="JCT214" s="260"/>
      <c r="JCU214" s="260"/>
      <c r="JCV214" s="260"/>
      <c r="JCW214" s="380"/>
      <c r="JCX214" s="380"/>
      <c r="JCY214" s="380"/>
      <c r="JCZ214" s="2"/>
      <c r="JDA214" s="442"/>
      <c r="JDB214" s="442"/>
      <c r="JDC214" s="443"/>
      <c r="JDD214" s="442"/>
      <c r="JDE214" s="442"/>
      <c r="JDF214" s="2"/>
      <c r="JDG214" s="2"/>
      <c r="JDH214" s="2"/>
      <c r="JDI214" s="2"/>
      <c r="JDJ214" s="260"/>
      <c r="JDK214" s="260"/>
      <c r="JDL214" s="260"/>
      <c r="JDM214" s="260"/>
      <c r="JDN214" s="260"/>
      <c r="JDO214" s="260"/>
      <c r="JDP214" s="308"/>
      <c r="JDQ214" s="290"/>
      <c r="JDR214" s="290"/>
      <c r="JDS214" s="260"/>
      <c r="JDT214" s="260"/>
      <c r="JDU214" s="260"/>
      <c r="JDV214" s="260"/>
      <c r="JDW214" s="260"/>
      <c r="JDX214" s="2"/>
      <c r="JDY214" s="2"/>
      <c r="JDZ214" s="2"/>
      <c r="JEA214" s="2"/>
      <c r="JEB214" s="2"/>
      <c r="JEC214" s="2"/>
      <c r="JED214" s="260"/>
      <c r="JEE214" s="2"/>
      <c r="JEF214" s="2"/>
      <c r="JEG214" s="2"/>
      <c r="JEH214" s="2"/>
      <c r="JEI214" s="2"/>
      <c r="JEJ214" s="2"/>
      <c r="JEK214" s="2"/>
      <c r="JEL214" s="260"/>
      <c r="JEM214" s="260"/>
      <c r="JEN214" s="260"/>
      <c r="JEO214" s="380"/>
      <c r="JEP214" s="380"/>
      <c r="JEQ214" s="380"/>
      <c r="JER214" s="2"/>
      <c r="JES214" s="442"/>
      <c r="JET214" s="442"/>
      <c r="JEU214" s="443"/>
      <c r="JEV214" s="442"/>
      <c r="JEW214" s="442"/>
      <c r="JEX214" s="2"/>
      <c r="JEY214" s="2"/>
      <c r="JEZ214" s="2"/>
      <c r="JFA214" s="2"/>
      <c r="JFB214" s="260"/>
      <c r="JFC214" s="260"/>
      <c r="JFD214" s="260"/>
      <c r="JFE214" s="260"/>
      <c r="JFF214" s="260"/>
      <c r="JFG214" s="260"/>
      <c r="JFH214" s="308"/>
      <c r="JFI214" s="290"/>
      <c r="JFJ214" s="290"/>
      <c r="JFK214" s="260"/>
      <c r="JFL214" s="260"/>
      <c r="JFM214" s="260"/>
      <c r="JFN214" s="260"/>
      <c r="JFO214" s="260"/>
      <c r="JFP214" s="2"/>
      <c r="JFQ214" s="2"/>
      <c r="JFR214" s="2"/>
      <c r="JFS214" s="2"/>
      <c r="JFT214" s="2"/>
      <c r="JFU214" s="2"/>
      <c r="JFV214" s="260"/>
      <c r="JFW214" s="2"/>
      <c r="JFX214" s="2"/>
      <c r="JFY214" s="2"/>
      <c r="JFZ214" s="2"/>
      <c r="JGA214" s="2"/>
      <c r="JGB214" s="2"/>
      <c r="JGC214" s="2"/>
      <c r="JGD214" s="260"/>
      <c r="JGE214" s="260"/>
      <c r="JGF214" s="260"/>
      <c r="JGG214" s="380"/>
      <c r="JGH214" s="380"/>
      <c r="JGI214" s="380"/>
      <c r="JGJ214" s="2"/>
      <c r="JGK214" s="442"/>
      <c r="JGL214" s="442"/>
      <c r="JGM214" s="443"/>
      <c r="JGN214" s="442"/>
      <c r="JGO214" s="442"/>
      <c r="JGP214" s="2"/>
      <c r="JGQ214" s="2"/>
      <c r="JGR214" s="2"/>
      <c r="JGS214" s="2"/>
      <c r="JGT214" s="260"/>
      <c r="JGU214" s="260"/>
      <c r="JGV214" s="260"/>
      <c r="JGW214" s="260"/>
      <c r="JGX214" s="260"/>
      <c r="JGY214" s="260"/>
      <c r="JGZ214" s="308"/>
      <c r="JHA214" s="290"/>
      <c r="JHB214" s="290"/>
      <c r="JHC214" s="260"/>
      <c r="JHD214" s="260"/>
      <c r="JHE214" s="260"/>
      <c r="JHF214" s="260"/>
      <c r="JHG214" s="260"/>
      <c r="JHH214" s="2"/>
      <c r="JHI214" s="2"/>
      <c r="JHJ214" s="2"/>
      <c r="JHK214" s="2"/>
      <c r="JHL214" s="2"/>
      <c r="JHM214" s="2"/>
      <c r="JHN214" s="260"/>
      <c r="JHO214" s="2"/>
      <c r="JHP214" s="2"/>
      <c r="JHQ214" s="2"/>
      <c r="JHR214" s="2"/>
      <c r="JHS214" s="2"/>
      <c r="JHT214" s="2"/>
      <c r="JHU214" s="2"/>
      <c r="JHV214" s="260"/>
      <c r="JHW214" s="260"/>
      <c r="JHX214" s="260"/>
      <c r="JHY214" s="380"/>
      <c r="JHZ214" s="380"/>
      <c r="JIA214" s="380"/>
      <c r="JIB214" s="2"/>
      <c r="JIC214" s="442"/>
      <c r="JID214" s="442"/>
      <c r="JIE214" s="443"/>
      <c r="JIF214" s="442"/>
      <c r="JIG214" s="442"/>
      <c r="JIH214" s="2"/>
      <c r="JII214" s="2"/>
      <c r="JIJ214" s="2"/>
      <c r="JIK214" s="2"/>
      <c r="JIL214" s="260"/>
      <c r="JIM214" s="260"/>
      <c r="JIN214" s="260"/>
      <c r="JIO214" s="260"/>
      <c r="JIP214" s="260"/>
      <c r="JIQ214" s="260"/>
      <c r="JIR214" s="308"/>
      <c r="JIS214" s="290"/>
      <c r="JIT214" s="290"/>
      <c r="JIU214" s="260"/>
      <c r="JIV214" s="260"/>
      <c r="JIW214" s="260"/>
      <c r="JIX214" s="260"/>
      <c r="JIY214" s="260"/>
      <c r="JIZ214" s="2"/>
      <c r="JJA214" s="2"/>
      <c r="JJB214" s="2"/>
      <c r="JJC214" s="2"/>
      <c r="JJD214" s="2"/>
      <c r="JJE214" s="2"/>
      <c r="JJF214" s="260"/>
      <c r="JJG214" s="2"/>
      <c r="JJH214" s="2"/>
      <c r="JJI214" s="2"/>
      <c r="JJJ214" s="2"/>
      <c r="JJK214" s="2"/>
      <c r="JJL214" s="2"/>
      <c r="JJM214" s="2"/>
      <c r="JJN214" s="260"/>
      <c r="JJO214" s="260"/>
      <c r="JJP214" s="260"/>
      <c r="JJQ214" s="380"/>
      <c r="JJR214" s="380"/>
      <c r="JJS214" s="380"/>
      <c r="JJT214" s="2"/>
      <c r="JJU214" s="442"/>
      <c r="JJV214" s="442"/>
      <c r="JJW214" s="443"/>
      <c r="JJX214" s="442"/>
      <c r="JJY214" s="442"/>
      <c r="JJZ214" s="2"/>
      <c r="JKA214" s="2"/>
      <c r="JKB214" s="2"/>
      <c r="JKC214" s="2"/>
      <c r="JKD214" s="260"/>
      <c r="JKE214" s="260"/>
      <c r="JKF214" s="260"/>
      <c r="JKG214" s="260"/>
      <c r="JKH214" s="260"/>
      <c r="JKI214" s="260"/>
      <c r="JKJ214" s="308"/>
      <c r="JKK214" s="290"/>
      <c r="JKL214" s="290"/>
      <c r="JKM214" s="260"/>
      <c r="JKN214" s="260"/>
      <c r="JKO214" s="260"/>
      <c r="JKP214" s="260"/>
      <c r="JKQ214" s="260"/>
      <c r="JKR214" s="2"/>
      <c r="JKS214" s="2"/>
      <c r="JKT214" s="2"/>
      <c r="JKU214" s="2"/>
      <c r="JKV214" s="2"/>
      <c r="JKW214" s="2"/>
      <c r="JKX214" s="260"/>
      <c r="JKY214" s="2"/>
      <c r="JKZ214" s="2"/>
      <c r="JLA214" s="2"/>
      <c r="JLB214" s="2"/>
      <c r="JLC214" s="2"/>
      <c r="JLD214" s="2"/>
      <c r="JLE214" s="2"/>
      <c r="JLF214" s="260"/>
      <c r="JLG214" s="260"/>
      <c r="JLH214" s="260"/>
      <c r="JLI214" s="380"/>
      <c r="JLJ214" s="380"/>
      <c r="JLK214" s="380"/>
      <c r="JLL214" s="2"/>
      <c r="JLM214" s="442"/>
      <c r="JLN214" s="442"/>
      <c r="JLO214" s="443"/>
      <c r="JLP214" s="442"/>
      <c r="JLQ214" s="442"/>
      <c r="JLR214" s="2"/>
      <c r="JLS214" s="2"/>
      <c r="JLT214" s="2"/>
      <c r="JLU214" s="2"/>
      <c r="JLV214" s="260"/>
      <c r="JLW214" s="260"/>
      <c r="JLX214" s="260"/>
      <c r="JLY214" s="260"/>
      <c r="JLZ214" s="260"/>
      <c r="JMA214" s="260"/>
      <c r="JMB214" s="308"/>
      <c r="JMC214" s="290"/>
      <c r="JMD214" s="290"/>
      <c r="JME214" s="260"/>
      <c r="JMF214" s="260"/>
      <c r="JMG214" s="260"/>
      <c r="JMH214" s="260"/>
      <c r="JMI214" s="260"/>
      <c r="JMJ214" s="2"/>
      <c r="JMK214" s="2"/>
      <c r="JML214" s="2"/>
      <c r="JMM214" s="2"/>
      <c r="JMN214" s="2"/>
      <c r="JMO214" s="2"/>
      <c r="JMP214" s="260"/>
      <c r="JMQ214" s="2"/>
      <c r="JMR214" s="2"/>
      <c r="JMS214" s="2"/>
      <c r="JMT214" s="2"/>
      <c r="JMU214" s="2"/>
      <c r="JMV214" s="2"/>
      <c r="JMW214" s="2"/>
      <c r="JMX214" s="260"/>
      <c r="JMY214" s="260"/>
      <c r="JMZ214" s="260"/>
      <c r="JNA214" s="380"/>
      <c r="JNB214" s="380"/>
      <c r="JNC214" s="380"/>
      <c r="JND214" s="2"/>
      <c r="JNE214" s="442"/>
      <c r="JNF214" s="442"/>
      <c r="JNG214" s="443"/>
      <c r="JNH214" s="442"/>
      <c r="JNI214" s="442"/>
      <c r="JNJ214" s="2"/>
      <c r="JNK214" s="2"/>
      <c r="JNL214" s="2"/>
      <c r="JNM214" s="2"/>
      <c r="JNN214" s="260"/>
      <c r="JNO214" s="260"/>
      <c r="JNP214" s="260"/>
      <c r="JNQ214" s="260"/>
      <c r="JNR214" s="260"/>
      <c r="JNS214" s="260"/>
      <c r="JNT214" s="308"/>
      <c r="JNU214" s="290"/>
      <c r="JNV214" s="290"/>
      <c r="JNW214" s="260"/>
      <c r="JNX214" s="260"/>
      <c r="JNY214" s="260"/>
      <c r="JNZ214" s="260"/>
      <c r="JOA214" s="260"/>
      <c r="JOB214" s="2"/>
      <c r="JOC214" s="2"/>
      <c r="JOD214" s="2"/>
      <c r="JOE214" s="2"/>
      <c r="JOF214" s="2"/>
      <c r="JOG214" s="2"/>
      <c r="JOH214" s="260"/>
      <c r="JOI214" s="2"/>
      <c r="JOJ214" s="2"/>
      <c r="JOK214" s="2"/>
      <c r="JOL214" s="2"/>
      <c r="JOM214" s="2"/>
      <c r="JON214" s="2"/>
      <c r="JOO214" s="2"/>
      <c r="JOP214" s="260"/>
      <c r="JOQ214" s="260"/>
      <c r="JOR214" s="260"/>
      <c r="JOS214" s="380"/>
      <c r="JOT214" s="380"/>
      <c r="JOU214" s="380"/>
      <c r="JOV214" s="2"/>
      <c r="JOW214" s="442"/>
      <c r="JOX214" s="442"/>
      <c r="JOY214" s="443"/>
      <c r="JOZ214" s="442"/>
      <c r="JPA214" s="442"/>
      <c r="JPB214" s="2"/>
      <c r="JPC214" s="2"/>
      <c r="JPD214" s="2"/>
      <c r="JPE214" s="2"/>
      <c r="JPF214" s="260"/>
      <c r="JPG214" s="260"/>
      <c r="JPH214" s="260"/>
      <c r="JPI214" s="260"/>
      <c r="JPJ214" s="260"/>
      <c r="JPK214" s="260"/>
      <c r="JPL214" s="308"/>
      <c r="JPM214" s="290"/>
      <c r="JPN214" s="290"/>
      <c r="JPO214" s="260"/>
      <c r="JPP214" s="260"/>
      <c r="JPQ214" s="260"/>
      <c r="JPR214" s="260"/>
      <c r="JPS214" s="260"/>
      <c r="JPT214" s="2"/>
      <c r="JPU214" s="2"/>
      <c r="JPV214" s="2"/>
      <c r="JPW214" s="2"/>
      <c r="JPX214" s="2"/>
      <c r="JPY214" s="2"/>
      <c r="JPZ214" s="260"/>
      <c r="JQA214" s="2"/>
      <c r="JQB214" s="2"/>
      <c r="JQC214" s="2"/>
      <c r="JQD214" s="2"/>
      <c r="JQE214" s="2"/>
      <c r="JQF214" s="2"/>
      <c r="JQG214" s="2"/>
      <c r="JQH214" s="260"/>
      <c r="JQI214" s="260"/>
      <c r="JQJ214" s="260"/>
      <c r="JQK214" s="380"/>
      <c r="JQL214" s="380"/>
      <c r="JQM214" s="380"/>
      <c r="JQN214" s="2"/>
      <c r="JQO214" s="442"/>
      <c r="JQP214" s="442"/>
      <c r="JQQ214" s="443"/>
      <c r="JQR214" s="442"/>
      <c r="JQS214" s="442"/>
      <c r="JQT214" s="2"/>
      <c r="JQU214" s="2"/>
      <c r="JQV214" s="2"/>
      <c r="JQW214" s="2"/>
      <c r="JQX214" s="260"/>
      <c r="JQY214" s="260"/>
      <c r="JQZ214" s="260"/>
      <c r="JRA214" s="260"/>
      <c r="JRB214" s="260"/>
      <c r="JRC214" s="260"/>
      <c r="JRD214" s="308"/>
      <c r="JRE214" s="290"/>
      <c r="JRF214" s="290"/>
      <c r="JRG214" s="260"/>
      <c r="JRH214" s="260"/>
      <c r="JRI214" s="260"/>
      <c r="JRJ214" s="260"/>
      <c r="JRK214" s="260"/>
      <c r="JRL214" s="2"/>
      <c r="JRM214" s="2"/>
      <c r="JRN214" s="2"/>
      <c r="JRO214" s="2"/>
      <c r="JRP214" s="2"/>
      <c r="JRQ214" s="2"/>
      <c r="JRR214" s="260"/>
      <c r="JRS214" s="2"/>
      <c r="JRT214" s="2"/>
      <c r="JRU214" s="2"/>
      <c r="JRV214" s="2"/>
      <c r="JRW214" s="2"/>
      <c r="JRX214" s="2"/>
      <c r="JRY214" s="2"/>
      <c r="JRZ214" s="260"/>
      <c r="JSA214" s="260"/>
      <c r="JSB214" s="260"/>
      <c r="JSC214" s="380"/>
      <c r="JSD214" s="380"/>
      <c r="JSE214" s="380"/>
      <c r="JSF214" s="2"/>
      <c r="JSG214" s="442"/>
      <c r="JSH214" s="442"/>
      <c r="JSI214" s="443"/>
      <c r="JSJ214" s="442"/>
      <c r="JSK214" s="442"/>
      <c r="JSL214" s="2"/>
      <c r="JSM214" s="2"/>
      <c r="JSN214" s="2"/>
      <c r="JSO214" s="2"/>
      <c r="JSP214" s="260"/>
      <c r="JSQ214" s="260"/>
      <c r="JSR214" s="260"/>
      <c r="JSS214" s="260"/>
      <c r="JST214" s="260"/>
      <c r="JSU214" s="260"/>
      <c r="JSV214" s="308"/>
      <c r="JSW214" s="290"/>
      <c r="JSX214" s="290"/>
      <c r="JSY214" s="260"/>
      <c r="JSZ214" s="260"/>
      <c r="JTA214" s="260"/>
      <c r="JTB214" s="260"/>
      <c r="JTC214" s="260"/>
      <c r="JTD214" s="2"/>
      <c r="JTE214" s="2"/>
      <c r="JTF214" s="2"/>
      <c r="JTG214" s="2"/>
      <c r="JTH214" s="2"/>
      <c r="JTI214" s="2"/>
      <c r="JTJ214" s="260"/>
      <c r="JTK214" s="2"/>
      <c r="JTL214" s="2"/>
      <c r="JTM214" s="2"/>
      <c r="JTN214" s="2"/>
      <c r="JTO214" s="2"/>
      <c r="JTP214" s="2"/>
      <c r="JTQ214" s="2"/>
      <c r="JTR214" s="260"/>
      <c r="JTS214" s="260"/>
      <c r="JTT214" s="260"/>
      <c r="JTU214" s="380"/>
      <c r="JTV214" s="380"/>
      <c r="JTW214" s="380"/>
      <c r="JTX214" s="2"/>
      <c r="JTY214" s="442"/>
      <c r="JTZ214" s="442"/>
      <c r="JUA214" s="443"/>
      <c r="JUB214" s="442"/>
      <c r="JUC214" s="442"/>
      <c r="JUD214" s="2"/>
      <c r="JUE214" s="2"/>
      <c r="JUF214" s="2"/>
      <c r="JUG214" s="2"/>
      <c r="JUH214" s="260"/>
      <c r="JUI214" s="260"/>
      <c r="JUJ214" s="260"/>
      <c r="JUK214" s="260"/>
      <c r="JUL214" s="260"/>
      <c r="JUM214" s="260"/>
      <c r="JUN214" s="308"/>
      <c r="JUO214" s="290"/>
      <c r="JUP214" s="290"/>
      <c r="JUQ214" s="260"/>
      <c r="JUR214" s="260"/>
      <c r="JUS214" s="260"/>
      <c r="JUT214" s="260"/>
      <c r="JUU214" s="260"/>
      <c r="JUV214" s="2"/>
      <c r="JUW214" s="2"/>
      <c r="JUX214" s="2"/>
      <c r="JUY214" s="2"/>
      <c r="JUZ214" s="2"/>
      <c r="JVA214" s="2"/>
      <c r="JVB214" s="260"/>
      <c r="JVC214" s="2"/>
      <c r="JVD214" s="2"/>
      <c r="JVE214" s="2"/>
      <c r="JVF214" s="2"/>
      <c r="JVG214" s="2"/>
      <c r="JVH214" s="2"/>
      <c r="JVI214" s="2"/>
      <c r="JVJ214" s="260"/>
      <c r="JVK214" s="260"/>
      <c r="JVL214" s="260"/>
      <c r="JVM214" s="380"/>
      <c r="JVN214" s="380"/>
      <c r="JVO214" s="380"/>
      <c r="JVP214" s="2"/>
      <c r="JVQ214" s="442"/>
      <c r="JVR214" s="442"/>
      <c r="JVS214" s="443"/>
      <c r="JVT214" s="442"/>
      <c r="JVU214" s="442"/>
      <c r="JVV214" s="2"/>
      <c r="JVW214" s="2"/>
      <c r="JVX214" s="2"/>
      <c r="JVY214" s="2"/>
      <c r="JVZ214" s="260"/>
      <c r="JWA214" s="260"/>
      <c r="JWB214" s="260"/>
      <c r="JWC214" s="260"/>
      <c r="JWD214" s="260"/>
      <c r="JWE214" s="260"/>
      <c r="JWF214" s="308"/>
      <c r="JWG214" s="290"/>
      <c r="JWH214" s="290"/>
      <c r="JWI214" s="260"/>
      <c r="JWJ214" s="260"/>
      <c r="JWK214" s="260"/>
      <c r="JWL214" s="260"/>
      <c r="JWM214" s="260"/>
      <c r="JWN214" s="2"/>
      <c r="JWO214" s="2"/>
      <c r="JWP214" s="2"/>
      <c r="JWQ214" s="2"/>
      <c r="JWR214" s="2"/>
      <c r="JWS214" s="2"/>
      <c r="JWT214" s="260"/>
      <c r="JWU214" s="2"/>
      <c r="JWV214" s="2"/>
      <c r="JWW214" s="2"/>
      <c r="JWX214" s="2"/>
      <c r="JWY214" s="2"/>
      <c r="JWZ214" s="2"/>
      <c r="JXA214" s="2"/>
      <c r="JXB214" s="260"/>
      <c r="JXC214" s="260"/>
      <c r="JXD214" s="260"/>
      <c r="JXE214" s="380"/>
      <c r="JXF214" s="380"/>
      <c r="JXG214" s="380"/>
      <c r="JXH214" s="2"/>
      <c r="JXI214" s="442"/>
      <c r="JXJ214" s="442"/>
      <c r="JXK214" s="443"/>
      <c r="JXL214" s="442"/>
      <c r="JXM214" s="442"/>
      <c r="JXN214" s="2"/>
      <c r="JXO214" s="2"/>
      <c r="JXP214" s="2"/>
      <c r="JXQ214" s="2"/>
      <c r="JXR214" s="260"/>
      <c r="JXS214" s="260"/>
      <c r="JXT214" s="260"/>
      <c r="JXU214" s="260"/>
      <c r="JXV214" s="260"/>
      <c r="JXW214" s="260"/>
      <c r="JXX214" s="308"/>
      <c r="JXY214" s="290"/>
      <c r="JXZ214" s="290"/>
      <c r="JYA214" s="260"/>
      <c r="JYB214" s="260"/>
      <c r="JYC214" s="260"/>
      <c r="JYD214" s="260"/>
      <c r="JYE214" s="260"/>
      <c r="JYF214" s="2"/>
      <c r="JYG214" s="2"/>
      <c r="JYH214" s="2"/>
      <c r="JYI214" s="2"/>
      <c r="JYJ214" s="2"/>
      <c r="JYK214" s="2"/>
      <c r="JYL214" s="260"/>
      <c r="JYM214" s="2"/>
      <c r="JYN214" s="2"/>
      <c r="JYO214" s="2"/>
      <c r="JYP214" s="2"/>
      <c r="JYQ214" s="2"/>
      <c r="JYR214" s="2"/>
      <c r="JYS214" s="2"/>
      <c r="JYT214" s="260"/>
      <c r="JYU214" s="260"/>
      <c r="JYV214" s="260"/>
      <c r="JYW214" s="380"/>
      <c r="JYX214" s="380"/>
      <c r="JYY214" s="380"/>
      <c r="JYZ214" s="2"/>
      <c r="JZA214" s="442"/>
      <c r="JZB214" s="442"/>
      <c r="JZC214" s="443"/>
      <c r="JZD214" s="442"/>
      <c r="JZE214" s="442"/>
      <c r="JZF214" s="2"/>
      <c r="JZG214" s="2"/>
      <c r="JZH214" s="2"/>
      <c r="JZI214" s="2"/>
      <c r="JZJ214" s="260"/>
      <c r="JZK214" s="260"/>
      <c r="JZL214" s="260"/>
      <c r="JZM214" s="260"/>
      <c r="JZN214" s="260"/>
      <c r="JZO214" s="260"/>
      <c r="JZP214" s="308"/>
      <c r="JZQ214" s="290"/>
      <c r="JZR214" s="290"/>
      <c r="JZS214" s="260"/>
      <c r="JZT214" s="260"/>
      <c r="JZU214" s="260"/>
      <c r="JZV214" s="260"/>
      <c r="JZW214" s="260"/>
      <c r="JZX214" s="2"/>
      <c r="JZY214" s="2"/>
      <c r="JZZ214" s="2"/>
      <c r="KAA214" s="2"/>
      <c r="KAB214" s="2"/>
      <c r="KAC214" s="2"/>
      <c r="KAD214" s="260"/>
      <c r="KAE214" s="2"/>
      <c r="KAF214" s="2"/>
      <c r="KAG214" s="2"/>
      <c r="KAH214" s="2"/>
      <c r="KAI214" s="2"/>
      <c r="KAJ214" s="2"/>
      <c r="KAK214" s="2"/>
      <c r="KAL214" s="260"/>
      <c r="KAM214" s="260"/>
      <c r="KAN214" s="260"/>
      <c r="KAO214" s="380"/>
      <c r="KAP214" s="380"/>
      <c r="KAQ214" s="380"/>
      <c r="KAR214" s="2"/>
      <c r="KAS214" s="442"/>
      <c r="KAT214" s="442"/>
      <c r="KAU214" s="443"/>
      <c r="KAV214" s="442"/>
      <c r="KAW214" s="442"/>
      <c r="KAX214" s="2"/>
      <c r="KAY214" s="2"/>
      <c r="KAZ214" s="2"/>
      <c r="KBA214" s="2"/>
      <c r="KBB214" s="260"/>
      <c r="KBC214" s="260"/>
      <c r="KBD214" s="260"/>
      <c r="KBE214" s="260"/>
      <c r="KBF214" s="260"/>
      <c r="KBG214" s="260"/>
      <c r="KBH214" s="308"/>
      <c r="KBI214" s="290"/>
      <c r="KBJ214" s="290"/>
      <c r="KBK214" s="260"/>
      <c r="KBL214" s="260"/>
      <c r="KBM214" s="260"/>
      <c r="KBN214" s="260"/>
      <c r="KBO214" s="260"/>
      <c r="KBP214" s="2"/>
      <c r="KBQ214" s="2"/>
      <c r="KBR214" s="2"/>
      <c r="KBS214" s="2"/>
      <c r="KBT214" s="2"/>
      <c r="KBU214" s="2"/>
      <c r="KBV214" s="260"/>
      <c r="KBW214" s="2"/>
      <c r="KBX214" s="2"/>
      <c r="KBY214" s="2"/>
      <c r="KBZ214" s="2"/>
      <c r="KCA214" s="2"/>
      <c r="KCB214" s="2"/>
      <c r="KCC214" s="2"/>
      <c r="KCD214" s="260"/>
      <c r="KCE214" s="260"/>
      <c r="KCF214" s="260"/>
      <c r="KCG214" s="380"/>
      <c r="KCH214" s="380"/>
      <c r="KCI214" s="380"/>
      <c r="KCJ214" s="2"/>
      <c r="KCK214" s="442"/>
      <c r="KCL214" s="442"/>
      <c r="KCM214" s="443"/>
      <c r="KCN214" s="442"/>
      <c r="KCO214" s="442"/>
      <c r="KCP214" s="2"/>
      <c r="KCQ214" s="2"/>
      <c r="KCR214" s="2"/>
      <c r="KCS214" s="2"/>
      <c r="KCT214" s="260"/>
      <c r="KCU214" s="260"/>
      <c r="KCV214" s="260"/>
      <c r="KCW214" s="260"/>
      <c r="KCX214" s="260"/>
      <c r="KCY214" s="260"/>
      <c r="KCZ214" s="308"/>
      <c r="KDA214" s="290"/>
      <c r="KDB214" s="290"/>
      <c r="KDC214" s="260"/>
      <c r="KDD214" s="260"/>
      <c r="KDE214" s="260"/>
      <c r="KDF214" s="260"/>
      <c r="KDG214" s="260"/>
      <c r="KDH214" s="2"/>
      <c r="KDI214" s="2"/>
      <c r="KDJ214" s="2"/>
      <c r="KDK214" s="2"/>
      <c r="KDL214" s="2"/>
      <c r="KDM214" s="2"/>
      <c r="KDN214" s="260"/>
      <c r="KDO214" s="2"/>
      <c r="KDP214" s="2"/>
      <c r="KDQ214" s="2"/>
      <c r="KDR214" s="2"/>
      <c r="KDS214" s="2"/>
      <c r="KDT214" s="2"/>
      <c r="KDU214" s="2"/>
      <c r="KDV214" s="260"/>
      <c r="KDW214" s="260"/>
      <c r="KDX214" s="260"/>
      <c r="KDY214" s="380"/>
      <c r="KDZ214" s="380"/>
      <c r="KEA214" s="380"/>
      <c r="KEB214" s="2"/>
      <c r="KEC214" s="442"/>
      <c r="KED214" s="442"/>
      <c r="KEE214" s="443"/>
      <c r="KEF214" s="442"/>
      <c r="KEG214" s="442"/>
      <c r="KEH214" s="2"/>
      <c r="KEI214" s="2"/>
      <c r="KEJ214" s="2"/>
      <c r="KEK214" s="2"/>
      <c r="KEL214" s="260"/>
      <c r="KEM214" s="260"/>
      <c r="KEN214" s="260"/>
      <c r="KEO214" s="260"/>
      <c r="KEP214" s="260"/>
      <c r="KEQ214" s="260"/>
      <c r="KER214" s="308"/>
      <c r="KES214" s="290"/>
      <c r="KET214" s="290"/>
      <c r="KEU214" s="260"/>
      <c r="KEV214" s="260"/>
      <c r="KEW214" s="260"/>
      <c r="KEX214" s="260"/>
      <c r="KEY214" s="260"/>
      <c r="KEZ214" s="2"/>
      <c r="KFA214" s="2"/>
      <c r="KFB214" s="2"/>
      <c r="KFC214" s="2"/>
      <c r="KFD214" s="2"/>
      <c r="KFE214" s="2"/>
      <c r="KFF214" s="260"/>
      <c r="KFG214" s="2"/>
      <c r="KFH214" s="2"/>
      <c r="KFI214" s="2"/>
      <c r="KFJ214" s="2"/>
      <c r="KFK214" s="2"/>
      <c r="KFL214" s="2"/>
      <c r="KFM214" s="2"/>
      <c r="KFN214" s="260"/>
      <c r="KFO214" s="260"/>
      <c r="KFP214" s="260"/>
      <c r="KFQ214" s="380"/>
      <c r="KFR214" s="380"/>
      <c r="KFS214" s="380"/>
      <c r="KFT214" s="2"/>
      <c r="KFU214" s="442"/>
      <c r="KFV214" s="442"/>
      <c r="KFW214" s="443"/>
      <c r="KFX214" s="442"/>
      <c r="KFY214" s="442"/>
      <c r="KFZ214" s="2"/>
      <c r="KGA214" s="2"/>
      <c r="KGB214" s="2"/>
      <c r="KGC214" s="2"/>
      <c r="KGD214" s="260"/>
      <c r="KGE214" s="260"/>
      <c r="KGF214" s="260"/>
      <c r="KGG214" s="260"/>
      <c r="KGH214" s="260"/>
      <c r="KGI214" s="260"/>
      <c r="KGJ214" s="308"/>
      <c r="KGK214" s="290"/>
      <c r="KGL214" s="290"/>
      <c r="KGM214" s="260"/>
      <c r="KGN214" s="260"/>
      <c r="KGO214" s="260"/>
      <c r="KGP214" s="260"/>
      <c r="KGQ214" s="260"/>
      <c r="KGR214" s="2"/>
      <c r="KGS214" s="2"/>
      <c r="KGT214" s="2"/>
      <c r="KGU214" s="2"/>
      <c r="KGV214" s="2"/>
      <c r="KGW214" s="2"/>
      <c r="KGX214" s="260"/>
      <c r="KGY214" s="2"/>
      <c r="KGZ214" s="2"/>
      <c r="KHA214" s="2"/>
      <c r="KHB214" s="2"/>
      <c r="KHC214" s="2"/>
      <c r="KHD214" s="2"/>
      <c r="KHE214" s="2"/>
      <c r="KHF214" s="260"/>
      <c r="KHG214" s="260"/>
      <c r="KHH214" s="260"/>
      <c r="KHI214" s="380"/>
      <c r="KHJ214" s="380"/>
      <c r="KHK214" s="380"/>
      <c r="KHL214" s="2"/>
      <c r="KHM214" s="442"/>
      <c r="KHN214" s="442"/>
      <c r="KHO214" s="443"/>
      <c r="KHP214" s="442"/>
      <c r="KHQ214" s="442"/>
      <c r="KHR214" s="2"/>
      <c r="KHS214" s="2"/>
      <c r="KHT214" s="2"/>
      <c r="KHU214" s="2"/>
      <c r="KHV214" s="260"/>
      <c r="KHW214" s="260"/>
      <c r="KHX214" s="260"/>
      <c r="KHY214" s="260"/>
      <c r="KHZ214" s="260"/>
      <c r="KIA214" s="260"/>
      <c r="KIB214" s="308"/>
      <c r="KIC214" s="290"/>
      <c r="KID214" s="290"/>
      <c r="KIE214" s="260"/>
      <c r="KIF214" s="260"/>
      <c r="KIG214" s="260"/>
      <c r="KIH214" s="260"/>
      <c r="KII214" s="260"/>
      <c r="KIJ214" s="2"/>
      <c r="KIK214" s="2"/>
      <c r="KIL214" s="2"/>
      <c r="KIM214" s="2"/>
      <c r="KIN214" s="2"/>
      <c r="KIO214" s="2"/>
      <c r="KIP214" s="260"/>
      <c r="KIQ214" s="2"/>
      <c r="KIR214" s="2"/>
      <c r="KIS214" s="2"/>
      <c r="KIT214" s="2"/>
      <c r="KIU214" s="2"/>
      <c r="KIV214" s="2"/>
      <c r="KIW214" s="2"/>
      <c r="KIX214" s="260"/>
      <c r="KIY214" s="260"/>
      <c r="KIZ214" s="260"/>
      <c r="KJA214" s="380"/>
      <c r="KJB214" s="380"/>
      <c r="KJC214" s="380"/>
      <c r="KJD214" s="2"/>
      <c r="KJE214" s="442"/>
      <c r="KJF214" s="442"/>
      <c r="KJG214" s="443"/>
      <c r="KJH214" s="442"/>
      <c r="KJI214" s="442"/>
      <c r="KJJ214" s="2"/>
      <c r="KJK214" s="2"/>
      <c r="KJL214" s="2"/>
      <c r="KJM214" s="2"/>
      <c r="KJN214" s="260"/>
      <c r="KJO214" s="260"/>
      <c r="KJP214" s="260"/>
      <c r="KJQ214" s="260"/>
      <c r="KJR214" s="260"/>
      <c r="KJS214" s="260"/>
      <c r="KJT214" s="308"/>
      <c r="KJU214" s="290"/>
      <c r="KJV214" s="290"/>
      <c r="KJW214" s="260"/>
      <c r="KJX214" s="260"/>
      <c r="KJY214" s="260"/>
      <c r="KJZ214" s="260"/>
      <c r="KKA214" s="260"/>
      <c r="KKB214" s="2"/>
      <c r="KKC214" s="2"/>
      <c r="KKD214" s="2"/>
      <c r="KKE214" s="2"/>
      <c r="KKF214" s="2"/>
      <c r="KKG214" s="2"/>
      <c r="KKH214" s="260"/>
      <c r="KKI214" s="2"/>
      <c r="KKJ214" s="2"/>
      <c r="KKK214" s="2"/>
      <c r="KKL214" s="2"/>
      <c r="KKM214" s="2"/>
      <c r="KKN214" s="2"/>
      <c r="KKO214" s="2"/>
      <c r="KKP214" s="260"/>
      <c r="KKQ214" s="260"/>
      <c r="KKR214" s="260"/>
      <c r="KKS214" s="380"/>
      <c r="KKT214" s="380"/>
      <c r="KKU214" s="380"/>
      <c r="KKV214" s="2"/>
      <c r="KKW214" s="442"/>
      <c r="KKX214" s="442"/>
      <c r="KKY214" s="443"/>
      <c r="KKZ214" s="442"/>
      <c r="KLA214" s="442"/>
      <c r="KLB214" s="2"/>
      <c r="KLC214" s="2"/>
      <c r="KLD214" s="2"/>
      <c r="KLE214" s="2"/>
      <c r="KLF214" s="260"/>
      <c r="KLG214" s="260"/>
      <c r="KLH214" s="260"/>
      <c r="KLI214" s="260"/>
      <c r="KLJ214" s="260"/>
      <c r="KLK214" s="260"/>
      <c r="KLL214" s="308"/>
      <c r="KLM214" s="290"/>
      <c r="KLN214" s="290"/>
      <c r="KLO214" s="260"/>
      <c r="KLP214" s="260"/>
      <c r="KLQ214" s="260"/>
      <c r="KLR214" s="260"/>
      <c r="KLS214" s="260"/>
      <c r="KLT214" s="2"/>
      <c r="KLU214" s="2"/>
      <c r="KLV214" s="2"/>
      <c r="KLW214" s="2"/>
      <c r="KLX214" s="2"/>
      <c r="KLY214" s="2"/>
      <c r="KLZ214" s="260"/>
      <c r="KMA214" s="2"/>
      <c r="KMB214" s="2"/>
      <c r="KMC214" s="2"/>
      <c r="KMD214" s="2"/>
      <c r="KME214" s="2"/>
      <c r="KMF214" s="2"/>
      <c r="KMG214" s="2"/>
      <c r="KMH214" s="260"/>
      <c r="KMI214" s="260"/>
      <c r="KMJ214" s="260"/>
      <c r="KMK214" s="380"/>
      <c r="KML214" s="380"/>
      <c r="KMM214" s="380"/>
      <c r="KMN214" s="2"/>
      <c r="KMO214" s="442"/>
      <c r="KMP214" s="442"/>
      <c r="KMQ214" s="443"/>
      <c r="KMR214" s="442"/>
      <c r="KMS214" s="442"/>
      <c r="KMT214" s="2"/>
      <c r="KMU214" s="2"/>
      <c r="KMV214" s="2"/>
      <c r="KMW214" s="2"/>
      <c r="KMX214" s="260"/>
      <c r="KMY214" s="260"/>
      <c r="KMZ214" s="260"/>
      <c r="KNA214" s="260"/>
      <c r="KNB214" s="260"/>
      <c r="KNC214" s="260"/>
      <c r="KND214" s="308"/>
      <c r="KNE214" s="290"/>
      <c r="KNF214" s="290"/>
      <c r="KNG214" s="260"/>
      <c r="KNH214" s="260"/>
      <c r="KNI214" s="260"/>
      <c r="KNJ214" s="260"/>
      <c r="KNK214" s="260"/>
      <c r="KNL214" s="2"/>
      <c r="KNM214" s="2"/>
      <c r="KNN214" s="2"/>
      <c r="KNO214" s="2"/>
      <c r="KNP214" s="2"/>
      <c r="KNQ214" s="2"/>
      <c r="KNR214" s="260"/>
      <c r="KNS214" s="2"/>
      <c r="KNT214" s="2"/>
      <c r="KNU214" s="2"/>
      <c r="KNV214" s="2"/>
      <c r="KNW214" s="2"/>
      <c r="KNX214" s="2"/>
      <c r="KNY214" s="2"/>
      <c r="KNZ214" s="260"/>
      <c r="KOA214" s="260"/>
      <c r="KOB214" s="260"/>
      <c r="KOC214" s="380"/>
      <c r="KOD214" s="380"/>
      <c r="KOE214" s="380"/>
      <c r="KOF214" s="2"/>
      <c r="KOG214" s="442"/>
      <c r="KOH214" s="442"/>
      <c r="KOI214" s="443"/>
      <c r="KOJ214" s="442"/>
      <c r="KOK214" s="442"/>
      <c r="KOL214" s="2"/>
      <c r="KOM214" s="2"/>
      <c r="KON214" s="2"/>
      <c r="KOO214" s="2"/>
      <c r="KOP214" s="260"/>
      <c r="KOQ214" s="260"/>
      <c r="KOR214" s="260"/>
      <c r="KOS214" s="260"/>
      <c r="KOT214" s="260"/>
      <c r="KOU214" s="260"/>
      <c r="KOV214" s="308"/>
      <c r="KOW214" s="290"/>
      <c r="KOX214" s="290"/>
      <c r="KOY214" s="260"/>
      <c r="KOZ214" s="260"/>
      <c r="KPA214" s="260"/>
      <c r="KPB214" s="260"/>
      <c r="KPC214" s="260"/>
      <c r="KPD214" s="2"/>
      <c r="KPE214" s="2"/>
      <c r="KPF214" s="2"/>
      <c r="KPG214" s="2"/>
      <c r="KPH214" s="2"/>
      <c r="KPI214" s="2"/>
      <c r="KPJ214" s="260"/>
      <c r="KPK214" s="2"/>
      <c r="KPL214" s="2"/>
      <c r="KPM214" s="2"/>
      <c r="KPN214" s="2"/>
      <c r="KPO214" s="2"/>
      <c r="KPP214" s="2"/>
      <c r="KPQ214" s="2"/>
      <c r="KPR214" s="260"/>
      <c r="KPS214" s="260"/>
      <c r="KPT214" s="260"/>
      <c r="KPU214" s="380"/>
      <c r="KPV214" s="380"/>
      <c r="KPW214" s="380"/>
      <c r="KPX214" s="2"/>
      <c r="KPY214" s="442"/>
      <c r="KPZ214" s="442"/>
      <c r="KQA214" s="443"/>
      <c r="KQB214" s="442"/>
      <c r="KQC214" s="442"/>
      <c r="KQD214" s="2"/>
      <c r="KQE214" s="2"/>
      <c r="KQF214" s="2"/>
      <c r="KQG214" s="2"/>
      <c r="KQH214" s="260"/>
      <c r="KQI214" s="260"/>
      <c r="KQJ214" s="260"/>
      <c r="KQK214" s="260"/>
      <c r="KQL214" s="260"/>
      <c r="KQM214" s="260"/>
      <c r="KQN214" s="308"/>
      <c r="KQO214" s="290"/>
      <c r="KQP214" s="290"/>
      <c r="KQQ214" s="260"/>
      <c r="KQR214" s="260"/>
      <c r="KQS214" s="260"/>
      <c r="KQT214" s="260"/>
      <c r="KQU214" s="260"/>
      <c r="KQV214" s="2"/>
      <c r="KQW214" s="2"/>
      <c r="KQX214" s="2"/>
      <c r="KQY214" s="2"/>
      <c r="KQZ214" s="2"/>
      <c r="KRA214" s="2"/>
      <c r="KRB214" s="260"/>
      <c r="KRC214" s="2"/>
      <c r="KRD214" s="2"/>
      <c r="KRE214" s="2"/>
      <c r="KRF214" s="2"/>
      <c r="KRG214" s="2"/>
      <c r="KRH214" s="2"/>
      <c r="KRI214" s="2"/>
      <c r="KRJ214" s="260"/>
      <c r="KRK214" s="260"/>
      <c r="KRL214" s="260"/>
      <c r="KRM214" s="380"/>
      <c r="KRN214" s="380"/>
      <c r="KRO214" s="380"/>
      <c r="KRP214" s="2"/>
      <c r="KRQ214" s="442"/>
      <c r="KRR214" s="442"/>
      <c r="KRS214" s="443"/>
      <c r="KRT214" s="442"/>
      <c r="KRU214" s="442"/>
      <c r="KRV214" s="2"/>
      <c r="KRW214" s="2"/>
      <c r="KRX214" s="2"/>
      <c r="KRY214" s="2"/>
      <c r="KRZ214" s="260"/>
      <c r="KSA214" s="260"/>
      <c r="KSB214" s="260"/>
      <c r="KSC214" s="260"/>
      <c r="KSD214" s="260"/>
      <c r="KSE214" s="260"/>
      <c r="KSF214" s="308"/>
      <c r="KSG214" s="290"/>
      <c r="KSH214" s="290"/>
      <c r="KSI214" s="260"/>
      <c r="KSJ214" s="260"/>
      <c r="KSK214" s="260"/>
      <c r="KSL214" s="260"/>
      <c r="KSM214" s="260"/>
      <c r="KSN214" s="2"/>
      <c r="KSO214" s="2"/>
      <c r="KSP214" s="2"/>
      <c r="KSQ214" s="2"/>
      <c r="KSR214" s="2"/>
      <c r="KSS214" s="2"/>
      <c r="KST214" s="260"/>
      <c r="KSU214" s="2"/>
      <c r="KSV214" s="2"/>
      <c r="KSW214" s="2"/>
      <c r="KSX214" s="2"/>
      <c r="KSY214" s="2"/>
      <c r="KSZ214" s="2"/>
      <c r="KTA214" s="2"/>
      <c r="KTB214" s="260"/>
      <c r="KTC214" s="260"/>
      <c r="KTD214" s="260"/>
      <c r="KTE214" s="380"/>
      <c r="KTF214" s="380"/>
      <c r="KTG214" s="380"/>
      <c r="KTH214" s="2"/>
      <c r="KTI214" s="442"/>
      <c r="KTJ214" s="442"/>
      <c r="KTK214" s="443"/>
      <c r="KTL214" s="442"/>
      <c r="KTM214" s="442"/>
      <c r="KTN214" s="2"/>
      <c r="KTO214" s="2"/>
      <c r="KTP214" s="2"/>
      <c r="KTQ214" s="2"/>
      <c r="KTR214" s="260"/>
      <c r="KTS214" s="260"/>
      <c r="KTT214" s="260"/>
      <c r="KTU214" s="260"/>
      <c r="KTV214" s="260"/>
      <c r="KTW214" s="260"/>
      <c r="KTX214" s="308"/>
      <c r="KTY214" s="290"/>
      <c r="KTZ214" s="290"/>
      <c r="KUA214" s="260"/>
      <c r="KUB214" s="260"/>
      <c r="KUC214" s="260"/>
      <c r="KUD214" s="260"/>
      <c r="KUE214" s="260"/>
      <c r="KUF214" s="2"/>
      <c r="KUG214" s="2"/>
      <c r="KUH214" s="2"/>
      <c r="KUI214" s="2"/>
      <c r="KUJ214" s="2"/>
      <c r="KUK214" s="2"/>
      <c r="KUL214" s="260"/>
      <c r="KUM214" s="2"/>
      <c r="KUN214" s="2"/>
      <c r="KUO214" s="2"/>
      <c r="KUP214" s="2"/>
      <c r="KUQ214" s="2"/>
      <c r="KUR214" s="2"/>
      <c r="KUS214" s="2"/>
      <c r="KUT214" s="260"/>
      <c r="KUU214" s="260"/>
      <c r="KUV214" s="260"/>
      <c r="KUW214" s="380"/>
      <c r="KUX214" s="380"/>
      <c r="KUY214" s="380"/>
      <c r="KUZ214" s="2"/>
      <c r="KVA214" s="442"/>
      <c r="KVB214" s="442"/>
      <c r="KVC214" s="443"/>
      <c r="KVD214" s="442"/>
      <c r="KVE214" s="442"/>
      <c r="KVF214" s="2"/>
      <c r="KVG214" s="2"/>
      <c r="KVH214" s="2"/>
      <c r="KVI214" s="2"/>
      <c r="KVJ214" s="260"/>
      <c r="KVK214" s="260"/>
      <c r="KVL214" s="260"/>
      <c r="KVM214" s="260"/>
      <c r="KVN214" s="260"/>
      <c r="KVO214" s="260"/>
      <c r="KVP214" s="308"/>
      <c r="KVQ214" s="290"/>
      <c r="KVR214" s="290"/>
      <c r="KVS214" s="260"/>
      <c r="KVT214" s="260"/>
      <c r="KVU214" s="260"/>
      <c r="KVV214" s="260"/>
      <c r="KVW214" s="260"/>
      <c r="KVX214" s="2"/>
      <c r="KVY214" s="2"/>
      <c r="KVZ214" s="2"/>
      <c r="KWA214" s="2"/>
      <c r="KWB214" s="2"/>
      <c r="KWC214" s="2"/>
      <c r="KWD214" s="260"/>
      <c r="KWE214" s="2"/>
      <c r="KWF214" s="2"/>
      <c r="KWG214" s="2"/>
      <c r="KWH214" s="2"/>
      <c r="KWI214" s="2"/>
      <c r="KWJ214" s="2"/>
      <c r="KWK214" s="2"/>
      <c r="KWL214" s="260"/>
      <c r="KWM214" s="260"/>
      <c r="KWN214" s="260"/>
      <c r="KWO214" s="380"/>
      <c r="KWP214" s="380"/>
      <c r="KWQ214" s="380"/>
      <c r="KWR214" s="2"/>
      <c r="KWS214" s="442"/>
      <c r="KWT214" s="442"/>
      <c r="KWU214" s="443"/>
      <c r="KWV214" s="442"/>
      <c r="KWW214" s="442"/>
      <c r="KWX214" s="2"/>
      <c r="KWY214" s="2"/>
      <c r="KWZ214" s="2"/>
      <c r="KXA214" s="2"/>
      <c r="KXB214" s="260"/>
      <c r="KXC214" s="260"/>
      <c r="KXD214" s="260"/>
      <c r="KXE214" s="260"/>
      <c r="KXF214" s="260"/>
      <c r="KXG214" s="260"/>
      <c r="KXH214" s="308"/>
      <c r="KXI214" s="290"/>
      <c r="KXJ214" s="290"/>
      <c r="KXK214" s="260"/>
      <c r="KXL214" s="260"/>
      <c r="KXM214" s="260"/>
      <c r="KXN214" s="260"/>
      <c r="KXO214" s="260"/>
      <c r="KXP214" s="2"/>
      <c r="KXQ214" s="2"/>
      <c r="KXR214" s="2"/>
      <c r="KXS214" s="2"/>
      <c r="KXT214" s="2"/>
      <c r="KXU214" s="2"/>
      <c r="KXV214" s="260"/>
      <c r="KXW214" s="2"/>
      <c r="KXX214" s="2"/>
      <c r="KXY214" s="2"/>
      <c r="KXZ214" s="2"/>
      <c r="KYA214" s="2"/>
      <c r="KYB214" s="2"/>
      <c r="KYC214" s="2"/>
      <c r="KYD214" s="260"/>
      <c r="KYE214" s="260"/>
      <c r="KYF214" s="260"/>
      <c r="KYG214" s="380"/>
      <c r="KYH214" s="380"/>
      <c r="KYI214" s="380"/>
      <c r="KYJ214" s="2"/>
      <c r="KYK214" s="442"/>
      <c r="KYL214" s="442"/>
      <c r="KYM214" s="443"/>
      <c r="KYN214" s="442"/>
      <c r="KYO214" s="442"/>
      <c r="KYP214" s="2"/>
      <c r="KYQ214" s="2"/>
      <c r="KYR214" s="2"/>
      <c r="KYS214" s="2"/>
      <c r="KYT214" s="260"/>
      <c r="KYU214" s="260"/>
      <c r="KYV214" s="260"/>
      <c r="KYW214" s="260"/>
      <c r="KYX214" s="260"/>
      <c r="KYY214" s="260"/>
      <c r="KYZ214" s="308"/>
      <c r="KZA214" s="290"/>
      <c r="KZB214" s="290"/>
      <c r="KZC214" s="260"/>
      <c r="KZD214" s="260"/>
      <c r="KZE214" s="260"/>
      <c r="KZF214" s="260"/>
      <c r="KZG214" s="260"/>
      <c r="KZH214" s="2"/>
      <c r="KZI214" s="2"/>
      <c r="KZJ214" s="2"/>
      <c r="KZK214" s="2"/>
      <c r="KZL214" s="2"/>
      <c r="KZM214" s="2"/>
      <c r="KZN214" s="260"/>
      <c r="KZO214" s="2"/>
      <c r="KZP214" s="2"/>
      <c r="KZQ214" s="2"/>
      <c r="KZR214" s="2"/>
      <c r="KZS214" s="2"/>
      <c r="KZT214" s="2"/>
      <c r="KZU214" s="2"/>
      <c r="KZV214" s="260"/>
      <c r="KZW214" s="260"/>
      <c r="KZX214" s="260"/>
      <c r="KZY214" s="380"/>
      <c r="KZZ214" s="380"/>
      <c r="LAA214" s="380"/>
      <c r="LAB214" s="2"/>
      <c r="LAC214" s="442"/>
      <c r="LAD214" s="442"/>
      <c r="LAE214" s="443"/>
      <c r="LAF214" s="442"/>
      <c r="LAG214" s="442"/>
      <c r="LAH214" s="2"/>
      <c r="LAI214" s="2"/>
      <c r="LAJ214" s="2"/>
      <c r="LAK214" s="2"/>
      <c r="LAL214" s="260"/>
      <c r="LAM214" s="260"/>
      <c r="LAN214" s="260"/>
      <c r="LAO214" s="260"/>
      <c r="LAP214" s="260"/>
      <c r="LAQ214" s="260"/>
      <c r="LAR214" s="308"/>
      <c r="LAS214" s="290"/>
      <c r="LAT214" s="290"/>
      <c r="LAU214" s="260"/>
      <c r="LAV214" s="260"/>
      <c r="LAW214" s="260"/>
      <c r="LAX214" s="260"/>
      <c r="LAY214" s="260"/>
      <c r="LAZ214" s="2"/>
      <c r="LBA214" s="2"/>
      <c r="LBB214" s="2"/>
      <c r="LBC214" s="2"/>
      <c r="LBD214" s="2"/>
      <c r="LBE214" s="2"/>
      <c r="LBF214" s="260"/>
      <c r="LBG214" s="2"/>
      <c r="LBH214" s="2"/>
      <c r="LBI214" s="2"/>
      <c r="LBJ214" s="2"/>
      <c r="LBK214" s="2"/>
      <c r="LBL214" s="2"/>
      <c r="LBM214" s="2"/>
      <c r="LBN214" s="260"/>
      <c r="LBO214" s="260"/>
      <c r="LBP214" s="260"/>
      <c r="LBQ214" s="380"/>
      <c r="LBR214" s="380"/>
      <c r="LBS214" s="380"/>
      <c r="LBT214" s="2"/>
      <c r="LBU214" s="442"/>
      <c r="LBV214" s="442"/>
      <c r="LBW214" s="443"/>
      <c r="LBX214" s="442"/>
      <c r="LBY214" s="442"/>
      <c r="LBZ214" s="2"/>
      <c r="LCA214" s="2"/>
      <c r="LCB214" s="2"/>
      <c r="LCC214" s="2"/>
      <c r="LCD214" s="260"/>
      <c r="LCE214" s="260"/>
      <c r="LCF214" s="260"/>
      <c r="LCG214" s="260"/>
      <c r="LCH214" s="260"/>
      <c r="LCI214" s="260"/>
      <c r="LCJ214" s="308"/>
      <c r="LCK214" s="290"/>
      <c r="LCL214" s="290"/>
      <c r="LCM214" s="260"/>
      <c r="LCN214" s="260"/>
      <c r="LCO214" s="260"/>
      <c r="LCP214" s="260"/>
      <c r="LCQ214" s="260"/>
      <c r="LCR214" s="2"/>
      <c r="LCS214" s="2"/>
      <c r="LCT214" s="2"/>
      <c r="LCU214" s="2"/>
      <c r="LCV214" s="2"/>
      <c r="LCW214" s="2"/>
      <c r="LCX214" s="260"/>
      <c r="LCY214" s="2"/>
      <c r="LCZ214" s="2"/>
      <c r="LDA214" s="2"/>
      <c r="LDB214" s="2"/>
      <c r="LDC214" s="2"/>
      <c r="LDD214" s="2"/>
      <c r="LDE214" s="2"/>
      <c r="LDF214" s="260"/>
      <c r="LDG214" s="260"/>
      <c r="LDH214" s="260"/>
      <c r="LDI214" s="380"/>
      <c r="LDJ214" s="380"/>
      <c r="LDK214" s="380"/>
      <c r="LDL214" s="2"/>
      <c r="LDM214" s="442"/>
      <c r="LDN214" s="442"/>
      <c r="LDO214" s="443"/>
      <c r="LDP214" s="442"/>
      <c r="LDQ214" s="442"/>
      <c r="LDR214" s="2"/>
      <c r="LDS214" s="2"/>
      <c r="LDT214" s="2"/>
      <c r="LDU214" s="2"/>
      <c r="LDV214" s="260"/>
      <c r="LDW214" s="260"/>
      <c r="LDX214" s="260"/>
      <c r="LDY214" s="260"/>
      <c r="LDZ214" s="260"/>
      <c r="LEA214" s="260"/>
      <c r="LEB214" s="308"/>
      <c r="LEC214" s="290"/>
      <c r="LED214" s="290"/>
      <c r="LEE214" s="260"/>
      <c r="LEF214" s="260"/>
      <c r="LEG214" s="260"/>
      <c r="LEH214" s="260"/>
      <c r="LEI214" s="260"/>
      <c r="LEJ214" s="2"/>
      <c r="LEK214" s="2"/>
      <c r="LEL214" s="2"/>
      <c r="LEM214" s="2"/>
      <c r="LEN214" s="2"/>
      <c r="LEO214" s="2"/>
      <c r="LEP214" s="260"/>
      <c r="LEQ214" s="2"/>
      <c r="LER214" s="2"/>
      <c r="LES214" s="2"/>
      <c r="LET214" s="2"/>
      <c r="LEU214" s="2"/>
      <c r="LEV214" s="2"/>
      <c r="LEW214" s="2"/>
      <c r="LEX214" s="260"/>
      <c r="LEY214" s="260"/>
      <c r="LEZ214" s="260"/>
      <c r="LFA214" s="380"/>
      <c r="LFB214" s="380"/>
      <c r="LFC214" s="380"/>
      <c r="LFD214" s="2"/>
      <c r="LFE214" s="442"/>
      <c r="LFF214" s="442"/>
      <c r="LFG214" s="443"/>
      <c r="LFH214" s="442"/>
      <c r="LFI214" s="442"/>
      <c r="LFJ214" s="2"/>
      <c r="LFK214" s="2"/>
      <c r="LFL214" s="2"/>
      <c r="LFM214" s="2"/>
      <c r="LFN214" s="260"/>
      <c r="LFO214" s="260"/>
      <c r="LFP214" s="260"/>
      <c r="LFQ214" s="260"/>
      <c r="LFR214" s="260"/>
      <c r="LFS214" s="260"/>
      <c r="LFT214" s="308"/>
      <c r="LFU214" s="290"/>
      <c r="LFV214" s="290"/>
      <c r="LFW214" s="260"/>
      <c r="LFX214" s="260"/>
      <c r="LFY214" s="260"/>
      <c r="LFZ214" s="260"/>
      <c r="LGA214" s="260"/>
      <c r="LGB214" s="2"/>
      <c r="LGC214" s="2"/>
      <c r="LGD214" s="2"/>
      <c r="LGE214" s="2"/>
      <c r="LGF214" s="2"/>
      <c r="LGG214" s="2"/>
      <c r="LGH214" s="260"/>
      <c r="LGI214" s="2"/>
      <c r="LGJ214" s="2"/>
      <c r="LGK214" s="2"/>
      <c r="LGL214" s="2"/>
      <c r="LGM214" s="2"/>
      <c r="LGN214" s="2"/>
      <c r="LGO214" s="2"/>
      <c r="LGP214" s="260"/>
      <c r="LGQ214" s="260"/>
      <c r="LGR214" s="260"/>
      <c r="LGS214" s="380"/>
      <c r="LGT214" s="380"/>
      <c r="LGU214" s="380"/>
      <c r="LGV214" s="2"/>
      <c r="LGW214" s="442"/>
      <c r="LGX214" s="442"/>
      <c r="LGY214" s="443"/>
      <c r="LGZ214" s="442"/>
      <c r="LHA214" s="442"/>
      <c r="LHB214" s="2"/>
      <c r="LHC214" s="2"/>
      <c r="LHD214" s="2"/>
      <c r="LHE214" s="2"/>
      <c r="LHF214" s="260"/>
      <c r="LHG214" s="260"/>
      <c r="LHH214" s="260"/>
      <c r="LHI214" s="260"/>
      <c r="LHJ214" s="260"/>
      <c r="LHK214" s="260"/>
      <c r="LHL214" s="308"/>
      <c r="LHM214" s="290"/>
      <c r="LHN214" s="290"/>
      <c r="LHO214" s="260"/>
      <c r="LHP214" s="260"/>
      <c r="LHQ214" s="260"/>
      <c r="LHR214" s="260"/>
      <c r="LHS214" s="260"/>
      <c r="LHT214" s="2"/>
      <c r="LHU214" s="2"/>
      <c r="LHV214" s="2"/>
      <c r="LHW214" s="2"/>
      <c r="LHX214" s="2"/>
      <c r="LHY214" s="2"/>
      <c r="LHZ214" s="260"/>
      <c r="LIA214" s="2"/>
      <c r="LIB214" s="2"/>
      <c r="LIC214" s="2"/>
      <c r="LID214" s="2"/>
      <c r="LIE214" s="2"/>
      <c r="LIF214" s="2"/>
      <c r="LIG214" s="2"/>
      <c r="LIH214" s="260"/>
      <c r="LII214" s="260"/>
      <c r="LIJ214" s="260"/>
      <c r="LIK214" s="380"/>
      <c r="LIL214" s="380"/>
      <c r="LIM214" s="380"/>
      <c r="LIN214" s="2"/>
      <c r="LIO214" s="442"/>
      <c r="LIP214" s="442"/>
      <c r="LIQ214" s="443"/>
      <c r="LIR214" s="442"/>
      <c r="LIS214" s="442"/>
      <c r="LIT214" s="2"/>
      <c r="LIU214" s="2"/>
      <c r="LIV214" s="2"/>
      <c r="LIW214" s="2"/>
      <c r="LIX214" s="260"/>
      <c r="LIY214" s="260"/>
      <c r="LIZ214" s="260"/>
      <c r="LJA214" s="260"/>
      <c r="LJB214" s="260"/>
      <c r="LJC214" s="260"/>
      <c r="LJD214" s="308"/>
      <c r="LJE214" s="290"/>
      <c r="LJF214" s="290"/>
      <c r="LJG214" s="260"/>
      <c r="LJH214" s="260"/>
      <c r="LJI214" s="260"/>
      <c r="LJJ214" s="260"/>
      <c r="LJK214" s="260"/>
      <c r="LJL214" s="2"/>
      <c r="LJM214" s="2"/>
      <c r="LJN214" s="2"/>
      <c r="LJO214" s="2"/>
      <c r="LJP214" s="2"/>
      <c r="LJQ214" s="2"/>
      <c r="LJR214" s="260"/>
      <c r="LJS214" s="2"/>
      <c r="LJT214" s="2"/>
      <c r="LJU214" s="2"/>
      <c r="LJV214" s="2"/>
      <c r="LJW214" s="2"/>
      <c r="LJX214" s="2"/>
      <c r="LJY214" s="2"/>
      <c r="LJZ214" s="260"/>
      <c r="LKA214" s="260"/>
      <c r="LKB214" s="260"/>
      <c r="LKC214" s="380"/>
      <c r="LKD214" s="380"/>
      <c r="LKE214" s="380"/>
      <c r="LKF214" s="2"/>
      <c r="LKG214" s="442"/>
      <c r="LKH214" s="442"/>
      <c r="LKI214" s="443"/>
      <c r="LKJ214" s="442"/>
      <c r="LKK214" s="442"/>
      <c r="LKL214" s="2"/>
      <c r="LKM214" s="2"/>
      <c r="LKN214" s="2"/>
      <c r="LKO214" s="2"/>
      <c r="LKP214" s="260"/>
      <c r="LKQ214" s="260"/>
      <c r="LKR214" s="260"/>
      <c r="LKS214" s="260"/>
      <c r="LKT214" s="260"/>
      <c r="LKU214" s="260"/>
      <c r="LKV214" s="308"/>
      <c r="LKW214" s="290"/>
      <c r="LKX214" s="290"/>
      <c r="LKY214" s="260"/>
      <c r="LKZ214" s="260"/>
      <c r="LLA214" s="260"/>
      <c r="LLB214" s="260"/>
      <c r="LLC214" s="260"/>
      <c r="LLD214" s="2"/>
      <c r="LLE214" s="2"/>
      <c r="LLF214" s="2"/>
      <c r="LLG214" s="2"/>
      <c r="LLH214" s="2"/>
      <c r="LLI214" s="2"/>
      <c r="LLJ214" s="260"/>
      <c r="LLK214" s="2"/>
      <c r="LLL214" s="2"/>
      <c r="LLM214" s="2"/>
      <c r="LLN214" s="2"/>
      <c r="LLO214" s="2"/>
      <c r="LLP214" s="2"/>
      <c r="LLQ214" s="2"/>
      <c r="LLR214" s="260"/>
      <c r="LLS214" s="260"/>
      <c r="LLT214" s="260"/>
      <c r="LLU214" s="380"/>
      <c r="LLV214" s="380"/>
      <c r="LLW214" s="380"/>
      <c r="LLX214" s="2"/>
      <c r="LLY214" s="442"/>
      <c r="LLZ214" s="442"/>
      <c r="LMA214" s="443"/>
      <c r="LMB214" s="442"/>
      <c r="LMC214" s="442"/>
      <c r="LMD214" s="2"/>
      <c r="LME214" s="2"/>
      <c r="LMF214" s="2"/>
      <c r="LMG214" s="2"/>
      <c r="LMH214" s="260"/>
      <c r="LMI214" s="260"/>
      <c r="LMJ214" s="260"/>
      <c r="LMK214" s="260"/>
      <c r="LML214" s="260"/>
      <c r="LMM214" s="260"/>
      <c r="LMN214" s="308"/>
      <c r="LMO214" s="290"/>
      <c r="LMP214" s="290"/>
      <c r="LMQ214" s="260"/>
      <c r="LMR214" s="260"/>
      <c r="LMS214" s="260"/>
      <c r="LMT214" s="260"/>
      <c r="LMU214" s="260"/>
      <c r="LMV214" s="2"/>
      <c r="LMW214" s="2"/>
      <c r="LMX214" s="2"/>
      <c r="LMY214" s="2"/>
      <c r="LMZ214" s="2"/>
      <c r="LNA214" s="2"/>
      <c r="LNB214" s="260"/>
      <c r="LNC214" s="2"/>
      <c r="LND214" s="2"/>
      <c r="LNE214" s="2"/>
      <c r="LNF214" s="2"/>
      <c r="LNG214" s="2"/>
      <c r="LNH214" s="2"/>
      <c r="LNI214" s="2"/>
      <c r="LNJ214" s="260"/>
      <c r="LNK214" s="260"/>
      <c r="LNL214" s="260"/>
      <c r="LNM214" s="380"/>
      <c r="LNN214" s="380"/>
      <c r="LNO214" s="380"/>
      <c r="LNP214" s="2"/>
      <c r="LNQ214" s="442"/>
      <c r="LNR214" s="442"/>
      <c r="LNS214" s="443"/>
      <c r="LNT214" s="442"/>
      <c r="LNU214" s="442"/>
      <c r="LNV214" s="2"/>
      <c r="LNW214" s="2"/>
      <c r="LNX214" s="2"/>
      <c r="LNY214" s="2"/>
      <c r="LNZ214" s="260"/>
      <c r="LOA214" s="260"/>
      <c r="LOB214" s="260"/>
      <c r="LOC214" s="260"/>
      <c r="LOD214" s="260"/>
      <c r="LOE214" s="260"/>
      <c r="LOF214" s="308"/>
      <c r="LOG214" s="290"/>
      <c r="LOH214" s="290"/>
      <c r="LOI214" s="260"/>
      <c r="LOJ214" s="260"/>
      <c r="LOK214" s="260"/>
      <c r="LOL214" s="260"/>
      <c r="LOM214" s="260"/>
      <c r="LON214" s="2"/>
      <c r="LOO214" s="2"/>
      <c r="LOP214" s="2"/>
      <c r="LOQ214" s="2"/>
      <c r="LOR214" s="2"/>
      <c r="LOS214" s="2"/>
      <c r="LOT214" s="260"/>
      <c r="LOU214" s="2"/>
      <c r="LOV214" s="2"/>
      <c r="LOW214" s="2"/>
      <c r="LOX214" s="2"/>
      <c r="LOY214" s="2"/>
      <c r="LOZ214" s="2"/>
      <c r="LPA214" s="2"/>
      <c r="LPB214" s="260"/>
      <c r="LPC214" s="260"/>
      <c r="LPD214" s="260"/>
      <c r="LPE214" s="380"/>
      <c r="LPF214" s="380"/>
      <c r="LPG214" s="380"/>
      <c r="LPH214" s="2"/>
      <c r="LPI214" s="442"/>
      <c r="LPJ214" s="442"/>
      <c r="LPK214" s="443"/>
      <c r="LPL214" s="442"/>
      <c r="LPM214" s="442"/>
      <c r="LPN214" s="2"/>
      <c r="LPO214" s="2"/>
      <c r="LPP214" s="2"/>
      <c r="LPQ214" s="2"/>
      <c r="LPR214" s="260"/>
      <c r="LPS214" s="260"/>
      <c r="LPT214" s="260"/>
      <c r="LPU214" s="260"/>
      <c r="LPV214" s="260"/>
      <c r="LPW214" s="260"/>
      <c r="LPX214" s="308"/>
      <c r="LPY214" s="290"/>
      <c r="LPZ214" s="290"/>
      <c r="LQA214" s="260"/>
      <c r="LQB214" s="260"/>
      <c r="LQC214" s="260"/>
      <c r="LQD214" s="260"/>
      <c r="LQE214" s="260"/>
      <c r="LQF214" s="2"/>
      <c r="LQG214" s="2"/>
      <c r="LQH214" s="2"/>
      <c r="LQI214" s="2"/>
      <c r="LQJ214" s="2"/>
      <c r="LQK214" s="2"/>
      <c r="LQL214" s="260"/>
      <c r="LQM214" s="2"/>
      <c r="LQN214" s="2"/>
      <c r="LQO214" s="2"/>
      <c r="LQP214" s="2"/>
      <c r="LQQ214" s="2"/>
      <c r="LQR214" s="2"/>
      <c r="LQS214" s="2"/>
      <c r="LQT214" s="260"/>
      <c r="LQU214" s="260"/>
      <c r="LQV214" s="260"/>
      <c r="LQW214" s="380"/>
      <c r="LQX214" s="380"/>
      <c r="LQY214" s="380"/>
      <c r="LQZ214" s="2"/>
      <c r="LRA214" s="442"/>
      <c r="LRB214" s="442"/>
      <c r="LRC214" s="443"/>
      <c r="LRD214" s="442"/>
      <c r="LRE214" s="442"/>
      <c r="LRF214" s="2"/>
      <c r="LRG214" s="2"/>
      <c r="LRH214" s="2"/>
      <c r="LRI214" s="2"/>
      <c r="LRJ214" s="260"/>
      <c r="LRK214" s="260"/>
      <c r="LRL214" s="260"/>
      <c r="LRM214" s="260"/>
      <c r="LRN214" s="260"/>
      <c r="LRO214" s="260"/>
      <c r="LRP214" s="308"/>
      <c r="LRQ214" s="290"/>
      <c r="LRR214" s="290"/>
      <c r="LRS214" s="260"/>
      <c r="LRT214" s="260"/>
      <c r="LRU214" s="260"/>
      <c r="LRV214" s="260"/>
      <c r="LRW214" s="260"/>
      <c r="LRX214" s="2"/>
      <c r="LRY214" s="2"/>
      <c r="LRZ214" s="2"/>
      <c r="LSA214" s="2"/>
      <c r="LSB214" s="2"/>
      <c r="LSC214" s="2"/>
      <c r="LSD214" s="260"/>
      <c r="LSE214" s="2"/>
      <c r="LSF214" s="2"/>
      <c r="LSG214" s="2"/>
      <c r="LSH214" s="2"/>
      <c r="LSI214" s="2"/>
      <c r="LSJ214" s="2"/>
      <c r="LSK214" s="2"/>
      <c r="LSL214" s="260"/>
      <c r="LSM214" s="260"/>
      <c r="LSN214" s="260"/>
      <c r="LSO214" s="380"/>
      <c r="LSP214" s="380"/>
      <c r="LSQ214" s="380"/>
      <c r="LSR214" s="2"/>
      <c r="LSS214" s="442"/>
      <c r="LST214" s="442"/>
      <c r="LSU214" s="443"/>
      <c r="LSV214" s="442"/>
      <c r="LSW214" s="442"/>
      <c r="LSX214" s="2"/>
      <c r="LSY214" s="2"/>
      <c r="LSZ214" s="2"/>
      <c r="LTA214" s="2"/>
      <c r="LTB214" s="260"/>
      <c r="LTC214" s="260"/>
      <c r="LTD214" s="260"/>
      <c r="LTE214" s="260"/>
      <c r="LTF214" s="260"/>
      <c r="LTG214" s="260"/>
      <c r="LTH214" s="308"/>
      <c r="LTI214" s="290"/>
      <c r="LTJ214" s="290"/>
      <c r="LTK214" s="260"/>
      <c r="LTL214" s="260"/>
      <c r="LTM214" s="260"/>
      <c r="LTN214" s="260"/>
      <c r="LTO214" s="260"/>
      <c r="LTP214" s="2"/>
      <c r="LTQ214" s="2"/>
      <c r="LTR214" s="2"/>
      <c r="LTS214" s="2"/>
      <c r="LTT214" s="2"/>
      <c r="LTU214" s="2"/>
      <c r="LTV214" s="260"/>
      <c r="LTW214" s="2"/>
      <c r="LTX214" s="2"/>
      <c r="LTY214" s="2"/>
      <c r="LTZ214" s="2"/>
      <c r="LUA214" s="2"/>
      <c r="LUB214" s="2"/>
      <c r="LUC214" s="2"/>
      <c r="LUD214" s="260"/>
      <c r="LUE214" s="260"/>
      <c r="LUF214" s="260"/>
      <c r="LUG214" s="380"/>
      <c r="LUH214" s="380"/>
      <c r="LUI214" s="380"/>
      <c r="LUJ214" s="2"/>
      <c r="LUK214" s="442"/>
      <c r="LUL214" s="442"/>
      <c r="LUM214" s="443"/>
      <c r="LUN214" s="442"/>
      <c r="LUO214" s="442"/>
      <c r="LUP214" s="2"/>
      <c r="LUQ214" s="2"/>
      <c r="LUR214" s="2"/>
      <c r="LUS214" s="2"/>
      <c r="LUT214" s="260"/>
      <c r="LUU214" s="260"/>
      <c r="LUV214" s="260"/>
      <c r="LUW214" s="260"/>
      <c r="LUX214" s="260"/>
      <c r="LUY214" s="260"/>
      <c r="LUZ214" s="308"/>
      <c r="LVA214" s="290"/>
      <c r="LVB214" s="290"/>
      <c r="LVC214" s="260"/>
      <c r="LVD214" s="260"/>
      <c r="LVE214" s="260"/>
      <c r="LVF214" s="260"/>
      <c r="LVG214" s="260"/>
      <c r="LVH214" s="2"/>
      <c r="LVI214" s="2"/>
      <c r="LVJ214" s="2"/>
      <c r="LVK214" s="2"/>
      <c r="LVL214" s="2"/>
      <c r="LVM214" s="2"/>
      <c r="LVN214" s="260"/>
      <c r="LVO214" s="2"/>
      <c r="LVP214" s="2"/>
      <c r="LVQ214" s="2"/>
      <c r="LVR214" s="2"/>
      <c r="LVS214" s="2"/>
      <c r="LVT214" s="2"/>
      <c r="LVU214" s="2"/>
      <c r="LVV214" s="260"/>
      <c r="LVW214" s="260"/>
      <c r="LVX214" s="260"/>
      <c r="LVY214" s="380"/>
      <c r="LVZ214" s="380"/>
      <c r="LWA214" s="380"/>
      <c r="LWB214" s="2"/>
      <c r="LWC214" s="442"/>
      <c r="LWD214" s="442"/>
      <c r="LWE214" s="443"/>
      <c r="LWF214" s="442"/>
      <c r="LWG214" s="442"/>
      <c r="LWH214" s="2"/>
      <c r="LWI214" s="2"/>
      <c r="LWJ214" s="2"/>
      <c r="LWK214" s="2"/>
      <c r="LWL214" s="260"/>
      <c r="LWM214" s="260"/>
      <c r="LWN214" s="260"/>
      <c r="LWO214" s="260"/>
      <c r="LWP214" s="260"/>
      <c r="LWQ214" s="260"/>
      <c r="LWR214" s="308"/>
      <c r="LWS214" s="290"/>
      <c r="LWT214" s="290"/>
      <c r="LWU214" s="260"/>
      <c r="LWV214" s="260"/>
      <c r="LWW214" s="260"/>
      <c r="LWX214" s="260"/>
      <c r="LWY214" s="260"/>
      <c r="LWZ214" s="2"/>
      <c r="LXA214" s="2"/>
      <c r="LXB214" s="2"/>
      <c r="LXC214" s="2"/>
      <c r="LXD214" s="2"/>
      <c r="LXE214" s="2"/>
      <c r="LXF214" s="260"/>
      <c r="LXG214" s="2"/>
      <c r="LXH214" s="2"/>
      <c r="LXI214" s="2"/>
      <c r="LXJ214" s="2"/>
      <c r="LXK214" s="2"/>
      <c r="LXL214" s="2"/>
      <c r="LXM214" s="2"/>
      <c r="LXN214" s="260"/>
      <c r="LXO214" s="260"/>
      <c r="LXP214" s="260"/>
      <c r="LXQ214" s="380"/>
      <c r="LXR214" s="380"/>
      <c r="LXS214" s="380"/>
      <c r="LXT214" s="2"/>
      <c r="LXU214" s="442"/>
      <c r="LXV214" s="442"/>
      <c r="LXW214" s="443"/>
      <c r="LXX214" s="442"/>
      <c r="LXY214" s="442"/>
      <c r="LXZ214" s="2"/>
      <c r="LYA214" s="2"/>
      <c r="LYB214" s="2"/>
      <c r="LYC214" s="2"/>
      <c r="LYD214" s="260"/>
      <c r="LYE214" s="260"/>
      <c r="LYF214" s="260"/>
      <c r="LYG214" s="260"/>
      <c r="LYH214" s="260"/>
      <c r="LYI214" s="260"/>
      <c r="LYJ214" s="308"/>
      <c r="LYK214" s="290"/>
      <c r="LYL214" s="290"/>
      <c r="LYM214" s="260"/>
      <c r="LYN214" s="260"/>
      <c r="LYO214" s="260"/>
      <c r="LYP214" s="260"/>
      <c r="LYQ214" s="260"/>
      <c r="LYR214" s="2"/>
      <c r="LYS214" s="2"/>
      <c r="LYT214" s="2"/>
      <c r="LYU214" s="2"/>
      <c r="LYV214" s="2"/>
      <c r="LYW214" s="2"/>
      <c r="LYX214" s="260"/>
      <c r="LYY214" s="2"/>
      <c r="LYZ214" s="2"/>
      <c r="LZA214" s="2"/>
      <c r="LZB214" s="2"/>
      <c r="LZC214" s="2"/>
      <c r="LZD214" s="2"/>
      <c r="LZE214" s="2"/>
      <c r="LZF214" s="260"/>
      <c r="LZG214" s="260"/>
      <c r="LZH214" s="260"/>
      <c r="LZI214" s="380"/>
      <c r="LZJ214" s="380"/>
      <c r="LZK214" s="380"/>
      <c r="LZL214" s="2"/>
      <c r="LZM214" s="442"/>
      <c r="LZN214" s="442"/>
      <c r="LZO214" s="443"/>
      <c r="LZP214" s="442"/>
      <c r="LZQ214" s="442"/>
      <c r="LZR214" s="2"/>
      <c r="LZS214" s="2"/>
      <c r="LZT214" s="2"/>
      <c r="LZU214" s="2"/>
      <c r="LZV214" s="260"/>
      <c r="LZW214" s="260"/>
      <c r="LZX214" s="260"/>
      <c r="LZY214" s="260"/>
      <c r="LZZ214" s="260"/>
      <c r="MAA214" s="260"/>
      <c r="MAB214" s="308"/>
      <c r="MAC214" s="290"/>
      <c r="MAD214" s="290"/>
      <c r="MAE214" s="260"/>
      <c r="MAF214" s="260"/>
      <c r="MAG214" s="260"/>
      <c r="MAH214" s="260"/>
      <c r="MAI214" s="260"/>
      <c r="MAJ214" s="2"/>
      <c r="MAK214" s="2"/>
      <c r="MAL214" s="2"/>
      <c r="MAM214" s="2"/>
      <c r="MAN214" s="2"/>
      <c r="MAO214" s="2"/>
      <c r="MAP214" s="260"/>
      <c r="MAQ214" s="2"/>
      <c r="MAR214" s="2"/>
      <c r="MAS214" s="2"/>
      <c r="MAT214" s="2"/>
      <c r="MAU214" s="2"/>
      <c r="MAV214" s="2"/>
      <c r="MAW214" s="2"/>
      <c r="MAX214" s="260"/>
      <c r="MAY214" s="260"/>
      <c r="MAZ214" s="260"/>
      <c r="MBA214" s="380"/>
      <c r="MBB214" s="380"/>
      <c r="MBC214" s="380"/>
      <c r="MBD214" s="2"/>
      <c r="MBE214" s="442"/>
      <c r="MBF214" s="442"/>
      <c r="MBG214" s="443"/>
      <c r="MBH214" s="442"/>
      <c r="MBI214" s="442"/>
      <c r="MBJ214" s="2"/>
      <c r="MBK214" s="2"/>
      <c r="MBL214" s="2"/>
      <c r="MBM214" s="2"/>
      <c r="MBN214" s="260"/>
      <c r="MBO214" s="260"/>
      <c r="MBP214" s="260"/>
      <c r="MBQ214" s="260"/>
      <c r="MBR214" s="260"/>
      <c r="MBS214" s="260"/>
      <c r="MBT214" s="308"/>
      <c r="MBU214" s="290"/>
      <c r="MBV214" s="290"/>
      <c r="MBW214" s="260"/>
      <c r="MBX214" s="260"/>
      <c r="MBY214" s="260"/>
      <c r="MBZ214" s="260"/>
      <c r="MCA214" s="260"/>
      <c r="MCB214" s="2"/>
      <c r="MCC214" s="2"/>
      <c r="MCD214" s="2"/>
      <c r="MCE214" s="2"/>
      <c r="MCF214" s="2"/>
      <c r="MCG214" s="2"/>
      <c r="MCH214" s="260"/>
      <c r="MCI214" s="2"/>
      <c r="MCJ214" s="2"/>
      <c r="MCK214" s="2"/>
      <c r="MCL214" s="2"/>
      <c r="MCM214" s="2"/>
      <c r="MCN214" s="2"/>
      <c r="MCO214" s="2"/>
      <c r="MCP214" s="260"/>
      <c r="MCQ214" s="260"/>
      <c r="MCR214" s="260"/>
      <c r="MCS214" s="380"/>
      <c r="MCT214" s="380"/>
      <c r="MCU214" s="380"/>
      <c r="MCV214" s="2"/>
      <c r="MCW214" s="442"/>
      <c r="MCX214" s="442"/>
      <c r="MCY214" s="443"/>
      <c r="MCZ214" s="442"/>
      <c r="MDA214" s="442"/>
      <c r="MDB214" s="2"/>
      <c r="MDC214" s="2"/>
      <c r="MDD214" s="2"/>
      <c r="MDE214" s="2"/>
      <c r="MDF214" s="260"/>
      <c r="MDG214" s="260"/>
      <c r="MDH214" s="260"/>
      <c r="MDI214" s="260"/>
      <c r="MDJ214" s="260"/>
      <c r="MDK214" s="260"/>
      <c r="MDL214" s="308"/>
      <c r="MDM214" s="290"/>
      <c r="MDN214" s="290"/>
      <c r="MDO214" s="260"/>
      <c r="MDP214" s="260"/>
      <c r="MDQ214" s="260"/>
      <c r="MDR214" s="260"/>
      <c r="MDS214" s="260"/>
      <c r="MDT214" s="2"/>
      <c r="MDU214" s="2"/>
      <c r="MDV214" s="2"/>
      <c r="MDW214" s="2"/>
      <c r="MDX214" s="2"/>
      <c r="MDY214" s="2"/>
      <c r="MDZ214" s="260"/>
      <c r="MEA214" s="2"/>
      <c r="MEB214" s="2"/>
      <c r="MEC214" s="2"/>
      <c r="MED214" s="2"/>
      <c r="MEE214" s="2"/>
      <c r="MEF214" s="2"/>
      <c r="MEG214" s="2"/>
      <c r="MEH214" s="260"/>
      <c r="MEI214" s="260"/>
      <c r="MEJ214" s="260"/>
      <c r="MEK214" s="380"/>
      <c r="MEL214" s="380"/>
      <c r="MEM214" s="380"/>
      <c r="MEN214" s="2"/>
      <c r="MEO214" s="442"/>
      <c r="MEP214" s="442"/>
      <c r="MEQ214" s="443"/>
      <c r="MER214" s="442"/>
      <c r="MES214" s="442"/>
      <c r="MET214" s="2"/>
      <c r="MEU214" s="2"/>
      <c r="MEV214" s="2"/>
      <c r="MEW214" s="2"/>
      <c r="MEX214" s="260"/>
      <c r="MEY214" s="260"/>
      <c r="MEZ214" s="260"/>
      <c r="MFA214" s="260"/>
      <c r="MFB214" s="260"/>
      <c r="MFC214" s="260"/>
      <c r="MFD214" s="308"/>
      <c r="MFE214" s="290"/>
      <c r="MFF214" s="290"/>
      <c r="MFG214" s="260"/>
      <c r="MFH214" s="260"/>
      <c r="MFI214" s="260"/>
      <c r="MFJ214" s="260"/>
      <c r="MFK214" s="260"/>
      <c r="MFL214" s="2"/>
      <c r="MFM214" s="2"/>
      <c r="MFN214" s="2"/>
      <c r="MFO214" s="2"/>
      <c r="MFP214" s="2"/>
      <c r="MFQ214" s="2"/>
      <c r="MFR214" s="260"/>
      <c r="MFS214" s="2"/>
      <c r="MFT214" s="2"/>
      <c r="MFU214" s="2"/>
      <c r="MFV214" s="2"/>
      <c r="MFW214" s="2"/>
      <c r="MFX214" s="2"/>
      <c r="MFY214" s="2"/>
      <c r="MFZ214" s="260"/>
      <c r="MGA214" s="260"/>
      <c r="MGB214" s="260"/>
      <c r="MGC214" s="380"/>
      <c r="MGD214" s="380"/>
      <c r="MGE214" s="380"/>
      <c r="MGF214" s="2"/>
      <c r="MGG214" s="442"/>
      <c r="MGH214" s="442"/>
      <c r="MGI214" s="443"/>
      <c r="MGJ214" s="442"/>
      <c r="MGK214" s="442"/>
      <c r="MGL214" s="2"/>
      <c r="MGM214" s="2"/>
      <c r="MGN214" s="2"/>
      <c r="MGO214" s="2"/>
      <c r="MGP214" s="260"/>
      <c r="MGQ214" s="260"/>
      <c r="MGR214" s="260"/>
      <c r="MGS214" s="260"/>
      <c r="MGT214" s="260"/>
      <c r="MGU214" s="260"/>
      <c r="MGV214" s="308"/>
      <c r="MGW214" s="290"/>
      <c r="MGX214" s="290"/>
      <c r="MGY214" s="260"/>
      <c r="MGZ214" s="260"/>
      <c r="MHA214" s="260"/>
      <c r="MHB214" s="260"/>
      <c r="MHC214" s="260"/>
      <c r="MHD214" s="2"/>
      <c r="MHE214" s="2"/>
      <c r="MHF214" s="2"/>
      <c r="MHG214" s="2"/>
      <c r="MHH214" s="2"/>
      <c r="MHI214" s="2"/>
      <c r="MHJ214" s="260"/>
      <c r="MHK214" s="2"/>
      <c r="MHL214" s="2"/>
      <c r="MHM214" s="2"/>
      <c r="MHN214" s="2"/>
      <c r="MHO214" s="2"/>
      <c r="MHP214" s="2"/>
      <c r="MHQ214" s="2"/>
      <c r="MHR214" s="260"/>
      <c r="MHS214" s="260"/>
      <c r="MHT214" s="260"/>
      <c r="MHU214" s="380"/>
      <c r="MHV214" s="380"/>
      <c r="MHW214" s="380"/>
      <c r="MHX214" s="2"/>
      <c r="MHY214" s="442"/>
      <c r="MHZ214" s="442"/>
      <c r="MIA214" s="443"/>
      <c r="MIB214" s="442"/>
      <c r="MIC214" s="442"/>
      <c r="MID214" s="2"/>
      <c r="MIE214" s="2"/>
      <c r="MIF214" s="2"/>
      <c r="MIG214" s="2"/>
      <c r="MIH214" s="260"/>
      <c r="MII214" s="260"/>
      <c r="MIJ214" s="260"/>
      <c r="MIK214" s="260"/>
      <c r="MIL214" s="260"/>
      <c r="MIM214" s="260"/>
      <c r="MIN214" s="308"/>
      <c r="MIO214" s="290"/>
      <c r="MIP214" s="290"/>
      <c r="MIQ214" s="260"/>
      <c r="MIR214" s="260"/>
      <c r="MIS214" s="260"/>
      <c r="MIT214" s="260"/>
      <c r="MIU214" s="260"/>
      <c r="MIV214" s="2"/>
      <c r="MIW214" s="2"/>
      <c r="MIX214" s="2"/>
      <c r="MIY214" s="2"/>
      <c r="MIZ214" s="2"/>
      <c r="MJA214" s="2"/>
      <c r="MJB214" s="260"/>
      <c r="MJC214" s="2"/>
      <c r="MJD214" s="2"/>
      <c r="MJE214" s="2"/>
      <c r="MJF214" s="2"/>
      <c r="MJG214" s="2"/>
      <c r="MJH214" s="2"/>
      <c r="MJI214" s="2"/>
      <c r="MJJ214" s="260"/>
      <c r="MJK214" s="260"/>
      <c r="MJL214" s="260"/>
      <c r="MJM214" s="380"/>
      <c r="MJN214" s="380"/>
      <c r="MJO214" s="380"/>
      <c r="MJP214" s="2"/>
      <c r="MJQ214" s="442"/>
      <c r="MJR214" s="442"/>
      <c r="MJS214" s="443"/>
      <c r="MJT214" s="442"/>
      <c r="MJU214" s="442"/>
      <c r="MJV214" s="2"/>
      <c r="MJW214" s="2"/>
      <c r="MJX214" s="2"/>
      <c r="MJY214" s="2"/>
      <c r="MJZ214" s="260"/>
      <c r="MKA214" s="260"/>
      <c r="MKB214" s="260"/>
      <c r="MKC214" s="260"/>
      <c r="MKD214" s="260"/>
      <c r="MKE214" s="260"/>
      <c r="MKF214" s="308"/>
      <c r="MKG214" s="290"/>
      <c r="MKH214" s="290"/>
      <c r="MKI214" s="260"/>
      <c r="MKJ214" s="260"/>
      <c r="MKK214" s="260"/>
      <c r="MKL214" s="260"/>
      <c r="MKM214" s="260"/>
      <c r="MKN214" s="2"/>
      <c r="MKO214" s="2"/>
      <c r="MKP214" s="2"/>
      <c r="MKQ214" s="2"/>
      <c r="MKR214" s="2"/>
      <c r="MKS214" s="2"/>
      <c r="MKT214" s="260"/>
      <c r="MKU214" s="2"/>
      <c r="MKV214" s="2"/>
      <c r="MKW214" s="2"/>
      <c r="MKX214" s="2"/>
      <c r="MKY214" s="2"/>
      <c r="MKZ214" s="2"/>
      <c r="MLA214" s="2"/>
      <c r="MLB214" s="260"/>
      <c r="MLC214" s="260"/>
      <c r="MLD214" s="260"/>
      <c r="MLE214" s="380"/>
      <c r="MLF214" s="380"/>
      <c r="MLG214" s="380"/>
      <c r="MLH214" s="2"/>
      <c r="MLI214" s="442"/>
      <c r="MLJ214" s="442"/>
      <c r="MLK214" s="443"/>
      <c r="MLL214" s="442"/>
      <c r="MLM214" s="442"/>
      <c r="MLN214" s="2"/>
      <c r="MLO214" s="2"/>
      <c r="MLP214" s="2"/>
      <c r="MLQ214" s="2"/>
      <c r="MLR214" s="260"/>
      <c r="MLS214" s="260"/>
      <c r="MLT214" s="260"/>
      <c r="MLU214" s="260"/>
      <c r="MLV214" s="260"/>
      <c r="MLW214" s="260"/>
      <c r="MLX214" s="308"/>
      <c r="MLY214" s="290"/>
      <c r="MLZ214" s="290"/>
      <c r="MMA214" s="260"/>
      <c r="MMB214" s="260"/>
      <c r="MMC214" s="260"/>
      <c r="MMD214" s="260"/>
      <c r="MME214" s="260"/>
      <c r="MMF214" s="2"/>
      <c r="MMG214" s="2"/>
      <c r="MMH214" s="2"/>
      <c r="MMI214" s="2"/>
      <c r="MMJ214" s="2"/>
      <c r="MMK214" s="2"/>
      <c r="MML214" s="260"/>
      <c r="MMM214" s="2"/>
      <c r="MMN214" s="2"/>
      <c r="MMO214" s="2"/>
      <c r="MMP214" s="2"/>
      <c r="MMQ214" s="2"/>
      <c r="MMR214" s="2"/>
      <c r="MMS214" s="2"/>
      <c r="MMT214" s="260"/>
      <c r="MMU214" s="260"/>
      <c r="MMV214" s="260"/>
      <c r="MMW214" s="380"/>
      <c r="MMX214" s="380"/>
      <c r="MMY214" s="380"/>
      <c r="MMZ214" s="2"/>
      <c r="MNA214" s="442"/>
      <c r="MNB214" s="442"/>
      <c r="MNC214" s="443"/>
      <c r="MND214" s="442"/>
      <c r="MNE214" s="442"/>
      <c r="MNF214" s="2"/>
      <c r="MNG214" s="2"/>
      <c r="MNH214" s="2"/>
      <c r="MNI214" s="2"/>
      <c r="MNJ214" s="260"/>
      <c r="MNK214" s="260"/>
      <c r="MNL214" s="260"/>
      <c r="MNM214" s="260"/>
      <c r="MNN214" s="260"/>
      <c r="MNO214" s="260"/>
      <c r="MNP214" s="308"/>
      <c r="MNQ214" s="290"/>
      <c r="MNR214" s="290"/>
      <c r="MNS214" s="260"/>
      <c r="MNT214" s="260"/>
      <c r="MNU214" s="260"/>
      <c r="MNV214" s="260"/>
      <c r="MNW214" s="260"/>
      <c r="MNX214" s="2"/>
      <c r="MNY214" s="2"/>
      <c r="MNZ214" s="2"/>
      <c r="MOA214" s="2"/>
      <c r="MOB214" s="2"/>
      <c r="MOC214" s="2"/>
      <c r="MOD214" s="260"/>
      <c r="MOE214" s="2"/>
      <c r="MOF214" s="2"/>
      <c r="MOG214" s="2"/>
      <c r="MOH214" s="2"/>
      <c r="MOI214" s="2"/>
      <c r="MOJ214" s="2"/>
      <c r="MOK214" s="2"/>
      <c r="MOL214" s="260"/>
      <c r="MOM214" s="260"/>
      <c r="MON214" s="260"/>
      <c r="MOO214" s="380"/>
      <c r="MOP214" s="380"/>
      <c r="MOQ214" s="380"/>
      <c r="MOR214" s="2"/>
      <c r="MOS214" s="442"/>
      <c r="MOT214" s="442"/>
      <c r="MOU214" s="443"/>
      <c r="MOV214" s="442"/>
      <c r="MOW214" s="442"/>
      <c r="MOX214" s="2"/>
      <c r="MOY214" s="2"/>
      <c r="MOZ214" s="2"/>
      <c r="MPA214" s="2"/>
      <c r="MPB214" s="260"/>
      <c r="MPC214" s="260"/>
      <c r="MPD214" s="260"/>
      <c r="MPE214" s="260"/>
      <c r="MPF214" s="260"/>
      <c r="MPG214" s="260"/>
      <c r="MPH214" s="308"/>
      <c r="MPI214" s="290"/>
      <c r="MPJ214" s="290"/>
      <c r="MPK214" s="260"/>
      <c r="MPL214" s="260"/>
      <c r="MPM214" s="260"/>
      <c r="MPN214" s="260"/>
      <c r="MPO214" s="260"/>
      <c r="MPP214" s="2"/>
      <c r="MPQ214" s="2"/>
      <c r="MPR214" s="2"/>
      <c r="MPS214" s="2"/>
      <c r="MPT214" s="2"/>
      <c r="MPU214" s="2"/>
      <c r="MPV214" s="260"/>
      <c r="MPW214" s="2"/>
      <c r="MPX214" s="2"/>
      <c r="MPY214" s="2"/>
      <c r="MPZ214" s="2"/>
      <c r="MQA214" s="2"/>
      <c r="MQB214" s="2"/>
      <c r="MQC214" s="2"/>
      <c r="MQD214" s="260"/>
      <c r="MQE214" s="260"/>
      <c r="MQF214" s="260"/>
      <c r="MQG214" s="380"/>
      <c r="MQH214" s="380"/>
      <c r="MQI214" s="380"/>
      <c r="MQJ214" s="2"/>
      <c r="MQK214" s="442"/>
      <c r="MQL214" s="442"/>
      <c r="MQM214" s="443"/>
      <c r="MQN214" s="442"/>
      <c r="MQO214" s="442"/>
      <c r="MQP214" s="2"/>
      <c r="MQQ214" s="2"/>
      <c r="MQR214" s="2"/>
      <c r="MQS214" s="2"/>
      <c r="MQT214" s="260"/>
      <c r="MQU214" s="260"/>
      <c r="MQV214" s="260"/>
      <c r="MQW214" s="260"/>
      <c r="MQX214" s="260"/>
      <c r="MQY214" s="260"/>
      <c r="MQZ214" s="308"/>
      <c r="MRA214" s="290"/>
      <c r="MRB214" s="290"/>
      <c r="MRC214" s="260"/>
      <c r="MRD214" s="260"/>
      <c r="MRE214" s="260"/>
      <c r="MRF214" s="260"/>
      <c r="MRG214" s="260"/>
      <c r="MRH214" s="2"/>
      <c r="MRI214" s="2"/>
      <c r="MRJ214" s="2"/>
      <c r="MRK214" s="2"/>
      <c r="MRL214" s="2"/>
      <c r="MRM214" s="2"/>
      <c r="MRN214" s="260"/>
      <c r="MRO214" s="2"/>
      <c r="MRP214" s="2"/>
      <c r="MRQ214" s="2"/>
      <c r="MRR214" s="2"/>
      <c r="MRS214" s="2"/>
      <c r="MRT214" s="2"/>
      <c r="MRU214" s="2"/>
      <c r="MRV214" s="260"/>
      <c r="MRW214" s="260"/>
      <c r="MRX214" s="260"/>
      <c r="MRY214" s="380"/>
      <c r="MRZ214" s="380"/>
      <c r="MSA214" s="380"/>
      <c r="MSB214" s="2"/>
      <c r="MSC214" s="442"/>
      <c r="MSD214" s="442"/>
      <c r="MSE214" s="443"/>
      <c r="MSF214" s="442"/>
      <c r="MSG214" s="442"/>
      <c r="MSH214" s="2"/>
      <c r="MSI214" s="2"/>
      <c r="MSJ214" s="2"/>
      <c r="MSK214" s="2"/>
      <c r="MSL214" s="260"/>
      <c r="MSM214" s="260"/>
      <c r="MSN214" s="260"/>
      <c r="MSO214" s="260"/>
      <c r="MSP214" s="260"/>
      <c r="MSQ214" s="260"/>
      <c r="MSR214" s="308"/>
      <c r="MSS214" s="290"/>
      <c r="MST214" s="290"/>
      <c r="MSU214" s="260"/>
      <c r="MSV214" s="260"/>
      <c r="MSW214" s="260"/>
      <c r="MSX214" s="260"/>
      <c r="MSY214" s="260"/>
      <c r="MSZ214" s="2"/>
      <c r="MTA214" s="2"/>
      <c r="MTB214" s="2"/>
      <c r="MTC214" s="2"/>
      <c r="MTD214" s="2"/>
      <c r="MTE214" s="2"/>
      <c r="MTF214" s="260"/>
      <c r="MTG214" s="2"/>
      <c r="MTH214" s="2"/>
      <c r="MTI214" s="2"/>
      <c r="MTJ214" s="2"/>
      <c r="MTK214" s="2"/>
      <c r="MTL214" s="2"/>
      <c r="MTM214" s="2"/>
      <c r="MTN214" s="260"/>
      <c r="MTO214" s="260"/>
      <c r="MTP214" s="260"/>
      <c r="MTQ214" s="380"/>
      <c r="MTR214" s="380"/>
      <c r="MTS214" s="380"/>
      <c r="MTT214" s="2"/>
      <c r="MTU214" s="442"/>
      <c r="MTV214" s="442"/>
      <c r="MTW214" s="443"/>
      <c r="MTX214" s="442"/>
      <c r="MTY214" s="442"/>
      <c r="MTZ214" s="2"/>
      <c r="MUA214" s="2"/>
      <c r="MUB214" s="2"/>
      <c r="MUC214" s="2"/>
      <c r="MUD214" s="260"/>
      <c r="MUE214" s="260"/>
      <c r="MUF214" s="260"/>
      <c r="MUG214" s="260"/>
      <c r="MUH214" s="260"/>
      <c r="MUI214" s="260"/>
      <c r="MUJ214" s="308"/>
      <c r="MUK214" s="290"/>
      <c r="MUL214" s="290"/>
      <c r="MUM214" s="260"/>
      <c r="MUN214" s="260"/>
      <c r="MUO214" s="260"/>
      <c r="MUP214" s="260"/>
      <c r="MUQ214" s="260"/>
      <c r="MUR214" s="2"/>
      <c r="MUS214" s="2"/>
      <c r="MUT214" s="2"/>
      <c r="MUU214" s="2"/>
      <c r="MUV214" s="2"/>
      <c r="MUW214" s="2"/>
      <c r="MUX214" s="260"/>
      <c r="MUY214" s="2"/>
      <c r="MUZ214" s="2"/>
      <c r="MVA214" s="2"/>
      <c r="MVB214" s="2"/>
      <c r="MVC214" s="2"/>
      <c r="MVD214" s="2"/>
      <c r="MVE214" s="2"/>
      <c r="MVF214" s="260"/>
      <c r="MVG214" s="260"/>
      <c r="MVH214" s="260"/>
      <c r="MVI214" s="380"/>
      <c r="MVJ214" s="380"/>
      <c r="MVK214" s="380"/>
      <c r="MVL214" s="2"/>
      <c r="MVM214" s="442"/>
      <c r="MVN214" s="442"/>
      <c r="MVO214" s="443"/>
      <c r="MVP214" s="442"/>
      <c r="MVQ214" s="442"/>
      <c r="MVR214" s="2"/>
      <c r="MVS214" s="2"/>
      <c r="MVT214" s="2"/>
      <c r="MVU214" s="2"/>
      <c r="MVV214" s="260"/>
      <c r="MVW214" s="260"/>
      <c r="MVX214" s="260"/>
      <c r="MVY214" s="260"/>
      <c r="MVZ214" s="260"/>
      <c r="MWA214" s="260"/>
      <c r="MWB214" s="308"/>
      <c r="MWC214" s="290"/>
      <c r="MWD214" s="290"/>
      <c r="MWE214" s="260"/>
      <c r="MWF214" s="260"/>
      <c r="MWG214" s="260"/>
      <c r="MWH214" s="260"/>
      <c r="MWI214" s="260"/>
      <c r="MWJ214" s="2"/>
      <c r="MWK214" s="2"/>
      <c r="MWL214" s="2"/>
      <c r="MWM214" s="2"/>
      <c r="MWN214" s="2"/>
      <c r="MWO214" s="2"/>
      <c r="MWP214" s="260"/>
      <c r="MWQ214" s="2"/>
      <c r="MWR214" s="2"/>
      <c r="MWS214" s="2"/>
      <c r="MWT214" s="2"/>
      <c r="MWU214" s="2"/>
      <c r="MWV214" s="2"/>
      <c r="MWW214" s="2"/>
      <c r="MWX214" s="260"/>
      <c r="MWY214" s="260"/>
      <c r="MWZ214" s="260"/>
      <c r="MXA214" s="380"/>
      <c r="MXB214" s="380"/>
      <c r="MXC214" s="380"/>
      <c r="MXD214" s="2"/>
      <c r="MXE214" s="442"/>
      <c r="MXF214" s="442"/>
      <c r="MXG214" s="443"/>
      <c r="MXH214" s="442"/>
      <c r="MXI214" s="442"/>
      <c r="MXJ214" s="2"/>
      <c r="MXK214" s="2"/>
      <c r="MXL214" s="2"/>
      <c r="MXM214" s="2"/>
      <c r="MXN214" s="260"/>
      <c r="MXO214" s="260"/>
      <c r="MXP214" s="260"/>
      <c r="MXQ214" s="260"/>
      <c r="MXR214" s="260"/>
      <c r="MXS214" s="260"/>
      <c r="MXT214" s="308"/>
      <c r="MXU214" s="290"/>
      <c r="MXV214" s="290"/>
      <c r="MXW214" s="260"/>
      <c r="MXX214" s="260"/>
      <c r="MXY214" s="260"/>
      <c r="MXZ214" s="260"/>
      <c r="MYA214" s="260"/>
      <c r="MYB214" s="2"/>
      <c r="MYC214" s="2"/>
      <c r="MYD214" s="2"/>
      <c r="MYE214" s="2"/>
      <c r="MYF214" s="2"/>
      <c r="MYG214" s="2"/>
      <c r="MYH214" s="260"/>
      <c r="MYI214" s="2"/>
      <c r="MYJ214" s="2"/>
      <c r="MYK214" s="2"/>
      <c r="MYL214" s="2"/>
      <c r="MYM214" s="2"/>
      <c r="MYN214" s="2"/>
      <c r="MYO214" s="2"/>
      <c r="MYP214" s="260"/>
      <c r="MYQ214" s="260"/>
      <c r="MYR214" s="260"/>
      <c r="MYS214" s="380"/>
      <c r="MYT214" s="380"/>
      <c r="MYU214" s="380"/>
      <c r="MYV214" s="2"/>
      <c r="MYW214" s="442"/>
      <c r="MYX214" s="442"/>
      <c r="MYY214" s="443"/>
      <c r="MYZ214" s="442"/>
      <c r="MZA214" s="442"/>
      <c r="MZB214" s="2"/>
      <c r="MZC214" s="2"/>
      <c r="MZD214" s="2"/>
      <c r="MZE214" s="2"/>
      <c r="MZF214" s="260"/>
      <c r="MZG214" s="260"/>
      <c r="MZH214" s="260"/>
      <c r="MZI214" s="260"/>
      <c r="MZJ214" s="260"/>
      <c r="MZK214" s="260"/>
      <c r="MZL214" s="308"/>
      <c r="MZM214" s="290"/>
      <c r="MZN214" s="290"/>
      <c r="MZO214" s="260"/>
      <c r="MZP214" s="260"/>
      <c r="MZQ214" s="260"/>
      <c r="MZR214" s="260"/>
      <c r="MZS214" s="260"/>
      <c r="MZT214" s="2"/>
      <c r="MZU214" s="2"/>
      <c r="MZV214" s="2"/>
      <c r="MZW214" s="2"/>
      <c r="MZX214" s="2"/>
      <c r="MZY214" s="2"/>
      <c r="MZZ214" s="260"/>
      <c r="NAA214" s="2"/>
      <c r="NAB214" s="2"/>
      <c r="NAC214" s="2"/>
      <c r="NAD214" s="2"/>
      <c r="NAE214" s="2"/>
      <c r="NAF214" s="2"/>
      <c r="NAG214" s="2"/>
      <c r="NAH214" s="260"/>
      <c r="NAI214" s="260"/>
      <c r="NAJ214" s="260"/>
      <c r="NAK214" s="380"/>
      <c r="NAL214" s="380"/>
      <c r="NAM214" s="380"/>
      <c r="NAN214" s="2"/>
      <c r="NAO214" s="442"/>
      <c r="NAP214" s="442"/>
      <c r="NAQ214" s="443"/>
      <c r="NAR214" s="442"/>
      <c r="NAS214" s="442"/>
      <c r="NAT214" s="2"/>
      <c r="NAU214" s="2"/>
      <c r="NAV214" s="2"/>
      <c r="NAW214" s="2"/>
      <c r="NAX214" s="260"/>
      <c r="NAY214" s="260"/>
      <c r="NAZ214" s="260"/>
      <c r="NBA214" s="260"/>
      <c r="NBB214" s="260"/>
      <c r="NBC214" s="260"/>
      <c r="NBD214" s="308"/>
      <c r="NBE214" s="290"/>
      <c r="NBF214" s="290"/>
      <c r="NBG214" s="260"/>
      <c r="NBH214" s="260"/>
      <c r="NBI214" s="260"/>
      <c r="NBJ214" s="260"/>
      <c r="NBK214" s="260"/>
      <c r="NBL214" s="2"/>
      <c r="NBM214" s="2"/>
      <c r="NBN214" s="2"/>
      <c r="NBO214" s="2"/>
      <c r="NBP214" s="2"/>
      <c r="NBQ214" s="2"/>
      <c r="NBR214" s="260"/>
      <c r="NBS214" s="2"/>
      <c r="NBT214" s="2"/>
      <c r="NBU214" s="2"/>
      <c r="NBV214" s="2"/>
      <c r="NBW214" s="2"/>
      <c r="NBX214" s="2"/>
      <c r="NBY214" s="2"/>
      <c r="NBZ214" s="260"/>
      <c r="NCA214" s="260"/>
      <c r="NCB214" s="260"/>
      <c r="NCC214" s="380"/>
      <c r="NCD214" s="380"/>
      <c r="NCE214" s="380"/>
      <c r="NCF214" s="2"/>
      <c r="NCG214" s="442"/>
      <c r="NCH214" s="442"/>
      <c r="NCI214" s="443"/>
      <c r="NCJ214" s="442"/>
      <c r="NCK214" s="442"/>
      <c r="NCL214" s="2"/>
      <c r="NCM214" s="2"/>
      <c r="NCN214" s="2"/>
      <c r="NCO214" s="2"/>
      <c r="NCP214" s="260"/>
      <c r="NCQ214" s="260"/>
      <c r="NCR214" s="260"/>
      <c r="NCS214" s="260"/>
      <c r="NCT214" s="260"/>
      <c r="NCU214" s="260"/>
      <c r="NCV214" s="308"/>
      <c r="NCW214" s="290"/>
      <c r="NCX214" s="290"/>
      <c r="NCY214" s="260"/>
      <c r="NCZ214" s="260"/>
      <c r="NDA214" s="260"/>
      <c r="NDB214" s="260"/>
      <c r="NDC214" s="260"/>
      <c r="NDD214" s="2"/>
      <c r="NDE214" s="2"/>
      <c r="NDF214" s="2"/>
      <c r="NDG214" s="2"/>
      <c r="NDH214" s="2"/>
      <c r="NDI214" s="2"/>
      <c r="NDJ214" s="260"/>
      <c r="NDK214" s="2"/>
      <c r="NDL214" s="2"/>
      <c r="NDM214" s="2"/>
      <c r="NDN214" s="2"/>
      <c r="NDO214" s="2"/>
      <c r="NDP214" s="2"/>
      <c r="NDQ214" s="2"/>
      <c r="NDR214" s="260"/>
      <c r="NDS214" s="260"/>
      <c r="NDT214" s="260"/>
      <c r="NDU214" s="380"/>
      <c r="NDV214" s="380"/>
      <c r="NDW214" s="380"/>
      <c r="NDX214" s="2"/>
      <c r="NDY214" s="442"/>
      <c r="NDZ214" s="442"/>
      <c r="NEA214" s="443"/>
      <c r="NEB214" s="442"/>
      <c r="NEC214" s="442"/>
      <c r="NED214" s="2"/>
      <c r="NEE214" s="2"/>
      <c r="NEF214" s="2"/>
      <c r="NEG214" s="2"/>
      <c r="NEH214" s="260"/>
      <c r="NEI214" s="260"/>
      <c r="NEJ214" s="260"/>
      <c r="NEK214" s="260"/>
      <c r="NEL214" s="260"/>
      <c r="NEM214" s="260"/>
      <c r="NEN214" s="308"/>
      <c r="NEO214" s="290"/>
      <c r="NEP214" s="290"/>
      <c r="NEQ214" s="260"/>
      <c r="NER214" s="260"/>
      <c r="NES214" s="260"/>
      <c r="NET214" s="260"/>
      <c r="NEU214" s="260"/>
      <c r="NEV214" s="2"/>
      <c r="NEW214" s="2"/>
      <c r="NEX214" s="2"/>
      <c r="NEY214" s="2"/>
      <c r="NEZ214" s="2"/>
      <c r="NFA214" s="2"/>
      <c r="NFB214" s="260"/>
      <c r="NFC214" s="2"/>
      <c r="NFD214" s="2"/>
      <c r="NFE214" s="2"/>
      <c r="NFF214" s="2"/>
      <c r="NFG214" s="2"/>
      <c r="NFH214" s="2"/>
      <c r="NFI214" s="2"/>
      <c r="NFJ214" s="260"/>
      <c r="NFK214" s="260"/>
      <c r="NFL214" s="260"/>
      <c r="NFM214" s="380"/>
      <c r="NFN214" s="380"/>
      <c r="NFO214" s="380"/>
      <c r="NFP214" s="2"/>
      <c r="NFQ214" s="442"/>
      <c r="NFR214" s="442"/>
      <c r="NFS214" s="443"/>
      <c r="NFT214" s="442"/>
      <c r="NFU214" s="442"/>
      <c r="NFV214" s="2"/>
      <c r="NFW214" s="2"/>
      <c r="NFX214" s="2"/>
      <c r="NFY214" s="2"/>
      <c r="NFZ214" s="260"/>
      <c r="NGA214" s="260"/>
      <c r="NGB214" s="260"/>
      <c r="NGC214" s="260"/>
      <c r="NGD214" s="260"/>
      <c r="NGE214" s="260"/>
      <c r="NGF214" s="308"/>
      <c r="NGG214" s="290"/>
      <c r="NGH214" s="290"/>
      <c r="NGI214" s="260"/>
      <c r="NGJ214" s="260"/>
      <c r="NGK214" s="260"/>
      <c r="NGL214" s="260"/>
      <c r="NGM214" s="260"/>
      <c r="NGN214" s="2"/>
      <c r="NGO214" s="2"/>
      <c r="NGP214" s="2"/>
      <c r="NGQ214" s="2"/>
      <c r="NGR214" s="2"/>
      <c r="NGS214" s="2"/>
      <c r="NGT214" s="260"/>
      <c r="NGU214" s="2"/>
      <c r="NGV214" s="2"/>
      <c r="NGW214" s="2"/>
      <c r="NGX214" s="2"/>
      <c r="NGY214" s="2"/>
      <c r="NGZ214" s="2"/>
      <c r="NHA214" s="2"/>
      <c r="NHB214" s="260"/>
      <c r="NHC214" s="260"/>
      <c r="NHD214" s="260"/>
      <c r="NHE214" s="380"/>
      <c r="NHF214" s="380"/>
      <c r="NHG214" s="380"/>
      <c r="NHH214" s="2"/>
      <c r="NHI214" s="442"/>
      <c r="NHJ214" s="442"/>
      <c r="NHK214" s="443"/>
      <c r="NHL214" s="442"/>
      <c r="NHM214" s="442"/>
      <c r="NHN214" s="2"/>
      <c r="NHO214" s="2"/>
      <c r="NHP214" s="2"/>
      <c r="NHQ214" s="2"/>
      <c r="NHR214" s="260"/>
      <c r="NHS214" s="260"/>
      <c r="NHT214" s="260"/>
      <c r="NHU214" s="260"/>
      <c r="NHV214" s="260"/>
      <c r="NHW214" s="260"/>
      <c r="NHX214" s="308"/>
      <c r="NHY214" s="290"/>
      <c r="NHZ214" s="290"/>
      <c r="NIA214" s="260"/>
      <c r="NIB214" s="260"/>
      <c r="NIC214" s="260"/>
      <c r="NID214" s="260"/>
      <c r="NIE214" s="260"/>
      <c r="NIF214" s="2"/>
      <c r="NIG214" s="2"/>
      <c r="NIH214" s="2"/>
      <c r="NII214" s="2"/>
      <c r="NIJ214" s="2"/>
      <c r="NIK214" s="2"/>
      <c r="NIL214" s="260"/>
      <c r="NIM214" s="2"/>
      <c r="NIN214" s="2"/>
      <c r="NIO214" s="2"/>
      <c r="NIP214" s="2"/>
      <c r="NIQ214" s="2"/>
      <c r="NIR214" s="2"/>
      <c r="NIS214" s="2"/>
      <c r="NIT214" s="260"/>
      <c r="NIU214" s="260"/>
      <c r="NIV214" s="260"/>
      <c r="NIW214" s="380"/>
      <c r="NIX214" s="380"/>
      <c r="NIY214" s="380"/>
      <c r="NIZ214" s="2"/>
      <c r="NJA214" s="442"/>
      <c r="NJB214" s="442"/>
      <c r="NJC214" s="443"/>
      <c r="NJD214" s="442"/>
      <c r="NJE214" s="442"/>
      <c r="NJF214" s="2"/>
      <c r="NJG214" s="2"/>
      <c r="NJH214" s="2"/>
      <c r="NJI214" s="2"/>
      <c r="NJJ214" s="260"/>
      <c r="NJK214" s="260"/>
      <c r="NJL214" s="260"/>
      <c r="NJM214" s="260"/>
      <c r="NJN214" s="260"/>
      <c r="NJO214" s="260"/>
      <c r="NJP214" s="308"/>
      <c r="NJQ214" s="290"/>
      <c r="NJR214" s="290"/>
      <c r="NJS214" s="260"/>
      <c r="NJT214" s="260"/>
      <c r="NJU214" s="260"/>
      <c r="NJV214" s="260"/>
      <c r="NJW214" s="260"/>
      <c r="NJX214" s="2"/>
      <c r="NJY214" s="2"/>
      <c r="NJZ214" s="2"/>
      <c r="NKA214" s="2"/>
      <c r="NKB214" s="2"/>
      <c r="NKC214" s="2"/>
      <c r="NKD214" s="260"/>
      <c r="NKE214" s="2"/>
      <c r="NKF214" s="2"/>
      <c r="NKG214" s="2"/>
      <c r="NKH214" s="2"/>
      <c r="NKI214" s="2"/>
      <c r="NKJ214" s="2"/>
      <c r="NKK214" s="2"/>
      <c r="NKL214" s="260"/>
      <c r="NKM214" s="260"/>
      <c r="NKN214" s="260"/>
      <c r="NKO214" s="380"/>
      <c r="NKP214" s="380"/>
      <c r="NKQ214" s="380"/>
      <c r="NKR214" s="2"/>
      <c r="NKS214" s="442"/>
      <c r="NKT214" s="442"/>
      <c r="NKU214" s="443"/>
      <c r="NKV214" s="442"/>
      <c r="NKW214" s="442"/>
      <c r="NKX214" s="2"/>
      <c r="NKY214" s="2"/>
      <c r="NKZ214" s="2"/>
      <c r="NLA214" s="2"/>
      <c r="NLB214" s="260"/>
      <c r="NLC214" s="260"/>
      <c r="NLD214" s="260"/>
      <c r="NLE214" s="260"/>
      <c r="NLF214" s="260"/>
      <c r="NLG214" s="260"/>
      <c r="NLH214" s="308"/>
      <c r="NLI214" s="290"/>
      <c r="NLJ214" s="290"/>
      <c r="NLK214" s="260"/>
      <c r="NLL214" s="260"/>
      <c r="NLM214" s="260"/>
      <c r="NLN214" s="260"/>
      <c r="NLO214" s="260"/>
      <c r="NLP214" s="2"/>
      <c r="NLQ214" s="2"/>
      <c r="NLR214" s="2"/>
      <c r="NLS214" s="2"/>
      <c r="NLT214" s="2"/>
      <c r="NLU214" s="2"/>
      <c r="NLV214" s="260"/>
      <c r="NLW214" s="2"/>
      <c r="NLX214" s="2"/>
      <c r="NLY214" s="2"/>
      <c r="NLZ214" s="2"/>
      <c r="NMA214" s="2"/>
      <c r="NMB214" s="2"/>
      <c r="NMC214" s="2"/>
      <c r="NMD214" s="260"/>
      <c r="NME214" s="260"/>
      <c r="NMF214" s="260"/>
      <c r="NMG214" s="380"/>
      <c r="NMH214" s="380"/>
      <c r="NMI214" s="380"/>
      <c r="NMJ214" s="2"/>
      <c r="NMK214" s="442"/>
      <c r="NML214" s="442"/>
      <c r="NMM214" s="443"/>
      <c r="NMN214" s="442"/>
      <c r="NMO214" s="442"/>
      <c r="NMP214" s="2"/>
      <c r="NMQ214" s="2"/>
      <c r="NMR214" s="2"/>
      <c r="NMS214" s="2"/>
      <c r="NMT214" s="260"/>
      <c r="NMU214" s="260"/>
      <c r="NMV214" s="260"/>
      <c r="NMW214" s="260"/>
      <c r="NMX214" s="260"/>
      <c r="NMY214" s="260"/>
      <c r="NMZ214" s="308"/>
      <c r="NNA214" s="290"/>
      <c r="NNB214" s="290"/>
      <c r="NNC214" s="260"/>
      <c r="NND214" s="260"/>
      <c r="NNE214" s="260"/>
      <c r="NNF214" s="260"/>
      <c r="NNG214" s="260"/>
      <c r="NNH214" s="2"/>
      <c r="NNI214" s="2"/>
      <c r="NNJ214" s="2"/>
      <c r="NNK214" s="2"/>
      <c r="NNL214" s="2"/>
      <c r="NNM214" s="2"/>
      <c r="NNN214" s="260"/>
      <c r="NNO214" s="2"/>
      <c r="NNP214" s="2"/>
      <c r="NNQ214" s="2"/>
      <c r="NNR214" s="2"/>
      <c r="NNS214" s="2"/>
      <c r="NNT214" s="2"/>
      <c r="NNU214" s="2"/>
      <c r="NNV214" s="260"/>
      <c r="NNW214" s="260"/>
      <c r="NNX214" s="260"/>
      <c r="NNY214" s="380"/>
      <c r="NNZ214" s="380"/>
      <c r="NOA214" s="380"/>
      <c r="NOB214" s="2"/>
      <c r="NOC214" s="442"/>
      <c r="NOD214" s="442"/>
      <c r="NOE214" s="443"/>
      <c r="NOF214" s="442"/>
      <c r="NOG214" s="442"/>
      <c r="NOH214" s="2"/>
      <c r="NOI214" s="2"/>
      <c r="NOJ214" s="2"/>
      <c r="NOK214" s="2"/>
      <c r="NOL214" s="260"/>
      <c r="NOM214" s="260"/>
      <c r="NON214" s="260"/>
      <c r="NOO214" s="260"/>
      <c r="NOP214" s="260"/>
      <c r="NOQ214" s="260"/>
      <c r="NOR214" s="308"/>
      <c r="NOS214" s="290"/>
      <c r="NOT214" s="290"/>
      <c r="NOU214" s="260"/>
      <c r="NOV214" s="260"/>
      <c r="NOW214" s="260"/>
      <c r="NOX214" s="260"/>
      <c r="NOY214" s="260"/>
      <c r="NOZ214" s="2"/>
      <c r="NPA214" s="2"/>
      <c r="NPB214" s="2"/>
      <c r="NPC214" s="2"/>
      <c r="NPD214" s="2"/>
      <c r="NPE214" s="2"/>
      <c r="NPF214" s="260"/>
      <c r="NPG214" s="2"/>
      <c r="NPH214" s="2"/>
      <c r="NPI214" s="2"/>
      <c r="NPJ214" s="2"/>
      <c r="NPK214" s="2"/>
      <c r="NPL214" s="2"/>
      <c r="NPM214" s="2"/>
      <c r="NPN214" s="260"/>
      <c r="NPO214" s="260"/>
      <c r="NPP214" s="260"/>
      <c r="NPQ214" s="380"/>
      <c r="NPR214" s="380"/>
      <c r="NPS214" s="380"/>
      <c r="NPT214" s="2"/>
      <c r="NPU214" s="442"/>
      <c r="NPV214" s="442"/>
      <c r="NPW214" s="443"/>
      <c r="NPX214" s="442"/>
      <c r="NPY214" s="442"/>
      <c r="NPZ214" s="2"/>
      <c r="NQA214" s="2"/>
      <c r="NQB214" s="2"/>
      <c r="NQC214" s="2"/>
      <c r="NQD214" s="260"/>
      <c r="NQE214" s="260"/>
      <c r="NQF214" s="260"/>
      <c r="NQG214" s="260"/>
      <c r="NQH214" s="260"/>
      <c r="NQI214" s="260"/>
      <c r="NQJ214" s="308"/>
      <c r="NQK214" s="290"/>
      <c r="NQL214" s="290"/>
      <c r="NQM214" s="260"/>
      <c r="NQN214" s="260"/>
      <c r="NQO214" s="260"/>
      <c r="NQP214" s="260"/>
      <c r="NQQ214" s="260"/>
      <c r="NQR214" s="2"/>
      <c r="NQS214" s="2"/>
      <c r="NQT214" s="2"/>
      <c r="NQU214" s="2"/>
      <c r="NQV214" s="2"/>
      <c r="NQW214" s="2"/>
      <c r="NQX214" s="260"/>
      <c r="NQY214" s="2"/>
      <c r="NQZ214" s="2"/>
      <c r="NRA214" s="2"/>
      <c r="NRB214" s="2"/>
      <c r="NRC214" s="2"/>
      <c r="NRD214" s="2"/>
      <c r="NRE214" s="2"/>
      <c r="NRF214" s="260"/>
      <c r="NRG214" s="260"/>
      <c r="NRH214" s="260"/>
      <c r="NRI214" s="380"/>
      <c r="NRJ214" s="380"/>
      <c r="NRK214" s="380"/>
      <c r="NRL214" s="2"/>
      <c r="NRM214" s="442"/>
      <c r="NRN214" s="442"/>
      <c r="NRO214" s="443"/>
      <c r="NRP214" s="442"/>
      <c r="NRQ214" s="442"/>
      <c r="NRR214" s="2"/>
      <c r="NRS214" s="2"/>
      <c r="NRT214" s="2"/>
      <c r="NRU214" s="2"/>
      <c r="NRV214" s="260"/>
      <c r="NRW214" s="260"/>
      <c r="NRX214" s="260"/>
      <c r="NRY214" s="260"/>
      <c r="NRZ214" s="260"/>
      <c r="NSA214" s="260"/>
      <c r="NSB214" s="308"/>
      <c r="NSC214" s="290"/>
      <c r="NSD214" s="290"/>
      <c r="NSE214" s="260"/>
      <c r="NSF214" s="260"/>
      <c r="NSG214" s="260"/>
      <c r="NSH214" s="260"/>
      <c r="NSI214" s="260"/>
      <c r="NSJ214" s="2"/>
      <c r="NSK214" s="2"/>
      <c r="NSL214" s="2"/>
      <c r="NSM214" s="2"/>
      <c r="NSN214" s="2"/>
      <c r="NSO214" s="2"/>
      <c r="NSP214" s="260"/>
      <c r="NSQ214" s="2"/>
      <c r="NSR214" s="2"/>
      <c r="NSS214" s="2"/>
      <c r="NST214" s="2"/>
      <c r="NSU214" s="2"/>
      <c r="NSV214" s="2"/>
      <c r="NSW214" s="2"/>
      <c r="NSX214" s="260"/>
      <c r="NSY214" s="260"/>
      <c r="NSZ214" s="260"/>
      <c r="NTA214" s="380"/>
      <c r="NTB214" s="380"/>
      <c r="NTC214" s="380"/>
      <c r="NTD214" s="2"/>
      <c r="NTE214" s="442"/>
      <c r="NTF214" s="442"/>
      <c r="NTG214" s="443"/>
      <c r="NTH214" s="442"/>
      <c r="NTI214" s="442"/>
      <c r="NTJ214" s="2"/>
      <c r="NTK214" s="2"/>
      <c r="NTL214" s="2"/>
      <c r="NTM214" s="2"/>
      <c r="NTN214" s="260"/>
      <c r="NTO214" s="260"/>
      <c r="NTP214" s="260"/>
      <c r="NTQ214" s="260"/>
      <c r="NTR214" s="260"/>
      <c r="NTS214" s="260"/>
      <c r="NTT214" s="308"/>
      <c r="NTU214" s="290"/>
      <c r="NTV214" s="290"/>
      <c r="NTW214" s="260"/>
      <c r="NTX214" s="260"/>
      <c r="NTY214" s="260"/>
      <c r="NTZ214" s="260"/>
      <c r="NUA214" s="260"/>
      <c r="NUB214" s="2"/>
      <c r="NUC214" s="2"/>
      <c r="NUD214" s="2"/>
      <c r="NUE214" s="2"/>
      <c r="NUF214" s="2"/>
      <c r="NUG214" s="2"/>
      <c r="NUH214" s="260"/>
      <c r="NUI214" s="2"/>
      <c r="NUJ214" s="2"/>
      <c r="NUK214" s="2"/>
      <c r="NUL214" s="2"/>
      <c r="NUM214" s="2"/>
      <c r="NUN214" s="2"/>
      <c r="NUO214" s="2"/>
      <c r="NUP214" s="260"/>
      <c r="NUQ214" s="260"/>
      <c r="NUR214" s="260"/>
      <c r="NUS214" s="380"/>
      <c r="NUT214" s="380"/>
      <c r="NUU214" s="380"/>
      <c r="NUV214" s="2"/>
      <c r="NUW214" s="442"/>
      <c r="NUX214" s="442"/>
      <c r="NUY214" s="443"/>
      <c r="NUZ214" s="442"/>
      <c r="NVA214" s="442"/>
      <c r="NVB214" s="2"/>
      <c r="NVC214" s="2"/>
      <c r="NVD214" s="2"/>
      <c r="NVE214" s="2"/>
      <c r="NVF214" s="260"/>
      <c r="NVG214" s="260"/>
      <c r="NVH214" s="260"/>
      <c r="NVI214" s="260"/>
      <c r="NVJ214" s="260"/>
      <c r="NVK214" s="260"/>
      <c r="NVL214" s="308"/>
      <c r="NVM214" s="290"/>
      <c r="NVN214" s="290"/>
      <c r="NVO214" s="260"/>
      <c r="NVP214" s="260"/>
      <c r="NVQ214" s="260"/>
      <c r="NVR214" s="260"/>
      <c r="NVS214" s="260"/>
      <c r="NVT214" s="2"/>
      <c r="NVU214" s="2"/>
      <c r="NVV214" s="2"/>
      <c r="NVW214" s="2"/>
      <c r="NVX214" s="2"/>
      <c r="NVY214" s="2"/>
      <c r="NVZ214" s="260"/>
      <c r="NWA214" s="2"/>
      <c r="NWB214" s="2"/>
      <c r="NWC214" s="2"/>
      <c r="NWD214" s="2"/>
      <c r="NWE214" s="2"/>
      <c r="NWF214" s="2"/>
      <c r="NWG214" s="2"/>
      <c r="NWH214" s="260"/>
      <c r="NWI214" s="260"/>
      <c r="NWJ214" s="260"/>
      <c r="NWK214" s="380"/>
      <c r="NWL214" s="380"/>
      <c r="NWM214" s="380"/>
      <c r="NWN214" s="2"/>
      <c r="NWO214" s="442"/>
      <c r="NWP214" s="442"/>
      <c r="NWQ214" s="443"/>
      <c r="NWR214" s="442"/>
      <c r="NWS214" s="442"/>
      <c r="NWT214" s="2"/>
      <c r="NWU214" s="2"/>
      <c r="NWV214" s="2"/>
      <c r="NWW214" s="2"/>
      <c r="NWX214" s="260"/>
      <c r="NWY214" s="260"/>
      <c r="NWZ214" s="260"/>
      <c r="NXA214" s="260"/>
      <c r="NXB214" s="260"/>
      <c r="NXC214" s="260"/>
      <c r="NXD214" s="308"/>
      <c r="NXE214" s="290"/>
      <c r="NXF214" s="290"/>
      <c r="NXG214" s="260"/>
      <c r="NXH214" s="260"/>
      <c r="NXI214" s="260"/>
      <c r="NXJ214" s="260"/>
      <c r="NXK214" s="260"/>
      <c r="NXL214" s="2"/>
      <c r="NXM214" s="2"/>
      <c r="NXN214" s="2"/>
      <c r="NXO214" s="2"/>
      <c r="NXP214" s="2"/>
      <c r="NXQ214" s="2"/>
      <c r="NXR214" s="260"/>
      <c r="NXS214" s="2"/>
      <c r="NXT214" s="2"/>
      <c r="NXU214" s="2"/>
      <c r="NXV214" s="2"/>
      <c r="NXW214" s="2"/>
      <c r="NXX214" s="2"/>
      <c r="NXY214" s="2"/>
      <c r="NXZ214" s="260"/>
      <c r="NYA214" s="260"/>
      <c r="NYB214" s="260"/>
      <c r="NYC214" s="380"/>
      <c r="NYD214" s="380"/>
      <c r="NYE214" s="380"/>
      <c r="NYF214" s="2"/>
      <c r="NYG214" s="442"/>
      <c r="NYH214" s="442"/>
      <c r="NYI214" s="443"/>
      <c r="NYJ214" s="442"/>
      <c r="NYK214" s="442"/>
      <c r="NYL214" s="2"/>
      <c r="NYM214" s="2"/>
      <c r="NYN214" s="2"/>
      <c r="NYO214" s="2"/>
      <c r="NYP214" s="260"/>
      <c r="NYQ214" s="260"/>
      <c r="NYR214" s="260"/>
      <c r="NYS214" s="260"/>
      <c r="NYT214" s="260"/>
      <c r="NYU214" s="260"/>
      <c r="NYV214" s="308"/>
      <c r="NYW214" s="290"/>
      <c r="NYX214" s="290"/>
      <c r="NYY214" s="260"/>
      <c r="NYZ214" s="260"/>
      <c r="NZA214" s="260"/>
      <c r="NZB214" s="260"/>
      <c r="NZC214" s="260"/>
      <c r="NZD214" s="2"/>
      <c r="NZE214" s="2"/>
      <c r="NZF214" s="2"/>
      <c r="NZG214" s="2"/>
      <c r="NZH214" s="2"/>
      <c r="NZI214" s="2"/>
      <c r="NZJ214" s="260"/>
      <c r="NZK214" s="2"/>
      <c r="NZL214" s="2"/>
      <c r="NZM214" s="2"/>
      <c r="NZN214" s="2"/>
      <c r="NZO214" s="2"/>
      <c r="NZP214" s="2"/>
      <c r="NZQ214" s="2"/>
      <c r="NZR214" s="260"/>
      <c r="NZS214" s="260"/>
      <c r="NZT214" s="260"/>
      <c r="NZU214" s="380"/>
      <c r="NZV214" s="380"/>
      <c r="NZW214" s="380"/>
      <c r="NZX214" s="2"/>
      <c r="NZY214" s="442"/>
      <c r="NZZ214" s="442"/>
      <c r="OAA214" s="443"/>
      <c r="OAB214" s="442"/>
      <c r="OAC214" s="442"/>
      <c r="OAD214" s="2"/>
      <c r="OAE214" s="2"/>
      <c r="OAF214" s="2"/>
      <c r="OAG214" s="2"/>
      <c r="OAH214" s="260"/>
      <c r="OAI214" s="260"/>
      <c r="OAJ214" s="260"/>
      <c r="OAK214" s="260"/>
      <c r="OAL214" s="260"/>
      <c r="OAM214" s="260"/>
      <c r="OAN214" s="308"/>
      <c r="OAO214" s="290"/>
      <c r="OAP214" s="290"/>
      <c r="OAQ214" s="260"/>
      <c r="OAR214" s="260"/>
      <c r="OAS214" s="260"/>
      <c r="OAT214" s="260"/>
      <c r="OAU214" s="260"/>
      <c r="OAV214" s="2"/>
      <c r="OAW214" s="2"/>
      <c r="OAX214" s="2"/>
      <c r="OAY214" s="2"/>
      <c r="OAZ214" s="2"/>
      <c r="OBA214" s="2"/>
      <c r="OBB214" s="260"/>
      <c r="OBC214" s="2"/>
      <c r="OBD214" s="2"/>
      <c r="OBE214" s="2"/>
      <c r="OBF214" s="2"/>
      <c r="OBG214" s="2"/>
      <c r="OBH214" s="2"/>
      <c r="OBI214" s="2"/>
      <c r="OBJ214" s="260"/>
      <c r="OBK214" s="260"/>
      <c r="OBL214" s="260"/>
      <c r="OBM214" s="380"/>
      <c r="OBN214" s="380"/>
      <c r="OBO214" s="380"/>
      <c r="OBP214" s="2"/>
      <c r="OBQ214" s="442"/>
      <c r="OBR214" s="442"/>
      <c r="OBS214" s="443"/>
      <c r="OBT214" s="442"/>
      <c r="OBU214" s="442"/>
      <c r="OBV214" s="2"/>
      <c r="OBW214" s="2"/>
      <c r="OBX214" s="2"/>
      <c r="OBY214" s="2"/>
      <c r="OBZ214" s="260"/>
      <c r="OCA214" s="260"/>
      <c r="OCB214" s="260"/>
      <c r="OCC214" s="260"/>
      <c r="OCD214" s="260"/>
      <c r="OCE214" s="260"/>
      <c r="OCF214" s="308"/>
      <c r="OCG214" s="290"/>
      <c r="OCH214" s="290"/>
      <c r="OCI214" s="260"/>
      <c r="OCJ214" s="260"/>
      <c r="OCK214" s="260"/>
      <c r="OCL214" s="260"/>
      <c r="OCM214" s="260"/>
      <c r="OCN214" s="2"/>
      <c r="OCO214" s="2"/>
      <c r="OCP214" s="2"/>
      <c r="OCQ214" s="2"/>
      <c r="OCR214" s="2"/>
      <c r="OCS214" s="2"/>
      <c r="OCT214" s="260"/>
      <c r="OCU214" s="2"/>
      <c r="OCV214" s="2"/>
      <c r="OCW214" s="2"/>
      <c r="OCX214" s="2"/>
      <c r="OCY214" s="2"/>
      <c r="OCZ214" s="2"/>
      <c r="ODA214" s="2"/>
      <c r="ODB214" s="260"/>
      <c r="ODC214" s="260"/>
      <c r="ODD214" s="260"/>
      <c r="ODE214" s="380"/>
      <c r="ODF214" s="380"/>
      <c r="ODG214" s="380"/>
      <c r="ODH214" s="2"/>
      <c r="ODI214" s="442"/>
      <c r="ODJ214" s="442"/>
      <c r="ODK214" s="443"/>
      <c r="ODL214" s="442"/>
      <c r="ODM214" s="442"/>
      <c r="ODN214" s="2"/>
      <c r="ODO214" s="2"/>
      <c r="ODP214" s="2"/>
      <c r="ODQ214" s="2"/>
      <c r="ODR214" s="260"/>
      <c r="ODS214" s="260"/>
      <c r="ODT214" s="260"/>
      <c r="ODU214" s="260"/>
      <c r="ODV214" s="260"/>
      <c r="ODW214" s="260"/>
      <c r="ODX214" s="308"/>
      <c r="ODY214" s="290"/>
      <c r="ODZ214" s="290"/>
      <c r="OEA214" s="260"/>
      <c r="OEB214" s="260"/>
      <c r="OEC214" s="260"/>
      <c r="OED214" s="260"/>
      <c r="OEE214" s="260"/>
      <c r="OEF214" s="2"/>
      <c r="OEG214" s="2"/>
      <c r="OEH214" s="2"/>
      <c r="OEI214" s="2"/>
      <c r="OEJ214" s="2"/>
      <c r="OEK214" s="2"/>
      <c r="OEL214" s="260"/>
      <c r="OEM214" s="2"/>
      <c r="OEN214" s="2"/>
      <c r="OEO214" s="2"/>
      <c r="OEP214" s="2"/>
      <c r="OEQ214" s="2"/>
      <c r="OER214" s="2"/>
      <c r="OES214" s="2"/>
      <c r="OET214" s="260"/>
      <c r="OEU214" s="260"/>
      <c r="OEV214" s="260"/>
      <c r="OEW214" s="380"/>
      <c r="OEX214" s="380"/>
      <c r="OEY214" s="380"/>
      <c r="OEZ214" s="2"/>
      <c r="OFA214" s="442"/>
      <c r="OFB214" s="442"/>
      <c r="OFC214" s="443"/>
      <c r="OFD214" s="442"/>
      <c r="OFE214" s="442"/>
      <c r="OFF214" s="2"/>
      <c r="OFG214" s="2"/>
      <c r="OFH214" s="2"/>
      <c r="OFI214" s="2"/>
      <c r="OFJ214" s="260"/>
      <c r="OFK214" s="260"/>
      <c r="OFL214" s="260"/>
      <c r="OFM214" s="260"/>
      <c r="OFN214" s="260"/>
      <c r="OFO214" s="260"/>
      <c r="OFP214" s="308"/>
      <c r="OFQ214" s="290"/>
      <c r="OFR214" s="290"/>
      <c r="OFS214" s="260"/>
      <c r="OFT214" s="260"/>
      <c r="OFU214" s="260"/>
      <c r="OFV214" s="260"/>
      <c r="OFW214" s="260"/>
      <c r="OFX214" s="2"/>
      <c r="OFY214" s="2"/>
      <c r="OFZ214" s="2"/>
      <c r="OGA214" s="2"/>
      <c r="OGB214" s="2"/>
      <c r="OGC214" s="2"/>
      <c r="OGD214" s="260"/>
      <c r="OGE214" s="2"/>
      <c r="OGF214" s="2"/>
      <c r="OGG214" s="2"/>
      <c r="OGH214" s="2"/>
      <c r="OGI214" s="2"/>
      <c r="OGJ214" s="2"/>
      <c r="OGK214" s="2"/>
      <c r="OGL214" s="260"/>
      <c r="OGM214" s="260"/>
      <c r="OGN214" s="260"/>
      <c r="OGO214" s="380"/>
      <c r="OGP214" s="380"/>
      <c r="OGQ214" s="380"/>
      <c r="OGR214" s="2"/>
      <c r="OGS214" s="442"/>
      <c r="OGT214" s="442"/>
      <c r="OGU214" s="443"/>
      <c r="OGV214" s="442"/>
      <c r="OGW214" s="442"/>
      <c r="OGX214" s="2"/>
      <c r="OGY214" s="2"/>
      <c r="OGZ214" s="2"/>
      <c r="OHA214" s="2"/>
      <c r="OHB214" s="260"/>
      <c r="OHC214" s="260"/>
      <c r="OHD214" s="260"/>
      <c r="OHE214" s="260"/>
      <c r="OHF214" s="260"/>
      <c r="OHG214" s="260"/>
      <c r="OHH214" s="308"/>
      <c r="OHI214" s="290"/>
      <c r="OHJ214" s="290"/>
      <c r="OHK214" s="260"/>
      <c r="OHL214" s="260"/>
      <c r="OHM214" s="260"/>
      <c r="OHN214" s="260"/>
      <c r="OHO214" s="260"/>
      <c r="OHP214" s="2"/>
      <c r="OHQ214" s="2"/>
      <c r="OHR214" s="2"/>
      <c r="OHS214" s="2"/>
      <c r="OHT214" s="2"/>
      <c r="OHU214" s="2"/>
      <c r="OHV214" s="260"/>
      <c r="OHW214" s="2"/>
      <c r="OHX214" s="2"/>
      <c r="OHY214" s="2"/>
      <c r="OHZ214" s="2"/>
      <c r="OIA214" s="2"/>
      <c r="OIB214" s="2"/>
      <c r="OIC214" s="2"/>
      <c r="OID214" s="260"/>
      <c r="OIE214" s="260"/>
      <c r="OIF214" s="260"/>
      <c r="OIG214" s="380"/>
      <c r="OIH214" s="380"/>
      <c r="OII214" s="380"/>
      <c r="OIJ214" s="2"/>
      <c r="OIK214" s="442"/>
      <c r="OIL214" s="442"/>
      <c r="OIM214" s="443"/>
      <c r="OIN214" s="442"/>
      <c r="OIO214" s="442"/>
      <c r="OIP214" s="2"/>
      <c r="OIQ214" s="2"/>
      <c r="OIR214" s="2"/>
      <c r="OIS214" s="2"/>
      <c r="OIT214" s="260"/>
      <c r="OIU214" s="260"/>
      <c r="OIV214" s="260"/>
      <c r="OIW214" s="260"/>
      <c r="OIX214" s="260"/>
      <c r="OIY214" s="260"/>
      <c r="OIZ214" s="308"/>
      <c r="OJA214" s="290"/>
      <c r="OJB214" s="290"/>
      <c r="OJC214" s="260"/>
      <c r="OJD214" s="260"/>
      <c r="OJE214" s="260"/>
      <c r="OJF214" s="260"/>
      <c r="OJG214" s="260"/>
      <c r="OJH214" s="2"/>
      <c r="OJI214" s="2"/>
      <c r="OJJ214" s="2"/>
      <c r="OJK214" s="2"/>
      <c r="OJL214" s="2"/>
      <c r="OJM214" s="2"/>
      <c r="OJN214" s="260"/>
      <c r="OJO214" s="2"/>
      <c r="OJP214" s="2"/>
      <c r="OJQ214" s="2"/>
      <c r="OJR214" s="2"/>
      <c r="OJS214" s="2"/>
      <c r="OJT214" s="2"/>
      <c r="OJU214" s="2"/>
      <c r="OJV214" s="260"/>
      <c r="OJW214" s="260"/>
      <c r="OJX214" s="260"/>
      <c r="OJY214" s="380"/>
      <c r="OJZ214" s="380"/>
      <c r="OKA214" s="380"/>
      <c r="OKB214" s="2"/>
      <c r="OKC214" s="442"/>
      <c r="OKD214" s="442"/>
      <c r="OKE214" s="443"/>
      <c r="OKF214" s="442"/>
      <c r="OKG214" s="442"/>
      <c r="OKH214" s="2"/>
      <c r="OKI214" s="2"/>
      <c r="OKJ214" s="2"/>
      <c r="OKK214" s="2"/>
      <c r="OKL214" s="260"/>
      <c r="OKM214" s="260"/>
      <c r="OKN214" s="260"/>
      <c r="OKO214" s="260"/>
      <c r="OKP214" s="260"/>
      <c r="OKQ214" s="260"/>
      <c r="OKR214" s="308"/>
      <c r="OKS214" s="290"/>
      <c r="OKT214" s="290"/>
      <c r="OKU214" s="260"/>
      <c r="OKV214" s="260"/>
      <c r="OKW214" s="260"/>
      <c r="OKX214" s="260"/>
      <c r="OKY214" s="260"/>
      <c r="OKZ214" s="2"/>
      <c r="OLA214" s="2"/>
      <c r="OLB214" s="2"/>
      <c r="OLC214" s="2"/>
      <c r="OLD214" s="2"/>
      <c r="OLE214" s="2"/>
      <c r="OLF214" s="260"/>
      <c r="OLG214" s="2"/>
      <c r="OLH214" s="2"/>
      <c r="OLI214" s="2"/>
      <c r="OLJ214" s="2"/>
      <c r="OLK214" s="2"/>
      <c r="OLL214" s="2"/>
      <c r="OLM214" s="2"/>
      <c r="OLN214" s="260"/>
      <c r="OLO214" s="260"/>
      <c r="OLP214" s="260"/>
      <c r="OLQ214" s="380"/>
      <c r="OLR214" s="380"/>
      <c r="OLS214" s="380"/>
      <c r="OLT214" s="2"/>
      <c r="OLU214" s="442"/>
      <c r="OLV214" s="442"/>
      <c r="OLW214" s="443"/>
      <c r="OLX214" s="442"/>
      <c r="OLY214" s="442"/>
      <c r="OLZ214" s="2"/>
      <c r="OMA214" s="2"/>
      <c r="OMB214" s="2"/>
      <c r="OMC214" s="2"/>
      <c r="OMD214" s="260"/>
      <c r="OME214" s="260"/>
      <c r="OMF214" s="260"/>
      <c r="OMG214" s="260"/>
      <c r="OMH214" s="260"/>
      <c r="OMI214" s="260"/>
      <c r="OMJ214" s="308"/>
      <c r="OMK214" s="290"/>
      <c r="OML214" s="290"/>
      <c r="OMM214" s="260"/>
      <c r="OMN214" s="260"/>
      <c r="OMO214" s="260"/>
      <c r="OMP214" s="260"/>
      <c r="OMQ214" s="260"/>
      <c r="OMR214" s="2"/>
      <c r="OMS214" s="2"/>
      <c r="OMT214" s="2"/>
      <c r="OMU214" s="2"/>
      <c r="OMV214" s="2"/>
      <c r="OMW214" s="2"/>
      <c r="OMX214" s="260"/>
      <c r="OMY214" s="2"/>
      <c r="OMZ214" s="2"/>
      <c r="ONA214" s="2"/>
      <c r="ONB214" s="2"/>
      <c r="ONC214" s="2"/>
      <c r="OND214" s="2"/>
      <c r="ONE214" s="2"/>
      <c r="ONF214" s="260"/>
      <c r="ONG214" s="260"/>
      <c r="ONH214" s="260"/>
      <c r="ONI214" s="380"/>
      <c r="ONJ214" s="380"/>
      <c r="ONK214" s="380"/>
      <c r="ONL214" s="2"/>
      <c r="ONM214" s="442"/>
      <c r="ONN214" s="442"/>
      <c r="ONO214" s="443"/>
      <c r="ONP214" s="442"/>
      <c r="ONQ214" s="442"/>
      <c r="ONR214" s="2"/>
      <c r="ONS214" s="2"/>
      <c r="ONT214" s="2"/>
      <c r="ONU214" s="2"/>
      <c r="ONV214" s="260"/>
      <c r="ONW214" s="260"/>
      <c r="ONX214" s="260"/>
      <c r="ONY214" s="260"/>
      <c r="ONZ214" s="260"/>
      <c r="OOA214" s="260"/>
      <c r="OOB214" s="308"/>
      <c r="OOC214" s="290"/>
      <c r="OOD214" s="290"/>
      <c r="OOE214" s="260"/>
      <c r="OOF214" s="260"/>
      <c r="OOG214" s="260"/>
      <c r="OOH214" s="260"/>
      <c r="OOI214" s="260"/>
      <c r="OOJ214" s="2"/>
      <c r="OOK214" s="2"/>
      <c r="OOL214" s="2"/>
      <c r="OOM214" s="2"/>
      <c r="OON214" s="2"/>
      <c r="OOO214" s="2"/>
      <c r="OOP214" s="260"/>
      <c r="OOQ214" s="2"/>
      <c r="OOR214" s="2"/>
      <c r="OOS214" s="2"/>
      <c r="OOT214" s="2"/>
      <c r="OOU214" s="2"/>
      <c r="OOV214" s="2"/>
      <c r="OOW214" s="2"/>
      <c r="OOX214" s="260"/>
      <c r="OOY214" s="260"/>
      <c r="OOZ214" s="260"/>
      <c r="OPA214" s="380"/>
      <c r="OPB214" s="380"/>
      <c r="OPC214" s="380"/>
      <c r="OPD214" s="2"/>
      <c r="OPE214" s="442"/>
      <c r="OPF214" s="442"/>
      <c r="OPG214" s="443"/>
      <c r="OPH214" s="442"/>
      <c r="OPI214" s="442"/>
      <c r="OPJ214" s="2"/>
      <c r="OPK214" s="2"/>
      <c r="OPL214" s="2"/>
      <c r="OPM214" s="2"/>
      <c r="OPN214" s="260"/>
      <c r="OPO214" s="260"/>
      <c r="OPP214" s="260"/>
      <c r="OPQ214" s="260"/>
      <c r="OPR214" s="260"/>
      <c r="OPS214" s="260"/>
      <c r="OPT214" s="308"/>
      <c r="OPU214" s="290"/>
      <c r="OPV214" s="290"/>
      <c r="OPW214" s="260"/>
      <c r="OPX214" s="260"/>
      <c r="OPY214" s="260"/>
      <c r="OPZ214" s="260"/>
      <c r="OQA214" s="260"/>
      <c r="OQB214" s="2"/>
      <c r="OQC214" s="2"/>
      <c r="OQD214" s="2"/>
      <c r="OQE214" s="2"/>
      <c r="OQF214" s="2"/>
      <c r="OQG214" s="2"/>
      <c r="OQH214" s="260"/>
      <c r="OQI214" s="2"/>
      <c r="OQJ214" s="2"/>
      <c r="OQK214" s="2"/>
      <c r="OQL214" s="2"/>
      <c r="OQM214" s="2"/>
      <c r="OQN214" s="2"/>
      <c r="OQO214" s="2"/>
      <c r="OQP214" s="260"/>
      <c r="OQQ214" s="260"/>
      <c r="OQR214" s="260"/>
      <c r="OQS214" s="380"/>
      <c r="OQT214" s="380"/>
      <c r="OQU214" s="380"/>
      <c r="OQV214" s="2"/>
      <c r="OQW214" s="442"/>
      <c r="OQX214" s="442"/>
      <c r="OQY214" s="443"/>
      <c r="OQZ214" s="442"/>
      <c r="ORA214" s="442"/>
      <c r="ORB214" s="2"/>
      <c r="ORC214" s="2"/>
      <c r="ORD214" s="2"/>
      <c r="ORE214" s="2"/>
      <c r="ORF214" s="260"/>
      <c r="ORG214" s="260"/>
      <c r="ORH214" s="260"/>
      <c r="ORI214" s="260"/>
      <c r="ORJ214" s="260"/>
      <c r="ORK214" s="260"/>
      <c r="ORL214" s="308"/>
      <c r="ORM214" s="290"/>
      <c r="ORN214" s="290"/>
      <c r="ORO214" s="260"/>
      <c r="ORP214" s="260"/>
      <c r="ORQ214" s="260"/>
      <c r="ORR214" s="260"/>
      <c r="ORS214" s="260"/>
      <c r="ORT214" s="2"/>
      <c r="ORU214" s="2"/>
      <c r="ORV214" s="2"/>
      <c r="ORW214" s="2"/>
      <c r="ORX214" s="2"/>
      <c r="ORY214" s="2"/>
      <c r="ORZ214" s="260"/>
      <c r="OSA214" s="2"/>
      <c r="OSB214" s="2"/>
      <c r="OSC214" s="2"/>
      <c r="OSD214" s="2"/>
      <c r="OSE214" s="2"/>
      <c r="OSF214" s="2"/>
      <c r="OSG214" s="2"/>
      <c r="OSH214" s="260"/>
      <c r="OSI214" s="260"/>
      <c r="OSJ214" s="260"/>
      <c r="OSK214" s="380"/>
      <c r="OSL214" s="380"/>
      <c r="OSM214" s="380"/>
      <c r="OSN214" s="2"/>
      <c r="OSO214" s="442"/>
      <c r="OSP214" s="442"/>
      <c r="OSQ214" s="443"/>
      <c r="OSR214" s="442"/>
      <c r="OSS214" s="442"/>
      <c r="OST214" s="2"/>
      <c r="OSU214" s="2"/>
      <c r="OSV214" s="2"/>
      <c r="OSW214" s="2"/>
      <c r="OSX214" s="260"/>
      <c r="OSY214" s="260"/>
      <c r="OSZ214" s="260"/>
      <c r="OTA214" s="260"/>
      <c r="OTB214" s="260"/>
      <c r="OTC214" s="260"/>
      <c r="OTD214" s="308"/>
      <c r="OTE214" s="290"/>
      <c r="OTF214" s="290"/>
      <c r="OTG214" s="260"/>
      <c r="OTH214" s="260"/>
      <c r="OTI214" s="260"/>
      <c r="OTJ214" s="260"/>
      <c r="OTK214" s="260"/>
      <c r="OTL214" s="2"/>
      <c r="OTM214" s="2"/>
      <c r="OTN214" s="2"/>
      <c r="OTO214" s="2"/>
      <c r="OTP214" s="2"/>
      <c r="OTQ214" s="2"/>
      <c r="OTR214" s="260"/>
      <c r="OTS214" s="2"/>
      <c r="OTT214" s="2"/>
      <c r="OTU214" s="2"/>
      <c r="OTV214" s="2"/>
      <c r="OTW214" s="2"/>
      <c r="OTX214" s="2"/>
      <c r="OTY214" s="2"/>
      <c r="OTZ214" s="260"/>
      <c r="OUA214" s="260"/>
      <c r="OUB214" s="260"/>
      <c r="OUC214" s="380"/>
      <c r="OUD214" s="380"/>
      <c r="OUE214" s="380"/>
      <c r="OUF214" s="2"/>
      <c r="OUG214" s="442"/>
      <c r="OUH214" s="442"/>
      <c r="OUI214" s="443"/>
      <c r="OUJ214" s="442"/>
      <c r="OUK214" s="442"/>
      <c r="OUL214" s="2"/>
      <c r="OUM214" s="2"/>
      <c r="OUN214" s="2"/>
      <c r="OUO214" s="2"/>
      <c r="OUP214" s="260"/>
      <c r="OUQ214" s="260"/>
      <c r="OUR214" s="260"/>
      <c r="OUS214" s="260"/>
      <c r="OUT214" s="260"/>
      <c r="OUU214" s="260"/>
      <c r="OUV214" s="308"/>
      <c r="OUW214" s="290"/>
      <c r="OUX214" s="290"/>
      <c r="OUY214" s="260"/>
      <c r="OUZ214" s="260"/>
      <c r="OVA214" s="260"/>
      <c r="OVB214" s="260"/>
      <c r="OVC214" s="260"/>
      <c r="OVD214" s="2"/>
      <c r="OVE214" s="2"/>
      <c r="OVF214" s="2"/>
      <c r="OVG214" s="2"/>
      <c r="OVH214" s="2"/>
      <c r="OVI214" s="2"/>
      <c r="OVJ214" s="260"/>
      <c r="OVK214" s="2"/>
      <c r="OVL214" s="2"/>
      <c r="OVM214" s="2"/>
      <c r="OVN214" s="2"/>
      <c r="OVO214" s="2"/>
      <c r="OVP214" s="2"/>
      <c r="OVQ214" s="2"/>
      <c r="OVR214" s="260"/>
      <c r="OVS214" s="260"/>
      <c r="OVT214" s="260"/>
      <c r="OVU214" s="380"/>
      <c r="OVV214" s="380"/>
      <c r="OVW214" s="380"/>
      <c r="OVX214" s="2"/>
      <c r="OVY214" s="442"/>
      <c r="OVZ214" s="442"/>
      <c r="OWA214" s="443"/>
      <c r="OWB214" s="442"/>
      <c r="OWC214" s="442"/>
      <c r="OWD214" s="2"/>
      <c r="OWE214" s="2"/>
      <c r="OWF214" s="2"/>
      <c r="OWG214" s="2"/>
      <c r="OWH214" s="260"/>
      <c r="OWI214" s="260"/>
      <c r="OWJ214" s="260"/>
      <c r="OWK214" s="260"/>
      <c r="OWL214" s="260"/>
      <c r="OWM214" s="260"/>
      <c r="OWN214" s="308"/>
      <c r="OWO214" s="290"/>
      <c r="OWP214" s="290"/>
      <c r="OWQ214" s="260"/>
      <c r="OWR214" s="260"/>
      <c r="OWS214" s="260"/>
      <c r="OWT214" s="260"/>
      <c r="OWU214" s="260"/>
      <c r="OWV214" s="2"/>
      <c r="OWW214" s="2"/>
      <c r="OWX214" s="2"/>
      <c r="OWY214" s="2"/>
      <c r="OWZ214" s="2"/>
      <c r="OXA214" s="2"/>
      <c r="OXB214" s="260"/>
      <c r="OXC214" s="2"/>
      <c r="OXD214" s="2"/>
      <c r="OXE214" s="2"/>
      <c r="OXF214" s="2"/>
      <c r="OXG214" s="2"/>
      <c r="OXH214" s="2"/>
      <c r="OXI214" s="2"/>
      <c r="OXJ214" s="260"/>
      <c r="OXK214" s="260"/>
      <c r="OXL214" s="260"/>
      <c r="OXM214" s="380"/>
      <c r="OXN214" s="380"/>
      <c r="OXO214" s="380"/>
      <c r="OXP214" s="2"/>
      <c r="OXQ214" s="442"/>
      <c r="OXR214" s="442"/>
      <c r="OXS214" s="443"/>
      <c r="OXT214" s="442"/>
      <c r="OXU214" s="442"/>
      <c r="OXV214" s="2"/>
      <c r="OXW214" s="2"/>
      <c r="OXX214" s="2"/>
      <c r="OXY214" s="2"/>
      <c r="OXZ214" s="260"/>
      <c r="OYA214" s="260"/>
      <c r="OYB214" s="260"/>
      <c r="OYC214" s="260"/>
      <c r="OYD214" s="260"/>
      <c r="OYE214" s="260"/>
      <c r="OYF214" s="308"/>
      <c r="OYG214" s="290"/>
      <c r="OYH214" s="290"/>
      <c r="OYI214" s="260"/>
      <c r="OYJ214" s="260"/>
      <c r="OYK214" s="260"/>
      <c r="OYL214" s="260"/>
      <c r="OYM214" s="260"/>
      <c r="OYN214" s="2"/>
      <c r="OYO214" s="2"/>
      <c r="OYP214" s="2"/>
      <c r="OYQ214" s="2"/>
      <c r="OYR214" s="2"/>
      <c r="OYS214" s="2"/>
      <c r="OYT214" s="260"/>
      <c r="OYU214" s="2"/>
      <c r="OYV214" s="2"/>
      <c r="OYW214" s="2"/>
      <c r="OYX214" s="2"/>
      <c r="OYY214" s="2"/>
      <c r="OYZ214" s="2"/>
      <c r="OZA214" s="2"/>
      <c r="OZB214" s="260"/>
      <c r="OZC214" s="260"/>
      <c r="OZD214" s="260"/>
      <c r="OZE214" s="380"/>
      <c r="OZF214" s="380"/>
      <c r="OZG214" s="380"/>
      <c r="OZH214" s="2"/>
      <c r="OZI214" s="442"/>
      <c r="OZJ214" s="442"/>
      <c r="OZK214" s="443"/>
      <c r="OZL214" s="442"/>
      <c r="OZM214" s="442"/>
      <c r="OZN214" s="2"/>
      <c r="OZO214" s="2"/>
      <c r="OZP214" s="2"/>
      <c r="OZQ214" s="2"/>
      <c r="OZR214" s="260"/>
      <c r="OZS214" s="260"/>
      <c r="OZT214" s="260"/>
      <c r="OZU214" s="260"/>
      <c r="OZV214" s="260"/>
      <c r="OZW214" s="260"/>
      <c r="OZX214" s="308"/>
      <c r="OZY214" s="290"/>
      <c r="OZZ214" s="290"/>
      <c r="PAA214" s="260"/>
      <c r="PAB214" s="260"/>
      <c r="PAC214" s="260"/>
      <c r="PAD214" s="260"/>
      <c r="PAE214" s="260"/>
      <c r="PAF214" s="2"/>
      <c r="PAG214" s="2"/>
      <c r="PAH214" s="2"/>
      <c r="PAI214" s="2"/>
      <c r="PAJ214" s="2"/>
      <c r="PAK214" s="2"/>
      <c r="PAL214" s="260"/>
      <c r="PAM214" s="2"/>
      <c r="PAN214" s="2"/>
      <c r="PAO214" s="2"/>
      <c r="PAP214" s="2"/>
      <c r="PAQ214" s="2"/>
      <c r="PAR214" s="2"/>
      <c r="PAS214" s="2"/>
      <c r="PAT214" s="260"/>
      <c r="PAU214" s="260"/>
      <c r="PAV214" s="260"/>
      <c r="PAW214" s="380"/>
      <c r="PAX214" s="380"/>
      <c r="PAY214" s="380"/>
      <c r="PAZ214" s="2"/>
      <c r="PBA214" s="442"/>
      <c r="PBB214" s="442"/>
      <c r="PBC214" s="443"/>
      <c r="PBD214" s="442"/>
      <c r="PBE214" s="442"/>
      <c r="PBF214" s="2"/>
      <c r="PBG214" s="2"/>
      <c r="PBH214" s="2"/>
      <c r="PBI214" s="2"/>
      <c r="PBJ214" s="260"/>
      <c r="PBK214" s="260"/>
      <c r="PBL214" s="260"/>
      <c r="PBM214" s="260"/>
      <c r="PBN214" s="260"/>
      <c r="PBO214" s="260"/>
      <c r="PBP214" s="308"/>
      <c r="PBQ214" s="290"/>
      <c r="PBR214" s="290"/>
      <c r="PBS214" s="260"/>
      <c r="PBT214" s="260"/>
      <c r="PBU214" s="260"/>
      <c r="PBV214" s="260"/>
      <c r="PBW214" s="260"/>
      <c r="PBX214" s="2"/>
      <c r="PBY214" s="2"/>
      <c r="PBZ214" s="2"/>
      <c r="PCA214" s="2"/>
      <c r="PCB214" s="2"/>
      <c r="PCC214" s="2"/>
      <c r="PCD214" s="260"/>
      <c r="PCE214" s="2"/>
      <c r="PCF214" s="2"/>
      <c r="PCG214" s="2"/>
      <c r="PCH214" s="2"/>
      <c r="PCI214" s="2"/>
      <c r="PCJ214" s="2"/>
      <c r="PCK214" s="2"/>
      <c r="PCL214" s="260"/>
      <c r="PCM214" s="260"/>
      <c r="PCN214" s="260"/>
      <c r="PCO214" s="380"/>
      <c r="PCP214" s="380"/>
      <c r="PCQ214" s="380"/>
      <c r="PCR214" s="2"/>
      <c r="PCS214" s="442"/>
      <c r="PCT214" s="442"/>
      <c r="PCU214" s="443"/>
      <c r="PCV214" s="442"/>
      <c r="PCW214" s="442"/>
      <c r="PCX214" s="2"/>
      <c r="PCY214" s="2"/>
      <c r="PCZ214" s="2"/>
      <c r="PDA214" s="2"/>
      <c r="PDB214" s="260"/>
      <c r="PDC214" s="260"/>
      <c r="PDD214" s="260"/>
      <c r="PDE214" s="260"/>
      <c r="PDF214" s="260"/>
      <c r="PDG214" s="260"/>
      <c r="PDH214" s="308"/>
      <c r="PDI214" s="290"/>
      <c r="PDJ214" s="290"/>
      <c r="PDK214" s="260"/>
      <c r="PDL214" s="260"/>
      <c r="PDM214" s="260"/>
      <c r="PDN214" s="260"/>
      <c r="PDO214" s="260"/>
      <c r="PDP214" s="2"/>
      <c r="PDQ214" s="2"/>
      <c r="PDR214" s="2"/>
      <c r="PDS214" s="2"/>
      <c r="PDT214" s="2"/>
      <c r="PDU214" s="2"/>
      <c r="PDV214" s="260"/>
      <c r="PDW214" s="2"/>
      <c r="PDX214" s="2"/>
      <c r="PDY214" s="2"/>
      <c r="PDZ214" s="2"/>
      <c r="PEA214" s="2"/>
      <c r="PEB214" s="2"/>
      <c r="PEC214" s="2"/>
      <c r="PED214" s="260"/>
      <c r="PEE214" s="260"/>
      <c r="PEF214" s="260"/>
      <c r="PEG214" s="380"/>
      <c r="PEH214" s="380"/>
      <c r="PEI214" s="380"/>
      <c r="PEJ214" s="2"/>
      <c r="PEK214" s="442"/>
      <c r="PEL214" s="442"/>
      <c r="PEM214" s="443"/>
      <c r="PEN214" s="442"/>
      <c r="PEO214" s="442"/>
      <c r="PEP214" s="2"/>
      <c r="PEQ214" s="2"/>
      <c r="PER214" s="2"/>
      <c r="PES214" s="2"/>
      <c r="PET214" s="260"/>
      <c r="PEU214" s="260"/>
      <c r="PEV214" s="260"/>
      <c r="PEW214" s="260"/>
      <c r="PEX214" s="260"/>
      <c r="PEY214" s="260"/>
      <c r="PEZ214" s="308"/>
      <c r="PFA214" s="290"/>
      <c r="PFB214" s="290"/>
      <c r="PFC214" s="260"/>
      <c r="PFD214" s="260"/>
      <c r="PFE214" s="260"/>
      <c r="PFF214" s="260"/>
      <c r="PFG214" s="260"/>
      <c r="PFH214" s="2"/>
      <c r="PFI214" s="2"/>
      <c r="PFJ214" s="2"/>
      <c r="PFK214" s="2"/>
      <c r="PFL214" s="2"/>
      <c r="PFM214" s="2"/>
      <c r="PFN214" s="260"/>
      <c r="PFO214" s="2"/>
      <c r="PFP214" s="2"/>
      <c r="PFQ214" s="2"/>
      <c r="PFR214" s="2"/>
      <c r="PFS214" s="2"/>
      <c r="PFT214" s="2"/>
      <c r="PFU214" s="2"/>
      <c r="PFV214" s="260"/>
      <c r="PFW214" s="260"/>
      <c r="PFX214" s="260"/>
      <c r="PFY214" s="380"/>
      <c r="PFZ214" s="380"/>
      <c r="PGA214" s="380"/>
      <c r="PGB214" s="2"/>
      <c r="PGC214" s="442"/>
      <c r="PGD214" s="442"/>
      <c r="PGE214" s="443"/>
      <c r="PGF214" s="442"/>
      <c r="PGG214" s="442"/>
      <c r="PGH214" s="2"/>
      <c r="PGI214" s="2"/>
      <c r="PGJ214" s="2"/>
      <c r="PGK214" s="2"/>
      <c r="PGL214" s="260"/>
      <c r="PGM214" s="260"/>
      <c r="PGN214" s="260"/>
      <c r="PGO214" s="260"/>
      <c r="PGP214" s="260"/>
      <c r="PGQ214" s="260"/>
      <c r="PGR214" s="308"/>
      <c r="PGS214" s="290"/>
      <c r="PGT214" s="290"/>
      <c r="PGU214" s="260"/>
      <c r="PGV214" s="260"/>
      <c r="PGW214" s="260"/>
      <c r="PGX214" s="260"/>
      <c r="PGY214" s="260"/>
      <c r="PGZ214" s="2"/>
      <c r="PHA214" s="2"/>
      <c r="PHB214" s="2"/>
      <c r="PHC214" s="2"/>
      <c r="PHD214" s="2"/>
      <c r="PHE214" s="2"/>
      <c r="PHF214" s="260"/>
      <c r="PHG214" s="2"/>
      <c r="PHH214" s="2"/>
      <c r="PHI214" s="2"/>
      <c r="PHJ214" s="2"/>
      <c r="PHK214" s="2"/>
      <c r="PHL214" s="2"/>
      <c r="PHM214" s="2"/>
      <c r="PHN214" s="260"/>
      <c r="PHO214" s="260"/>
      <c r="PHP214" s="260"/>
      <c r="PHQ214" s="380"/>
      <c r="PHR214" s="380"/>
      <c r="PHS214" s="380"/>
      <c r="PHT214" s="2"/>
      <c r="PHU214" s="442"/>
      <c r="PHV214" s="442"/>
      <c r="PHW214" s="443"/>
      <c r="PHX214" s="442"/>
      <c r="PHY214" s="442"/>
      <c r="PHZ214" s="2"/>
      <c r="PIA214" s="2"/>
      <c r="PIB214" s="2"/>
      <c r="PIC214" s="2"/>
      <c r="PID214" s="260"/>
      <c r="PIE214" s="260"/>
      <c r="PIF214" s="260"/>
      <c r="PIG214" s="260"/>
      <c r="PIH214" s="260"/>
      <c r="PII214" s="260"/>
      <c r="PIJ214" s="308"/>
      <c r="PIK214" s="290"/>
      <c r="PIL214" s="290"/>
      <c r="PIM214" s="260"/>
      <c r="PIN214" s="260"/>
      <c r="PIO214" s="260"/>
      <c r="PIP214" s="260"/>
      <c r="PIQ214" s="260"/>
      <c r="PIR214" s="2"/>
      <c r="PIS214" s="2"/>
      <c r="PIT214" s="2"/>
      <c r="PIU214" s="2"/>
      <c r="PIV214" s="2"/>
      <c r="PIW214" s="2"/>
      <c r="PIX214" s="260"/>
      <c r="PIY214" s="2"/>
      <c r="PIZ214" s="2"/>
      <c r="PJA214" s="2"/>
      <c r="PJB214" s="2"/>
      <c r="PJC214" s="2"/>
      <c r="PJD214" s="2"/>
      <c r="PJE214" s="2"/>
      <c r="PJF214" s="260"/>
      <c r="PJG214" s="260"/>
      <c r="PJH214" s="260"/>
      <c r="PJI214" s="380"/>
      <c r="PJJ214" s="380"/>
      <c r="PJK214" s="380"/>
      <c r="PJL214" s="2"/>
      <c r="PJM214" s="442"/>
      <c r="PJN214" s="442"/>
      <c r="PJO214" s="443"/>
      <c r="PJP214" s="442"/>
      <c r="PJQ214" s="442"/>
      <c r="PJR214" s="2"/>
      <c r="PJS214" s="2"/>
      <c r="PJT214" s="2"/>
      <c r="PJU214" s="2"/>
      <c r="PJV214" s="260"/>
      <c r="PJW214" s="260"/>
      <c r="PJX214" s="260"/>
      <c r="PJY214" s="260"/>
      <c r="PJZ214" s="260"/>
      <c r="PKA214" s="260"/>
      <c r="PKB214" s="308"/>
      <c r="PKC214" s="290"/>
      <c r="PKD214" s="290"/>
      <c r="PKE214" s="260"/>
      <c r="PKF214" s="260"/>
      <c r="PKG214" s="260"/>
      <c r="PKH214" s="260"/>
      <c r="PKI214" s="260"/>
      <c r="PKJ214" s="2"/>
      <c r="PKK214" s="2"/>
      <c r="PKL214" s="2"/>
      <c r="PKM214" s="2"/>
      <c r="PKN214" s="2"/>
      <c r="PKO214" s="2"/>
      <c r="PKP214" s="260"/>
      <c r="PKQ214" s="2"/>
      <c r="PKR214" s="2"/>
      <c r="PKS214" s="2"/>
      <c r="PKT214" s="2"/>
      <c r="PKU214" s="2"/>
      <c r="PKV214" s="2"/>
      <c r="PKW214" s="2"/>
      <c r="PKX214" s="260"/>
      <c r="PKY214" s="260"/>
      <c r="PKZ214" s="260"/>
      <c r="PLA214" s="380"/>
      <c r="PLB214" s="380"/>
      <c r="PLC214" s="380"/>
      <c r="PLD214" s="2"/>
      <c r="PLE214" s="442"/>
      <c r="PLF214" s="442"/>
      <c r="PLG214" s="443"/>
      <c r="PLH214" s="442"/>
      <c r="PLI214" s="442"/>
      <c r="PLJ214" s="2"/>
      <c r="PLK214" s="2"/>
      <c r="PLL214" s="2"/>
      <c r="PLM214" s="2"/>
      <c r="PLN214" s="260"/>
      <c r="PLO214" s="260"/>
      <c r="PLP214" s="260"/>
      <c r="PLQ214" s="260"/>
      <c r="PLR214" s="260"/>
      <c r="PLS214" s="260"/>
      <c r="PLT214" s="308"/>
      <c r="PLU214" s="290"/>
      <c r="PLV214" s="290"/>
      <c r="PLW214" s="260"/>
      <c r="PLX214" s="260"/>
      <c r="PLY214" s="260"/>
      <c r="PLZ214" s="260"/>
      <c r="PMA214" s="260"/>
      <c r="PMB214" s="2"/>
      <c r="PMC214" s="2"/>
      <c r="PMD214" s="2"/>
      <c r="PME214" s="2"/>
      <c r="PMF214" s="2"/>
      <c r="PMG214" s="2"/>
      <c r="PMH214" s="260"/>
      <c r="PMI214" s="2"/>
      <c r="PMJ214" s="2"/>
      <c r="PMK214" s="2"/>
      <c r="PML214" s="2"/>
      <c r="PMM214" s="2"/>
      <c r="PMN214" s="2"/>
      <c r="PMO214" s="2"/>
      <c r="PMP214" s="260"/>
      <c r="PMQ214" s="260"/>
      <c r="PMR214" s="260"/>
      <c r="PMS214" s="380"/>
      <c r="PMT214" s="380"/>
      <c r="PMU214" s="380"/>
      <c r="PMV214" s="2"/>
      <c r="PMW214" s="442"/>
      <c r="PMX214" s="442"/>
      <c r="PMY214" s="443"/>
      <c r="PMZ214" s="442"/>
      <c r="PNA214" s="442"/>
      <c r="PNB214" s="2"/>
      <c r="PNC214" s="2"/>
      <c r="PND214" s="2"/>
      <c r="PNE214" s="2"/>
      <c r="PNF214" s="260"/>
      <c r="PNG214" s="260"/>
      <c r="PNH214" s="260"/>
      <c r="PNI214" s="260"/>
      <c r="PNJ214" s="260"/>
      <c r="PNK214" s="260"/>
      <c r="PNL214" s="308"/>
      <c r="PNM214" s="290"/>
      <c r="PNN214" s="290"/>
      <c r="PNO214" s="260"/>
      <c r="PNP214" s="260"/>
      <c r="PNQ214" s="260"/>
      <c r="PNR214" s="260"/>
      <c r="PNS214" s="260"/>
      <c r="PNT214" s="2"/>
      <c r="PNU214" s="2"/>
      <c r="PNV214" s="2"/>
      <c r="PNW214" s="2"/>
      <c r="PNX214" s="2"/>
      <c r="PNY214" s="2"/>
      <c r="PNZ214" s="260"/>
      <c r="POA214" s="2"/>
      <c r="POB214" s="2"/>
      <c r="POC214" s="2"/>
      <c r="POD214" s="2"/>
      <c r="POE214" s="2"/>
      <c r="POF214" s="2"/>
      <c r="POG214" s="2"/>
      <c r="POH214" s="260"/>
      <c r="POI214" s="260"/>
      <c r="POJ214" s="260"/>
      <c r="POK214" s="380"/>
      <c r="POL214" s="380"/>
      <c r="POM214" s="380"/>
      <c r="PON214" s="2"/>
      <c r="POO214" s="442"/>
      <c r="POP214" s="442"/>
      <c r="POQ214" s="443"/>
      <c r="POR214" s="442"/>
      <c r="POS214" s="442"/>
      <c r="POT214" s="2"/>
      <c r="POU214" s="2"/>
      <c r="POV214" s="2"/>
      <c r="POW214" s="2"/>
      <c r="POX214" s="260"/>
      <c r="POY214" s="260"/>
      <c r="POZ214" s="260"/>
      <c r="PPA214" s="260"/>
      <c r="PPB214" s="260"/>
      <c r="PPC214" s="260"/>
      <c r="PPD214" s="308"/>
      <c r="PPE214" s="290"/>
      <c r="PPF214" s="290"/>
      <c r="PPG214" s="260"/>
      <c r="PPH214" s="260"/>
      <c r="PPI214" s="260"/>
      <c r="PPJ214" s="260"/>
      <c r="PPK214" s="260"/>
      <c r="PPL214" s="2"/>
      <c r="PPM214" s="2"/>
      <c r="PPN214" s="2"/>
      <c r="PPO214" s="2"/>
      <c r="PPP214" s="2"/>
      <c r="PPQ214" s="2"/>
      <c r="PPR214" s="260"/>
      <c r="PPS214" s="2"/>
      <c r="PPT214" s="2"/>
      <c r="PPU214" s="2"/>
      <c r="PPV214" s="2"/>
      <c r="PPW214" s="2"/>
      <c r="PPX214" s="2"/>
      <c r="PPY214" s="2"/>
      <c r="PPZ214" s="260"/>
      <c r="PQA214" s="260"/>
      <c r="PQB214" s="260"/>
      <c r="PQC214" s="380"/>
      <c r="PQD214" s="380"/>
      <c r="PQE214" s="380"/>
      <c r="PQF214" s="2"/>
      <c r="PQG214" s="442"/>
      <c r="PQH214" s="442"/>
      <c r="PQI214" s="443"/>
      <c r="PQJ214" s="442"/>
      <c r="PQK214" s="442"/>
      <c r="PQL214" s="2"/>
      <c r="PQM214" s="2"/>
      <c r="PQN214" s="2"/>
      <c r="PQO214" s="2"/>
      <c r="PQP214" s="260"/>
      <c r="PQQ214" s="260"/>
      <c r="PQR214" s="260"/>
      <c r="PQS214" s="260"/>
      <c r="PQT214" s="260"/>
      <c r="PQU214" s="260"/>
      <c r="PQV214" s="308"/>
      <c r="PQW214" s="290"/>
      <c r="PQX214" s="290"/>
      <c r="PQY214" s="260"/>
      <c r="PQZ214" s="260"/>
      <c r="PRA214" s="260"/>
      <c r="PRB214" s="260"/>
      <c r="PRC214" s="260"/>
      <c r="PRD214" s="2"/>
      <c r="PRE214" s="2"/>
      <c r="PRF214" s="2"/>
      <c r="PRG214" s="2"/>
      <c r="PRH214" s="2"/>
      <c r="PRI214" s="2"/>
      <c r="PRJ214" s="260"/>
      <c r="PRK214" s="2"/>
      <c r="PRL214" s="2"/>
      <c r="PRM214" s="2"/>
      <c r="PRN214" s="2"/>
      <c r="PRO214" s="2"/>
      <c r="PRP214" s="2"/>
      <c r="PRQ214" s="2"/>
      <c r="PRR214" s="260"/>
      <c r="PRS214" s="260"/>
      <c r="PRT214" s="260"/>
      <c r="PRU214" s="380"/>
      <c r="PRV214" s="380"/>
      <c r="PRW214" s="380"/>
      <c r="PRX214" s="2"/>
      <c r="PRY214" s="442"/>
      <c r="PRZ214" s="442"/>
      <c r="PSA214" s="443"/>
      <c r="PSB214" s="442"/>
      <c r="PSC214" s="442"/>
      <c r="PSD214" s="2"/>
      <c r="PSE214" s="2"/>
      <c r="PSF214" s="2"/>
      <c r="PSG214" s="2"/>
      <c r="PSH214" s="260"/>
      <c r="PSI214" s="260"/>
      <c r="PSJ214" s="260"/>
      <c r="PSK214" s="260"/>
      <c r="PSL214" s="260"/>
      <c r="PSM214" s="260"/>
      <c r="PSN214" s="308"/>
      <c r="PSO214" s="290"/>
      <c r="PSP214" s="290"/>
      <c r="PSQ214" s="260"/>
      <c r="PSR214" s="260"/>
      <c r="PSS214" s="260"/>
      <c r="PST214" s="260"/>
      <c r="PSU214" s="260"/>
      <c r="PSV214" s="2"/>
      <c r="PSW214" s="2"/>
      <c r="PSX214" s="2"/>
      <c r="PSY214" s="2"/>
      <c r="PSZ214" s="2"/>
      <c r="PTA214" s="2"/>
      <c r="PTB214" s="260"/>
      <c r="PTC214" s="2"/>
      <c r="PTD214" s="2"/>
      <c r="PTE214" s="2"/>
      <c r="PTF214" s="2"/>
      <c r="PTG214" s="2"/>
      <c r="PTH214" s="2"/>
      <c r="PTI214" s="2"/>
      <c r="PTJ214" s="260"/>
      <c r="PTK214" s="260"/>
      <c r="PTL214" s="260"/>
      <c r="PTM214" s="380"/>
      <c r="PTN214" s="380"/>
      <c r="PTO214" s="380"/>
      <c r="PTP214" s="2"/>
      <c r="PTQ214" s="442"/>
      <c r="PTR214" s="442"/>
      <c r="PTS214" s="443"/>
      <c r="PTT214" s="442"/>
      <c r="PTU214" s="442"/>
      <c r="PTV214" s="2"/>
      <c r="PTW214" s="2"/>
      <c r="PTX214" s="2"/>
      <c r="PTY214" s="2"/>
      <c r="PTZ214" s="260"/>
      <c r="PUA214" s="260"/>
      <c r="PUB214" s="260"/>
      <c r="PUC214" s="260"/>
      <c r="PUD214" s="260"/>
      <c r="PUE214" s="260"/>
      <c r="PUF214" s="308"/>
      <c r="PUG214" s="290"/>
      <c r="PUH214" s="290"/>
      <c r="PUI214" s="260"/>
      <c r="PUJ214" s="260"/>
      <c r="PUK214" s="260"/>
      <c r="PUL214" s="260"/>
      <c r="PUM214" s="260"/>
      <c r="PUN214" s="2"/>
      <c r="PUO214" s="2"/>
      <c r="PUP214" s="2"/>
      <c r="PUQ214" s="2"/>
      <c r="PUR214" s="2"/>
      <c r="PUS214" s="2"/>
      <c r="PUT214" s="260"/>
      <c r="PUU214" s="2"/>
      <c r="PUV214" s="2"/>
      <c r="PUW214" s="2"/>
      <c r="PUX214" s="2"/>
      <c r="PUY214" s="2"/>
      <c r="PUZ214" s="2"/>
      <c r="PVA214" s="2"/>
      <c r="PVB214" s="260"/>
      <c r="PVC214" s="260"/>
      <c r="PVD214" s="260"/>
      <c r="PVE214" s="380"/>
      <c r="PVF214" s="380"/>
      <c r="PVG214" s="380"/>
      <c r="PVH214" s="2"/>
      <c r="PVI214" s="442"/>
      <c r="PVJ214" s="442"/>
      <c r="PVK214" s="443"/>
      <c r="PVL214" s="442"/>
      <c r="PVM214" s="442"/>
      <c r="PVN214" s="2"/>
      <c r="PVO214" s="2"/>
      <c r="PVP214" s="2"/>
      <c r="PVQ214" s="2"/>
      <c r="PVR214" s="260"/>
      <c r="PVS214" s="260"/>
      <c r="PVT214" s="260"/>
      <c r="PVU214" s="260"/>
      <c r="PVV214" s="260"/>
      <c r="PVW214" s="260"/>
      <c r="PVX214" s="308"/>
      <c r="PVY214" s="290"/>
      <c r="PVZ214" s="290"/>
      <c r="PWA214" s="260"/>
      <c r="PWB214" s="260"/>
      <c r="PWC214" s="260"/>
      <c r="PWD214" s="260"/>
      <c r="PWE214" s="260"/>
      <c r="PWF214" s="2"/>
      <c r="PWG214" s="2"/>
      <c r="PWH214" s="2"/>
      <c r="PWI214" s="2"/>
      <c r="PWJ214" s="2"/>
      <c r="PWK214" s="2"/>
      <c r="PWL214" s="260"/>
      <c r="PWM214" s="2"/>
      <c r="PWN214" s="2"/>
      <c r="PWO214" s="2"/>
      <c r="PWP214" s="2"/>
      <c r="PWQ214" s="2"/>
      <c r="PWR214" s="2"/>
      <c r="PWS214" s="2"/>
      <c r="PWT214" s="260"/>
      <c r="PWU214" s="260"/>
      <c r="PWV214" s="260"/>
      <c r="PWW214" s="380"/>
      <c r="PWX214" s="380"/>
      <c r="PWY214" s="380"/>
      <c r="PWZ214" s="2"/>
      <c r="PXA214" s="442"/>
      <c r="PXB214" s="442"/>
      <c r="PXC214" s="443"/>
      <c r="PXD214" s="442"/>
      <c r="PXE214" s="442"/>
      <c r="PXF214" s="2"/>
      <c r="PXG214" s="2"/>
      <c r="PXH214" s="2"/>
      <c r="PXI214" s="2"/>
      <c r="PXJ214" s="260"/>
      <c r="PXK214" s="260"/>
      <c r="PXL214" s="260"/>
      <c r="PXM214" s="260"/>
      <c r="PXN214" s="260"/>
      <c r="PXO214" s="260"/>
      <c r="PXP214" s="308"/>
      <c r="PXQ214" s="290"/>
      <c r="PXR214" s="290"/>
      <c r="PXS214" s="260"/>
      <c r="PXT214" s="260"/>
      <c r="PXU214" s="260"/>
      <c r="PXV214" s="260"/>
      <c r="PXW214" s="260"/>
      <c r="PXX214" s="2"/>
      <c r="PXY214" s="2"/>
      <c r="PXZ214" s="2"/>
      <c r="PYA214" s="2"/>
      <c r="PYB214" s="2"/>
      <c r="PYC214" s="2"/>
      <c r="PYD214" s="260"/>
      <c r="PYE214" s="2"/>
      <c r="PYF214" s="2"/>
      <c r="PYG214" s="2"/>
      <c r="PYH214" s="2"/>
      <c r="PYI214" s="2"/>
      <c r="PYJ214" s="2"/>
      <c r="PYK214" s="2"/>
      <c r="PYL214" s="260"/>
      <c r="PYM214" s="260"/>
      <c r="PYN214" s="260"/>
      <c r="PYO214" s="380"/>
      <c r="PYP214" s="380"/>
      <c r="PYQ214" s="380"/>
      <c r="PYR214" s="2"/>
      <c r="PYS214" s="442"/>
      <c r="PYT214" s="442"/>
      <c r="PYU214" s="443"/>
      <c r="PYV214" s="442"/>
      <c r="PYW214" s="442"/>
      <c r="PYX214" s="2"/>
      <c r="PYY214" s="2"/>
      <c r="PYZ214" s="2"/>
      <c r="PZA214" s="2"/>
      <c r="PZB214" s="260"/>
      <c r="PZC214" s="260"/>
      <c r="PZD214" s="260"/>
      <c r="PZE214" s="260"/>
      <c r="PZF214" s="260"/>
      <c r="PZG214" s="260"/>
      <c r="PZH214" s="308"/>
      <c r="PZI214" s="290"/>
      <c r="PZJ214" s="290"/>
      <c r="PZK214" s="260"/>
      <c r="PZL214" s="260"/>
      <c r="PZM214" s="260"/>
      <c r="PZN214" s="260"/>
      <c r="PZO214" s="260"/>
      <c r="PZP214" s="2"/>
      <c r="PZQ214" s="2"/>
      <c r="PZR214" s="2"/>
      <c r="PZS214" s="2"/>
      <c r="PZT214" s="2"/>
      <c r="PZU214" s="2"/>
      <c r="PZV214" s="260"/>
      <c r="PZW214" s="2"/>
      <c r="PZX214" s="2"/>
      <c r="PZY214" s="2"/>
      <c r="PZZ214" s="2"/>
      <c r="QAA214" s="2"/>
      <c r="QAB214" s="2"/>
      <c r="QAC214" s="2"/>
      <c r="QAD214" s="260"/>
      <c r="QAE214" s="260"/>
      <c r="QAF214" s="260"/>
      <c r="QAG214" s="380"/>
      <c r="QAH214" s="380"/>
      <c r="QAI214" s="380"/>
      <c r="QAJ214" s="2"/>
      <c r="QAK214" s="442"/>
      <c r="QAL214" s="442"/>
      <c r="QAM214" s="443"/>
      <c r="QAN214" s="442"/>
      <c r="QAO214" s="442"/>
      <c r="QAP214" s="2"/>
      <c r="QAQ214" s="2"/>
      <c r="QAR214" s="2"/>
      <c r="QAS214" s="2"/>
      <c r="QAT214" s="260"/>
      <c r="QAU214" s="260"/>
      <c r="QAV214" s="260"/>
      <c r="QAW214" s="260"/>
      <c r="QAX214" s="260"/>
      <c r="QAY214" s="260"/>
      <c r="QAZ214" s="308"/>
      <c r="QBA214" s="290"/>
      <c r="QBB214" s="290"/>
      <c r="QBC214" s="260"/>
      <c r="QBD214" s="260"/>
      <c r="QBE214" s="260"/>
      <c r="QBF214" s="260"/>
      <c r="QBG214" s="260"/>
      <c r="QBH214" s="2"/>
      <c r="QBI214" s="2"/>
      <c r="QBJ214" s="2"/>
      <c r="QBK214" s="2"/>
      <c r="QBL214" s="2"/>
      <c r="QBM214" s="2"/>
      <c r="QBN214" s="260"/>
      <c r="QBO214" s="2"/>
      <c r="QBP214" s="2"/>
      <c r="QBQ214" s="2"/>
      <c r="QBR214" s="2"/>
      <c r="QBS214" s="2"/>
      <c r="QBT214" s="2"/>
      <c r="QBU214" s="2"/>
      <c r="QBV214" s="260"/>
      <c r="QBW214" s="260"/>
      <c r="QBX214" s="260"/>
      <c r="QBY214" s="380"/>
      <c r="QBZ214" s="380"/>
      <c r="QCA214" s="380"/>
      <c r="QCB214" s="2"/>
      <c r="QCC214" s="442"/>
      <c r="QCD214" s="442"/>
      <c r="QCE214" s="443"/>
      <c r="QCF214" s="442"/>
      <c r="QCG214" s="442"/>
      <c r="QCH214" s="2"/>
      <c r="QCI214" s="2"/>
      <c r="QCJ214" s="2"/>
      <c r="QCK214" s="2"/>
      <c r="QCL214" s="260"/>
      <c r="QCM214" s="260"/>
      <c r="QCN214" s="260"/>
      <c r="QCO214" s="260"/>
      <c r="QCP214" s="260"/>
      <c r="QCQ214" s="260"/>
      <c r="QCR214" s="308"/>
      <c r="QCS214" s="290"/>
      <c r="QCT214" s="290"/>
      <c r="QCU214" s="260"/>
      <c r="QCV214" s="260"/>
      <c r="QCW214" s="260"/>
      <c r="QCX214" s="260"/>
      <c r="QCY214" s="260"/>
      <c r="QCZ214" s="2"/>
      <c r="QDA214" s="2"/>
      <c r="QDB214" s="2"/>
      <c r="QDC214" s="2"/>
      <c r="QDD214" s="2"/>
      <c r="QDE214" s="2"/>
      <c r="QDF214" s="260"/>
      <c r="QDG214" s="2"/>
      <c r="QDH214" s="2"/>
      <c r="QDI214" s="2"/>
      <c r="QDJ214" s="2"/>
      <c r="QDK214" s="2"/>
      <c r="QDL214" s="2"/>
      <c r="QDM214" s="2"/>
      <c r="QDN214" s="260"/>
      <c r="QDO214" s="260"/>
      <c r="QDP214" s="260"/>
      <c r="QDQ214" s="380"/>
      <c r="QDR214" s="380"/>
      <c r="QDS214" s="380"/>
      <c r="QDT214" s="2"/>
      <c r="QDU214" s="442"/>
      <c r="QDV214" s="442"/>
      <c r="QDW214" s="443"/>
      <c r="QDX214" s="442"/>
      <c r="QDY214" s="442"/>
      <c r="QDZ214" s="2"/>
      <c r="QEA214" s="2"/>
      <c r="QEB214" s="2"/>
      <c r="QEC214" s="2"/>
      <c r="QED214" s="260"/>
      <c r="QEE214" s="260"/>
      <c r="QEF214" s="260"/>
      <c r="QEG214" s="260"/>
      <c r="QEH214" s="260"/>
      <c r="QEI214" s="260"/>
      <c r="QEJ214" s="308"/>
      <c r="QEK214" s="290"/>
      <c r="QEL214" s="290"/>
      <c r="QEM214" s="260"/>
      <c r="QEN214" s="260"/>
      <c r="QEO214" s="260"/>
      <c r="QEP214" s="260"/>
      <c r="QEQ214" s="260"/>
      <c r="QER214" s="2"/>
      <c r="QES214" s="2"/>
      <c r="QET214" s="2"/>
      <c r="QEU214" s="2"/>
      <c r="QEV214" s="2"/>
      <c r="QEW214" s="2"/>
      <c r="QEX214" s="260"/>
      <c r="QEY214" s="2"/>
      <c r="QEZ214" s="2"/>
      <c r="QFA214" s="2"/>
      <c r="QFB214" s="2"/>
      <c r="QFC214" s="2"/>
      <c r="QFD214" s="2"/>
      <c r="QFE214" s="2"/>
      <c r="QFF214" s="260"/>
      <c r="QFG214" s="260"/>
      <c r="QFH214" s="260"/>
      <c r="QFI214" s="380"/>
      <c r="QFJ214" s="380"/>
      <c r="QFK214" s="380"/>
      <c r="QFL214" s="2"/>
      <c r="QFM214" s="442"/>
      <c r="QFN214" s="442"/>
      <c r="QFO214" s="443"/>
      <c r="QFP214" s="442"/>
      <c r="QFQ214" s="442"/>
      <c r="QFR214" s="2"/>
      <c r="QFS214" s="2"/>
      <c r="QFT214" s="2"/>
      <c r="QFU214" s="2"/>
      <c r="QFV214" s="260"/>
      <c r="QFW214" s="260"/>
      <c r="QFX214" s="260"/>
      <c r="QFY214" s="260"/>
      <c r="QFZ214" s="260"/>
      <c r="QGA214" s="260"/>
      <c r="QGB214" s="308"/>
      <c r="QGC214" s="290"/>
      <c r="QGD214" s="290"/>
      <c r="QGE214" s="260"/>
      <c r="QGF214" s="260"/>
      <c r="QGG214" s="260"/>
      <c r="QGH214" s="260"/>
      <c r="QGI214" s="260"/>
      <c r="QGJ214" s="2"/>
      <c r="QGK214" s="2"/>
      <c r="QGL214" s="2"/>
      <c r="QGM214" s="2"/>
      <c r="QGN214" s="2"/>
      <c r="QGO214" s="2"/>
      <c r="QGP214" s="260"/>
      <c r="QGQ214" s="2"/>
      <c r="QGR214" s="2"/>
      <c r="QGS214" s="2"/>
      <c r="QGT214" s="2"/>
      <c r="QGU214" s="2"/>
      <c r="QGV214" s="2"/>
      <c r="QGW214" s="2"/>
      <c r="QGX214" s="260"/>
      <c r="QGY214" s="260"/>
      <c r="QGZ214" s="260"/>
      <c r="QHA214" s="380"/>
      <c r="QHB214" s="380"/>
      <c r="QHC214" s="380"/>
      <c r="QHD214" s="2"/>
      <c r="QHE214" s="442"/>
      <c r="QHF214" s="442"/>
      <c r="QHG214" s="443"/>
      <c r="QHH214" s="442"/>
      <c r="QHI214" s="442"/>
      <c r="QHJ214" s="2"/>
      <c r="QHK214" s="2"/>
      <c r="QHL214" s="2"/>
      <c r="QHM214" s="2"/>
      <c r="QHN214" s="260"/>
      <c r="QHO214" s="260"/>
      <c r="QHP214" s="260"/>
      <c r="QHQ214" s="260"/>
      <c r="QHR214" s="260"/>
      <c r="QHS214" s="260"/>
      <c r="QHT214" s="308"/>
      <c r="QHU214" s="290"/>
      <c r="QHV214" s="290"/>
      <c r="QHW214" s="260"/>
      <c r="QHX214" s="260"/>
      <c r="QHY214" s="260"/>
      <c r="QHZ214" s="260"/>
      <c r="QIA214" s="260"/>
      <c r="QIB214" s="2"/>
      <c r="QIC214" s="2"/>
      <c r="QID214" s="2"/>
      <c r="QIE214" s="2"/>
      <c r="QIF214" s="2"/>
      <c r="QIG214" s="2"/>
      <c r="QIH214" s="260"/>
      <c r="QII214" s="2"/>
      <c r="QIJ214" s="2"/>
      <c r="QIK214" s="2"/>
      <c r="QIL214" s="2"/>
      <c r="QIM214" s="2"/>
      <c r="QIN214" s="2"/>
      <c r="QIO214" s="2"/>
      <c r="QIP214" s="260"/>
      <c r="QIQ214" s="260"/>
      <c r="QIR214" s="260"/>
      <c r="QIS214" s="380"/>
      <c r="QIT214" s="380"/>
      <c r="QIU214" s="380"/>
      <c r="QIV214" s="2"/>
      <c r="QIW214" s="442"/>
      <c r="QIX214" s="442"/>
      <c r="QIY214" s="443"/>
      <c r="QIZ214" s="442"/>
      <c r="QJA214" s="442"/>
      <c r="QJB214" s="2"/>
      <c r="QJC214" s="2"/>
      <c r="QJD214" s="2"/>
      <c r="QJE214" s="2"/>
      <c r="QJF214" s="260"/>
      <c r="QJG214" s="260"/>
      <c r="QJH214" s="260"/>
      <c r="QJI214" s="260"/>
      <c r="QJJ214" s="260"/>
      <c r="QJK214" s="260"/>
      <c r="QJL214" s="308"/>
      <c r="QJM214" s="290"/>
      <c r="QJN214" s="290"/>
      <c r="QJO214" s="260"/>
      <c r="QJP214" s="260"/>
      <c r="QJQ214" s="260"/>
      <c r="QJR214" s="260"/>
      <c r="QJS214" s="260"/>
      <c r="QJT214" s="2"/>
      <c r="QJU214" s="2"/>
      <c r="QJV214" s="2"/>
      <c r="QJW214" s="2"/>
      <c r="QJX214" s="2"/>
      <c r="QJY214" s="2"/>
      <c r="QJZ214" s="260"/>
      <c r="QKA214" s="2"/>
      <c r="QKB214" s="2"/>
      <c r="QKC214" s="2"/>
      <c r="QKD214" s="2"/>
      <c r="QKE214" s="2"/>
      <c r="QKF214" s="2"/>
      <c r="QKG214" s="2"/>
      <c r="QKH214" s="260"/>
      <c r="QKI214" s="260"/>
      <c r="QKJ214" s="260"/>
      <c r="QKK214" s="380"/>
      <c r="QKL214" s="380"/>
      <c r="QKM214" s="380"/>
      <c r="QKN214" s="2"/>
      <c r="QKO214" s="442"/>
      <c r="QKP214" s="442"/>
      <c r="QKQ214" s="443"/>
      <c r="QKR214" s="442"/>
      <c r="QKS214" s="442"/>
      <c r="QKT214" s="2"/>
      <c r="QKU214" s="2"/>
      <c r="QKV214" s="2"/>
      <c r="QKW214" s="2"/>
      <c r="QKX214" s="260"/>
      <c r="QKY214" s="260"/>
      <c r="QKZ214" s="260"/>
      <c r="QLA214" s="260"/>
      <c r="QLB214" s="260"/>
      <c r="QLC214" s="260"/>
      <c r="QLD214" s="308"/>
      <c r="QLE214" s="290"/>
      <c r="QLF214" s="290"/>
      <c r="QLG214" s="260"/>
      <c r="QLH214" s="260"/>
      <c r="QLI214" s="260"/>
      <c r="QLJ214" s="260"/>
      <c r="QLK214" s="260"/>
      <c r="QLL214" s="2"/>
      <c r="QLM214" s="2"/>
      <c r="QLN214" s="2"/>
      <c r="QLO214" s="2"/>
      <c r="QLP214" s="2"/>
      <c r="QLQ214" s="2"/>
      <c r="QLR214" s="260"/>
      <c r="QLS214" s="2"/>
      <c r="QLT214" s="2"/>
      <c r="QLU214" s="2"/>
      <c r="QLV214" s="2"/>
      <c r="QLW214" s="2"/>
      <c r="QLX214" s="2"/>
      <c r="QLY214" s="2"/>
      <c r="QLZ214" s="260"/>
      <c r="QMA214" s="260"/>
      <c r="QMB214" s="260"/>
      <c r="QMC214" s="380"/>
      <c r="QMD214" s="380"/>
      <c r="QME214" s="380"/>
      <c r="QMF214" s="2"/>
      <c r="QMG214" s="442"/>
      <c r="QMH214" s="442"/>
      <c r="QMI214" s="443"/>
      <c r="QMJ214" s="442"/>
      <c r="QMK214" s="442"/>
      <c r="QML214" s="2"/>
      <c r="QMM214" s="2"/>
      <c r="QMN214" s="2"/>
      <c r="QMO214" s="2"/>
      <c r="QMP214" s="260"/>
      <c r="QMQ214" s="260"/>
      <c r="QMR214" s="260"/>
      <c r="QMS214" s="260"/>
      <c r="QMT214" s="260"/>
      <c r="QMU214" s="260"/>
      <c r="QMV214" s="308"/>
      <c r="QMW214" s="290"/>
      <c r="QMX214" s="290"/>
      <c r="QMY214" s="260"/>
      <c r="QMZ214" s="260"/>
      <c r="QNA214" s="260"/>
      <c r="QNB214" s="260"/>
      <c r="QNC214" s="260"/>
      <c r="QND214" s="2"/>
      <c r="QNE214" s="2"/>
      <c r="QNF214" s="2"/>
      <c r="QNG214" s="2"/>
      <c r="QNH214" s="2"/>
      <c r="QNI214" s="2"/>
      <c r="QNJ214" s="260"/>
      <c r="QNK214" s="2"/>
      <c r="QNL214" s="2"/>
      <c r="QNM214" s="2"/>
      <c r="QNN214" s="2"/>
      <c r="QNO214" s="2"/>
      <c r="QNP214" s="2"/>
      <c r="QNQ214" s="2"/>
      <c r="QNR214" s="260"/>
      <c r="QNS214" s="260"/>
      <c r="QNT214" s="260"/>
      <c r="QNU214" s="380"/>
      <c r="QNV214" s="380"/>
      <c r="QNW214" s="380"/>
      <c r="QNX214" s="2"/>
      <c r="QNY214" s="442"/>
      <c r="QNZ214" s="442"/>
      <c r="QOA214" s="443"/>
      <c r="QOB214" s="442"/>
      <c r="QOC214" s="442"/>
      <c r="QOD214" s="2"/>
      <c r="QOE214" s="2"/>
      <c r="QOF214" s="2"/>
      <c r="QOG214" s="2"/>
      <c r="QOH214" s="260"/>
      <c r="QOI214" s="260"/>
      <c r="QOJ214" s="260"/>
      <c r="QOK214" s="260"/>
      <c r="QOL214" s="260"/>
      <c r="QOM214" s="260"/>
      <c r="QON214" s="308"/>
      <c r="QOO214" s="290"/>
      <c r="QOP214" s="290"/>
      <c r="QOQ214" s="260"/>
      <c r="QOR214" s="260"/>
      <c r="QOS214" s="260"/>
      <c r="QOT214" s="260"/>
      <c r="QOU214" s="260"/>
      <c r="QOV214" s="2"/>
      <c r="QOW214" s="2"/>
      <c r="QOX214" s="2"/>
      <c r="QOY214" s="2"/>
      <c r="QOZ214" s="2"/>
      <c r="QPA214" s="2"/>
      <c r="QPB214" s="260"/>
      <c r="QPC214" s="2"/>
      <c r="QPD214" s="2"/>
      <c r="QPE214" s="2"/>
      <c r="QPF214" s="2"/>
      <c r="QPG214" s="2"/>
      <c r="QPH214" s="2"/>
      <c r="QPI214" s="2"/>
      <c r="QPJ214" s="260"/>
      <c r="QPK214" s="260"/>
      <c r="QPL214" s="260"/>
      <c r="QPM214" s="380"/>
      <c r="QPN214" s="380"/>
      <c r="QPO214" s="380"/>
      <c r="QPP214" s="2"/>
      <c r="QPQ214" s="442"/>
      <c r="QPR214" s="442"/>
      <c r="QPS214" s="443"/>
      <c r="QPT214" s="442"/>
      <c r="QPU214" s="442"/>
      <c r="QPV214" s="2"/>
      <c r="QPW214" s="2"/>
      <c r="QPX214" s="2"/>
      <c r="QPY214" s="2"/>
      <c r="QPZ214" s="260"/>
      <c r="QQA214" s="260"/>
      <c r="QQB214" s="260"/>
      <c r="QQC214" s="260"/>
      <c r="QQD214" s="260"/>
      <c r="QQE214" s="260"/>
      <c r="QQF214" s="308"/>
      <c r="QQG214" s="290"/>
      <c r="QQH214" s="290"/>
      <c r="QQI214" s="260"/>
      <c r="QQJ214" s="260"/>
      <c r="QQK214" s="260"/>
      <c r="QQL214" s="260"/>
      <c r="QQM214" s="260"/>
      <c r="QQN214" s="2"/>
      <c r="QQO214" s="2"/>
      <c r="QQP214" s="2"/>
      <c r="QQQ214" s="2"/>
      <c r="QQR214" s="2"/>
      <c r="QQS214" s="2"/>
      <c r="QQT214" s="260"/>
      <c r="QQU214" s="2"/>
      <c r="QQV214" s="2"/>
      <c r="QQW214" s="2"/>
      <c r="QQX214" s="2"/>
      <c r="QQY214" s="2"/>
      <c r="QQZ214" s="2"/>
      <c r="QRA214" s="2"/>
      <c r="QRB214" s="260"/>
      <c r="QRC214" s="260"/>
      <c r="QRD214" s="260"/>
      <c r="QRE214" s="380"/>
      <c r="QRF214" s="380"/>
      <c r="QRG214" s="380"/>
      <c r="QRH214" s="2"/>
      <c r="QRI214" s="442"/>
      <c r="QRJ214" s="442"/>
      <c r="QRK214" s="443"/>
      <c r="QRL214" s="442"/>
      <c r="QRM214" s="442"/>
      <c r="QRN214" s="2"/>
      <c r="QRO214" s="2"/>
      <c r="QRP214" s="2"/>
      <c r="QRQ214" s="2"/>
      <c r="QRR214" s="260"/>
      <c r="QRS214" s="260"/>
      <c r="QRT214" s="260"/>
      <c r="QRU214" s="260"/>
      <c r="QRV214" s="260"/>
      <c r="QRW214" s="260"/>
      <c r="QRX214" s="308"/>
      <c r="QRY214" s="290"/>
      <c r="QRZ214" s="290"/>
      <c r="QSA214" s="260"/>
      <c r="QSB214" s="260"/>
      <c r="QSC214" s="260"/>
      <c r="QSD214" s="260"/>
      <c r="QSE214" s="260"/>
      <c r="QSF214" s="2"/>
      <c r="QSG214" s="2"/>
      <c r="QSH214" s="2"/>
      <c r="QSI214" s="2"/>
      <c r="QSJ214" s="2"/>
      <c r="QSK214" s="2"/>
      <c r="QSL214" s="260"/>
      <c r="QSM214" s="2"/>
      <c r="QSN214" s="2"/>
      <c r="QSO214" s="2"/>
      <c r="QSP214" s="2"/>
      <c r="QSQ214" s="2"/>
      <c r="QSR214" s="2"/>
      <c r="QSS214" s="2"/>
      <c r="QST214" s="260"/>
      <c r="QSU214" s="260"/>
      <c r="QSV214" s="260"/>
      <c r="QSW214" s="380"/>
      <c r="QSX214" s="380"/>
      <c r="QSY214" s="380"/>
      <c r="QSZ214" s="2"/>
      <c r="QTA214" s="442"/>
      <c r="QTB214" s="442"/>
      <c r="QTC214" s="443"/>
      <c r="QTD214" s="442"/>
      <c r="QTE214" s="442"/>
      <c r="QTF214" s="2"/>
      <c r="QTG214" s="2"/>
      <c r="QTH214" s="2"/>
      <c r="QTI214" s="2"/>
      <c r="QTJ214" s="260"/>
      <c r="QTK214" s="260"/>
      <c r="QTL214" s="260"/>
      <c r="QTM214" s="260"/>
      <c r="QTN214" s="260"/>
      <c r="QTO214" s="260"/>
      <c r="QTP214" s="308"/>
      <c r="QTQ214" s="290"/>
      <c r="QTR214" s="290"/>
      <c r="QTS214" s="260"/>
      <c r="QTT214" s="260"/>
      <c r="QTU214" s="260"/>
      <c r="QTV214" s="260"/>
      <c r="QTW214" s="260"/>
      <c r="QTX214" s="2"/>
      <c r="QTY214" s="2"/>
      <c r="QTZ214" s="2"/>
      <c r="QUA214" s="2"/>
      <c r="QUB214" s="2"/>
      <c r="QUC214" s="2"/>
      <c r="QUD214" s="260"/>
      <c r="QUE214" s="2"/>
      <c r="QUF214" s="2"/>
      <c r="QUG214" s="2"/>
      <c r="QUH214" s="2"/>
      <c r="QUI214" s="2"/>
      <c r="QUJ214" s="2"/>
      <c r="QUK214" s="2"/>
      <c r="QUL214" s="260"/>
      <c r="QUM214" s="260"/>
      <c r="QUN214" s="260"/>
      <c r="QUO214" s="380"/>
      <c r="QUP214" s="380"/>
      <c r="QUQ214" s="380"/>
      <c r="QUR214" s="2"/>
      <c r="QUS214" s="442"/>
      <c r="QUT214" s="442"/>
      <c r="QUU214" s="443"/>
      <c r="QUV214" s="442"/>
      <c r="QUW214" s="442"/>
      <c r="QUX214" s="2"/>
      <c r="QUY214" s="2"/>
      <c r="QUZ214" s="2"/>
      <c r="QVA214" s="2"/>
      <c r="QVB214" s="260"/>
      <c r="QVC214" s="260"/>
      <c r="QVD214" s="260"/>
      <c r="QVE214" s="260"/>
      <c r="QVF214" s="260"/>
      <c r="QVG214" s="260"/>
      <c r="QVH214" s="308"/>
      <c r="QVI214" s="290"/>
      <c r="QVJ214" s="290"/>
      <c r="QVK214" s="260"/>
      <c r="QVL214" s="260"/>
      <c r="QVM214" s="260"/>
      <c r="QVN214" s="260"/>
      <c r="QVO214" s="260"/>
      <c r="QVP214" s="2"/>
      <c r="QVQ214" s="2"/>
      <c r="QVR214" s="2"/>
      <c r="QVS214" s="2"/>
      <c r="QVT214" s="2"/>
      <c r="QVU214" s="2"/>
      <c r="QVV214" s="260"/>
      <c r="QVW214" s="2"/>
      <c r="QVX214" s="2"/>
      <c r="QVY214" s="2"/>
      <c r="QVZ214" s="2"/>
      <c r="QWA214" s="2"/>
      <c r="QWB214" s="2"/>
      <c r="QWC214" s="2"/>
      <c r="QWD214" s="260"/>
      <c r="QWE214" s="260"/>
      <c r="QWF214" s="260"/>
      <c r="QWG214" s="380"/>
      <c r="QWH214" s="380"/>
      <c r="QWI214" s="380"/>
      <c r="QWJ214" s="2"/>
      <c r="QWK214" s="442"/>
      <c r="QWL214" s="442"/>
      <c r="QWM214" s="443"/>
      <c r="QWN214" s="442"/>
      <c r="QWO214" s="442"/>
      <c r="QWP214" s="2"/>
      <c r="QWQ214" s="2"/>
      <c r="QWR214" s="2"/>
      <c r="QWS214" s="2"/>
      <c r="QWT214" s="260"/>
      <c r="QWU214" s="260"/>
      <c r="QWV214" s="260"/>
      <c r="QWW214" s="260"/>
      <c r="QWX214" s="260"/>
      <c r="QWY214" s="260"/>
      <c r="QWZ214" s="308"/>
      <c r="QXA214" s="290"/>
      <c r="QXB214" s="290"/>
      <c r="QXC214" s="260"/>
      <c r="QXD214" s="260"/>
      <c r="QXE214" s="260"/>
      <c r="QXF214" s="260"/>
      <c r="QXG214" s="260"/>
      <c r="QXH214" s="2"/>
      <c r="QXI214" s="2"/>
      <c r="QXJ214" s="2"/>
      <c r="QXK214" s="2"/>
      <c r="QXL214" s="2"/>
      <c r="QXM214" s="2"/>
      <c r="QXN214" s="260"/>
      <c r="QXO214" s="2"/>
      <c r="QXP214" s="2"/>
      <c r="QXQ214" s="2"/>
      <c r="QXR214" s="2"/>
      <c r="QXS214" s="2"/>
      <c r="QXT214" s="2"/>
      <c r="QXU214" s="2"/>
      <c r="QXV214" s="260"/>
      <c r="QXW214" s="260"/>
      <c r="QXX214" s="260"/>
      <c r="QXY214" s="380"/>
      <c r="QXZ214" s="380"/>
      <c r="QYA214" s="380"/>
      <c r="QYB214" s="2"/>
      <c r="QYC214" s="442"/>
      <c r="QYD214" s="442"/>
      <c r="QYE214" s="443"/>
      <c r="QYF214" s="442"/>
      <c r="QYG214" s="442"/>
      <c r="QYH214" s="2"/>
      <c r="QYI214" s="2"/>
      <c r="QYJ214" s="2"/>
      <c r="QYK214" s="2"/>
      <c r="QYL214" s="260"/>
      <c r="QYM214" s="260"/>
      <c r="QYN214" s="260"/>
      <c r="QYO214" s="260"/>
      <c r="QYP214" s="260"/>
      <c r="QYQ214" s="260"/>
      <c r="QYR214" s="308"/>
      <c r="QYS214" s="290"/>
      <c r="QYT214" s="290"/>
      <c r="QYU214" s="260"/>
      <c r="QYV214" s="260"/>
      <c r="QYW214" s="260"/>
      <c r="QYX214" s="260"/>
      <c r="QYY214" s="260"/>
      <c r="QYZ214" s="2"/>
      <c r="QZA214" s="2"/>
      <c r="QZB214" s="2"/>
      <c r="QZC214" s="2"/>
      <c r="QZD214" s="2"/>
      <c r="QZE214" s="2"/>
      <c r="QZF214" s="260"/>
      <c r="QZG214" s="2"/>
      <c r="QZH214" s="2"/>
      <c r="QZI214" s="2"/>
      <c r="QZJ214" s="2"/>
      <c r="QZK214" s="2"/>
      <c r="QZL214" s="2"/>
      <c r="QZM214" s="2"/>
      <c r="QZN214" s="260"/>
      <c r="QZO214" s="260"/>
      <c r="QZP214" s="260"/>
      <c r="QZQ214" s="380"/>
      <c r="QZR214" s="380"/>
      <c r="QZS214" s="380"/>
      <c r="QZT214" s="2"/>
      <c r="QZU214" s="442"/>
      <c r="QZV214" s="442"/>
      <c r="QZW214" s="443"/>
      <c r="QZX214" s="442"/>
      <c r="QZY214" s="442"/>
      <c r="QZZ214" s="2"/>
      <c r="RAA214" s="2"/>
      <c r="RAB214" s="2"/>
      <c r="RAC214" s="2"/>
      <c r="RAD214" s="260"/>
      <c r="RAE214" s="260"/>
      <c r="RAF214" s="260"/>
      <c r="RAG214" s="260"/>
      <c r="RAH214" s="260"/>
      <c r="RAI214" s="260"/>
      <c r="RAJ214" s="308"/>
      <c r="RAK214" s="290"/>
      <c r="RAL214" s="290"/>
      <c r="RAM214" s="260"/>
      <c r="RAN214" s="260"/>
      <c r="RAO214" s="260"/>
      <c r="RAP214" s="260"/>
      <c r="RAQ214" s="260"/>
      <c r="RAR214" s="2"/>
      <c r="RAS214" s="2"/>
      <c r="RAT214" s="2"/>
      <c r="RAU214" s="2"/>
      <c r="RAV214" s="2"/>
      <c r="RAW214" s="2"/>
      <c r="RAX214" s="260"/>
      <c r="RAY214" s="2"/>
      <c r="RAZ214" s="2"/>
      <c r="RBA214" s="2"/>
      <c r="RBB214" s="2"/>
      <c r="RBC214" s="2"/>
      <c r="RBD214" s="2"/>
      <c r="RBE214" s="2"/>
      <c r="RBF214" s="260"/>
      <c r="RBG214" s="260"/>
      <c r="RBH214" s="260"/>
      <c r="RBI214" s="380"/>
      <c r="RBJ214" s="380"/>
      <c r="RBK214" s="380"/>
      <c r="RBL214" s="2"/>
      <c r="RBM214" s="442"/>
      <c r="RBN214" s="442"/>
      <c r="RBO214" s="443"/>
      <c r="RBP214" s="442"/>
      <c r="RBQ214" s="442"/>
      <c r="RBR214" s="2"/>
      <c r="RBS214" s="2"/>
      <c r="RBT214" s="2"/>
      <c r="RBU214" s="2"/>
      <c r="RBV214" s="260"/>
      <c r="RBW214" s="260"/>
      <c r="RBX214" s="260"/>
      <c r="RBY214" s="260"/>
      <c r="RBZ214" s="260"/>
      <c r="RCA214" s="260"/>
      <c r="RCB214" s="308"/>
      <c r="RCC214" s="290"/>
      <c r="RCD214" s="290"/>
      <c r="RCE214" s="260"/>
      <c r="RCF214" s="260"/>
      <c r="RCG214" s="260"/>
      <c r="RCH214" s="260"/>
      <c r="RCI214" s="260"/>
      <c r="RCJ214" s="2"/>
      <c r="RCK214" s="2"/>
      <c r="RCL214" s="2"/>
      <c r="RCM214" s="2"/>
      <c r="RCN214" s="2"/>
      <c r="RCO214" s="2"/>
      <c r="RCP214" s="260"/>
      <c r="RCQ214" s="2"/>
      <c r="RCR214" s="2"/>
      <c r="RCS214" s="2"/>
      <c r="RCT214" s="2"/>
      <c r="RCU214" s="2"/>
      <c r="RCV214" s="2"/>
      <c r="RCW214" s="2"/>
      <c r="RCX214" s="260"/>
      <c r="RCY214" s="260"/>
      <c r="RCZ214" s="260"/>
      <c r="RDA214" s="380"/>
      <c r="RDB214" s="380"/>
      <c r="RDC214" s="380"/>
      <c r="RDD214" s="2"/>
      <c r="RDE214" s="442"/>
      <c r="RDF214" s="442"/>
      <c r="RDG214" s="443"/>
      <c r="RDH214" s="442"/>
      <c r="RDI214" s="442"/>
      <c r="RDJ214" s="2"/>
      <c r="RDK214" s="2"/>
      <c r="RDL214" s="2"/>
      <c r="RDM214" s="2"/>
      <c r="RDN214" s="260"/>
      <c r="RDO214" s="260"/>
      <c r="RDP214" s="260"/>
      <c r="RDQ214" s="260"/>
      <c r="RDR214" s="260"/>
      <c r="RDS214" s="260"/>
      <c r="RDT214" s="308"/>
      <c r="RDU214" s="290"/>
      <c r="RDV214" s="290"/>
      <c r="RDW214" s="260"/>
      <c r="RDX214" s="260"/>
      <c r="RDY214" s="260"/>
      <c r="RDZ214" s="260"/>
      <c r="REA214" s="260"/>
      <c r="REB214" s="2"/>
      <c r="REC214" s="2"/>
      <c r="RED214" s="2"/>
      <c r="REE214" s="2"/>
      <c r="REF214" s="2"/>
      <c r="REG214" s="2"/>
      <c r="REH214" s="260"/>
      <c r="REI214" s="2"/>
      <c r="REJ214" s="2"/>
      <c r="REK214" s="2"/>
      <c r="REL214" s="2"/>
      <c r="REM214" s="2"/>
      <c r="REN214" s="2"/>
      <c r="REO214" s="2"/>
      <c r="REP214" s="260"/>
      <c r="REQ214" s="260"/>
      <c r="RER214" s="260"/>
      <c r="RES214" s="380"/>
      <c r="RET214" s="380"/>
      <c r="REU214" s="380"/>
      <c r="REV214" s="2"/>
      <c r="REW214" s="442"/>
      <c r="REX214" s="442"/>
      <c r="REY214" s="443"/>
      <c r="REZ214" s="442"/>
      <c r="RFA214" s="442"/>
      <c r="RFB214" s="2"/>
      <c r="RFC214" s="2"/>
      <c r="RFD214" s="2"/>
      <c r="RFE214" s="2"/>
      <c r="RFF214" s="260"/>
      <c r="RFG214" s="260"/>
      <c r="RFH214" s="260"/>
      <c r="RFI214" s="260"/>
      <c r="RFJ214" s="260"/>
      <c r="RFK214" s="260"/>
      <c r="RFL214" s="308"/>
      <c r="RFM214" s="290"/>
      <c r="RFN214" s="290"/>
      <c r="RFO214" s="260"/>
      <c r="RFP214" s="260"/>
      <c r="RFQ214" s="260"/>
      <c r="RFR214" s="260"/>
      <c r="RFS214" s="260"/>
      <c r="RFT214" s="2"/>
      <c r="RFU214" s="2"/>
      <c r="RFV214" s="2"/>
      <c r="RFW214" s="2"/>
      <c r="RFX214" s="2"/>
      <c r="RFY214" s="2"/>
      <c r="RFZ214" s="260"/>
      <c r="RGA214" s="2"/>
      <c r="RGB214" s="2"/>
      <c r="RGC214" s="2"/>
      <c r="RGD214" s="2"/>
      <c r="RGE214" s="2"/>
      <c r="RGF214" s="2"/>
      <c r="RGG214" s="2"/>
      <c r="RGH214" s="260"/>
      <c r="RGI214" s="260"/>
      <c r="RGJ214" s="260"/>
      <c r="RGK214" s="380"/>
      <c r="RGL214" s="380"/>
      <c r="RGM214" s="380"/>
      <c r="RGN214" s="2"/>
      <c r="RGO214" s="442"/>
      <c r="RGP214" s="442"/>
      <c r="RGQ214" s="443"/>
      <c r="RGR214" s="442"/>
      <c r="RGS214" s="442"/>
      <c r="RGT214" s="2"/>
      <c r="RGU214" s="2"/>
      <c r="RGV214" s="2"/>
      <c r="RGW214" s="2"/>
      <c r="RGX214" s="260"/>
      <c r="RGY214" s="260"/>
      <c r="RGZ214" s="260"/>
      <c r="RHA214" s="260"/>
      <c r="RHB214" s="260"/>
      <c r="RHC214" s="260"/>
      <c r="RHD214" s="308"/>
      <c r="RHE214" s="290"/>
      <c r="RHF214" s="290"/>
      <c r="RHG214" s="260"/>
      <c r="RHH214" s="260"/>
      <c r="RHI214" s="260"/>
      <c r="RHJ214" s="260"/>
      <c r="RHK214" s="260"/>
      <c r="RHL214" s="2"/>
      <c r="RHM214" s="2"/>
      <c r="RHN214" s="2"/>
      <c r="RHO214" s="2"/>
      <c r="RHP214" s="2"/>
      <c r="RHQ214" s="2"/>
      <c r="RHR214" s="260"/>
      <c r="RHS214" s="2"/>
      <c r="RHT214" s="2"/>
      <c r="RHU214" s="2"/>
      <c r="RHV214" s="2"/>
      <c r="RHW214" s="2"/>
      <c r="RHX214" s="2"/>
      <c r="RHY214" s="2"/>
      <c r="RHZ214" s="260"/>
      <c r="RIA214" s="260"/>
      <c r="RIB214" s="260"/>
      <c r="RIC214" s="380"/>
      <c r="RID214" s="380"/>
      <c r="RIE214" s="380"/>
      <c r="RIF214" s="2"/>
      <c r="RIG214" s="442"/>
      <c r="RIH214" s="442"/>
      <c r="RII214" s="443"/>
      <c r="RIJ214" s="442"/>
      <c r="RIK214" s="442"/>
      <c r="RIL214" s="2"/>
      <c r="RIM214" s="2"/>
      <c r="RIN214" s="2"/>
      <c r="RIO214" s="2"/>
      <c r="RIP214" s="260"/>
      <c r="RIQ214" s="260"/>
      <c r="RIR214" s="260"/>
      <c r="RIS214" s="260"/>
      <c r="RIT214" s="260"/>
      <c r="RIU214" s="260"/>
      <c r="RIV214" s="308"/>
      <c r="RIW214" s="290"/>
      <c r="RIX214" s="290"/>
      <c r="RIY214" s="260"/>
      <c r="RIZ214" s="260"/>
      <c r="RJA214" s="260"/>
      <c r="RJB214" s="260"/>
      <c r="RJC214" s="260"/>
      <c r="RJD214" s="2"/>
      <c r="RJE214" s="2"/>
      <c r="RJF214" s="2"/>
      <c r="RJG214" s="2"/>
      <c r="RJH214" s="2"/>
      <c r="RJI214" s="2"/>
      <c r="RJJ214" s="260"/>
      <c r="RJK214" s="2"/>
      <c r="RJL214" s="2"/>
      <c r="RJM214" s="2"/>
      <c r="RJN214" s="2"/>
      <c r="RJO214" s="2"/>
      <c r="RJP214" s="2"/>
      <c r="RJQ214" s="2"/>
      <c r="RJR214" s="260"/>
      <c r="RJS214" s="260"/>
      <c r="RJT214" s="260"/>
      <c r="RJU214" s="380"/>
      <c r="RJV214" s="380"/>
      <c r="RJW214" s="380"/>
      <c r="RJX214" s="2"/>
      <c r="RJY214" s="442"/>
      <c r="RJZ214" s="442"/>
      <c r="RKA214" s="443"/>
      <c r="RKB214" s="442"/>
      <c r="RKC214" s="442"/>
      <c r="RKD214" s="2"/>
      <c r="RKE214" s="2"/>
      <c r="RKF214" s="2"/>
      <c r="RKG214" s="2"/>
      <c r="RKH214" s="260"/>
      <c r="RKI214" s="260"/>
      <c r="RKJ214" s="260"/>
      <c r="RKK214" s="260"/>
      <c r="RKL214" s="260"/>
      <c r="RKM214" s="260"/>
      <c r="RKN214" s="308"/>
      <c r="RKO214" s="290"/>
      <c r="RKP214" s="290"/>
      <c r="RKQ214" s="260"/>
      <c r="RKR214" s="260"/>
      <c r="RKS214" s="260"/>
      <c r="RKT214" s="260"/>
      <c r="RKU214" s="260"/>
      <c r="RKV214" s="2"/>
      <c r="RKW214" s="2"/>
      <c r="RKX214" s="2"/>
      <c r="RKY214" s="2"/>
      <c r="RKZ214" s="2"/>
      <c r="RLA214" s="2"/>
      <c r="RLB214" s="260"/>
      <c r="RLC214" s="2"/>
      <c r="RLD214" s="2"/>
      <c r="RLE214" s="2"/>
      <c r="RLF214" s="2"/>
      <c r="RLG214" s="2"/>
      <c r="RLH214" s="2"/>
      <c r="RLI214" s="2"/>
      <c r="RLJ214" s="260"/>
      <c r="RLK214" s="260"/>
      <c r="RLL214" s="260"/>
      <c r="RLM214" s="380"/>
      <c r="RLN214" s="380"/>
      <c r="RLO214" s="380"/>
      <c r="RLP214" s="2"/>
      <c r="RLQ214" s="442"/>
      <c r="RLR214" s="442"/>
      <c r="RLS214" s="443"/>
      <c r="RLT214" s="442"/>
      <c r="RLU214" s="442"/>
      <c r="RLV214" s="2"/>
      <c r="RLW214" s="2"/>
      <c r="RLX214" s="2"/>
      <c r="RLY214" s="2"/>
      <c r="RLZ214" s="260"/>
      <c r="RMA214" s="260"/>
      <c r="RMB214" s="260"/>
      <c r="RMC214" s="260"/>
      <c r="RMD214" s="260"/>
      <c r="RME214" s="260"/>
      <c r="RMF214" s="308"/>
      <c r="RMG214" s="290"/>
      <c r="RMH214" s="290"/>
      <c r="RMI214" s="260"/>
      <c r="RMJ214" s="260"/>
      <c r="RMK214" s="260"/>
      <c r="RML214" s="260"/>
      <c r="RMM214" s="260"/>
      <c r="RMN214" s="2"/>
      <c r="RMO214" s="2"/>
      <c r="RMP214" s="2"/>
      <c r="RMQ214" s="2"/>
      <c r="RMR214" s="2"/>
      <c r="RMS214" s="2"/>
      <c r="RMT214" s="260"/>
      <c r="RMU214" s="2"/>
      <c r="RMV214" s="2"/>
      <c r="RMW214" s="2"/>
      <c r="RMX214" s="2"/>
      <c r="RMY214" s="2"/>
      <c r="RMZ214" s="2"/>
      <c r="RNA214" s="2"/>
      <c r="RNB214" s="260"/>
      <c r="RNC214" s="260"/>
      <c r="RND214" s="260"/>
      <c r="RNE214" s="380"/>
      <c r="RNF214" s="380"/>
      <c r="RNG214" s="380"/>
      <c r="RNH214" s="2"/>
      <c r="RNI214" s="442"/>
      <c r="RNJ214" s="442"/>
      <c r="RNK214" s="443"/>
      <c r="RNL214" s="442"/>
      <c r="RNM214" s="442"/>
      <c r="RNN214" s="2"/>
      <c r="RNO214" s="2"/>
      <c r="RNP214" s="2"/>
      <c r="RNQ214" s="2"/>
      <c r="RNR214" s="260"/>
      <c r="RNS214" s="260"/>
      <c r="RNT214" s="260"/>
      <c r="RNU214" s="260"/>
      <c r="RNV214" s="260"/>
      <c r="RNW214" s="260"/>
      <c r="RNX214" s="308"/>
      <c r="RNY214" s="290"/>
      <c r="RNZ214" s="290"/>
      <c r="ROA214" s="260"/>
      <c r="ROB214" s="260"/>
      <c r="ROC214" s="260"/>
      <c r="ROD214" s="260"/>
      <c r="ROE214" s="260"/>
      <c r="ROF214" s="2"/>
      <c r="ROG214" s="2"/>
      <c r="ROH214" s="2"/>
      <c r="ROI214" s="2"/>
      <c r="ROJ214" s="2"/>
      <c r="ROK214" s="2"/>
      <c r="ROL214" s="260"/>
      <c r="ROM214" s="2"/>
      <c r="RON214" s="2"/>
      <c r="ROO214" s="2"/>
      <c r="ROP214" s="2"/>
      <c r="ROQ214" s="2"/>
      <c r="ROR214" s="2"/>
      <c r="ROS214" s="2"/>
      <c r="ROT214" s="260"/>
      <c r="ROU214" s="260"/>
      <c r="ROV214" s="260"/>
      <c r="ROW214" s="380"/>
      <c r="ROX214" s="380"/>
      <c r="ROY214" s="380"/>
      <c r="ROZ214" s="2"/>
      <c r="RPA214" s="442"/>
      <c r="RPB214" s="442"/>
      <c r="RPC214" s="443"/>
      <c r="RPD214" s="442"/>
      <c r="RPE214" s="442"/>
      <c r="RPF214" s="2"/>
      <c r="RPG214" s="2"/>
      <c r="RPH214" s="2"/>
      <c r="RPI214" s="2"/>
      <c r="RPJ214" s="260"/>
      <c r="RPK214" s="260"/>
      <c r="RPL214" s="260"/>
      <c r="RPM214" s="260"/>
      <c r="RPN214" s="260"/>
      <c r="RPO214" s="260"/>
      <c r="RPP214" s="308"/>
      <c r="RPQ214" s="290"/>
      <c r="RPR214" s="290"/>
      <c r="RPS214" s="260"/>
      <c r="RPT214" s="260"/>
      <c r="RPU214" s="260"/>
      <c r="RPV214" s="260"/>
      <c r="RPW214" s="260"/>
      <c r="RPX214" s="2"/>
      <c r="RPY214" s="2"/>
      <c r="RPZ214" s="2"/>
      <c r="RQA214" s="2"/>
      <c r="RQB214" s="2"/>
      <c r="RQC214" s="2"/>
      <c r="RQD214" s="260"/>
      <c r="RQE214" s="2"/>
      <c r="RQF214" s="2"/>
      <c r="RQG214" s="2"/>
      <c r="RQH214" s="2"/>
      <c r="RQI214" s="2"/>
      <c r="RQJ214" s="2"/>
      <c r="RQK214" s="2"/>
      <c r="RQL214" s="260"/>
      <c r="RQM214" s="260"/>
      <c r="RQN214" s="260"/>
      <c r="RQO214" s="380"/>
      <c r="RQP214" s="380"/>
      <c r="RQQ214" s="380"/>
      <c r="RQR214" s="2"/>
      <c r="RQS214" s="442"/>
      <c r="RQT214" s="442"/>
      <c r="RQU214" s="443"/>
      <c r="RQV214" s="442"/>
      <c r="RQW214" s="442"/>
      <c r="RQX214" s="2"/>
      <c r="RQY214" s="2"/>
      <c r="RQZ214" s="2"/>
      <c r="RRA214" s="2"/>
      <c r="RRB214" s="260"/>
      <c r="RRC214" s="260"/>
      <c r="RRD214" s="260"/>
      <c r="RRE214" s="260"/>
      <c r="RRF214" s="260"/>
      <c r="RRG214" s="260"/>
      <c r="RRH214" s="308"/>
      <c r="RRI214" s="290"/>
      <c r="RRJ214" s="290"/>
      <c r="RRK214" s="260"/>
      <c r="RRL214" s="260"/>
      <c r="RRM214" s="260"/>
      <c r="RRN214" s="260"/>
      <c r="RRO214" s="260"/>
      <c r="RRP214" s="2"/>
      <c r="RRQ214" s="2"/>
      <c r="RRR214" s="2"/>
      <c r="RRS214" s="2"/>
      <c r="RRT214" s="2"/>
      <c r="RRU214" s="2"/>
      <c r="RRV214" s="260"/>
      <c r="RRW214" s="2"/>
      <c r="RRX214" s="2"/>
      <c r="RRY214" s="2"/>
      <c r="RRZ214" s="2"/>
      <c r="RSA214" s="2"/>
      <c r="RSB214" s="2"/>
      <c r="RSC214" s="2"/>
      <c r="RSD214" s="260"/>
      <c r="RSE214" s="260"/>
      <c r="RSF214" s="260"/>
      <c r="RSG214" s="380"/>
      <c r="RSH214" s="380"/>
      <c r="RSI214" s="380"/>
      <c r="RSJ214" s="2"/>
      <c r="RSK214" s="442"/>
      <c r="RSL214" s="442"/>
      <c r="RSM214" s="443"/>
      <c r="RSN214" s="442"/>
      <c r="RSO214" s="442"/>
      <c r="RSP214" s="2"/>
      <c r="RSQ214" s="2"/>
      <c r="RSR214" s="2"/>
      <c r="RSS214" s="2"/>
      <c r="RST214" s="260"/>
      <c r="RSU214" s="260"/>
      <c r="RSV214" s="260"/>
      <c r="RSW214" s="260"/>
      <c r="RSX214" s="260"/>
      <c r="RSY214" s="260"/>
      <c r="RSZ214" s="308"/>
      <c r="RTA214" s="290"/>
      <c r="RTB214" s="290"/>
      <c r="RTC214" s="260"/>
      <c r="RTD214" s="260"/>
      <c r="RTE214" s="260"/>
      <c r="RTF214" s="260"/>
      <c r="RTG214" s="260"/>
      <c r="RTH214" s="2"/>
      <c r="RTI214" s="2"/>
      <c r="RTJ214" s="2"/>
      <c r="RTK214" s="2"/>
      <c r="RTL214" s="2"/>
      <c r="RTM214" s="2"/>
      <c r="RTN214" s="260"/>
      <c r="RTO214" s="2"/>
      <c r="RTP214" s="2"/>
      <c r="RTQ214" s="2"/>
      <c r="RTR214" s="2"/>
      <c r="RTS214" s="2"/>
      <c r="RTT214" s="2"/>
      <c r="RTU214" s="2"/>
      <c r="RTV214" s="260"/>
      <c r="RTW214" s="260"/>
      <c r="RTX214" s="260"/>
      <c r="RTY214" s="380"/>
      <c r="RTZ214" s="380"/>
      <c r="RUA214" s="380"/>
      <c r="RUB214" s="2"/>
      <c r="RUC214" s="442"/>
      <c r="RUD214" s="442"/>
      <c r="RUE214" s="443"/>
      <c r="RUF214" s="442"/>
      <c r="RUG214" s="442"/>
      <c r="RUH214" s="2"/>
      <c r="RUI214" s="2"/>
      <c r="RUJ214" s="2"/>
      <c r="RUK214" s="2"/>
      <c r="RUL214" s="260"/>
      <c r="RUM214" s="260"/>
      <c r="RUN214" s="260"/>
      <c r="RUO214" s="260"/>
      <c r="RUP214" s="260"/>
      <c r="RUQ214" s="260"/>
      <c r="RUR214" s="308"/>
      <c r="RUS214" s="290"/>
      <c r="RUT214" s="290"/>
      <c r="RUU214" s="260"/>
      <c r="RUV214" s="260"/>
      <c r="RUW214" s="260"/>
      <c r="RUX214" s="260"/>
      <c r="RUY214" s="260"/>
      <c r="RUZ214" s="2"/>
      <c r="RVA214" s="2"/>
      <c r="RVB214" s="2"/>
      <c r="RVC214" s="2"/>
      <c r="RVD214" s="2"/>
      <c r="RVE214" s="2"/>
      <c r="RVF214" s="260"/>
      <c r="RVG214" s="2"/>
      <c r="RVH214" s="2"/>
      <c r="RVI214" s="2"/>
      <c r="RVJ214" s="2"/>
      <c r="RVK214" s="2"/>
      <c r="RVL214" s="2"/>
      <c r="RVM214" s="2"/>
      <c r="RVN214" s="260"/>
      <c r="RVO214" s="260"/>
      <c r="RVP214" s="260"/>
      <c r="RVQ214" s="380"/>
      <c r="RVR214" s="380"/>
      <c r="RVS214" s="380"/>
      <c r="RVT214" s="2"/>
      <c r="RVU214" s="442"/>
      <c r="RVV214" s="442"/>
      <c r="RVW214" s="443"/>
      <c r="RVX214" s="442"/>
      <c r="RVY214" s="442"/>
      <c r="RVZ214" s="2"/>
      <c r="RWA214" s="2"/>
      <c r="RWB214" s="2"/>
      <c r="RWC214" s="2"/>
      <c r="RWD214" s="260"/>
      <c r="RWE214" s="260"/>
      <c r="RWF214" s="260"/>
      <c r="RWG214" s="260"/>
      <c r="RWH214" s="260"/>
      <c r="RWI214" s="260"/>
      <c r="RWJ214" s="308"/>
      <c r="RWK214" s="290"/>
      <c r="RWL214" s="290"/>
      <c r="RWM214" s="260"/>
      <c r="RWN214" s="260"/>
      <c r="RWO214" s="260"/>
      <c r="RWP214" s="260"/>
      <c r="RWQ214" s="260"/>
      <c r="RWR214" s="2"/>
      <c r="RWS214" s="2"/>
      <c r="RWT214" s="2"/>
      <c r="RWU214" s="2"/>
      <c r="RWV214" s="2"/>
      <c r="RWW214" s="2"/>
      <c r="RWX214" s="260"/>
      <c r="RWY214" s="2"/>
      <c r="RWZ214" s="2"/>
      <c r="RXA214" s="2"/>
      <c r="RXB214" s="2"/>
      <c r="RXC214" s="2"/>
      <c r="RXD214" s="2"/>
      <c r="RXE214" s="2"/>
      <c r="RXF214" s="260"/>
      <c r="RXG214" s="260"/>
      <c r="RXH214" s="260"/>
      <c r="RXI214" s="380"/>
      <c r="RXJ214" s="380"/>
      <c r="RXK214" s="380"/>
      <c r="RXL214" s="2"/>
      <c r="RXM214" s="442"/>
      <c r="RXN214" s="442"/>
      <c r="RXO214" s="443"/>
      <c r="RXP214" s="442"/>
      <c r="RXQ214" s="442"/>
      <c r="RXR214" s="2"/>
      <c r="RXS214" s="2"/>
      <c r="RXT214" s="2"/>
      <c r="RXU214" s="2"/>
      <c r="RXV214" s="260"/>
      <c r="RXW214" s="260"/>
      <c r="RXX214" s="260"/>
      <c r="RXY214" s="260"/>
      <c r="RXZ214" s="260"/>
      <c r="RYA214" s="260"/>
      <c r="RYB214" s="308"/>
      <c r="RYC214" s="290"/>
      <c r="RYD214" s="290"/>
      <c r="RYE214" s="260"/>
      <c r="RYF214" s="260"/>
      <c r="RYG214" s="260"/>
      <c r="RYH214" s="260"/>
      <c r="RYI214" s="260"/>
      <c r="RYJ214" s="2"/>
      <c r="RYK214" s="2"/>
      <c r="RYL214" s="2"/>
      <c r="RYM214" s="2"/>
      <c r="RYN214" s="2"/>
      <c r="RYO214" s="2"/>
      <c r="RYP214" s="260"/>
      <c r="RYQ214" s="2"/>
      <c r="RYR214" s="2"/>
      <c r="RYS214" s="2"/>
      <c r="RYT214" s="2"/>
      <c r="RYU214" s="2"/>
      <c r="RYV214" s="2"/>
      <c r="RYW214" s="2"/>
      <c r="RYX214" s="260"/>
      <c r="RYY214" s="260"/>
      <c r="RYZ214" s="260"/>
      <c r="RZA214" s="380"/>
      <c r="RZB214" s="380"/>
      <c r="RZC214" s="380"/>
      <c r="RZD214" s="2"/>
      <c r="RZE214" s="442"/>
      <c r="RZF214" s="442"/>
      <c r="RZG214" s="443"/>
      <c r="RZH214" s="442"/>
      <c r="RZI214" s="442"/>
      <c r="RZJ214" s="2"/>
      <c r="RZK214" s="2"/>
      <c r="RZL214" s="2"/>
      <c r="RZM214" s="2"/>
      <c r="RZN214" s="260"/>
      <c r="RZO214" s="260"/>
      <c r="RZP214" s="260"/>
      <c r="RZQ214" s="260"/>
      <c r="RZR214" s="260"/>
      <c r="RZS214" s="260"/>
      <c r="RZT214" s="308"/>
      <c r="RZU214" s="290"/>
      <c r="RZV214" s="290"/>
      <c r="RZW214" s="260"/>
      <c r="RZX214" s="260"/>
      <c r="RZY214" s="260"/>
      <c r="RZZ214" s="260"/>
      <c r="SAA214" s="260"/>
      <c r="SAB214" s="2"/>
      <c r="SAC214" s="2"/>
      <c r="SAD214" s="2"/>
      <c r="SAE214" s="2"/>
      <c r="SAF214" s="2"/>
      <c r="SAG214" s="2"/>
      <c r="SAH214" s="260"/>
      <c r="SAI214" s="2"/>
      <c r="SAJ214" s="2"/>
      <c r="SAK214" s="2"/>
      <c r="SAL214" s="2"/>
      <c r="SAM214" s="2"/>
      <c r="SAN214" s="2"/>
      <c r="SAO214" s="2"/>
      <c r="SAP214" s="260"/>
      <c r="SAQ214" s="260"/>
      <c r="SAR214" s="260"/>
      <c r="SAS214" s="380"/>
      <c r="SAT214" s="380"/>
      <c r="SAU214" s="380"/>
      <c r="SAV214" s="2"/>
      <c r="SAW214" s="442"/>
      <c r="SAX214" s="442"/>
      <c r="SAY214" s="443"/>
      <c r="SAZ214" s="442"/>
      <c r="SBA214" s="442"/>
      <c r="SBB214" s="2"/>
      <c r="SBC214" s="2"/>
      <c r="SBD214" s="2"/>
      <c r="SBE214" s="2"/>
      <c r="SBF214" s="260"/>
      <c r="SBG214" s="260"/>
      <c r="SBH214" s="260"/>
      <c r="SBI214" s="260"/>
      <c r="SBJ214" s="260"/>
      <c r="SBK214" s="260"/>
      <c r="SBL214" s="308"/>
      <c r="SBM214" s="290"/>
      <c r="SBN214" s="290"/>
      <c r="SBO214" s="260"/>
      <c r="SBP214" s="260"/>
      <c r="SBQ214" s="260"/>
      <c r="SBR214" s="260"/>
      <c r="SBS214" s="260"/>
      <c r="SBT214" s="2"/>
      <c r="SBU214" s="2"/>
      <c r="SBV214" s="2"/>
      <c r="SBW214" s="2"/>
      <c r="SBX214" s="2"/>
      <c r="SBY214" s="2"/>
      <c r="SBZ214" s="260"/>
      <c r="SCA214" s="2"/>
      <c r="SCB214" s="2"/>
      <c r="SCC214" s="2"/>
      <c r="SCD214" s="2"/>
      <c r="SCE214" s="2"/>
      <c r="SCF214" s="2"/>
      <c r="SCG214" s="2"/>
      <c r="SCH214" s="260"/>
      <c r="SCI214" s="260"/>
      <c r="SCJ214" s="260"/>
      <c r="SCK214" s="380"/>
      <c r="SCL214" s="380"/>
      <c r="SCM214" s="380"/>
      <c r="SCN214" s="2"/>
      <c r="SCO214" s="442"/>
      <c r="SCP214" s="442"/>
      <c r="SCQ214" s="443"/>
      <c r="SCR214" s="442"/>
      <c r="SCS214" s="442"/>
      <c r="SCT214" s="2"/>
      <c r="SCU214" s="2"/>
      <c r="SCV214" s="2"/>
      <c r="SCW214" s="2"/>
      <c r="SCX214" s="260"/>
      <c r="SCY214" s="260"/>
      <c r="SCZ214" s="260"/>
      <c r="SDA214" s="260"/>
      <c r="SDB214" s="260"/>
      <c r="SDC214" s="260"/>
      <c r="SDD214" s="308"/>
      <c r="SDE214" s="290"/>
      <c r="SDF214" s="290"/>
      <c r="SDG214" s="260"/>
      <c r="SDH214" s="260"/>
      <c r="SDI214" s="260"/>
      <c r="SDJ214" s="260"/>
      <c r="SDK214" s="260"/>
      <c r="SDL214" s="2"/>
      <c r="SDM214" s="2"/>
      <c r="SDN214" s="2"/>
      <c r="SDO214" s="2"/>
      <c r="SDP214" s="2"/>
      <c r="SDQ214" s="2"/>
      <c r="SDR214" s="260"/>
      <c r="SDS214" s="2"/>
      <c r="SDT214" s="2"/>
      <c r="SDU214" s="2"/>
      <c r="SDV214" s="2"/>
      <c r="SDW214" s="2"/>
      <c r="SDX214" s="2"/>
      <c r="SDY214" s="2"/>
      <c r="SDZ214" s="260"/>
      <c r="SEA214" s="260"/>
      <c r="SEB214" s="260"/>
      <c r="SEC214" s="380"/>
      <c r="SED214" s="380"/>
      <c r="SEE214" s="380"/>
      <c r="SEF214" s="2"/>
      <c r="SEG214" s="442"/>
      <c r="SEH214" s="442"/>
      <c r="SEI214" s="443"/>
      <c r="SEJ214" s="442"/>
      <c r="SEK214" s="442"/>
      <c r="SEL214" s="2"/>
      <c r="SEM214" s="2"/>
      <c r="SEN214" s="2"/>
      <c r="SEO214" s="2"/>
      <c r="SEP214" s="260"/>
      <c r="SEQ214" s="260"/>
      <c r="SER214" s="260"/>
      <c r="SES214" s="260"/>
      <c r="SET214" s="260"/>
      <c r="SEU214" s="260"/>
      <c r="SEV214" s="308"/>
      <c r="SEW214" s="290"/>
      <c r="SEX214" s="290"/>
      <c r="SEY214" s="260"/>
      <c r="SEZ214" s="260"/>
      <c r="SFA214" s="260"/>
      <c r="SFB214" s="260"/>
      <c r="SFC214" s="260"/>
      <c r="SFD214" s="2"/>
      <c r="SFE214" s="2"/>
      <c r="SFF214" s="2"/>
      <c r="SFG214" s="2"/>
      <c r="SFH214" s="2"/>
      <c r="SFI214" s="2"/>
      <c r="SFJ214" s="260"/>
      <c r="SFK214" s="2"/>
      <c r="SFL214" s="2"/>
      <c r="SFM214" s="2"/>
      <c r="SFN214" s="2"/>
      <c r="SFO214" s="2"/>
      <c r="SFP214" s="2"/>
      <c r="SFQ214" s="2"/>
      <c r="SFR214" s="260"/>
      <c r="SFS214" s="260"/>
      <c r="SFT214" s="260"/>
      <c r="SFU214" s="380"/>
      <c r="SFV214" s="380"/>
      <c r="SFW214" s="380"/>
      <c r="SFX214" s="2"/>
      <c r="SFY214" s="442"/>
      <c r="SFZ214" s="442"/>
      <c r="SGA214" s="443"/>
      <c r="SGB214" s="442"/>
      <c r="SGC214" s="442"/>
      <c r="SGD214" s="2"/>
      <c r="SGE214" s="2"/>
      <c r="SGF214" s="2"/>
      <c r="SGG214" s="2"/>
      <c r="SGH214" s="260"/>
      <c r="SGI214" s="260"/>
      <c r="SGJ214" s="260"/>
      <c r="SGK214" s="260"/>
      <c r="SGL214" s="260"/>
      <c r="SGM214" s="260"/>
      <c r="SGN214" s="308"/>
      <c r="SGO214" s="290"/>
      <c r="SGP214" s="290"/>
      <c r="SGQ214" s="260"/>
      <c r="SGR214" s="260"/>
      <c r="SGS214" s="260"/>
      <c r="SGT214" s="260"/>
      <c r="SGU214" s="260"/>
      <c r="SGV214" s="2"/>
      <c r="SGW214" s="2"/>
      <c r="SGX214" s="2"/>
      <c r="SGY214" s="2"/>
      <c r="SGZ214" s="2"/>
      <c r="SHA214" s="2"/>
      <c r="SHB214" s="260"/>
      <c r="SHC214" s="2"/>
      <c r="SHD214" s="2"/>
      <c r="SHE214" s="2"/>
      <c r="SHF214" s="2"/>
      <c r="SHG214" s="2"/>
      <c r="SHH214" s="2"/>
      <c r="SHI214" s="2"/>
      <c r="SHJ214" s="260"/>
      <c r="SHK214" s="260"/>
      <c r="SHL214" s="260"/>
      <c r="SHM214" s="380"/>
      <c r="SHN214" s="380"/>
      <c r="SHO214" s="380"/>
      <c r="SHP214" s="2"/>
      <c r="SHQ214" s="442"/>
      <c r="SHR214" s="442"/>
      <c r="SHS214" s="443"/>
      <c r="SHT214" s="442"/>
      <c r="SHU214" s="442"/>
      <c r="SHV214" s="2"/>
      <c r="SHW214" s="2"/>
      <c r="SHX214" s="2"/>
      <c r="SHY214" s="2"/>
      <c r="SHZ214" s="260"/>
      <c r="SIA214" s="260"/>
      <c r="SIB214" s="260"/>
      <c r="SIC214" s="260"/>
      <c r="SID214" s="260"/>
      <c r="SIE214" s="260"/>
      <c r="SIF214" s="308"/>
      <c r="SIG214" s="290"/>
      <c r="SIH214" s="290"/>
      <c r="SII214" s="260"/>
      <c r="SIJ214" s="260"/>
      <c r="SIK214" s="260"/>
      <c r="SIL214" s="260"/>
      <c r="SIM214" s="260"/>
      <c r="SIN214" s="2"/>
      <c r="SIO214" s="2"/>
      <c r="SIP214" s="2"/>
      <c r="SIQ214" s="2"/>
      <c r="SIR214" s="2"/>
      <c r="SIS214" s="2"/>
      <c r="SIT214" s="260"/>
      <c r="SIU214" s="2"/>
      <c r="SIV214" s="2"/>
      <c r="SIW214" s="2"/>
      <c r="SIX214" s="2"/>
      <c r="SIY214" s="2"/>
      <c r="SIZ214" s="2"/>
      <c r="SJA214" s="2"/>
      <c r="SJB214" s="260"/>
      <c r="SJC214" s="260"/>
      <c r="SJD214" s="260"/>
      <c r="SJE214" s="380"/>
      <c r="SJF214" s="380"/>
      <c r="SJG214" s="380"/>
      <c r="SJH214" s="2"/>
      <c r="SJI214" s="442"/>
      <c r="SJJ214" s="442"/>
      <c r="SJK214" s="443"/>
      <c r="SJL214" s="442"/>
      <c r="SJM214" s="442"/>
      <c r="SJN214" s="2"/>
      <c r="SJO214" s="2"/>
      <c r="SJP214" s="2"/>
      <c r="SJQ214" s="2"/>
      <c r="SJR214" s="260"/>
      <c r="SJS214" s="260"/>
      <c r="SJT214" s="260"/>
      <c r="SJU214" s="260"/>
      <c r="SJV214" s="260"/>
      <c r="SJW214" s="260"/>
      <c r="SJX214" s="308"/>
      <c r="SJY214" s="290"/>
      <c r="SJZ214" s="290"/>
      <c r="SKA214" s="260"/>
      <c r="SKB214" s="260"/>
      <c r="SKC214" s="260"/>
      <c r="SKD214" s="260"/>
      <c r="SKE214" s="260"/>
      <c r="SKF214" s="2"/>
      <c r="SKG214" s="2"/>
      <c r="SKH214" s="2"/>
      <c r="SKI214" s="2"/>
      <c r="SKJ214" s="2"/>
      <c r="SKK214" s="2"/>
      <c r="SKL214" s="260"/>
      <c r="SKM214" s="2"/>
      <c r="SKN214" s="2"/>
      <c r="SKO214" s="2"/>
      <c r="SKP214" s="2"/>
      <c r="SKQ214" s="2"/>
      <c r="SKR214" s="2"/>
      <c r="SKS214" s="2"/>
      <c r="SKT214" s="260"/>
      <c r="SKU214" s="260"/>
      <c r="SKV214" s="260"/>
      <c r="SKW214" s="380"/>
      <c r="SKX214" s="380"/>
      <c r="SKY214" s="380"/>
      <c r="SKZ214" s="2"/>
      <c r="SLA214" s="442"/>
      <c r="SLB214" s="442"/>
      <c r="SLC214" s="443"/>
      <c r="SLD214" s="442"/>
      <c r="SLE214" s="442"/>
      <c r="SLF214" s="2"/>
      <c r="SLG214" s="2"/>
      <c r="SLH214" s="2"/>
      <c r="SLI214" s="2"/>
      <c r="SLJ214" s="260"/>
      <c r="SLK214" s="260"/>
      <c r="SLL214" s="260"/>
      <c r="SLM214" s="260"/>
      <c r="SLN214" s="260"/>
      <c r="SLO214" s="260"/>
      <c r="SLP214" s="308"/>
      <c r="SLQ214" s="290"/>
      <c r="SLR214" s="290"/>
      <c r="SLS214" s="260"/>
      <c r="SLT214" s="260"/>
      <c r="SLU214" s="260"/>
      <c r="SLV214" s="260"/>
      <c r="SLW214" s="260"/>
      <c r="SLX214" s="2"/>
      <c r="SLY214" s="2"/>
      <c r="SLZ214" s="2"/>
      <c r="SMA214" s="2"/>
      <c r="SMB214" s="2"/>
      <c r="SMC214" s="2"/>
      <c r="SMD214" s="260"/>
      <c r="SME214" s="2"/>
      <c r="SMF214" s="2"/>
      <c r="SMG214" s="2"/>
      <c r="SMH214" s="2"/>
      <c r="SMI214" s="2"/>
      <c r="SMJ214" s="2"/>
      <c r="SMK214" s="2"/>
      <c r="SML214" s="260"/>
      <c r="SMM214" s="260"/>
      <c r="SMN214" s="260"/>
      <c r="SMO214" s="380"/>
      <c r="SMP214" s="380"/>
      <c r="SMQ214" s="380"/>
      <c r="SMR214" s="2"/>
      <c r="SMS214" s="442"/>
      <c r="SMT214" s="442"/>
      <c r="SMU214" s="443"/>
      <c r="SMV214" s="442"/>
      <c r="SMW214" s="442"/>
      <c r="SMX214" s="2"/>
      <c r="SMY214" s="2"/>
      <c r="SMZ214" s="2"/>
      <c r="SNA214" s="2"/>
      <c r="SNB214" s="260"/>
      <c r="SNC214" s="260"/>
      <c r="SND214" s="260"/>
      <c r="SNE214" s="260"/>
      <c r="SNF214" s="260"/>
      <c r="SNG214" s="260"/>
      <c r="SNH214" s="308"/>
      <c r="SNI214" s="290"/>
      <c r="SNJ214" s="290"/>
      <c r="SNK214" s="260"/>
      <c r="SNL214" s="260"/>
      <c r="SNM214" s="260"/>
      <c r="SNN214" s="260"/>
      <c r="SNO214" s="260"/>
      <c r="SNP214" s="2"/>
      <c r="SNQ214" s="2"/>
      <c r="SNR214" s="2"/>
      <c r="SNS214" s="2"/>
      <c r="SNT214" s="2"/>
      <c r="SNU214" s="2"/>
      <c r="SNV214" s="260"/>
      <c r="SNW214" s="2"/>
      <c r="SNX214" s="2"/>
      <c r="SNY214" s="2"/>
      <c r="SNZ214" s="2"/>
      <c r="SOA214" s="2"/>
      <c r="SOB214" s="2"/>
      <c r="SOC214" s="2"/>
      <c r="SOD214" s="260"/>
      <c r="SOE214" s="260"/>
      <c r="SOF214" s="260"/>
      <c r="SOG214" s="380"/>
      <c r="SOH214" s="380"/>
      <c r="SOI214" s="380"/>
      <c r="SOJ214" s="2"/>
      <c r="SOK214" s="442"/>
      <c r="SOL214" s="442"/>
      <c r="SOM214" s="443"/>
      <c r="SON214" s="442"/>
      <c r="SOO214" s="442"/>
      <c r="SOP214" s="2"/>
      <c r="SOQ214" s="2"/>
      <c r="SOR214" s="2"/>
      <c r="SOS214" s="2"/>
      <c r="SOT214" s="260"/>
      <c r="SOU214" s="260"/>
      <c r="SOV214" s="260"/>
      <c r="SOW214" s="260"/>
      <c r="SOX214" s="260"/>
      <c r="SOY214" s="260"/>
      <c r="SOZ214" s="308"/>
      <c r="SPA214" s="290"/>
      <c r="SPB214" s="290"/>
      <c r="SPC214" s="260"/>
      <c r="SPD214" s="260"/>
      <c r="SPE214" s="260"/>
      <c r="SPF214" s="260"/>
      <c r="SPG214" s="260"/>
      <c r="SPH214" s="2"/>
      <c r="SPI214" s="2"/>
      <c r="SPJ214" s="2"/>
      <c r="SPK214" s="2"/>
      <c r="SPL214" s="2"/>
      <c r="SPM214" s="2"/>
      <c r="SPN214" s="260"/>
      <c r="SPO214" s="2"/>
      <c r="SPP214" s="2"/>
      <c r="SPQ214" s="2"/>
      <c r="SPR214" s="2"/>
      <c r="SPS214" s="2"/>
      <c r="SPT214" s="2"/>
      <c r="SPU214" s="2"/>
      <c r="SPV214" s="260"/>
      <c r="SPW214" s="260"/>
      <c r="SPX214" s="260"/>
      <c r="SPY214" s="380"/>
      <c r="SPZ214" s="380"/>
      <c r="SQA214" s="380"/>
      <c r="SQB214" s="2"/>
      <c r="SQC214" s="442"/>
      <c r="SQD214" s="442"/>
      <c r="SQE214" s="443"/>
      <c r="SQF214" s="442"/>
      <c r="SQG214" s="442"/>
      <c r="SQH214" s="2"/>
      <c r="SQI214" s="2"/>
      <c r="SQJ214" s="2"/>
      <c r="SQK214" s="2"/>
      <c r="SQL214" s="260"/>
      <c r="SQM214" s="260"/>
      <c r="SQN214" s="260"/>
      <c r="SQO214" s="260"/>
      <c r="SQP214" s="260"/>
      <c r="SQQ214" s="260"/>
      <c r="SQR214" s="308"/>
      <c r="SQS214" s="290"/>
      <c r="SQT214" s="290"/>
      <c r="SQU214" s="260"/>
      <c r="SQV214" s="260"/>
      <c r="SQW214" s="260"/>
      <c r="SQX214" s="260"/>
      <c r="SQY214" s="260"/>
      <c r="SQZ214" s="2"/>
      <c r="SRA214" s="2"/>
      <c r="SRB214" s="2"/>
      <c r="SRC214" s="2"/>
      <c r="SRD214" s="2"/>
      <c r="SRE214" s="2"/>
      <c r="SRF214" s="260"/>
      <c r="SRG214" s="2"/>
      <c r="SRH214" s="2"/>
      <c r="SRI214" s="2"/>
      <c r="SRJ214" s="2"/>
      <c r="SRK214" s="2"/>
      <c r="SRL214" s="2"/>
      <c r="SRM214" s="2"/>
      <c r="SRN214" s="260"/>
      <c r="SRO214" s="260"/>
      <c r="SRP214" s="260"/>
      <c r="SRQ214" s="380"/>
      <c r="SRR214" s="380"/>
      <c r="SRS214" s="380"/>
      <c r="SRT214" s="2"/>
      <c r="SRU214" s="442"/>
      <c r="SRV214" s="442"/>
      <c r="SRW214" s="443"/>
      <c r="SRX214" s="442"/>
      <c r="SRY214" s="442"/>
      <c r="SRZ214" s="2"/>
      <c r="SSA214" s="2"/>
      <c r="SSB214" s="2"/>
      <c r="SSC214" s="2"/>
      <c r="SSD214" s="260"/>
      <c r="SSE214" s="260"/>
      <c r="SSF214" s="260"/>
      <c r="SSG214" s="260"/>
      <c r="SSH214" s="260"/>
      <c r="SSI214" s="260"/>
      <c r="SSJ214" s="308"/>
      <c r="SSK214" s="290"/>
      <c r="SSL214" s="290"/>
      <c r="SSM214" s="260"/>
      <c r="SSN214" s="260"/>
      <c r="SSO214" s="260"/>
      <c r="SSP214" s="260"/>
      <c r="SSQ214" s="260"/>
      <c r="SSR214" s="2"/>
      <c r="SSS214" s="2"/>
      <c r="SST214" s="2"/>
      <c r="SSU214" s="2"/>
      <c r="SSV214" s="2"/>
      <c r="SSW214" s="2"/>
      <c r="SSX214" s="260"/>
      <c r="SSY214" s="2"/>
      <c r="SSZ214" s="2"/>
      <c r="STA214" s="2"/>
      <c r="STB214" s="2"/>
      <c r="STC214" s="2"/>
      <c r="STD214" s="2"/>
      <c r="STE214" s="2"/>
      <c r="STF214" s="260"/>
      <c r="STG214" s="260"/>
      <c r="STH214" s="260"/>
      <c r="STI214" s="380"/>
      <c r="STJ214" s="380"/>
      <c r="STK214" s="380"/>
      <c r="STL214" s="2"/>
      <c r="STM214" s="442"/>
      <c r="STN214" s="442"/>
      <c r="STO214" s="443"/>
      <c r="STP214" s="442"/>
      <c r="STQ214" s="442"/>
      <c r="STR214" s="2"/>
      <c r="STS214" s="2"/>
      <c r="STT214" s="2"/>
      <c r="STU214" s="2"/>
      <c r="STV214" s="260"/>
      <c r="STW214" s="260"/>
      <c r="STX214" s="260"/>
      <c r="STY214" s="260"/>
      <c r="STZ214" s="260"/>
      <c r="SUA214" s="260"/>
      <c r="SUB214" s="308"/>
      <c r="SUC214" s="290"/>
      <c r="SUD214" s="290"/>
      <c r="SUE214" s="260"/>
      <c r="SUF214" s="260"/>
      <c r="SUG214" s="260"/>
      <c r="SUH214" s="260"/>
      <c r="SUI214" s="260"/>
      <c r="SUJ214" s="2"/>
      <c r="SUK214" s="2"/>
      <c r="SUL214" s="2"/>
      <c r="SUM214" s="2"/>
      <c r="SUN214" s="2"/>
      <c r="SUO214" s="2"/>
      <c r="SUP214" s="260"/>
      <c r="SUQ214" s="2"/>
      <c r="SUR214" s="2"/>
      <c r="SUS214" s="2"/>
      <c r="SUT214" s="2"/>
      <c r="SUU214" s="2"/>
      <c r="SUV214" s="2"/>
      <c r="SUW214" s="2"/>
      <c r="SUX214" s="260"/>
      <c r="SUY214" s="260"/>
      <c r="SUZ214" s="260"/>
      <c r="SVA214" s="380"/>
      <c r="SVB214" s="380"/>
      <c r="SVC214" s="380"/>
      <c r="SVD214" s="2"/>
      <c r="SVE214" s="442"/>
      <c r="SVF214" s="442"/>
      <c r="SVG214" s="443"/>
      <c r="SVH214" s="442"/>
      <c r="SVI214" s="442"/>
      <c r="SVJ214" s="2"/>
      <c r="SVK214" s="2"/>
      <c r="SVL214" s="2"/>
      <c r="SVM214" s="2"/>
      <c r="SVN214" s="260"/>
      <c r="SVO214" s="260"/>
      <c r="SVP214" s="260"/>
      <c r="SVQ214" s="260"/>
      <c r="SVR214" s="260"/>
      <c r="SVS214" s="260"/>
      <c r="SVT214" s="308"/>
      <c r="SVU214" s="290"/>
      <c r="SVV214" s="290"/>
      <c r="SVW214" s="260"/>
      <c r="SVX214" s="260"/>
      <c r="SVY214" s="260"/>
      <c r="SVZ214" s="260"/>
      <c r="SWA214" s="260"/>
      <c r="SWB214" s="2"/>
      <c r="SWC214" s="2"/>
      <c r="SWD214" s="2"/>
      <c r="SWE214" s="2"/>
      <c r="SWF214" s="2"/>
      <c r="SWG214" s="2"/>
      <c r="SWH214" s="260"/>
      <c r="SWI214" s="2"/>
      <c r="SWJ214" s="2"/>
      <c r="SWK214" s="2"/>
      <c r="SWL214" s="2"/>
      <c r="SWM214" s="2"/>
      <c r="SWN214" s="2"/>
      <c r="SWO214" s="2"/>
      <c r="SWP214" s="260"/>
      <c r="SWQ214" s="260"/>
      <c r="SWR214" s="260"/>
      <c r="SWS214" s="380"/>
      <c r="SWT214" s="380"/>
      <c r="SWU214" s="380"/>
      <c r="SWV214" s="2"/>
      <c r="SWW214" s="442"/>
      <c r="SWX214" s="442"/>
      <c r="SWY214" s="443"/>
      <c r="SWZ214" s="442"/>
      <c r="SXA214" s="442"/>
      <c r="SXB214" s="2"/>
      <c r="SXC214" s="2"/>
      <c r="SXD214" s="2"/>
      <c r="SXE214" s="2"/>
      <c r="SXF214" s="260"/>
      <c r="SXG214" s="260"/>
      <c r="SXH214" s="260"/>
      <c r="SXI214" s="260"/>
      <c r="SXJ214" s="260"/>
      <c r="SXK214" s="260"/>
      <c r="SXL214" s="308"/>
      <c r="SXM214" s="290"/>
      <c r="SXN214" s="290"/>
      <c r="SXO214" s="260"/>
      <c r="SXP214" s="260"/>
      <c r="SXQ214" s="260"/>
      <c r="SXR214" s="260"/>
      <c r="SXS214" s="260"/>
      <c r="SXT214" s="2"/>
      <c r="SXU214" s="2"/>
      <c r="SXV214" s="2"/>
      <c r="SXW214" s="2"/>
      <c r="SXX214" s="2"/>
      <c r="SXY214" s="2"/>
      <c r="SXZ214" s="260"/>
      <c r="SYA214" s="2"/>
      <c r="SYB214" s="2"/>
      <c r="SYC214" s="2"/>
      <c r="SYD214" s="2"/>
      <c r="SYE214" s="2"/>
      <c r="SYF214" s="2"/>
      <c r="SYG214" s="2"/>
      <c r="SYH214" s="260"/>
      <c r="SYI214" s="260"/>
      <c r="SYJ214" s="260"/>
      <c r="SYK214" s="380"/>
      <c r="SYL214" s="380"/>
      <c r="SYM214" s="380"/>
      <c r="SYN214" s="2"/>
      <c r="SYO214" s="442"/>
      <c r="SYP214" s="442"/>
      <c r="SYQ214" s="443"/>
      <c r="SYR214" s="442"/>
      <c r="SYS214" s="442"/>
      <c r="SYT214" s="2"/>
      <c r="SYU214" s="2"/>
      <c r="SYV214" s="2"/>
      <c r="SYW214" s="2"/>
      <c r="SYX214" s="260"/>
      <c r="SYY214" s="260"/>
      <c r="SYZ214" s="260"/>
      <c r="SZA214" s="260"/>
      <c r="SZB214" s="260"/>
      <c r="SZC214" s="260"/>
      <c r="SZD214" s="308"/>
      <c r="SZE214" s="290"/>
      <c r="SZF214" s="290"/>
      <c r="SZG214" s="260"/>
      <c r="SZH214" s="260"/>
      <c r="SZI214" s="260"/>
      <c r="SZJ214" s="260"/>
      <c r="SZK214" s="260"/>
      <c r="SZL214" s="2"/>
      <c r="SZM214" s="2"/>
      <c r="SZN214" s="2"/>
      <c r="SZO214" s="2"/>
      <c r="SZP214" s="2"/>
      <c r="SZQ214" s="2"/>
      <c r="SZR214" s="260"/>
      <c r="SZS214" s="2"/>
      <c r="SZT214" s="2"/>
      <c r="SZU214" s="2"/>
      <c r="SZV214" s="2"/>
      <c r="SZW214" s="2"/>
      <c r="SZX214" s="2"/>
      <c r="SZY214" s="2"/>
      <c r="SZZ214" s="260"/>
      <c r="TAA214" s="260"/>
      <c r="TAB214" s="260"/>
      <c r="TAC214" s="380"/>
      <c r="TAD214" s="380"/>
      <c r="TAE214" s="380"/>
      <c r="TAF214" s="2"/>
      <c r="TAG214" s="442"/>
      <c r="TAH214" s="442"/>
      <c r="TAI214" s="443"/>
      <c r="TAJ214" s="442"/>
      <c r="TAK214" s="442"/>
      <c r="TAL214" s="2"/>
      <c r="TAM214" s="2"/>
      <c r="TAN214" s="2"/>
      <c r="TAO214" s="2"/>
      <c r="TAP214" s="260"/>
      <c r="TAQ214" s="260"/>
      <c r="TAR214" s="260"/>
      <c r="TAS214" s="260"/>
      <c r="TAT214" s="260"/>
      <c r="TAU214" s="260"/>
      <c r="TAV214" s="308"/>
      <c r="TAW214" s="290"/>
      <c r="TAX214" s="290"/>
      <c r="TAY214" s="260"/>
      <c r="TAZ214" s="260"/>
      <c r="TBA214" s="260"/>
      <c r="TBB214" s="260"/>
      <c r="TBC214" s="260"/>
      <c r="TBD214" s="2"/>
      <c r="TBE214" s="2"/>
      <c r="TBF214" s="2"/>
      <c r="TBG214" s="2"/>
      <c r="TBH214" s="2"/>
      <c r="TBI214" s="2"/>
      <c r="TBJ214" s="260"/>
      <c r="TBK214" s="2"/>
      <c r="TBL214" s="2"/>
      <c r="TBM214" s="2"/>
      <c r="TBN214" s="2"/>
      <c r="TBO214" s="2"/>
      <c r="TBP214" s="2"/>
      <c r="TBQ214" s="2"/>
      <c r="TBR214" s="260"/>
      <c r="TBS214" s="260"/>
      <c r="TBT214" s="260"/>
      <c r="TBU214" s="380"/>
      <c r="TBV214" s="380"/>
      <c r="TBW214" s="380"/>
      <c r="TBX214" s="2"/>
      <c r="TBY214" s="442"/>
      <c r="TBZ214" s="442"/>
      <c r="TCA214" s="443"/>
      <c r="TCB214" s="442"/>
      <c r="TCC214" s="442"/>
      <c r="TCD214" s="2"/>
      <c r="TCE214" s="2"/>
      <c r="TCF214" s="2"/>
      <c r="TCG214" s="2"/>
      <c r="TCH214" s="260"/>
      <c r="TCI214" s="260"/>
      <c r="TCJ214" s="260"/>
      <c r="TCK214" s="260"/>
      <c r="TCL214" s="260"/>
      <c r="TCM214" s="260"/>
      <c r="TCN214" s="308"/>
      <c r="TCO214" s="290"/>
      <c r="TCP214" s="290"/>
      <c r="TCQ214" s="260"/>
      <c r="TCR214" s="260"/>
      <c r="TCS214" s="260"/>
      <c r="TCT214" s="260"/>
      <c r="TCU214" s="260"/>
      <c r="TCV214" s="2"/>
      <c r="TCW214" s="2"/>
      <c r="TCX214" s="2"/>
      <c r="TCY214" s="2"/>
      <c r="TCZ214" s="2"/>
      <c r="TDA214" s="2"/>
      <c r="TDB214" s="260"/>
      <c r="TDC214" s="2"/>
      <c r="TDD214" s="2"/>
      <c r="TDE214" s="2"/>
      <c r="TDF214" s="2"/>
      <c r="TDG214" s="2"/>
      <c r="TDH214" s="2"/>
      <c r="TDI214" s="2"/>
      <c r="TDJ214" s="260"/>
      <c r="TDK214" s="260"/>
      <c r="TDL214" s="260"/>
      <c r="TDM214" s="380"/>
      <c r="TDN214" s="380"/>
      <c r="TDO214" s="380"/>
      <c r="TDP214" s="2"/>
      <c r="TDQ214" s="442"/>
      <c r="TDR214" s="442"/>
      <c r="TDS214" s="443"/>
      <c r="TDT214" s="442"/>
      <c r="TDU214" s="442"/>
      <c r="TDV214" s="2"/>
      <c r="TDW214" s="2"/>
      <c r="TDX214" s="2"/>
      <c r="TDY214" s="2"/>
      <c r="TDZ214" s="260"/>
      <c r="TEA214" s="260"/>
      <c r="TEB214" s="260"/>
      <c r="TEC214" s="260"/>
      <c r="TED214" s="260"/>
      <c r="TEE214" s="260"/>
      <c r="TEF214" s="308"/>
      <c r="TEG214" s="290"/>
      <c r="TEH214" s="290"/>
      <c r="TEI214" s="260"/>
      <c r="TEJ214" s="260"/>
      <c r="TEK214" s="260"/>
      <c r="TEL214" s="260"/>
      <c r="TEM214" s="260"/>
      <c r="TEN214" s="2"/>
      <c r="TEO214" s="2"/>
      <c r="TEP214" s="2"/>
      <c r="TEQ214" s="2"/>
      <c r="TER214" s="2"/>
      <c r="TES214" s="2"/>
      <c r="TET214" s="260"/>
      <c r="TEU214" s="2"/>
      <c r="TEV214" s="2"/>
      <c r="TEW214" s="2"/>
      <c r="TEX214" s="2"/>
      <c r="TEY214" s="2"/>
      <c r="TEZ214" s="2"/>
      <c r="TFA214" s="2"/>
      <c r="TFB214" s="260"/>
      <c r="TFC214" s="260"/>
      <c r="TFD214" s="260"/>
      <c r="TFE214" s="380"/>
      <c r="TFF214" s="380"/>
      <c r="TFG214" s="380"/>
      <c r="TFH214" s="2"/>
      <c r="TFI214" s="442"/>
      <c r="TFJ214" s="442"/>
      <c r="TFK214" s="443"/>
      <c r="TFL214" s="442"/>
      <c r="TFM214" s="442"/>
      <c r="TFN214" s="2"/>
      <c r="TFO214" s="2"/>
      <c r="TFP214" s="2"/>
      <c r="TFQ214" s="2"/>
      <c r="TFR214" s="260"/>
      <c r="TFS214" s="260"/>
      <c r="TFT214" s="260"/>
      <c r="TFU214" s="260"/>
      <c r="TFV214" s="260"/>
      <c r="TFW214" s="260"/>
      <c r="TFX214" s="308"/>
      <c r="TFY214" s="290"/>
      <c r="TFZ214" s="290"/>
      <c r="TGA214" s="260"/>
      <c r="TGB214" s="260"/>
      <c r="TGC214" s="260"/>
      <c r="TGD214" s="260"/>
      <c r="TGE214" s="260"/>
      <c r="TGF214" s="2"/>
      <c r="TGG214" s="2"/>
      <c r="TGH214" s="2"/>
      <c r="TGI214" s="2"/>
      <c r="TGJ214" s="2"/>
      <c r="TGK214" s="2"/>
      <c r="TGL214" s="260"/>
      <c r="TGM214" s="2"/>
      <c r="TGN214" s="2"/>
      <c r="TGO214" s="2"/>
      <c r="TGP214" s="2"/>
      <c r="TGQ214" s="2"/>
      <c r="TGR214" s="2"/>
      <c r="TGS214" s="2"/>
      <c r="TGT214" s="260"/>
      <c r="TGU214" s="260"/>
      <c r="TGV214" s="260"/>
      <c r="TGW214" s="380"/>
      <c r="TGX214" s="380"/>
      <c r="TGY214" s="380"/>
      <c r="TGZ214" s="2"/>
      <c r="THA214" s="442"/>
      <c r="THB214" s="442"/>
      <c r="THC214" s="443"/>
      <c r="THD214" s="442"/>
      <c r="THE214" s="442"/>
      <c r="THF214" s="2"/>
      <c r="THG214" s="2"/>
      <c r="THH214" s="2"/>
      <c r="THI214" s="2"/>
      <c r="THJ214" s="260"/>
      <c r="THK214" s="260"/>
      <c r="THL214" s="260"/>
      <c r="THM214" s="260"/>
      <c r="THN214" s="260"/>
      <c r="THO214" s="260"/>
      <c r="THP214" s="308"/>
      <c r="THQ214" s="290"/>
      <c r="THR214" s="290"/>
      <c r="THS214" s="260"/>
      <c r="THT214" s="260"/>
      <c r="THU214" s="260"/>
      <c r="THV214" s="260"/>
      <c r="THW214" s="260"/>
      <c r="THX214" s="2"/>
      <c r="THY214" s="2"/>
      <c r="THZ214" s="2"/>
      <c r="TIA214" s="2"/>
      <c r="TIB214" s="2"/>
      <c r="TIC214" s="2"/>
      <c r="TID214" s="260"/>
      <c r="TIE214" s="2"/>
      <c r="TIF214" s="2"/>
      <c r="TIG214" s="2"/>
      <c r="TIH214" s="2"/>
      <c r="TII214" s="2"/>
      <c r="TIJ214" s="2"/>
      <c r="TIK214" s="2"/>
      <c r="TIL214" s="260"/>
      <c r="TIM214" s="260"/>
      <c r="TIN214" s="260"/>
      <c r="TIO214" s="380"/>
      <c r="TIP214" s="380"/>
      <c r="TIQ214" s="380"/>
      <c r="TIR214" s="2"/>
      <c r="TIS214" s="442"/>
      <c r="TIT214" s="442"/>
      <c r="TIU214" s="443"/>
      <c r="TIV214" s="442"/>
      <c r="TIW214" s="442"/>
      <c r="TIX214" s="2"/>
      <c r="TIY214" s="2"/>
      <c r="TIZ214" s="2"/>
      <c r="TJA214" s="2"/>
      <c r="TJB214" s="260"/>
      <c r="TJC214" s="260"/>
      <c r="TJD214" s="260"/>
      <c r="TJE214" s="260"/>
      <c r="TJF214" s="260"/>
      <c r="TJG214" s="260"/>
      <c r="TJH214" s="308"/>
      <c r="TJI214" s="290"/>
      <c r="TJJ214" s="290"/>
      <c r="TJK214" s="260"/>
      <c r="TJL214" s="260"/>
      <c r="TJM214" s="260"/>
      <c r="TJN214" s="260"/>
      <c r="TJO214" s="260"/>
      <c r="TJP214" s="2"/>
      <c r="TJQ214" s="2"/>
      <c r="TJR214" s="2"/>
      <c r="TJS214" s="2"/>
      <c r="TJT214" s="2"/>
      <c r="TJU214" s="2"/>
      <c r="TJV214" s="260"/>
      <c r="TJW214" s="2"/>
      <c r="TJX214" s="2"/>
      <c r="TJY214" s="2"/>
      <c r="TJZ214" s="2"/>
      <c r="TKA214" s="2"/>
      <c r="TKB214" s="2"/>
      <c r="TKC214" s="2"/>
      <c r="TKD214" s="260"/>
      <c r="TKE214" s="260"/>
      <c r="TKF214" s="260"/>
      <c r="TKG214" s="380"/>
      <c r="TKH214" s="380"/>
      <c r="TKI214" s="380"/>
      <c r="TKJ214" s="2"/>
      <c r="TKK214" s="442"/>
      <c r="TKL214" s="442"/>
      <c r="TKM214" s="443"/>
      <c r="TKN214" s="442"/>
      <c r="TKO214" s="442"/>
      <c r="TKP214" s="2"/>
      <c r="TKQ214" s="2"/>
      <c r="TKR214" s="2"/>
      <c r="TKS214" s="2"/>
      <c r="TKT214" s="260"/>
      <c r="TKU214" s="260"/>
      <c r="TKV214" s="260"/>
      <c r="TKW214" s="260"/>
      <c r="TKX214" s="260"/>
      <c r="TKY214" s="260"/>
      <c r="TKZ214" s="308"/>
      <c r="TLA214" s="290"/>
      <c r="TLB214" s="290"/>
      <c r="TLC214" s="260"/>
      <c r="TLD214" s="260"/>
      <c r="TLE214" s="260"/>
      <c r="TLF214" s="260"/>
      <c r="TLG214" s="260"/>
      <c r="TLH214" s="2"/>
      <c r="TLI214" s="2"/>
      <c r="TLJ214" s="2"/>
      <c r="TLK214" s="2"/>
      <c r="TLL214" s="2"/>
      <c r="TLM214" s="2"/>
      <c r="TLN214" s="260"/>
      <c r="TLO214" s="2"/>
      <c r="TLP214" s="2"/>
      <c r="TLQ214" s="2"/>
      <c r="TLR214" s="2"/>
      <c r="TLS214" s="2"/>
      <c r="TLT214" s="2"/>
      <c r="TLU214" s="2"/>
      <c r="TLV214" s="260"/>
      <c r="TLW214" s="260"/>
      <c r="TLX214" s="260"/>
      <c r="TLY214" s="380"/>
      <c r="TLZ214" s="380"/>
      <c r="TMA214" s="380"/>
      <c r="TMB214" s="2"/>
      <c r="TMC214" s="442"/>
      <c r="TMD214" s="442"/>
      <c r="TME214" s="443"/>
      <c r="TMF214" s="442"/>
      <c r="TMG214" s="442"/>
      <c r="TMH214" s="2"/>
      <c r="TMI214" s="2"/>
      <c r="TMJ214" s="2"/>
      <c r="TMK214" s="2"/>
      <c r="TML214" s="260"/>
      <c r="TMM214" s="260"/>
      <c r="TMN214" s="260"/>
      <c r="TMO214" s="260"/>
      <c r="TMP214" s="260"/>
      <c r="TMQ214" s="260"/>
      <c r="TMR214" s="308"/>
      <c r="TMS214" s="290"/>
      <c r="TMT214" s="290"/>
      <c r="TMU214" s="260"/>
      <c r="TMV214" s="260"/>
      <c r="TMW214" s="260"/>
      <c r="TMX214" s="260"/>
      <c r="TMY214" s="260"/>
      <c r="TMZ214" s="2"/>
      <c r="TNA214" s="2"/>
      <c r="TNB214" s="2"/>
      <c r="TNC214" s="2"/>
      <c r="TND214" s="2"/>
      <c r="TNE214" s="2"/>
      <c r="TNF214" s="260"/>
      <c r="TNG214" s="2"/>
      <c r="TNH214" s="2"/>
      <c r="TNI214" s="2"/>
      <c r="TNJ214" s="2"/>
      <c r="TNK214" s="2"/>
      <c r="TNL214" s="2"/>
      <c r="TNM214" s="2"/>
      <c r="TNN214" s="260"/>
      <c r="TNO214" s="260"/>
      <c r="TNP214" s="260"/>
      <c r="TNQ214" s="380"/>
      <c r="TNR214" s="380"/>
      <c r="TNS214" s="380"/>
      <c r="TNT214" s="2"/>
      <c r="TNU214" s="442"/>
      <c r="TNV214" s="442"/>
      <c r="TNW214" s="443"/>
      <c r="TNX214" s="442"/>
      <c r="TNY214" s="442"/>
      <c r="TNZ214" s="2"/>
      <c r="TOA214" s="2"/>
      <c r="TOB214" s="2"/>
      <c r="TOC214" s="2"/>
      <c r="TOD214" s="260"/>
      <c r="TOE214" s="260"/>
      <c r="TOF214" s="260"/>
      <c r="TOG214" s="260"/>
      <c r="TOH214" s="260"/>
      <c r="TOI214" s="260"/>
      <c r="TOJ214" s="308"/>
      <c r="TOK214" s="290"/>
      <c r="TOL214" s="290"/>
      <c r="TOM214" s="260"/>
      <c r="TON214" s="260"/>
      <c r="TOO214" s="260"/>
      <c r="TOP214" s="260"/>
      <c r="TOQ214" s="260"/>
      <c r="TOR214" s="2"/>
      <c r="TOS214" s="2"/>
      <c r="TOT214" s="2"/>
      <c r="TOU214" s="2"/>
      <c r="TOV214" s="2"/>
      <c r="TOW214" s="2"/>
      <c r="TOX214" s="260"/>
      <c r="TOY214" s="2"/>
      <c r="TOZ214" s="2"/>
      <c r="TPA214" s="2"/>
      <c r="TPB214" s="2"/>
      <c r="TPC214" s="2"/>
      <c r="TPD214" s="2"/>
      <c r="TPE214" s="2"/>
      <c r="TPF214" s="260"/>
      <c r="TPG214" s="260"/>
      <c r="TPH214" s="260"/>
      <c r="TPI214" s="380"/>
      <c r="TPJ214" s="380"/>
      <c r="TPK214" s="380"/>
      <c r="TPL214" s="2"/>
      <c r="TPM214" s="442"/>
      <c r="TPN214" s="442"/>
      <c r="TPO214" s="443"/>
      <c r="TPP214" s="442"/>
      <c r="TPQ214" s="442"/>
      <c r="TPR214" s="2"/>
      <c r="TPS214" s="2"/>
      <c r="TPT214" s="2"/>
      <c r="TPU214" s="2"/>
      <c r="TPV214" s="260"/>
      <c r="TPW214" s="260"/>
      <c r="TPX214" s="260"/>
      <c r="TPY214" s="260"/>
      <c r="TPZ214" s="260"/>
      <c r="TQA214" s="260"/>
      <c r="TQB214" s="308"/>
      <c r="TQC214" s="290"/>
      <c r="TQD214" s="290"/>
      <c r="TQE214" s="260"/>
      <c r="TQF214" s="260"/>
      <c r="TQG214" s="260"/>
      <c r="TQH214" s="260"/>
      <c r="TQI214" s="260"/>
      <c r="TQJ214" s="2"/>
      <c r="TQK214" s="2"/>
      <c r="TQL214" s="2"/>
      <c r="TQM214" s="2"/>
      <c r="TQN214" s="2"/>
      <c r="TQO214" s="2"/>
      <c r="TQP214" s="260"/>
      <c r="TQQ214" s="2"/>
      <c r="TQR214" s="2"/>
      <c r="TQS214" s="2"/>
      <c r="TQT214" s="2"/>
      <c r="TQU214" s="2"/>
      <c r="TQV214" s="2"/>
      <c r="TQW214" s="2"/>
      <c r="TQX214" s="260"/>
      <c r="TQY214" s="260"/>
      <c r="TQZ214" s="260"/>
      <c r="TRA214" s="380"/>
      <c r="TRB214" s="380"/>
      <c r="TRC214" s="380"/>
      <c r="TRD214" s="2"/>
      <c r="TRE214" s="442"/>
      <c r="TRF214" s="442"/>
      <c r="TRG214" s="443"/>
      <c r="TRH214" s="442"/>
      <c r="TRI214" s="442"/>
      <c r="TRJ214" s="2"/>
      <c r="TRK214" s="2"/>
      <c r="TRL214" s="2"/>
      <c r="TRM214" s="2"/>
      <c r="TRN214" s="260"/>
      <c r="TRO214" s="260"/>
      <c r="TRP214" s="260"/>
      <c r="TRQ214" s="260"/>
      <c r="TRR214" s="260"/>
      <c r="TRS214" s="260"/>
      <c r="TRT214" s="308"/>
      <c r="TRU214" s="290"/>
      <c r="TRV214" s="290"/>
      <c r="TRW214" s="260"/>
      <c r="TRX214" s="260"/>
      <c r="TRY214" s="260"/>
      <c r="TRZ214" s="260"/>
      <c r="TSA214" s="260"/>
      <c r="TSB214" s="2"/>
      <c r="TSC214" s="2"/>
      <c r="TSD214" s="2"/>
      <c r="TSE214" s="2"/>
      <c r="TSF214" s="2"/>
      <c r="TSG214" s="2"/>
      <c r="TSH214" s="260"/>
      <c r="TSI214" s="2"/>
      <c r="TSJ214" s="2"/>
      <c r="TSK214" s="2"/>
      <c r="TSL214" s="2"/>
      <c r="TSM214" s="2"/>
      <c r="TSN214" s="2"/>
      <c r="TSO214" s="2"/>
      <c r="TSP214" s="260"/>
      <c r="TSQ214" s="260"/>
      <c r="TSR214" s="260"/>
      <c r="TSS214" s="380"/>
      <c r="TST214" s="380"/>
      <c r="TSU214" s="380"/>
      <c r="TSV214" s="2"/>
      <c r="TSW214" s="442"/>
      <c r="TSX214" s="442"/>
      <c r="TSY214" s="443"/>
      <c r="TSZ214" s="442"/>
      <c r="TTA214" s="442"/>
      <c r="TTB214" s="2"/>
      <c r="TTC214" s="2"/>
      <c r="TTD214" s="2"/>
      <c r="TTE214" s="2"/>
      <c r="TTF214" s="260"/>
      <c r="TTG214" s="260"/>
      <c r="TTH214" s="260"/>
      <c r="TTI214" s="260"/>
      <c r="TTJ214" s="260"/>
      <c r="TTK214" s="260"/>
      <c r="TTL214" s="308"/>
      <c r="TTM214" s="290"/>
      <c r="TTN214" s="290"/>
      <c r="TTO214" s="260"/>
      <c r="TTP214" s="260"/>
      <c r="TTQ214" s="260"/>
      <c r="TTR214" s="260"/>
      <c r="TTS214" s="260"/>
      <c r="TTT214" s="2"/>
      <c r="TTU214" s="2"/>
      <c r="TTV214" s="2"/>
      <c r="TTW214" s="2"/>
      <c r="TTX214" s="2"/>
      <c r="TTY214" s="2"/>
      <c r="TTZ214" s="260"/>
      <c r="TUA214" s="2"/>
      <c r="TUB214" s="2"/>
      <c r="TUC214" s="2"/>
      <c r="TUD214" s="2"/>
      <c r="TUE214" s="2"/>
      <c r="TUF214" s="2"/>
      <c r="TUG214" s="2"/>
      <c r="TUH214" s="260"/>
      <c r="TUI214" s="260"/>
      <c r="TUJ214" s="260"/>
      <c r="TUK214" s="380"/>
      <c r="TUL214" s="380"/>
      <c r="TUM214" s="380"/>
      <c r="TUN214" s="2"/>
      <c r="TUO214" s="442"/>
      <c r="TUP214" s="442"/>
      <c r="TUQ214" s="443"/>
      <c r="TUR214" s="442"/>
      <c r="TUS214" s="442"/>
      <c r="TUT214" s="2"/>
      <c r="TUU214" s="2"/>
      <c r="TUV214" s="2"/>
      <c r="TUW214" s="2"/>
      <c r="TUX214" s="260"/>
      <c r="TUY214" s="260"/>
      <c r="TUZ214" s="260"/>
      <c r="TVA214" s="260"/>
      <c r="TVB214" s="260"/>
      <c r="TVC214" s="260"/>
      <c r="TVD214" s="308"/>
      <c r="TVE214" s="290"/>
      <c r="TVF214" s="290"/>
      <c r="TVG214" s="260"/>
      <c r="TVH214" s="260"/>
      <c r="TVI214" s="260"/>
      <c r="TVJ214" s="260"/>
      <c r="TVK214" s="260"/>
      <c r="TVL214" s="2"/>
      <c r="TVM214" s="2"/>
      <c r="TVN214" s="2"/>
      <c r="TVO214" s="2"/>
      <c r="TVP214" s="2"/>
      <c r="TVQ214" s="2"/>
      <c r="TVR214" s="260"/>
      <c r="TVS214" s="2"/>
      <c r="TVT214" s="2"/>
      <c r="TVU214" s="2"/>
      <c r="TVV214" s="2"/>
      <c r="TVW214" s="2"/>
      <c r="TVX214" s="2"/>
      <c r="TVY214" s="2"/>
      <c r="TVZ214" s="260"/>
      <c r="TWA214" s="260"/>
      <c r="TWB214" s="260"/>
      <c r="TWC214" s="380"/>
      <c r="TWD214" s="380"/>
      <c r="TWE214" s="380"/>
      <c r="TWF214" s="2"/>
      <c r="TWG214" s="442"/>
      <c r="TWH214" s="442"/>
      <c r="TWI214" s="443"/>
      <c r="TWJ214" s="442"/>
      <c r="TWK214" s="442"/>
      <c r="TWL214" s="2"/>
      <c r="TWM214" s="2"/>
      <c r="TWN214" s="2"/>
      <c r="TWO214" s="2"/>
      <c r="TWP214" s="260"/>
      <c r="TWQ214" s="260"/>
      <c r="TWR214" s="260"/>
      <c r="TWS214" s="260"/>
      <c r="TWT214" s="260"/>
      <c r="TWU214" s="260"/>
      <c r="TWV214" s="308"/>
      <c r="TWW214" s="290"/>
      <c r="TWX214" s="290"/>
      <c r="TWY214" s="260"/>
      <c r="TWZ214" s="260"/>
      <c r="TXA214" s="260"/>
      <c r="TXB214" s="260"/>
      <c r="TXC214" s="260"/>
      <c r="TXD214" s="2"/>
      <c r="TXE214" s="2"/>
      <c r="TXF214" s="2"/>
      <c r="TXG214" s="2"/>
      <c r="TXH214" s="2"/>
      <c r="TXI214" s="2"/>
      <c r="TXJ214" s="260"/>
      <c r="TXK214" s="2"/>
      <c r="TXL214" s="2"/>
      <c r="TXM214" s="2"/>
      <c r="TXN214" s="2"/>
      <c r="TXO214" s="2"/>
      <c r="TXP214" s="2"/>
      <c r="TXQ214" s="2"/>
      <c r="TXR214" s="260"/>
      <c r="TXS214" s="260"/>
      <c r="TXT214" s="260"/>
      <c r="TXU214" s="380"/>
      <c r="TXV214" s="380"/>
      <c r="TXW214" s="380"/>
      <c r="TXX214" s="2"/>
      <c r="TXY214" s="442"/>
      <c r="TXZ214" s="442"/>
      <c r="TYA214" s="443"/>
      <c r="TYB214" s="442"/>
      <c r="TYC214" s="442"/>
      <c r="TYD214" s="2"/>
      <c r="TYE214" s="2"/>
      <c r="TYF214" s="2"/>
      <c r="TYG214" s="2"/>
      <c r="TYH214" s="260"/>
      <c r="TYI214" s="260"/>
      <c r="TYJ214" s="260"/>
      <c r="TYK214" s="260"/>
      <c r="TYL214" s="260"/>
      <c r="TYM214" s="260"/>
      <c r="TYN214" s="308"/>
      <c r="TYO214" s="290"/>
      <c r="TYP214" s="290"/>
      <c r="TYQ214" s="260"/>
      <c r="TYR214" s="260"/>
      <c r="TYS214" s="260"/>
      <c r="TYT214" s="260"/>
      <c r="TYU214" s="260"/>
      <c r="TYV214" s="2"/>
      <c r="TYW214" s="2"/>
      <c r="TYX214" s="2"/>
      <c r="TYY214" s="2"/>
      <c r="TYZ214" s="2"/>
      <c r="TZA214" s="2"/>
      <c r="TZB214" s="260"/>
      <c r="TZC214" s="2"/>
      <c r="TZD214" s="2"/>
      <c r="TZE214" s="2"/>
      <c r="TZF214" s="2"/>
      <c r="TZG214" s="2"/>
      <c r="TZH214" s="2"/>
      <c r="TZI214" s="2"/>
      <c r="TZJ214" s="260"/>
      <c r="TZK214" s="260"/>
      <c r="TZL214" s="260"/>
      <c r="TZM214" s="380"/>
      <c r="TZN214" s="380"/>
      <c r="TZO214" s="380"/>
      <c r="TZP214" s="2"/>
      <c r="TZQ214" s="442"/>
      <c r="TZR214" s="442"/>
      <c r="TZS214" s="443"/>
      <c r="TZT214" s="442"/>
      <c r="TZU214" s="442"/>
      <c r="TZV214" s="2"/>
      <c r="TZW214" s="2"/>
      <c r="TZX214" s="2"/>
      <c r="TZY214" s="2"/>
      <c r="TZZ214" s="260"/>
      <c r="UAA214" s="260"/>
      <c r="UAB214" s="260"/>
      <c r="UAC214" s="260"/>
      <c r="UAD214" s="260"/>
      <c r="UAE214" s="260"/>
      <c r="UAF214" s="308"/>
      <c r="UAG214" s="290"/>
      <c r="UAH214" s="290"/>
      <c r="UAI214" s="260"/>
      <c r="UAJ214" s="260"/>
      <c r="UAK214" s="260"/>
      <c r="UAL214" s="260"/>
      <c r="UAM214" s="260"/>
      <c r="UAN214" s="2"/>
      <c r="UAO214" s="2"/>
      <c r="UAP214" s="2"/>
      <c r="UAQ214" s="2"/>
      <c r="UAR214" s="2"/>
      <c r="UAS214" s="2"/>
      <c r="UAT214" s="260"/>
      <c r="UAU214" s="2"/>
      <c r="UAV214" s="2"/>
      <c r="UAW214" s="2"/>
      <c r="UAX214" s="2"/>
      <c r="UAY214" s="2"/>
      <c r="UAZ214" s="2"/>
      <c r="UBA214" s="2"/>
      <c r="UBB214" s="260"/>
      <c r="UBC214" s="260"/>
      <c r="UBD214" s="260"/>
      <c r="UBE214" s="380"/>
      <c r="UBF214" s="380"/>
      <c r="UBG214" s="380"/>
      <c r="UBH214" s="2"/>
      <c r="UBI214" s="442"/>
      <c r="UBJ214" s="442"/>
      <c r="UBK214" s="443"/>
      <c r="UBL214" s="442"/>
      <c r="UBM214" s="442"/>
      <c r="UBN214" s="2"/>
      <c r="UBO214" s="2"/>
      <c r="UBP214" s="2"/>
      <c r="UBQ214" s="2"/>
      <c r="UBR214" s="260"/>
      <c r="UBS214" s="260"/>
      <c r="UBT214" s="260"/>
      <c r="UBU214" s="260"/>
      <c r="UBV214" s="260"/>
      <c r="UBW214" s="260"/>
      <c r="UBX214" s="308"/>
      <c r="UBY214" s="290"/>
      <c r="UBZ214" s="290"/>
      <c r="UCA214" s="260"/>
      <c r="UCB214" s="260"/>
      <c r="UCC214" s="260"/>
      <c r="UCD214" s="260"/>
      <c r="UCE214" s="260"/>
      <c r="UCF214" s="2"/>
      <c r="UCG214" s="2"/>
      <c r="UCH214" s="2"/>
      <c r="UCI214" s="2"/>
      <c r="UCJ214" s="2"/>
      <c r="UCK214" s="2"/>
      <c r="UCL214" s="260"/>
      <c r="UCM214" s="2"/>
      <c r="UCN214" s="2"/>
      <c r="UCO214" s="2"/>
      <c r="UCP214" s="2"/>
      <c r="UCQ214" s="2"/>
      <c r="UCR214" s="2"/>
      <c r="UCS214" s="2"/>
      <c r="UCT214" s="260"/>
      <c r="UCU214" s="260"/>
      <c r="UCV214" s="260"/>
      <c r="UCW214" s="380"/>
      <c r="UCX214" s="380"/>
      <c r="UCY214" s="380"/>
      <c r="UCZ214" s="2"/>
      <c r="UDA214" s="442"/>
      <c r="UDB214" s="442"/>
      <c r="UDC214" s="443"/>
      <c r="UDD214" s="442"/>
      <c r="UDE214" s="442"/>
      <c r="UDF214" s="2"/>
      <c r="UDG214" s="2"/>
      <c r="UDH214" s="2"/>
      <c r="UDI214" s="2"/>
      <c r="UDJ214" s="260"/>
      <c r="UDK214" s="260"/>
      <c r="UDL214" s="260"/>
      <c r="UDM214" s="260"/>
      <c r="UDN214" s="260"/>
      <c r="UDO214" s="260"/>
      <c r="UDP214" s="308"/>
      <c r="UDQ214" s="290"/>
      <c r="UDR214" s="290"/>
      <c r="UDS214" s="260"/>
      <c r="UDT214" s="260"/>
      <c r="UDU214" s="260"/>
      <c r="UDV214" s="260"/>
      <c r="UDW214" s="260"/>
      <c r="UDX214" s="2"/>
      <c r="UDY214" s="2"/>
      <c r="UDZ214" s="2"/>
      <c r="UEA214" s="2"/>
      <c r="UEB214" s="2"/>
      <c r="UEC214" s="2"/>
      <c r="UED214" s="260"/>
      <c r="UEE214" s="2"/>
      <c r="UEF214" s="2"/>
      <c r="UEG214" s="2"/>
      <c r="UEH214" s="2"/>
      <c r="UEI214" s="2"/>
      <c r="UEJ214" s="2"/>
      <c r="UEK214" s="2"/>
      <c r="UEL214" s="260"/>
      <c r="UEM214" s="260"/>
      <c r="UEN214" s="260"/>
      <c r="UEO214" s="380"/>
      <c r="UEP214" s="380"/>
      <c r="UEQ214" s="380"/>
      <c r="UER214" s="2"/>
      <c r="UES214" s="442"/>
      <c r="UET214" s="442"/>
      <c r="UEU214" s="443"/>
      <c r="UEV214" s="442"/>
      <c r="UEW214" s="442"/>
      <c r="UEX214" s="2"/>
      <c r="UEY214" s="2"/>
      <c r="UEZ214" s="2"/>
      <c r="UFA214" s="2"/>
      <c r="UFB214" s="260"/>
      <c r="UFC214" s="260"/>
      <c r="UFD214" s="260"/>
      <c r="UFE214" s="260"/>
      <c r="UFF214" s="260"/>
      <c r="UFG214" s="260"/>
      <c r="UFH214" s="308"/>
      <c r="UFI214" s="290"/>
      <c r="UFJ214" s="290"/>
      <c r="UFK214" s="260"/>
      <c r="UFL214" s="260"/>
      <c r="UFM214" s="260"/>
      <c r="UFN214" s="260"/>
      <c r="UFO214" s="260"/>
      <c r="UFP214" s="2"/>
      <c r="UFQ214" s="2"/>
      <c r="UFR214" s="2"/>
      <c r="UFS214" s="2"/>
      <c r="UFT214" s="2"/>
      <c r="UFU214" s="2"/>
      <c r="UFV214" s="260"/>
      <c r="UFW214" s="2"/>
      <c r="UFX214" s="2"/>
      <c r="UFY214" s="2"/>
      <c r="UFZ214" s="2"/>
      <c r="UGA214" s="2"/>
      <c r="UGB214" s="2"/>
      <c r="UGC214" s="2"/>
      <c r="UGD214" s="260"/>
      <c r="UGE214" s="260"/>
      <c r="UGF214" s="260"/>
      <c r="UGG214" s="380"/>
      <c r="UGH214" s="380"/>
      <c r="UGI214" s="380"/>
      <c r="UGJ214" s="2"/>
      <c r="UGK214" s="442"/>
      <c r="UGL214" s="442"/>
      <c r="UGM214" s="443"/>
      <c r="UGN214" s="442"/>
      <c r="UGO214" s="442"/>
      <c r="UGP214" s="2"/>
      <c r="UGQ214" s="2"/>
      <c r="UGR214" s="2"/>
      <c r="UGS214" s="2"/>
      <c r="UGT214" s="260"/>
      <c r="UGU214" s="260"/>
      <c r="UGV214" s="260"/>
      <c r="UGW214" s="260"/>
      <c r="UGX214" s="260"/>
      <c r="UGY214" s="260"/>
      <c r="UGZ214" s="308"/>
      <c r="UHA214" s="290"/>
      <c r="UHB214" s="290"/>
      <c r="UHC214" s="260"/>
      <c r="UHD214" s="260"/>
      <c r="UHE214" s="260"/>
      <c r="UHF214" s="260"/>
      <c r="UHG214" s="260"/>
      <c r="UHH214" s="2"/>
      <c r="UHI214" s="2"/>
      <c r="UHJ214" s="2"/>
      <c r="UHK214" s="2"/>
      <c r="UHL214" s="2"/>
      <c r="UHM214" s="2"/>
      <c r="UHN214" s="260"/>
      <c r="UHO214" s="2"/>
      <c r="UHP214" s="2"/>
      <c r="UHQ214" s="2"/>
      <c r="UHR214" s="2"/>
      <c r="UHS214" s="2"/>
      <c r="UHT214" s="2"/>
      <c r="UHU214" s="2"/>
      <c r="UHV214" s="260"/>
      <c r="UHW214" s="260"/>
      <c r="UHX214" s="260"/>
      <c r="UHY214" s="380"/>
      <c r="UHZ214" s="380"/>
      <c r="UIA214" s="380"/>
      <c r="UIB214" s="2"/>
      <c r="UIC214" s="442"/>
      <c r="UID214" s="442"/>
      <c r="UIE214" s="443"/>
      <c r="UIF214" s="442"/>
      <c r="UIG214" s="442"/>
      <c r="UIH214" s="2"/>
      <c r="UII214" s="2"/>
      <c r="UIJ214" s="2"/>
      <c r="UIK214" s="2"/>
      <c r="UIL214" s="260"/>
      <c r="UIM214" s="260"/>
      <c r="UIN214" s="260"/>
      <c r="UIO214" s="260"/>
      <c r="UIP214" s="260"/>
      <c r="UIQ214" s="260"/>
      <c r="UIR214" s="308"/>
      <c r="UIS214" s="290"/>
      <c r="UIT214" s="290"/>
      <c r="UIU214" s="260"/>
      <c r="UIV214" s="260"/>
      <c r="UIW214" s="260"/>
      <c r="UIX214" s="260"/>
      <c r="UIY214" s="260"/>
      <c r="UIZ214" s="2"/>
      <c r="UJA214" s="2"/>
      <c r="UJB214" s="2"/>
      <c r="UJC214" s="2"/>
      <c r="UJD214" s="2"/>
      <c r="UJE214" s="2"/>
      <c r="UJF214" s="260"/>
      <c r="UJG214" s="2"/>
      <c r="UJH214" s="2"/>
      <c r="UJI214" s="2"/>
      <c r="UJJ214" s="2"/>
      <c r="UJK214" s="2"/>
      <c r="UJL214" s="2"/>
      <c r="UJM214" s="2"/>
      <c r="UJN214" s="260"/>
      <c r="UJO214" s="260"/>
      <c r="UJP214" s="260"/>
      <c r="UJQ214" s="380"/>
      <c r="UJR214" s="380"/>
      <c r="UJS214" s="380"/>
      <c r="UJT214" s="2"/>
      <c r="UJU214" s="442"/>
      <c r="UJV214" s="442"/>
      <c r="UJW214" s="443"/>
      <c r="UJX214" s="442"/>
      <c r="UJY214" s="442"/>
      <c r="UJZ214" s="2"/>
      <c r="UKA214" s="2"/>
      <c r="UKB214" s="2"/>
      <c r="UKC214" s="2"/>
      <c r="UKD214" s="260"/>
      <c r="UKE214" s="260"/>
      <c r="UKF214" s="260"/>
      <c r="UKG214" s="260"/>
      <c r="UKH214" s="260"/>
      <c r="UKI214" s="260"/>
      <c r="UKJ214" s="308"/>
      <c r="UKK214" s="290"/>
      <c r="UKL214" s="290"/>
      <c r="UKM214" s="260"/>
      <c r="UKN214" s="260"/>
      <c r="UKO214" s="260"/>
      <c r="UKP214" s="260"/>
      <c r="UKQ214" s="260"/>
      <c r="UKR214" s="2"/>
      <c r="UKS214" s="2"/>
      <c r="UKT214" s="2"/>
      <c r="UKU214" s="2"/>
      <c r="UKV214" s="2"/>
      <c r="UKW214" s="2"/>
      <c r="UKX214" s="260"/>
      <c r="UKY214" s="2"/>
      <c r="UKZ214" s="2"/>
      <c r="ULA214" s="2"/>
      <c r="ULB214" s="2"/>
      <c r="ULC214" s="2"/>
      <c r="ULD214" s="2"/>
      <c r="ULE214" s="2"/>
      <c r="ULF214" s="260"/>
      <c r="ULG214" s="260"/>
      <c r="ULH214" s="260"/>
      <c r="ULI214" s="380"/>
      <c r="ULJ214" s="380"/>
      <c r="ULK214" s="380"/>
      <c r="ULL214" s="2"/>
      <c r="ULM214" s="442"/>
      <c r="ULN214" s="442"/>
      <c r="ULO214" s="443"/>
      <c r="ULP214" s="442"/>
      <c r="ULQ214" s="442"/>
      <c r="ULR214" s="2"/>
      <c r="ULS214" s="2"/>
      <c r="ULT214" s="2"/>
      <c r="ULU214" s="2"/>
      <c r="ULV214" s="260"/>
      <c r="ULW214" s="260"/>
      <c r="ULX214" s="260"/>
      <c r="ULY214" s="260"/>
      <c r="ULZ214" s="260"/>
      <c r="UMA214" s="260"/>
      <c r="UMB214" s="308"/>
      <c r="UMC214" s="290"/>
      <c r="UMD214" s="290"/>
      <c r="UME214" s="260"/>
      <c r="UMF214" s="260"/>
      <c r="UMG214" s="260"/>
      <c r="UMH214" s="260"/>
      <c r="UMI214" s="260"/>
      <c r="UMJ214" s="2"/>
      <c r="UMK214" s="2"/>
      <c r="UML214" s="2"/>
      <c r="UMM214" s="2"/>
      <c r="UMN214" s="2"/>
      <c r="UMO214" s="2"/>
      <c r="UMP214" s="260"/>
      <c r="UMQ214" s="2"/>
      <c r="UMR214" s="2"/>
      <c r="UMS214" s="2"/>
      <c r="UMT214" s="2"/>
      <c r="UMU214" s="2"/>
      <c r="UMV214" s="2"/>
      <c r="UMW214" s="2"/>
      <c r="UMX214" s="260"/>
      <c r="UMY214" s="260"/>
      <c r="UMZ214" s="260"/>
      <c r="UNA214" s="380"/>
      <c r="UNB214" s="380"/>
      <c r="UNC214" s="380"/>
      <c r="UND214" s="2"/>
      <c r="UNE214" s="442"/>
      <c r="UNF214" s="442"/>
      <c r="UNG214" s="443"/>
      <c r="UNH214" s="442"/>
      <c r="UNI214" s="442"/>
      <c r="UNJ214" s="2"/>
      <c r="UNK214" s="2"/>
      <c r="UNL214" s="2"/>
      <c r="UNM214" s="2"/>
      <c r="UNN214" s="260"/>
      <c r="UNO214" s="260"/>
      <c r="UNP214" s="260"/>
      <c r="UNQ214" s="260"/>
      <c r="UNR214" s="260"/>
      <c r="UNS214" s="260"/>
      <c r="UNT214" s="308"/>
      <c r="UNU214" s="290"/>
      <c r="UNV214" s="290"/>
      <c r="UNW214" s="260"/>
      <c r="UNX214" s="260"/>
      <c r="UNY214" s="260"/>
      <c r="UNZ214" s="260"/>
      <c r="UOA214" s="260"/>
      <c r="UOB214" s="2"/>
      <c r="UOC214" s="2"/>
      <c r="UOD214" s="2"/>
      <c r="UOE214" s="2"/>
      <c r="UOF214" s="2"/>
      <c r="UOG214" s="2"/>
      <c r="UOH214" s="260"/>
      <c r="UOI214" s="2"/>
      <c r="UOJ214" s="2"/>
      <c r="UOK214" s="2"/>
      <c r="UOL214" s="2"/>
      <c r="UOM214" s="2"/>
      <c r="UON214" s="2"/>
      <c r="UOO214" s="2"/>
      <c r="UOP214" s="260"/>
      <c r="UOQ214" s="260"/>
      <c r="UOR214" s="260"/>
      <c r="UOS214" s="380"/>
      <c r="UOT214" s="380"/>
      <c r="UOU214" s="380"/>
      <c r="UOV214" s="2"/>
      <c r="UOW214" s="442"/>
      <c r="UOX214" s="442"/>
      <c r="UOY214" s="443"/>
      <c r="UOZ214" s="442"/>
      <c r="UPA214" s="442"/>
      <c r="UPB214" s="2"/>
      <c r="UPC214" s="2"/>
      <c r="UPD214" s="2"/>
      <c r="UPE214" s="2"/>
      <c r="UPF214" s="260"/>
      <c r="UPG214" s="260"/>
      <c r="UPH214" s="260"/>
      <c r="UPI214" s="260"/>
      <c r="UPJ214" s="260"/>
      <c r="UPK214" s="260"/>
      <c r="UPL214" s="308"/>
      <c r="UPM214" s="290"/>
      <c r="UPN214" s="290"/>
      <c r="UPO214" s="260"/>
      <c r="UPP214" s="260"/>
      <c r="UPQ214" s="260"/>
      <c r="UPR214" s="260"/>
      <c r="UPS214" s="260"/>
      <c r="UPT214" s="2"/>
      <c r="UPU214" s="2"/>
      <c r="UPV214" s="2"/>
      <c r="UPW214" s="2"/>
      <c r="UPX214" s="2"/>
      <c r="UPY214" s="2"/>
      <c r="UPZ214" s="260"/>
      <c r="UQA214" s="2"/>
      <c r="UQB214" s="2"/>
      <c r="UQC214" s="2"/>
      <c r="UQD214" s="2"/>
      <c r="UQE214" s="2"/>
      <c r="UQF214" s="2"/>
      <c r="UQG214" s="2"/>
      <c r="UQH214" s="260"/>
      <c r="UQI214" s="260"/>
      <c r="UQJ214" s="260"/>
      <c r="UQK214" s="380"/>
      <c r="UQL214" s="380"/>
      <c r="UQM214" s="380"/>
      <c r="UQN214" s="2"/>
      <c r="UQO214" s="442"/>
      <c r="UQP214" s="442"/>
      <c r="UQQ214" s="443"/>
      <c r="UQR214" s="442"/>
      <c r="UQS214" s="442"/>
      <c r="UQT214" s="2"/>
      <c r="UQU214" s="2"/>
      <c r="UQV214" s="2"/>
      <c r="UQW214" s="2"/>
      <c r="UQX214" s="260"/>
      <c r="UQY214" s="260"/>
      <c r="UQZ214" s="260"/>
      <c r="URA214" s="260"/>
      <c r="URB214" s="260"/>
      <c r="URC214" s="260"/>
      <c r="URD214" s="308"/>
      <c r="URE214" s="290"/>
      <c r="URF214" s="290"/>
      <c r="URG214" s="260"/>
      <c r="URH214" s="260"/>
      <c r="URI214" s="260"/>
      <c r="URJ214" s="260"/>
      <c r="URK214" s="260"/>
      <c r="URL214" s="2"/>
      <c r="URM214" s="2"/>
      <c r="URN214" s="2"/>
      <c r="URO214" s="2"/>
      <c r="URP214" s="2"/>
      <c r="URQ214" s="2"/>
      <c r="URR214" s="260"/>
      <c r="URS214" s="2"/>
      <c r="URT214" s="2"/>
      <c r="URU214" s="2"/>
      <c r="URV214" s="2"/>
      <c r="URW214" s="2"/>
      <c r="URX214" s="2"/>
      <c r="URY214" s="2"/>
      <c r="URZ214" s="260"/>
      <c r="USA214" s="260"/>
      <c r="USB214" s="260"/>
      <c r="USC214" s="380"/>
      <c r="USD214" s="380"/>
      <c r="USE214" s="380"/>
      <c r="USF214" s="2"/>
      <c r="USG214" s="442"/>
      <c r="USH214" s="442"/>
      <c r="USI214" s="443"/>
      <c r="USJ214" s="442"/>
      <c r="USK214" s="442"/>
      <c r="USL214" s="2"/>
      <c r="USM214" s="2"/>
      <c r="USN214" s="2"/>
      <c r="USO214" s="2"/>
      <c r="USP214" s="260"/>
      <c r="USQ214" s="260"/>
      <c r="USR214" s="260"/>
      <c r="USS214" s="260"/>
      <c r="UST214" s="260"/>
      <c r="USU214" s="260"/>
      <c r="USV214" s="308"/>
      <c r="USW214" s="290"/>
      <c r="USX214" s="290"/>
      <c r="USY214" s="260"/>
      <c r="USZ214" s="260"/>
      <c r="UTA214" s="260"/>
      <c r="UTB214" s="260"/>
      <c r="UTC214" s="260"/>
      <c r="UTD214" s="2"/>
      <c r="UTE214" s="2"/>
      <c r="UTF214" s="2"/>
      <c r="UTG214" s="2"/>
      <c r="UTH214" s="2"/>
      <c r="UTI214" s="2"/>
      <c r="UTJ214" s="260"/>
      <c r="UTK214" s="2"/>
      <c r="UTL214" s="2"/>
      <c r="UTM214" s="2"/>
      <c r="UTN214" s="2"/>
      <c r="UTO214" s="2"/>
      <c r="UTP214" s="2"/>
      <c r="UTQ214" s="2"/>
      <c r="UTR214" s="260"/>
      <c r="UTS214" s="260"/>
      <c r="UTT214" s="260"/>
      <c r="UTU214" s="380"/>
      <c r="UTV214" s="380"/>
      <c r="UTW214" s="380"/>
      <c r="UTX214" s="2"/>
      <c r="UTY214" s="442"/>
      <c r="UTZ214" s="442"/>
      <c r="UUA214" s="443"/>
      <c r="UUB214" s="442"/>
      <c r="UUC214" s="442"/>
      <c r="UUD214" s="2"/>
      <c r="UUE214" s="2"/>
      <c r="UUF214" s="2"/>
      <c r="UUG214" s="2"/>
      <c r="UUH214" s="260"/>
      <c r="UUI214" s="260"/>
      <c r="UUJ214" s="260"/>
      <c r="UUK214" s="260"/>
      <c r="UUL214" s="260"/>
      <c r="UUM214" s="260"/>
      <c r="UUN214" s="308"/>
      <c r="UUO214" s="290"/>
      <c r="UUP214" s="290"/>
      <c r="UUQ214" s="260"/>
      <c r="UUR214" s="260"/>
      <c r="UUS214" s="260"/>
      <c r="UUT214" s="260"/>
      <c r="UUU214" s="260"/>
      <c r="UUV214" s="2"/>
      <c r="UUW214" s="2"/>
      <c r="UUX214" s="2"/>
      <c r="UUY214" s="2"/>
      <c r="UUZ214" s="2"/>
      <c r="UVA214" s="2"/>
      <c r="UVB214" s="260"/>
      <c r="UVC214" s="2"/>
      <c r="UVD214" s="2"/>
      <c r="UVE214" s="2"/>
      <c r="UVF214" s="2"/>
      <c r="UVG214" s="2"/>
      <c r="UVH214" s="2"/>
      <c r="UVI214" s="2"/>
      <c r="UVJ214" s="260"/>
      <c r="UVK214" s="260"/>
      <c r="UVL214" s="260"/>
      <c r="UVM214" s="380"/>
      <c r="UVN214" s="380"/>
      <c r="UVO214" s="380"/>
      <c r="UVP214" s="2"/>
      <c r="UVQ214" s="442"/>
      <c r="UVR214" s="442"/>
      <c r="UVS214" s="443"/>
      <c r="UVT214" s="442"/>
      <c r="UVU214" s="442"/>
      <c r="UVV214" s="2"/>
      <c r="UVW214" s="2"/>
      <c r="UVX214" s="2"/>
      <c r="UVY214" s="2"/>
      <c r="UVZ214" s="260"/>
      <c r="UWA214" s="260"/>
      <c r="UWB214" s="260"/>
      <c r="UWC214" s="260"/>
      <c r="UWD214" s="260"/>
      <c r="UWE214" s="260"/>
      <c r="UWF214" s="308"/>
      <c r="UWG214" s="290"/>
      <c r="UWH214" s="290"/>
      <c r="UWI214" s="260"/>
      <c r="UWJ214" s="260"/>
      <c r="UWK214" s="260"/>
      <c r="UWL214" s="260"/>
      <c r="UWM214" s="260"/>
      <c r="UWN214" s="2"/>
      <c r="UWO214" s="2"/>
      <c r="UWP214" s="2"/>
      <c r="UWQ214" s="2"/>
      <c r="UWR214" s="2"/>
      <c r="UWS214" s="2"/>
      <c r="UWT214" s="260"/>
      <c r="UWU214" s="2"/>
      <c r="UWV214" s="2"/>
      <c r="UWW214" s="2"/>
      <c r="UWX214" s="2"/>
      <c r="UWY214" s="2"/>
      <c r="UWZ214" s="2"/>
      <c r="UXA214" s="2"/>
      <c r="UXB214" s="260"/>
      <c r="UXC214" s="260"/>
      <c r="UXD214" s="260"/>
      <c r="UXE214" s="380"/>
      <c r="UXF214" s="380"/>
      <c r="UXG214" s="380"/>
      <c r="UXH214" s="2"/>
      <c r="UXI214" s="442"/>
      <c r="UXJ214" s="442"/>
      <c r="UXK214" s="443"/>
      <c r="UXL214" s="442"/>
      <c r="UXM214" s="442"/>
      <c r="UXN214" s="2"/>
      <c r="UXO214" s="2"/>
      <c r="UXP214" s="2"/>
      <c r="UXQ214" s="2"/>
      <c r="UXR214" s="260"/>
      <c r="UXS214" s="260"/>
      <c r="UXT214" s="260"/>
      <c r="UXU214" s="260"/>
      <c r="UXV214" s="260"/>
      <c r="UXW214" s="260"/>
      <c r="UXX214" s="308"/>
      <c r="UXY214" s="290"/>
      <c r="UXZ214" s="290"/>
      <c r="UYA214" s="260"/>
      <c r="UYB214" s="260"/>
      <c r="UYC214" s="260"/>
      <c r="UYD214" s="260"/>
      <c r="UYE214" s="260"/>
      <c r="UYF214" s="2"/>
      <c r="UYG214" s="2"/>
      <c r="UYH214" s="2"/>
      <c r="UYI214" s="2"/>
      <c r="UYJ214" s="2"/>
      <c r="UYK214" s="2"/>
      <c r="UYL214" s="260"/>
      <c r="UYM214" s="2"/>
      <c r="UYN214" s="2"/>
      <c r="UYO214" s="2"/>
      <c r="UYP214" s="2"/>
      <c r="UYQ214" s="2"/>
      <c r="UYR214" s="2"/>
      <c r="UYS214" s="2"/>
      <c r="UYT214" s="260"/>
      <c r="UYU214" s="260"/>
      <c r="UYV214" s="260"/>
      <c r="UYW214" s="380"/>
      <c r="UYX214" s="380"/>
      <c r="UYY214" s="380"/>
      <c r="UYZ214" s="2"/>
      <c r="UZA214" s="442"/>
      <c r="UZB214" s="442"/>
      <c r="UZC214" s="443"/>
      <c r="UZD214" s="442"/>
      <c r="UZE214" s="442"/>
      <c r="UZF214" s="2"/>
      <c r="UZG214" s="2"/>
      <c r="UZH214" s="2"/>
      <c r="UZI214" s="2"/>
      <c r="UZJ214" s="260"/>
      <c r="UZK214" s="260"/>
      <c r="UZL214" s="260"/>
      <c r="UZM214" s="260"/>
      <c r="UZN214" s="260"/>
      <c r="UZO214" s="260"/>
      <c r="UZP214" s="308"/>
      <c r="UZQ214" s="290"/>
      <c r="UZR214" s="290"/>
      <c r="UZS214" s="260"/>
      <c r="UZT214" s="260"/>
      <c r="UZU214" s="260"/>
      <c r="UZV214" s="260"/>
      <c r="UZW214" s="260"/>
      <c r="UZX214" s="2"/>
      <c r="UZY214" s="2"/>
      <c r="UZZ214" s="2"/>
      <c r="VAA214" s="2"/>
      <c r="VAB214" s="2"/>
      <c r="VAC214" s="2"/>
      <c r="VAD214" s="260"/>
      <c r="VAE214" s="2"/>
      <c r="VAF214" s="2"/>
      <c r="VAG214" s="2"/>
      <c r="VAH214" s="2"/>
      <c r="VAI214" s="2"/>
      <c r="VAJ214" s="2"/>
      <c r="VAK214" s="2"/>
      <c r="VAL214" s="260"/>
      <c r="VAM214" s="260"/>
      <c r="VAN214" s="260"/>
      <c r="VAO214" s="380"/>
      <c r="VAP214" s="380"/>
      <c r="VAQ214" s="380"/>
      <c r="VAR214" s="2"/>
      <c r="VAS214" s="442"/>
      <c r="VAT214" s="442"/>
      <c r="VAU214" s="443"/>
      <c r="VAV214" s="442"/>
      <c r="VAW214" s="442"/>
      <c r="VAX214" s="2"/>
      <c r="VAY214" s="2"/>
      <c r="VAZ214" s="2"/>
      <c r="VBA214" s="2"/>
      <c r="VBB214" s="260"/>
      <c r="VBC214" s="260"/>
      <c r="VBD214" s="260"/>
      <c r="VBE214" s="260"/>
      <c r="VBF214" s="260"/>
      <c r="VBG214" s="260"/>
      <c r="VBH214" s="308"/>
      <c r="VBI214" s="290"/>
      <c r="VBJ214" s="290"/>
      <c r="VBK214" s="260"/>
      <c r="VBL214" s="260"/>
      <c r="VBM214" s="260"/>
      <c r="VBN214" s="260"/>
      <c r="VBO214" s="260"/>
      <c r="VBP214" s="2"/>
      <c r="VBQ214" s="2"/>
      <c r="VBR214" s="2"/>
      <c r="VBS214" s="2"/>
      <c r="VBT214" s="2"/>
      <c r="VBU214" s="2"/>
      <c r="VBV214" s="260"/>
      <c r="VBW214" s="2"/>
      <c r="VBX214" s="2"/>
      <c r="VBY214" s="2"/>
      <c r="VBZ214" s="2"/>
      <c r="VCA214" s="2"/>
      <c r="VCB214" s="2"/>
      <c r="VCC214" s="2"/>
      <c r="VCD214" s="260"/>
      <c r="VCE214" s="260"/>
      <c r="VCF214" s="260"/>
      <c r="VCG214" s="380"/>
      <c r="VCH214" s="380"/>
      <c r="VCI214" s="380"/>
      <c r="VCJ214" s="2"/>
      <c r="VCK214" s="442"/>
      <c r="VCL214" s="442"/>
      <c r="VCM214" s="443"/>
      <c r="VCN214" s="442"/>
      <c r="VCO214" s="442"/>
      <c r="VCP214" s="2"/>
      <c r="VCQ214" s="2"/>
      <c r="VCR214" s="2"/>
      <c r="VCS214" s="2"/>
      <c r="VCT214" s="260"/>
      <c r="VCU214" s="260"/>
      <c r="VCV214" s="260"/>
      <c r="VCW214" s="260"/>
      <c r="VCX214" s="260"/>
      <c r="VCY214" s="260"/>
      <c r="VCZ214" s="308"/>
      <c r="VDA214" s="290"/>
      <c r="VDB214" s="290"/>
      <c r="VDC214" s="260"/>
      <c r="VDD214" s="260"/>
      <c r="VDE214" s="260"/>
      <c r="VDF214" s="260"/>
      <c r="VDG214" s="260"/>
      <c r="VDH214" s="2"/>
      <c r="VDI214" s="2"/>
      <c r="VDJ214" s="2"/>
      <c r="VDK214" s="2"/>
      <c r="VDL214" s="2"/>
      <c r="VDM214" s="2"/>
      <c r="VDN214" s="260"/>
      <c r="VDO214" s="2"/>
      <c r="VDP214" s="2"/>
      <c r="VDQ214" s="2"/>
      <c r="VDR214" s="2"/>
      <c r="VDS214" s="2"/>
      <c r="VDT214" s="2"/>
      <c r="VDU214" s="2"/>
      <c r="VDV214" s="260"/>
      <c r="VDW214" s="260"/>
      <c r="VDX214" s="260"/>
      <c r="VDY214" s="380"/>
      <c r="VDZ214" s="380"/>
      <c r="VEA214" s="380"/>
      <c r="VEB214" s="2"/>
      <c r="VEC214" s="442"/>
      <c r="VED214" s="442"/>
      <c r="VEE214" s="443"/>
      <c r="VEF214" s="442"/>
      <c r="VEG214" s="442"/>
      <c r="VEH214" s="2"/>
      <c r="VEI214" s="2"/>
      <c r="VEJ214" s="2"/>
      <c r="VEK214" s="2"/>
      <c r="VEL214" s="260"/>
      <c r="VEM214" s="260"/>
      <c r="VEN214" s="260"/>
      <c r="VEO214" s="260"/>
      <c r="VEP214" s="260"/>
      <c r="VEQ214" s="260"/>
      <c r="VER214" s="308"/>
      <c r="VES214" s="290"/>
      <c r="VET214" s="290"/>
      <c r="VEU214" s="260"/>
      <c r="VEV214" s="260"/>
      <c r="VEW214" s="260"/>
      <c r="VEX214" s="260"/>
      <c r="VEY214" s="260"/>
      <c r="VEZ214" s="2"/>
      <c r="VFA214" s="2"/>
      <c r="VFB214" s="2"/>
      <c r="VFC214" s="2"/>
      <c r="VFD214" s="2"/>
      <c r="VFE214" s="2"/>
      <c r="VFF214" s="260"/>
      <c r="VFG214" s="2"/>
      <c r="VFH214" s="2"/>
      <c r="VFI214" s="2"/>
      <c r="VFJ214" s="2"/>
      <c r="VFK214" s="2"/>
      <c r="VFL214" s="2"/>
      <c r="VFM214" s="2"/>
      <c r="VFN214" s="260"/>
      <c r="VFO214" s="260"/>
      <c r="VFP214" s="260"/>
      <c r="VFQ214" s="380"/>
      <c r="VFR214" s="380"/>
      <c r="VFS214" s="380"/>
      <c r="VFT214" s="2"/>
      <c r="VFU214" s="442"/>
      <c r="VFV214" s="442"/>
      <c r="VFW214" s="443"/>
      <c r="VFX214" s="442"/>
      <c r="VFY214" s="442"/>
      <c r="VFZ214" s="2"/>
      <c r="VGA214" s="2"/>
      <c r="VGB214" s="2"/>
      <c r="VGC214" s="2"/>
      <c r="VGD214" s="260"/>
      <c r="VGE214" s="260"/>
      <c r="VGF214" s="260"/>
      <c r="VGG214" s="260"/>
      <c r="VGH214" s="260"/>
      <c r="VGI214" s="260"/>
      <c r="VGJ214" s="308"/>
      <c r="VGK214" s="290"/>
      <c r="VGL214" s="290"/>
      <c r="VGM214" s="260"/>
      <c r="VGN214" s="260"/>
      <c r="VGO214" s="260"/>
      <c r="VGP214" s="260"/>
      <c r="VGQ214" s="260"/>
      <c r="VGR214" s="2"/>
      <c r="VGS214" s="2"/>
      <c r="VGT214" s="2"/>
      <c r="VGU214" s="2"/>
      <c r="VGV214" s="2"/>
      <c r="VGW214" s="2"/>
      <c r="VGX214" s="260"/>
      <c r="VGY214" s="2"/>
      <c r="VGZ214" s="2"/>
      <c r="VHA214" s="2"/>
      <c r="VHB214" s="2"/>
      <c r="VHC214" s="2"/>
      <c r="VHD214" s="2"/>
      <c r="VHE214" s="2"/>
      <c r="VHF214" s="260"/>
      <c r="VHG214" s="260"/>
      <c r="VHH214" s="260"/>
      <c r="VHI214" s="380"/>
      <c r="VHJ214" s="380"/>
      <c r="VHK214" s="380"/>
      <c r="VHL214" s="2"/>
      <c r="VHM214" s="442"/>
      <c r="VHN214" s="442"/>
      <c r="VHO214" s="443"/>
      <c r="VHP214" s="442"/>
      <c r="VHQ214" s="442"/>
      <c r="VHR214" s="2"/>
      <c r="VHS214" s="2"/>
      <c r="VHT214" s="2"/>
      <c r="VHU214" s="2"/>
      <c r="VHV214" s="260"/>
      <c r="VHW214" s="260"/>
      <c r="VHX214" s="260"/>
      <c r="VHY214" s="260"/>
      <c r="VHZ214" s="260"/>
      <c r="VIA214" s="260"/>
      <c r="VIB214" s="308"/>
      <c r="VIC214" s="290"/>
      <c r="VID214" s="290"/>
      <c r="VIE214" s="260"/>
      <c r="VIF214" s="260"/>
      <c r="VIG214" s="260"/>
      <c r="VIH214" s="260"/>
      <c r="VII214" s="260"/>
      <c r="VIJ214" s="2"/>
      <c r="VIK214" s="2"/>
      <c r="VIL214" s="2"/>
      <c r="VIM214" s="2"/>
      <c r="VIN214" s="2"/>
      <c r="VIO214" s="2"/>
      <c r="VIP214" s="260"/>
      <c r="VIQ214" s="2"/>
      <c r="VIR214" s="2"/>
      <c r="VIS214" s="2"/>
      <c r="VIT214" s="2"/>
      <c r="VIU214" s="2"/>
      <c r="VIV214" s="2"/>
      <c r="VIW214" s="2"/>
      <c r="VIX214" s="260"/>
      <c r="VIY214" s="260"/>
      <c r="VIZ214" s="260"/>
      <c r="VJA214" s="380"/>
      <c r="VJB214" s="380"/>
      <c r="VJC214" s="380"/>
      <c r="VJD214" s="2"/>
      <c r="VJE214" s="442"/>
      <c r="VJF214" s="442"/>
      <c r="VJG214" s="443"/>
      <c r="VJH214" s="442"/>
      <c r="VJI214" s="442"/>
      <c r="VJJ214" s="2"/>
      <c r="VJK214" s="2"/>
      <c r="VJL214" s="2"/>
      <c r="VJM214" s="2"/>
      <c r="VJN214" s="260"/>
      <c r="VJO214" s="260"/>
      <c r="VJP214" s="260"/>
      <c r="VJQ214" s="260"/>
      <c r="VJR214" s="260"/>
      <c r="VJS214" s="260"/>
      <c r="VJT214" s="308"/>
      <c r="VJU214" s="290"/>
      <c r="VJV214" s="290"/>
      <c r="VJW214" s="260"/>
      <c r="VJX214" s="260"/>
      <c r="VJY214" s="260"/>
      <c r="VJZ214" s="260"/>
      <c r="VKA214" s="260"/>
      <c r="VKB214" s="2"/>
      <c r="VKC214" s="2"/>
      <c r="VKD214" s="2"/>
      <c r="VKE214" s="2"/>
      <c r="VKF214" s="2"/>
      <c r="VKG214" s="2"/>
      <c r="VKH214" s="260"/>
      <c r="VKI214" s="2"/>
      <c r="VKJ214" s="2"/>
      <c r="VKK214" s="2"/>
      <c r="VKL214" s="2"/>
      <c r="VKM214" s="2"/>
      <c r="VKN214" s="2"/>
      <c r="VKO214" s="2"/>
      <c r="VKP214" s="260"/>
      <c r="VKQ214" s="260"/>
      <c r="VKR214" s="260"/>
      <c r="VKS214" s="380"/>
      <c r="VKT214" s="380"/>
      <c r="VKU214" s="380"/>
      <c r="VKV214" s="2"/>
      <c r="VKW214" s="442"/>
      <c r="VKX214" s="442"/>
      <c r="VKY214" s="443"/>
      <c r="VKZ214" s="442"/>
      <c r="VLA214" s="442"/>
      <c r="VLB214" s="2"/>
      <c r="VLC214" s="2"/>
      <c r="VLD214" s="2"/>
      <c r="VLE214" s="2"/>
      <c r="VLF214" s="260"/>
      <c r="VLG214" s="260"/>
      <c r="VLH214" s="260"/>
      <c r="VLI214" s="260"/>
      <c r="VLJ214" s="260"/>
      <c r="VLK214" s="260"/>
      <c r="VLL214" s="308"/>
      <c r="VLM214" s="290"/>
      <c r="VLN214" s="290"/>
      <c r="VLO214" s="260"/>
      <c r="VLP214" s="260"/>
      <c r="VLQ214" s="260"/>
      <c r="VLR214" s="260"/>
      <c r="VLS214" s="260"/>
      <c r="VLT214" s="2"/>
      <c r="VLU214" s="2"/>
      <c r="VLV214" s="2"/>
      <c r="VLW214" s="2"/>
      <c r="VLX214" s="2"/>
      <c r="VLY214" s="2"/>
      <c r="VLZ214" s="260"/>
      <c r="VMA214" s="2"/>
      <c r="VMB214" s="2"/>
      <c r="VMC214" s="2"/>
      <c r="VMD214" s="2"/>
      <c r="VME214" s="2"/>
      <c r="VMF214" s="2"/>
      <c r="VMG214" s="2"/>
      <c r="VMH214" s="260"/>
      <c r="VMI214" s="260"/>
      <c r="VMJ214" s="260"/>
      <c r="VMK214" s="380"/>
      <c r="VML214" s="380"/>
      <c r="VMM214" s="380"/>
      <c r="VMN214" s="2"/>
      <c r="VMO214" s="442"/>
      <c r="VMP214" s="442"/>
      <c r="VMQ214" s="443"/>
      <c r="VMR214" s="442"/>
      <c r="VMS214" s="442"/>
      <c r="VMT214" s="2"/>
      <c r="VMU214" s="2"/>
      <c r="VMV214" s="2"/>
      <c r="VMW214" s="2"/>
      <c r="VMX214" s="260"/>
      <c r="VMY214" s="260"/>
      <c r="VMZ214" s="260"/>
      <c r="VNA214" s="260"/>
      <c r="VNB214" s="260"/>
      <c r="VNC214" s="260"/>
      <c r="VND214" s="308"/>
      <c r="VNE214" s="290"/>
      <c r="VNF214" s="290"/>
      <c r="VNG214" s="260"/>
      <c r="VNH214" s="260"/>
      <c r="VNI214" s="260"/>
      <c r="VNJ214" s="260"/>
      <c r="VNK214" s="260"/>
      <c r="VNL214" s="2"/>
      <c r="VNM214" s="2"/>
      <c r="VNN214" s="2"/>
      <c r="VNO214" s="2"/>
      <c r="VNP214" s="2"/>
      <c r="VNQ214" s="2"/>
      <c r="VNR214" s="260"/>
      <c r="VNS214" s="2"/>
      <c r="VNT214" s="2"/>
      <c r="VNU214" s="2"/>
      <c r="VNV214" s="2"/>
      <c r="VNW214" s="2"/>
      <c r="VNX214" s="2"/>
      <c r="VNY214" s="2"/>
      <c r="VNZ214" s="260"/>
      <c r="VOA214" s="260"/>
      <c r="VOB214" s="260"/>
      <c r="VOC214" s="380"/>
      <c r="VOD214" s="380"/>
      <c r="VOE214" s="380"/>
      <c r="VOF214" s="2"/>
      <c r="VOG214" s="442"/>
      <c r="VOH214" s="442"/>
      <c r="VOI214" s="443"/>
      <c r="VOJ214" s="442"/>
      <c r="VOK214" s="442"/>
      <c r="VOL214" s="2"/>
      <c r="VOM214" s="2"/>
      <c r="VON214" s="2"/>
      <c r="VOO214" s="2"/>
      <c r="VOP214" s="260"/>
      <c r="VOQ214" s="260"/>
      <c r="VOR214" s="260"/>
      <c r="VOS214" s="260"/>
      <c r="VOT214" s="260"/>
      <c r="VOU214" s="260"/>
      <c r="VOV214" s="308"/>
      <c r="VOW214" s="290"/>
      <c r="VOX214" s="290"/>
      <c r="VOY214" s="260"/>
      <c r="VOZ214" s="260"/>
      <c r="VPA214" s="260"/>
      <c r="VPB214" s="260"/>
      <c r="VPC214" s="260"/>
      <c r="VPD214" s="2"/>
      <c r="VPE214" s="2"/>
      <c r="VPF214" s="2"/>
      <c r="VPG214" s="2"/>
      <c r="VPH214" s="2"/>
      <c r="VPI214" s="2"/>
      <c r="VPJ214" s="260"/>
      <c r="VPK214" s="2"/>
      <c r="VPL214" s="2"/>
      <c r="VPM214" s="2"/>
      <c r="VPN214" s="2"/>
      <c r="VPO214" s="2"/>
      <c r="VPP214" s="2"/>
      <c r="VPQ214" s="2"/>
      <c r="VPR214" s="260"/>
      <c r="VPS214" s="260"/>
      <c r="VPT214" s="260"/>
      <c r="VPU214" s="380"/>
      <c r="VPV214" s="380"/>
      <c r="VPW214" s="380"/>
      <c r="VPX214" s="2"/>
      <c r="VPY214" s="442"/>
      <c r="VPZ214" s="442"/>
      <c r="VQA214" s="443"/>
      <c r="VQB214" s="442"/>
      <c r="VQC214" s="442"/>
      <c r="VQD214" s="2"/>
      <c r="VQE214" s="2"/>
      <c r="VQF214" s="2"/>
      <c r="VQG214" s="2"/>
      <c r="VQH214" s="260"/>
      <c r="VQI214" s="260"/>
      <c r="VQJ214" s="260"/>
      <c r="VQK214" s="260"/>
      <c r="VQL214" s="260"/>
      <c r="VQM214" s="260"/>
      <c r="VQN214" s="308"/>
      <c r="VQO214" s="290"/>
      <c r="VQP214" s="290"/>
      <c r="VQQ214" s="260"/>
      <c r="VQR214" s="260"/>
      <c r="VQS214" s="260"/>
      <c r="VQT214" s="260"/>
      <c r="VQU214" s="260"/>
      <c r="VQV214" s="2"/>
      <c r="VQW214" s="2"/>
      <c r="VQX214" s="2"/>
      <c r="VQY214" s="2"/>
      <c r="VQZ214" s="2"/>
      <c r="VRA214" s="2"/>
      <c r="VRB214" s="260"/>
      <c r="VRC214" s="2"/>
      <c r="VRD214" s="2"/>
      <c r="VRE214" s="2"/>
      <c r="VRF214" s="2"/>
      <c r="VRG214" s="2"/>
      <c r="VRH214" s="2"/>
      <c r="VRI214" s="2"/>
      <c r="VRJ214" s="260"/>
      <c r="VRK214" s="260"/>
      <c r="VRL214" s="260"/>
      <c r="VRM214" s="380"/>
      <c r="VRN214" s="380"/>
      <c r="VRO214" s="380"/>
      <c r="VRP214" s="2"/>
      <c r="VRQ214" s="442"/>
      <c r="VRR214" s="442"/>
      <c r="VRS214" s="443"/>
      <c r="VRT214" s="442"/>
      <c r="VRU214" s="442"/>
      <c r="VRV214" s="2"/>
      <c r="VRW214" s="2"/>
      <c r="VRX214" s="2"/>
      <c r="VRY214" s="2"/>
      <c r="VRZ214" s="260"/>
      <c r="VSA214" s="260"/>
      <c r="VSB214" s="260"/>
      <c r="VSC214" s="260"/>
      <c r="VSD214" s="260"/>
      <c r="VSE214" s="260"/>
      <c r="VSF214" s="308"/>
      <c r="VSG214" s="290"/>
      <c r="VSH214" s="290"/>
      <c r="VSI214" s="260"/>
      <c r="VSJ214" s="260"/>
      <c r="VSK214" s="260"/>
      <c r="VSL214" s="260"/>
      <c r="VSM214" s="260"/>
      <c r="VSN214" s="2"/>
      <c r="VSO214" s="2"/>
      <c r="VSP214" s="2"/>
      <c r="VSQ214" s="2"/>
      <c r="VSR214" s="2"/>
      <c r="VSS214" s="2"/>
      <c r="VST214" s="260"/>
      <c r="VSU214" s="2"/>
      <c r="VSV214" s="2"/>
      <c r="VSW214" s="2"/>
      <c r="VSX214" s="2"/>
      <c r="VSY214" s="2"/>
      <c r="VSZ214" s="2"/>
      <c r="VTA214" s="2"/>
      <c r="VTB214" s="260"/>
      <c r="VTC214" s="260"/>
      <c r="VTD214" s="260"/>
      <c r="VTE214" s="380"/>
      <c r="VTF214" s="380"/>
      <c r="VTG214" s="380"/>
      <c r="VTH214" s="2"/>
      <c r="VTI214" s="442"/>
      <c r="VTJ214" s="442"/>
      <c r="VTK214" s="443"/>
      <c r="VTL214" s="442"/>
      <c r="VTM214" s="442"/>
      <c r="VTN214" s="2"/>
      <c r="VTO214" s="2"/>
      <c r="VTP214" s="2"/>
      <c r="VTQ214" s="2"/>
      <c r="VTR214" s="260"/>
      <c r="VTS214" s="260"/>
      <c r="VTT214" s="260"/>
      <c r="VTU214" s="260"/>
      <c r="VTV214" s="260"/>
      <c r="VTW214" s="260"/>
      <c r="VTX214" s="308"/>
      <c r="VTY214" s="290"/>
      <c r="VTZ214" s="290"/>
      <c r="VUA214" s="260"/>
      <c r="VUB214" s="260"/>
      <c r="VUC214" s="260"/>
      <c r="VUD214" s="260"/>
      <c r="VUE214" s="260"/>
      <c r="VUF214" s="2"/>
      <c r="VUG214" s="2"/>
      <c r="VUH214" s="2"/>
      <c r="VUI214" s="2"/>
      <c r="VUJ214" s="2"/>
      <c r="VUK214" s="2"/>
      <c r="VUL214" s="260"/>
      <c r="VUM214" s="2"/>
      <c r="VUN214" s="2"/>
      <c r="VUO214" s="2"/>
      <c r="VUP214" s="2"/>
      <c r="VUQ214" s="2"/>
      <c r="VUR214" s="2"/>
      <c r="VUS214" s="2"/>
      <c r="VUT214" s="260"/>
      <c r="VUU214" s="260"/>
      <c r="VUV214" s="260"/>
      <c r="VUW214" s="380"/>
      <c r="VUX214" s="380"/>
      <c r="VUY214" s="380"/>
      <c r="VUZ214" s="2"/>
      <c r="VVA214" s="442"/>
      <c r="VVB214" s="442"/>
      <c r="VVC214" s="443"/>
      <c r="VVD214" s="442"/>
      <c r="VVE214" s="442"/>
      <c r="VVF214" s="2"/>
      <c r="VVG214" s="2"/>
      <c r="VVH214" s="2"/>
      <c r="VVI214" s="2"/>
      <c r="VVJ214" s="260"/>
      <c r="VVK214" s="260"/>
      <c r="VVL214" s="260"/>
      <c r="VVM214" s="260"/>
      <c r="VVN214" s="260"/>
      <c r="VVO214" s="260"/>
      <c r="VVP214" s="308"/>
      <c r="VVQ214" s="290"/>
      <c r="VVR214" s="290"/>
      <c r="VVS214" s="260"/>
      <c r="VVT214" s="260"/>
      <c r="VVU214" s="260"/>
      <c r="VVV214" s="260"/>
      <c r="VVW214" s="260"/>
      <c r="VVX214" s="2"/>
      <c r="VVY214" s="2"/>
      <c r="VVZ214" s="2"/>
      <c r="VWA214" s="2"/>
      <c r="VWB214" s="2"/>
      <c r="VWC214" s="2"/>
      <c r="VWD214" s="260"/>
      <c r="VWE214" s="2"/>
      <c r="VWF214" s="2"/>
      <c r="VWG214" s="2"/>
      <c r="VWH214" s="2"/>
      <c r="VWI214" s="2"/>
      <c r="VWJ214" s="2"/>
      <c r="VWK214" s="2"/>
      <c r="VWL214" s="260"/>
      <c r="VWM214" s="260"/>
      <c r="VWN214" s="260"/>
      <c r="VWO214" s="380"/>
      <c r="VWP214" s="380"/>
      <c r="VWQ214" s="380"/>
      <c r="VWR214" s="2"/>
      <c r="VWS214" s="442"/>
      <c r="VWT214" s="442"/>
      <c r="VWU214" s="443"/>
      <c r="VWV214" s="442"/>
      <c r="VWW214" s="442"/>
      <c r="VWX214" s="2"/>
      <c r="VWY214" s="2"/>
      <c r="VWZ214" s="2"/>
      <c r="VXA214" s="2"/>
      <c r="VXB214" s="260"/>
      <c r="VXC214" s="260"/>
      <c r="VXD214" s="260"/>
      <c r="VXE214" s="260"/>
      <c r="VXF214" s="260"/>
      <c r="VXG214" s="260"/>
      <c r="VXH214" s="308"/>
      <c r="VXI214" s="290"/>
      <c r="VXJ214" s="290"/>
      <c r="VXK214" s="260"/>
      <c r="VXL214" s="260"/>
      <c r="VXM214" s="260"/>
      <c r="VXN214" s="260"/>
      <c r="VXO214" s="260"/>
      <c r="VXP214" s="2"/>
      <c r="VXQ214" s="2"/>
      <c r="VXR214" s="2"/>
      <c r="VXS214" s="2"/>
      <c r="VXT214" s="2"/>
      <c r="VXU214" s="2"/>
      <c r="VXV214" s="260"/>
      <c r="VXW214" s="2"/>
      <c r="VXX214" s="2"/>
      <c r="VXY214" s="2"/>
      <c r="VXZ214" s="2"/>
      <c r="VYA214" s="2"/>
      <c r="VYB214" s="2"/>
      <c r="VYC214" s="2"/>
      <c r="VYD214" s="260"/>
      <c r="VYE214" s="260"/>
      <c r="VYF214" s="260"/>
      <c r="VYG214" s="380"/>
      <c r="VYH214" s="380"/>
      <c r="VYI214" s="380"/>
      <c r="VYJ214" s="2"/>
      <c r="VYK214" s="442"/>
      <c r="VYL214" s="442"/>
      <c r="VYM214" s="443"/>
      <c r="VYN214" s="442"/>
      <c r="VYO214" s="442"/>
      <c r="VYP214" s="2"/>
      <c r="VYQ214" s="2"/>
      <c r="VYR214" s="2"/>
      <c r="VYS214" s="2"/>
      <c r="VYT214" s="260"/>
      <c r="VYU214" s="260"/>
      <c r="VYV214" s="260"/>
      <c r="VYW214" s="260"/>
      <c r="VYX214" s="260"/>
      <c r="VYY214" s="260"/>
      <c r="VYZ214" s="308"/>
      <c r="VZA214" s="290"/>
      <c r="VZB214" s="290"/>
      <c r="VZC214" s="260"/>
      <c r="VZD214" s="260"/>
      <c r="VZE214" s="260"/>
      <c r="VZF214" s="260"/>
      <c r="VZG214" s="260"/>
      <c r="VZH214" s="2"/>
      <c r="VZI214" s="2"/>
      <c r="VZJ214" s="2"/>
      <c r="VZK214" s="2"/>
      <c r="VZL214" s="2"/>
      <c r="VZM214" s="2"/>
      <c r="VZN214" s="260"/>
      <c r="VZO214" s="2"/>
      <c r="VZP214" s="2"/>
      <c r="VZQ214" s="2"/>
      <c r="VZR214" s="2"/>
      <c r="VZS214" s="2"/>
      <c r="VZT214" s="2"/>
      <c r="VZU214" s="2"/>
      <c r="VZV214" s="260"/>
      <c r="VZW214" s="260"/>
      <c r="VZX214" s="260"/>
      <c r="VZY214" s="380"/>
      <c r="VZZ214" s="380"/>
      <c r="WAA214" s="380"/>
      <c r="WAB214" s="2"/>
      <c r="WAC214" s="442"/>
      <c r="WAD214" s="442"/>
      <c r="WAE214" s="443"/>
      <c r="WAF214" s="442"/>
      <c r="WAG214" s="442"/>
      <c r="WAH214" s="2"/>
      <c r="WAI214" s="2"/>
      <c r="WAJ214" s="2"/>
      <c r="WAK214" s="2"/>
      <c r="WAL214" s="260"/>
      <c r="WAM214" s="260"/>
      <c r="WAN214" s="260"/>
      <c r="WAO214" s="260"/>
      <c r="WAP214" s="260"/>
      <c r="WAQ214" s="260"/>
      <c r="WAR214" s="308"/>
      <c r="WAS214" s="290"/>
      <c r="WAT214" s="290"/>
      <c r="WAU214" s="260"/>
      <c r="WAV214" s="260"/>
      <c r="WAW214" s="260"/>
      <c r="WAX214" s="260"/>
      <c r="WAY214" s="260"/>
      <c r="WAZ214" s="2"/>
      <c r="WBA214" s="2"/>
      <c r="WBB214" s="2"/>
      <c r="WBC214" s="2"/>
      <c r="WBD214" s="2"/>
      <c r="WBE214" s="2"/>
      <c r="WBF214" s="260"/>
      <c r="WBG214" s="2"/>
      <c r="WBH214" s="2"/>
      <c r="WBI214" s="2"/>
      <c r="WBJ214" s="2"/>
      <c r="WBK214" s="2"/>
      <c r="WBL214" s="2"/>
      <c r="WBM214" s="2"/>
      <c r="WBN214" s="260"/>
      <c r="WBO214" s="260"/>
      <c r="WBP214" s="260"/>
      <c r="WBQ214" s="380"/>
      <c r="WBR214" s="380"/>
      <c r="WBS214" s="380"/>
      <c r="WBT214" s="2"/>
      <c r="WBU214" s="442"/>
      <c r="WBV214" s="442"/>
      <c r="WBW214" s="443"/>
      <c r="WBX214" s="442"/>
      <c r="WBY214" s="442"/>
      <c r="WBZ214" s="2"/>
      <c r="WCA214" s="2"/>
      <c r="WCB214" s="2"/>
      <c r="WCC214" s="2"/>
      <c r="WCD214" s="260"/>
      <c r="WCE214" s="260"/>
      <c r="WCF214" s="260"/>
      <c r="WCG214" s="260"/>
      <c r="WCH214" s="260"/>
      <c r="WCI214" s="260"/>
      <c r="WCJ214" s="308"/>
      <c r="WCK214" s="290"/>
      <c r="WCL214" s="290"/>
      <c r="WCM214" s="260"/>
      <c r="WCN214" s="260"/>
      <c r="WCO214" s="260"/>
      <c r="WCP214" s="260"/>
      <c r="WCQ214" s="260"/>
      <c r="WCR214" s="2"/>
      <c r="WCS214" s="2"/>
      <c r="WCT214" s="2"/>
      <c r="WCU214" s="2"/>
      <c r="WCV214" s="2"/>
      <c r="WCW214" s="2"/>
      <c r="WCX214" s="260"/>
      <c r="WCY214" s="2"/>
      <c r="WCZ214" s="2"/>
      <c r="WDA214" s="2"/>
      <c r="WDB214" s="2"/>
      <c r="WDC214" s="2"/>
      <c r="WDD214" s="2"/>
      <c r="WDE214" s="2"/>
      <c r="WDF214" s="260"/>
      <c r="WDG214" s="260"/>
      <c r="WDH214" s="260"/>
      <c r="WDI214" s="380"/>
      <c r="WDJ214" s="380"/>
      <c r="WDK214" s="380"/>
      <c r="WDL214" s="2"/>
      <c r="WDM214" s="442"/>
      <c r="WDN214" s="442"/>
      <c r="WDO214" s="443"/>
      <c r="WDP214" s="442"/>
      <c r="WDQ214" s="442"/>
      <c r="WDR214" s="2"/>
      <c r="WDS214" s="2"/>
      <c r="WDT214" s="2"/>
      <c r="WDU214" s="2"/>
      <c r="WDV214" s="260"/>
      <c r="WDW214" s="260"/>
      <c r="WDX214" s="260"/>
      <c r="WDY214" s="260"/>
      <c r="WDZ214" s="260"/>
      <c r="WEA214" s="260"/>
      <c r="WEB214" s="308"/>
      <c r="WEC214" s="290"/>
      <c r="WED214" s="290"/>
      <c r="WEE214" s="260"/>
      <c r="WEF214" s="260"/>
      <c r="WEG214" s="260"/>
      <c r="WEH214" s="260"/>
      <c r="WEI214" s="260"/>
      <c r="WEJ214" s="2"/>
      <c r="WEK214" s="2"/>
      <c r="WEL214" s="2"/>
      <c r="WEM214" s="2"/>
      <c r="WEN214" s="2"/>
      <c r="WEO214" s="2"/>
      <c r="WEP214" s="260"/>
      <c r="WEQ214" s="2"/>
      <c r="WER214" s="2"/>
      <c r="WES214" s="2"/>
      <c r="WET214" s="2"/>
      <c r="WEU214" s="2"/>
      <c r="WEV214" s="2"/>
      <c r="WEW214" s="2"/>
      <c r="WEX214" s="260"/>
      <c r="WEY214" s="260"/>
      <c r="WEZ214" s="260"/>
      <c r="WFA214" s="380"/>
      <c r="WFB214" s="380"/>
      <c r="WFC214" s="380"/>
      <c r="WFD214" s="2"/>
      <c r="WFE214" s="442"/>
      <c r="WFF214" s="442"/>
      <c r="WFG214" s="443"/>
      <c r="WFH214" s="442"/>
      <c r="WFI214" s="442"/>
      <c r="WFJ214" s="2"/>
      <c r="WFK214" s="2"/>
      <c r="WFL214" s="2"/>
      <c r="WFM214" s="2"/>
      <c r="WFN214" s="260"/>
      <c r="WFO214" s="260"/>
      <c r="WFP214" s="260"/>
      <c r="WFQ214" s="260"/>
      <c r="WFR214" s="260"/>
      <c r="WFS214" s="260"/>
      <c r="WFT214" s="308"/>
      <c r="WFU214" s="290"/>
      <c r="WFV214" s="290"/>
      <c r="WFW214" s="260"/>
      <c r="WFX214" s="260"/>
      <c r="WFY214" s="260"/>
      <c r="WFZ214" s="260"/>
      <c r="WGA214" s="260"/>
      <c r="WGB214" s="2"/>
      <c r="WGC214" s="2"/>
      <c r="WGD214" s="2"/>
      <c r="WGE214" s="2"/>
      <c r="WGF214" s="2"/>
      <c r="WGG214" s="2"/>
      <c r="WGH214" s="260"/>
      <c r="WGI214" s="2"/>
      <c r="WGJ214" s="2"/>
      <c r="WGK214" s="2"/>
      <c r="WGL214" s="2"/>
      <c r="WGM214" s="2"/>
      <c r="WGN214" s="2"/>
      <c r="WGO214" s="2"/>
      <c r="WGP214" s="260"/>
      <c r="WGQ214" s="260"/>
      <c r="WGR214" s="260"/>
      <c r="WGS214" s="380"/>
      <c r="WGT214" s="380"/>
      <c r="WGU214" s="380"/>
      <c r="WGV214" s="2"/>
      <c r="WGW214" s="442"/>
      <c r="WGX214" s="442"/>
      <c r="WGY214" s="443"/>
      <c r="WGZ214" s="442"/>
      <c r="WHA214" s="442"/>
      <c r="WHB214" s="2"/>
      <c r="WHC214" s="2"/>
      <c r="WHD214" s="2"/>
      <c r="WHE214" s="2"/>
      <c r="WHF214" s="260"/>
      <c r="WHG214" s="260"/>
      <c r="WHH214" s="260"/>
      <c r="WHI214" s="260"/>
      <c r="WHJ214" s="260"/>
      <c r="WHK214" s="260"/>
      <c r="WHL214" s="308"/>
      <c r="WHM214" s="290"/>
      <c r="WHN214" s="290"/>
      <c r="WHO214" s="260"/>
      <c r="WHP214" s="260"/>
      <c r="WHQ214" s="260"/>
      <c r="WHR214" s="260"/>
      <c r="WHS214" s="260"/>
      <c r="WHT214" s="2"/>
      <c r="WHU214" s="2"/>
      <c r="WHV214" s="2"/>
      <c r="WHW214" s="2"/>
      <c r="WHX214" s="2"/>
      <c r="WHY214" s="2"/>
      <c r="WHZ214" s="260"/>
      <c r="WIA214" s="2"/>
      <c r="WIB214" s="2"/>
      <c r="WIC214" s="2"/>
      <c r="WID214" s="2"/>
      <c r="WIE214" s="2"/>
      <c r="WIF214" s="2"/>
      <c r="WIG214" s="2"/>
      <c r="WIH214" s="260"/>
      <c r="WII214" s="260"/>
      <c r="WIJ214" s="260"/>
      <c r="WIK214" s="380"/>
      <c r="WIL214" s="380"/>
      <c r="WIM214" s="380"/>
      <c r="WIN214" s="2"/>
      <c r="WIO214" s="442"/>
      <c r="WIP214" s="442"/>
      <c r="WIQ214" s="443"/>
      <c r="WIR214" s="442"/>
      <c r="WIS214" s="442"/>
      <c r="WIT214" s="2"/>
      <c r="WIU214" s="2"/>
      <c r="WIV214" s="2"/>
      <c r="WIW214" s="2"/>
      <c r="WIX214" s="260"/>
      <c r="WIY214" s="260"/>
      <c r="WIZ214" s="260"/>
      <c r="WJA214" s="260"/>
      <c r="WJB214" s="260"/>
      <c r="WJC214" s="260"/>
      <c r="WJD214" s="308"/>
      <c r="WJE214" s="290"/>
      <c r="WJF214" s="290"/>
      <c r="WJG214" s="260"/>
      <c r="WJH214" s="260"/>
      <c r="WJI214" s="260"/>
      <c r="WJJ214" s="260"/>
      <c r="WJK214" s="260"/>
      <c r="WJL214" s="2"/>
      <c r="WJM214" s="2"/>
      <c r="WJN214" s="2"/>
      <c r="WJO214" s="2"/>
      <c r="WJP214" s="2"/>
      <c r="WJQ214" s="2"/>
      <c r="WJR214" s="260"/>
      <c r="WJS214" s="2"/>
      <c r="WJT214" s="2"/>
      <c r="WJU214" s="2"/>
      <c r="WJV214" s="2"/>
      <c r="WJW214" s="2"/>
      <c r="WJX214" s="2"/>
      <c r="WJY214" s="2"/>
      <c r="WJZ214" s="260"/>
      <c r="WKA214" s="260"/>
      <c r="WKB214" s="260"/>
      <c r="WKC214" s="380"/>
      <c r="WKD214" s="380"/>
      <c r="WKE214" s="380"/>
      <c r="WKF214" s="2"/>
      <c r="WKG214" s="442"/>
      <c r="WKH214" s="442"/>
      <c r="WKI214" s="443"/>
      <c r="WKJ214" s="442"/>
      <c r="WKK214" s="442"/>
      <c r="WKL214" s="2"/>
      <c r="WKM214" s="2"/>
      <c r="WKN214" s="2"/>
      <c r="WKO214" s="2"/>
      <c r="WKP214" s="260"/>
      <c r="WKQ214" s="260"/>
      <c r="WKR214" s="260"/>
      <c r="WKS214" s="260"/>
      <c r="WKT214" s="260"/>
      <c r="WKU214" s="260"/>
      <c r="WKV214" s="308"/>
      <c r="WKW214" s="290"/>
      <c r="WKX214" s="290"/>
      <c r="WKY214" s="260"/>
      <c r="WKZ214" s="260"/>
      <c r="WLA214" s="260"/>
      <c r="WLB214" s="260"/>
      <c r="WLC214" s="260"/>
      <c r="WLD214" s="2"/>
      <c r="WLE214" s="2"/>
      <c r="WLF214" s="2"/>
      <c r="WLG214" s="2"/>
      <c r="WLH214" s="2"/>
      <c r="WLI214" s="2"/>
      <c r="WLJ214" s="260"/>
      <c r="WLK214" s="2"/>
      <c r="WLL214" s="2"/>
      <c r="WLM214" s="2"/>
      <c r="WLN214" s="2"/>
      <c r="WLO214" s="2"/>
      <c r="WLP214" s="2"/>
      <c r="WLQ214" s="2"/>
      <c r="WLR214" s="260"/>
      <c r="WLS214" s="260"/>
      <c r="WLT214" s="260"/>
      <c r="WLU214" s="380"/>
      <c r="WLV214" s="380"/>
      <c r="WLW214" s="380"/>
      <c r="WLX214" s="2"/>
      <c r="WLY214" s="442"/>
      <c r="WLZ214" s="442"/>
      <c r="WMA214" s="443"/>
      <c r="WMB214" s="442"/>
      <c r="WMC214" s="442"/>
      <c r="WMD214" s="2"/>
      <c r="WME214" s="2"/>
      <c r="WMF214" s="2"/>
      <c r="WMG214" s="2"/>
      <c r="WMH214" s="260"/>
      <c r="WMI214" s="260"/>
      <c r="WMJ214" s="260"/>
      <c r="WMK214" s="260"/>
      <c r="WML214" s="260"/>
      <c r="WMM214" s="260"/>
      <c r="WMN214" s="308"/>
      <c r="WMO214" s="290"/>
      <c r="WMP214" s="290"/>
      <c r="WMQ214" s="260"/>
      <c r="WMR214" s="260"/>
      <c r="WMS214" s="260"/>
      <c r="WMT214" s="260"/>
      <c r="WMU214" s="260"/>
      <c r="WMV214" s="2"/>
      <c r="WMW214" s="2"/>
      <c r="WMX214" s="2"/>
      <c r="WMY214" s="2"/>
      <c r="WMZ214" s="2"/>
      <c r="WNA214" s="2"/>
      <c r="WNB214" s="260"/>
      <c r="WNC214" s="2"/>
      <c r="WND214" s="2"/>
      <c r="WNE214" s="2"/>
      <c r="WNF214" s="2"/>
      <c r="WNG214" s="2"/>
      <c r="WNH214" s="2"/>
      <c r="WNI214" s="2"/>
      <c r="WNJ214" s="260"/>
      <c r="WNK214" s="260"/>
      <c r="WNL214" s="260"/>
      <c r="WNM214" s="380"/>
      <c r="WNN214" s="380"/>
      <c r="WNO214" s="380"/>
      <c r="WNP214" s="2"/>
      <c r="WNQ214" s="442"/>
      <c r="WNR214" s="442"/>
      <c r="WNS214" s="443"/>
      <c r="WNT214" s="442"/>
      <c r="WNU214" s="442"/>
      <c r="WNV214" s="2"/>
      <c r="WNW214" s="2"/>
      <c r="WNX214" s="2"/>
      <c r="WNY214" s="2"/>
      <c r="WNZ214" s="260"/>
      <c r="WOA214" s="260"/>
      <c r="WOB214" s="260"/>
      <c r="WOC214" s="260"/>
      <c r="WOD214" s="260"/>
      <c r="WOE214" s="260"/>
      <c r="WOF214" s="308"/>
      <c r="WOG214" s="290"/>
      <c r="WOH214" s="290"/>
      <c r="WOI214" s="260"/>
      <c r="WOJ214" s="260"/>
      <c r="WOK214" s="260"/>
      <c r="WOL214" s="260"/>
      <c r="WOM214" s="260"/>
      <c r="WON214" s="2"/>
      <c r="WOO214" s="2"/>
      <c r="WOP214" s="2"/>
      <c r="WOQ214" s="2"/>
      <c r="WOR214" s="2"/>
      <c r="WOS214" s="2"/>
      <c r="WOT214" s="260"/>
      <c r="WOU214" s="2"/>
      <c r="WOV214" s="2"/>
      <c r="WOW214" s="2"/>
      <c r="WOX214" s="2"/>
      <c r="WOY214" s="2"/>
      <c r="WOZ214" s="2"/>
      <c r="WPA214" s="2"/>
      <c r="WPB214" s="260"/>
      <c r="WPC214" s="260"/>
      <c r="WPD214" s="260"/>
      <c r="WPE214" s="380"/>
      <c r="WPF214" s="380"/>
      <c r="WPG214" s="380"/>
      <c r="WPH214" s="2"/>
      <c r="WPI214" s="442"/>
      <c r="WPJ214" s="442"/>
      <c r="WPK214" s="443"/>
      <c r="WPL214" s="442"/>
      <c r="WPM214" s="442"/>
      <c r="WPN214" s="2"/>
      <c r="WPO214" s="2"/>
      <c r="WPP214" s="2"/>
      <c r="WPQ214" s="2"/>
      <c r="WPR214" s="260"/>
      <c r="WPS214" s="260"/>
      <c r="WPT214" s="260"/>
      <c r="WPU214" s="260"/>
      <c r="WPV214" s="260"/>
      <c r="WPW214" s="260"/>
      <c r="WPX214" s="308"/>
      <c r="WPY214" s="290"/>
      <c r="WPZ214" s="290"/>
      <c r="WQA214" s="260"/>
      <c r="WQB214" s="260"/>
      <c r="WQC214" s="260"/>
      <c r="WQD214" s="260"/>
      <c r="WQE214" s="260"/>
      <c r="WQF214" s="2"/>
      <c r="WQG214" s="2"/>
      <c r="WQH214" s="2"/>
      <c r="WQI214" s="2"/>
      <c r="WQJ214" s="2"/>
      <c r="WQK214" s="2"/>
      <c r="WQL214" s="260"/>
      <c r="WQM214" s="2"/>
      <c r="WQN214" s="2"/>
      <c r="WQO214" s="2"/>
      <c r="WQP214" s="2"/>
      <c r="WQQ214" s="2"/>
      <c r="WQR214" s="2"/>
      <c r="WQS214" s="2"/>
      <c r="WQT214" s="260"/>
      <c r="WQU214" s="260"/>
      <c r="WQV214" s="260"/>
      <c r="WQW214" s="380"/>
      <c r="WQX214" s="380"/>
      <c r="WQY214" s="380"/>
      <c r="WQZ214" s="2"/>
      <c r="WRA214" s="442"/>
      <c r="WRB214" s="442"/>
      <c r="WRC214" s="443"/>
      <c r="WRD214" s="442"/>
      <c r="WRE214" s="442"/>
      <c r="WRF214" s="2"/>
      <c r="WRG214" s="2"/>
      <c r="WRH214" s="2"/>
      <c r="WRI214" s="2"/>
      <c r="WRJ214" s="260"/>
      <c r="WRK214" s="260"/>
      <c r="WRL214" s="260"/>
      <c r="WRM214" s="260"/>
      <c r="WRN214" s="260"/>
      <c r="WRO214" s="260"/>
      <c r="WRP214" s="308"/>
      <c r="WRQ214" s="290"/>
      <c r="WRR214" s="290"/>
      <c r="WRS214" s="260"/>
      <c r="WRT214" s="260"/>
      <c r="WRU214" s="260"/>
      <c r="WRV214" s="260"/>
      <c r="WRW214" s="260"/>
      <c r="WRX214" s="2"/>
      <c r="WRY214" s="2"/>
      <c r="WRZ214" s="2"/>
      <c r="WSA214" s="2"/>
      <c r="WSB214" s="2"/>
      <c r="WSC214" s="2"/>
      <c r="WSD214" s="260"/>
      <c r="WSE214" s="2"/>
      <c r="WSF214" s="2"/>
      <c r="WSG214" s="2"/>
      <c r="WSH214" s="2"/>
      <c r="WSI214" s="2"/>
      <c r="WSJ214" s="2"/>
      <c r="WSK214" s="2"/>
      <c r="WSL214" s="260"/>
      <c r="WSM214" s="260"/>
      <c r="WSN214" s="260"/>
      <c r="WSO214" s="380"/>
      <c r="WSP214" s="380"/>
      <c r="WSQ214" s="380"/>
      <c r="WSR214" s="2"/>
      <c r="WSS214" s="442"/>
      <c r="WST214" s="442"/>
      <c r="WSU214" s="443"/>
      <c r="WSV214" s="442"/>
      <c r="WSW214" s="442"/>
      <c r="WSX214" s="2"/>
      <c r="WSY214" s="2"/>
      <c r="WSZ214" s="2"/>
      <c r="WTA214" s="2"/>
      <c r="WTB214" s="260"/>
      <c r="WTC214" s="260"/>
      <c r="WTD214" s="260"/>
      <c r="WTE214" s="260"/>
      <c r="WTF214" s="260"/>
      <c r="WTG214" s="260"/>
      <c r="WTH214" s="308"/>
      <c r="WTI214" s="290"/>
      <c r="WTJ214" s="290"/>
      <c r="WTK214" s="260"/>
      <c r="WTL214" s="260"/>
      <c r="WTM214" s="260"/>
      <c r="WTN214" s="260"/>
      <c r="WTO214" s="260"/>
      <c r="WTP214" s="2"/>
      <c r="WTQ214" s="2"/>
      <c r="WTR214" s="2"/>
      <c r="WTS214" s="2"/>
      <c r="WTT214" s="2"/>
      <c r="WTU214" s="2"/>
      <c r="WTV214" s="260"/>
      <c r="WTW214" s="2"/>
      <c r="WTX214" s="2"/>
      <c r="WTY214" s="2"/>
      <c r="WTZ214" s="2"/>
      <c r="WUA214" s="2"/>
      <c r="WUB214" s="2"/>
      <c r="WUC214" s="2"/>
      <c r="WUD214" s="260"/>
      <c r="WUE214" s="260"/>
      <c r="WUF214" s="260"/>
      <c r="WUG214" s="380"/>
      <c r="WUH214" s="380"/>
      <c r="WUI214" s="380"/>
      <c r="WUJ214" s="2"/>
      <c r="WUK214" s="442"/>
      <c r="WUL214" s="442"/>
      <c r="WUM214" s="443"/>
      <c r="WUN214" s="442"/>
      <c r="WUO214" s="442"/>
      <c r="WUP214" s="2"/>
      <c r="WUQ214" s="2"/>
      <c r="WUR214" s="2"/>
      <c r="WUS214" s="2"/>
      <c r="WUT214" s="260"/>
      <c r="WUU214" s="260"/>
      <c r="WUV214" s="260"/>
      <c r="WUW214" s="260"/>
      <c r="WUX214" s="260"/>
      <c r="WUY214" s="260"/>
      <c r="WUZ214" s="308"/>
      <c r="WVA214" s="290"/>
      <c r="WVB214" s="290"/>
      <c r="WVC214" s="260"/>
      <c r="WVD214" s="260"/>
      <c r="WVE214" s="260"/>
      <c r="WVF214" s="260"/>
      <c r="WVG214" s="260"/>
      <c r="WVH214" s="2"/>
      <c r="WVI214" s="2"/>
      <c r="WVJ214" s="2"/>
      <c r="WVK214" s="2"/>
      <c r="WVL214" s="2"/>
      <c r="WVM214" s="2"/>
      <c r="WVN214" s="260"/>
      <c r="WVO214" s="2"/>
      <c r="WVP214" s="2"/>
      <c r="WVQ214" s="2"/>
      <c r="WVR214" s="2"/>
      <c r="WVS214" s="2"/>
      <c r="WVT214" s="2"/>
      <c r="WVU214" s="2"/>
      <c r="WVV214" s="260"/>
      <c r="WVW214" s="260"/>
      <c r="WVX214" s="260"/>
      <c r="WVY214" s="380"/>
      <c r="WVZ214" s="380"/>
      <c r="WWA214" s="380"/>
      <c r="WWB214" s="2"/>
      <c r="WWC214" s="442"/>
      <c r="WWD214" s="442"/>
      <c r="WWE214" s="443"/>
      <c r="WWF214" s="442"/>
      <c r="WWG214" s="442"/>
      <c r="WWH214" s="2"/>
      <c r="WWI214" s="2"/>
      <c r="WWJ214" s="2"/>
      <c r="WWK214" s="2"/>
      <c r="WWL214" s="260"/>
      <c r="WWM214" s="260"/>
      <c r="WWN214" s="260"/>
      <c r="WWO214" s="260"/>
      <c r="WWP214" s="260"/>
      <c r="WWQ214" s="260"/>
      <c r="WWR214" s="308"/>
      <c r="WWS214" s="290"/>
      <c r="WWT214" s="290"/>
      <c r="WWU214" s="260"/>
      <c r="WWV214" s="260"/>
      <c r="WWW214" s="260"/>
      <c r="WWX214" s="260"/>
      <c r="WWY214" s="260"/>
      <c r="WWZ214" s="2"/>
      <c r="WXA214" s="2"/>
      <c r="WXB214" s="2"/>
      <c r="WXC214" s="2"/>
      <c r="WXD214" s="2"/>
      <c r="WXE214" s="2"/>
      <c r="WXF214" s="260"/>
      <c r="WXG214" s="2"/>
      <c r="WXH214" s="2"/>
      <c r="WXI214" s="2"/>
      <c r="WXJ214" s="2"/>
      <c r="WXK214" s="2"/>
      <c r="WXL214" s="2"/>
      <c r="WXM214" s="2"/>
      <c r="WXN214" s="260"/>
      <c r="WXO214" s="260"/>
      <c r="WXP214" s="260"/>
      <c r="WXQ214" s="380"/>
      <c r="WXR214" s="380"/>
      <c r="WXS214" s="380"/>
      <c r="WXT214" s="2"/>
      <c r="WXU214" s="442"/>
      <c r="WXV214" s="442"/>
      <c r="WXW214" s="443"/>
      <c r="WXX214" s="442"/>
      <c r="WXY214" s="442"/>
      <c r="WXZ214" s="2"/>
      <c r="WYA214" s="2"/>
      <c r="WYB214" s="2"/>
      <c r="WYC214" s="2"/>
      <c r="WYD214" s="260"/>
      <c r="WYE214" s="260"/>
      <c r="WYF214" s="260"/>
      <c r="WYG214" s="260"/>
      <c r="WYH214" s="260"/>
      <c r="WYI214" s="260"/>
      <c r="WYJ214" s="308"/>
      <c r="WYK214" s="290"/>
      <c r="WYL214" s="290"/>
      <c r="WYM214" s="260"/>
      <c r="WYN214" s="260"/>
      <c r="WYO214" s="260"/>
      <c r="WYP214" s="260"/>
      <c r="WYQ214" s="260"/>
      <c r="WYR214" s="2"/>
      <c r="WYS214" s="2"/>
      <c r="WYT214" s="2"/>
      <c r="WYU214" s="2"/>
      <c r="WYV214" s="2"/>
      <c r="WYW214" s="2"/>
      <c r="WYX214" s="260"/>
      <c r="WYY214" s="2"/>
      <c r="WYZ214" s="2"/>
      <c r="WZA214" s="2"/>
      <c r="WZB214" s="2"/>
      <c r="WZC214" s="2"/>
      <c r="WZD214" s="2"/>
      <c r="WZE214" s="2"/>
      <c r="WZF214" s="260"/>
      <c r="WZG214" s="260"/>
      <c r="WZH214" s="260"/>
      <c r="WZI214" s="380"/>
      <c r="WZJ214" s="380"/>
      <c r="WZK214" s="380"/>
      <c r="WZL214" s="2"/>
      <c r="WZM214" s="442"/>
      <c r="WZN214" s="442"/>
      <c r="WZO214" s="443"/>
      <c r="WZP214" s="442"/>
      <c r="WZQ214" s="442"/>
      <c r="WZR214" s="2"/>
      <c r="WZS214" s="2"/>
      <c r="WZT214" s="2"/>
      <c r="WZU214" s="2"/>
      <c r="WZV214" s="260"/>
      <c r="WZW214" s="260"/>
      <c r="WZX214" s="260"/>
      <c r="WZY214" s="260"/>
      <c r="WZZ214" s="260"/>
      <c r="XAA214" s="260"/>
      <c r="XAB214" s="308"/>
      <c r="XAC214" s="290"/>
      <c r="XAD214" s="290"/>
      <c r="XAE214" s="260"/>
      <c r="XAF214" s="260"/>
      <c r="XAG214" s="260"/>
      <c r="XAH214" s="260"/>
      <c r="XAI214" s="260"/>
      <c r="XAJ214" s="2"/>
      <c r="XAK214" s="2"/>
      <c r="XAL214" s="2"/>
      <c r="XAM214" s="2"/>
      <c r="XAN214" s="2"/>
      <c r="XAO214" s="2"/>
      <c r="XAP214" s="260"/>
      <c r="XAQ214" s="2"/>
      <c r="XAR214" s="2"/>
      <c r="XAS214" s="2"/>
      <c r="XAT214" s="2"/>
      <c r="XAU214" s="2"/>
      <c r="XAV214" s="2"/>
      <c r="XAW214" s="2"/>
      <c r="XAX214" s="260"/>
      <c r="XAY214" s="260"/>
      <c r="XAZ214" s="260"/>
      <c r="XBA214" s="380"/>
      <c r="XBB214" s="380"/>
      <c r="XBC214" s="380"/>
      <c r="XBD214" s="2"/>
      <c r="XBE214" s="442"/>
      <c r="XBF214" s="442"/>
      <c r="XBG214" s="443"/>
      <c r="XBH214" s="442"/>
      <c r="XBI214" s="442"/>
      <c r="XBJ214" s="2"/>
      <c r="XBK214" s="2"/>
      <c r="XBL214" s="2"/>
      <c r="XBM214" s="2"/>
      <c r="XBN214" s="260"/>
      <c r="XBO214" s="260"/>
      <c r="XBP214" s="260"/>
      <c r="XBQ214" s="260"/>
      <c r="XBR214" s="260"/>
      <c r="XBS214" s="260"/>
      <c r="XBT214" s="308"/>
      <c r="XBU214" s="290"/>
      <c r="XBV214" s="290"/>
      <c r="XBW214" s="260"/>
      <c r="XBX214" s="260"/>
      <c r="XBY214" s="260"/>
      <c r="XBZ214" s="260"/>
      <c r="XCA214" s="260"/>
      <c r="XCB214" s="2"/>
      <c r="XCC214" s="2"/>
      <c r="XCD214" s="2"/>
      <c r="XCE214" s="2"/>
      <c r="XCF214" s="2"/>
      <c r="XCG214" s="2"/>
      <c r="XCH214" s="260"/>
      <c r="XCI214" s="2"/>
      <c r="XCJ214" s="2"/>
      <c r="XCK214" s="2"/>
      <c r="XCL214" s="2"/>
      <c r="XCM214" s="2"/>
      <c r="XCN214" s="2"/>
      <c r="XCO214" s="2"/>
      <c r="XCP214" s="260"/>
      <c r="XCQ214" s="260"/>
      <c r="XCR214" s="260"/>
      <c r="XCS214" s="380"/>
      <c r="XCT214" s="380"/>
      <c r="XCU214" s="380"/>
      <c r="XCV214" s="2"/>
      <c r="XCW214" s="442"/>
      <c r="XCX214" s="442"/>
      <c r="XCY214" s="443"/>
      <c r="XCZ214" s="442"/>
      <c r="XDA214" s="442"/>
      <c r="XDB214" s="2"/>
      <c r="XDC214" s="2"/>
      <c r="XDD214" s="2"/>
      <c r="XDE214" s="2"/>
      <c r="XDF214" s="260"/>
      <c r="XDG214" s="260"/>
      <c r="XDH214" s="260"/>
      <c r="XDI214" s="260"/>
      <c r="XDJ214" s="260"/>
      <c r="XDK214" s="260"/>
      <c r="XDL214" s="308"/>
      <c r="XDM214" s="290"/>
      <c r="XDN214" s="290"/>
      <c r="XDO214" s="260"/>
      <c r="XDP214" s="260"/>
      <c r="XDQ214" s="260"/>
      <c r="XDR214" s="260"/>
      <c r="XDS214" s="260"/>
      <c r="XDT214" s="2"/>
      <c r="XDU214" s="2"/>
      <c r="XDV214" s="2"/>
      <c r="XDW214" s="2"/>
      <c r="XDX214" s="2"/>
      <c r="XDY214" s="2"/>
      <c r="XDZ214" s="260"/>
      <c r="XEA214" s="2"/>
      <c r="XEB214" s="2"/>
      <c r="XEC214" s="2"/>
      <c r="XED214" s="2"/>
      <c r="XEE214" s="2"/>
      <c r="XEF214" s="2"/>
      <c r="XEG214" s="2"/>
      <c r="XEH214" s="260"/>
      <c r="XEI214" s="260"/>
      <c r="XEJ214" s="260"/>
      <c r="XEK214" s="380"/>
      <c r="XEL214" s="380"/>
      <c r="XEM214" s="380"/>
      <c r="XEN214" s="2"/>
      <c r="XEO214" s="442"/>
      <c r="XEP214" s="442"/>
      <c r="XEQ214" s="443"/>
      <c r="XER214" s="442"/>
      <c r="XES214" s="442"/>
      <c r="XET214" s="2"/>
      <c r="XEU214" s="2"/>
      <c r="XEV214" s="2"/>
      <c r="XEW214" s="2"/>
      <c r="XEX214" s="260"/>
      <c r="XEY214" s="260"/>
      <c r="XEZ214" s="260"/>
      <c r="XFA214" s="260"/>
      <c r="XFB214" s="260"/>
      <c r="XFC214" s="260"/>
      <c r="XFD214" s="308"/>
    </row>
    <row r="215" spans="1:16384" customFormat="1" ht="18" hidden="1" customHeight="1" x14ac:dyDescent="0.25">
      <c r="A215" s="448" t="s">
        <v>501</v>
      </c>
      <c r="B215" s="254">
        <v>1369</v>
      </c>
      <c r="C215" s="449" t="s">
        <v>417</v>
      </c>
      <c r="D215" s="254" t="s">
        <v>565</v>
      </c>
      <c r="E215" s="450">
        <v>39285</v>
      </c>
      <c r="F215" s="2" t="s">
        <v>572</v>
      </c>
      <c r="G215" s="2" t="s">
        <v>63</v>
      </c>
      <c r="H215" s="2"/>
      <c r="I215" s="2" t="s">
        <v>573</v>
      </c>
      <c r="J215" s="260">
        <v>38631</v>
      </c>
      <c r="K215" s="260">
        <v>39399</v>
      </c>
      <c r="L215" s="260"/>
      <c r="M215" s="260"/>
      <c r="N215" s="260"/>
      <c r="O215" s="260"/>
      <c r="P215" s="260"/>
      <c r="Q215" s="290"/>
      <c r="R215" s="308"/>
      <c r="S215" s="260"/>
      <c r="T215" s="260"/>
      <c r="U215" s="260"/>
      <c r="V215" s="260"/>
      <c r="W215" s="387"/>
      <c r="X215" s="2"/>
      <c r="Y215" s="2">
        <f t="shared" si="110"/>
        <v>768</v>
      </c>
      <c r="Z215" s="2" t="str">
        <f t="shared" si="111"/>
        <v/>
      </c>
      <c r="AA215" s="2" t="str">
        <f t="shared" ref="AA215:AB220" si="120">IF(OR(ISBLANK(M215),ISBLANK(L215)),"",IF(AND(M215&gt;=L215,M215-L215&lt;=M215),(M215-L215)*$AK215,"!!!!"))</f>
        <v/>
      </c>
      <c r="AB215" s="2" t="str">
        <f t="shared" si="120"/>
        <v/>
      </c>
      <c r="AC215" s="2" t="str">
        <f t="shared" si="112"/>
        <v/>
      </c>
      <c r="AD215" s="260" t="str">
        <f t="shared" si="113"/>
        <v/>
      </c>
      <c r="AE215" s="2" t="str">
        <f t="shared" si="114"/>
        <v/>
      </c>
      <c r="AF215" s="2" t="str">
        <f t="shared" si="115"/>
        <v/>
      </c>
      <c r="AG215" s="2" t="str">
        <f t="shared" si="116"/>
        <v/>
      </c>
      <c r="AH215" s="2" t="str">
        <f t="shared" si="117"/>
        <v/>
      </c>
      <c r="AI215" s="2" t="str">
        <f t="shared" si="118"/>
        <v/>
      </c>
      <c r="AJ215" s="2" t="str">
        <f t="shared" si="119"/>
        <v/>
      </c>
      <c r="AK215" s="2">
        <v>1</v>
      </c>
      <c r="AL215" s="260">
        <f t="shared" ca="1" si="106"/>
        <v>0</v>
      </c>
      <c r="AM215" s="260">
        <f t="shared" ca="1" si="107"/>
        <v>0</v>
      </c>
      <c r="AN215" s="260" t="str">
        <f ca="1">IF(AND(Tabla7[[#This Row],[UltLec]]&lt;&gt;0,Tabla7[[#This Row],[PenLect]]&lt;&gt;0),(AM215-AL215)*Tabla7[[#This Row],[RT]],"N/A")</f>
        <v>N/A</v>
      </c>
      <c r="AO215" s="380" t="s">
        <v>1020</v>
      </c>
      <c r="AP215" s="380" t="s">
        <v>1075</v>
      </c>
      <c r="AQ215" s="380" t="s">
        <v>1074</v>
      </c>
      <c r="AR215" s="2">
        <f t="shared" si="108"/>
        <v>0</v>
      </c>
      <c r="AT215" s="2" t="e">
        <f t="shared" ca="1" si="109"/>
        <v>#VALUE!</v>
      </c>
    </row>
    <row r="216" spans="1:16384" customFormat="1" ht="18.75" hidden="1" customHeight="1" x14ac:dyDescent="0.25">
      <c r="A216" s="291" t="s">
        <v>501</v>
      </c>
      <c r="B216" s="54"/>
      <c r="C216" s="368" t="s">
        <v>384</v>
      </c>
      <c r="D216" s="54" t="s">
        <v>565</v>
      </c>
      <c r="E216" s="232">
        <v>39995</v>
      </c>
      <c r="F216" s="2" t="s">
        <v>570</v>
      </c>
      <c r="G216" s="2" t="s">
        <v>569</v>
      </c>
      <c r="H216" s="2"/>
      <c r="I216" s="2"/>
      <c r="J216" s="260">
        <v>724447</v>
      </c>
      <c r="K216" s="260">
        <v>724895</v>
      </c>
      <c r="L216" s="260"/>
      <c r="M216" s="260"/>
      <c r="N216" s="260"/>
      <c r="O216" s="260"/>
      <c r="P216" s="260"/>
      <c r="Q216" s="290"/>
      <c r="R216" s="308"/>
      <c r="S216" s="260"/>
      <c r="T216" s="260"/>
      <c r="U216" s="260"/>
      <c r="V216" s="260"/>
      <c r="W216" s="387"/>
      <c r="X216" s="2"/>
      <c r="Y216" s="2">
        <f t="shared" si="110"/>
        <v>448</v>
      </c>
      <c r="Z216" s="2" t="str">
        <f t="shared" si="111"/>
        <v/>
      </c>
      <c r="AA216" s="2" t="str">
        <f t="shared" si="120"/>
        <v/>
      </c>
      <c r="AB216" s="2" t="str">
        <f t="shared" si="120"/>
        <v/>
      </c>
      <c r="AC216" s="2" t="str">
        <f t="shared" si="112"/>
        <v/>
      </c>
      <c r="AD216" s="260" t="str">
        <f t="shared" si="113"/>
        <v/>
      </c>
      <c r="AE216" s="2" t="str">
        <f t="shared" si="114"/>
        <v/>
      </c>
      <c r="AF216" s="2" t="str">
        <f t="shared" si="115"/>
        <v/>
      </c>
      <c r="AG216" s="2" t="str">
        <f t="shared" si="116"/>
        <v/>
      </c>
      <c r="AH216" s="2" t="str">
        <f t="shared" si="117"/>
        <v/>
      </c>
      <c r="AI216" s="2" t="str">
        <f t="shared" si="118"/>
        <v/>
      </c>
      <c r="AJ216" s="2" t="str">
        <f t="shared" si="119"/>
        <v/>
      </c>
      <c r="AK216" s="2">
        <v>1</v>
      </c>
      <c r="AL216" s="260">
        <f t="shared" ca="1" si="106"/>
        <v>0</v>
      </c>
      <c r="AM216" s="260">
        <f t="shared" ca="1" si="107"/>
        <v>0</v>
      </c>
      <c r="AN216" s="260" t="str">
        <f ca="1">IF(AND(Tabla7[[#This Row],[UltLec]]&lt;&gt;0,Tabla7[[#This Row],[PenLect]]&lt;&gt;0),(AM216-AL216)*Tabla7[[#This Row],[RT]],"N/A")</f>
        <v>N/A</v>
      </c>
      <c r="AO216" s="380" t="s">
        <v>1020</v>
      </c>
      <c r="AP216" s="380" t="s">
        <v>1075</v>
      </c>
      <c r="AQ216" s="380" t="s">
        <v>1074</v>
      </c>
      <c r="AR216" s="2">
        <f t="shared" si="108"/>
        <v>0</v>
      </c>
      <c r="AT216" s="2" t="e">
        <f t="shared" ca="1" si="109"/>
        <v>#VALUE!</v>
      </c>
    </row>
    <row r="217" spans="1:16384" customFormat="1" ht="18" hidden="1" customHeight="1" x14ac:dyDescent="0.25">
      <c r="A217" s="291" t="s">
        <v>501</v>
      </c>
      <c r="B217" s="54">
        <v>874</v>
      </c>
      <c r="C217" s="368" t="s">
        <v>383</v>
      </c>
      <c r="D217" s="54" t="s">
        <v>565</v>
      </c>
      <c r="E217" s="232">
        <v>39993</v>
      </c>
      <c r="F217" s="2" t="s">
        <v>568</v>
      </c>
      <c r="G217" s="2" t="s">
        <v>569</v>
      </c>
      <c r="H217" s="2" t="s">
        <v>139</v>
      </c>
      <c r="I217" s="2"/>
      <c r="J217" s="260">
        <v>207122</v>
      </c>
      <c r="K217" s="260">
        <v>210019</v>
      </c>
      <c r="L217" s="260"/>
      <c r="M217" s="260"/>
      <c r="N217" s="260"/>
      <c r="O217" s="260"/>
      <c r="P217" s="260"/>
      <c r="Q217" s="290"/>
      <c r="R217" s="308"/>
      <c r="S217" s="260"/>
      <c r="T217" s="260"/>
      <c r="U217" s="260"/>
      <c r="V217" s="260"/>
      <c r="W217" s="387"/>
      <c r="X217" s="2"/>
      <c r="Y217" s="2">
        <f t="shared" si="110"/>
        <v>2897</v>
      </c>
      <c r="Z217" s="2" t="str">
        <f t="shared" si="111"/>
        <v/>
      </c>
      <c r="AA217" s="2" t="str">
        <f t="shared" si="120"/>
        <v/>
      </c>
      <c r="AB217" s="2" t="str">
        <f t="shared" si="120"/>
        <v/>
      </c>
      <c r="AC217" s="2" t="str">
        <f t="shared" si="112"/>
        <v/>
      </c>
      <c r="AD217" s="260" t="str">
        <f t="shared" si="113"/>
        <v/>
      </c>
      <c r="AE217" s="2" t="str">
        <f t="shared" si="114"/>
        <v/>
      </c>
      <c r="AF217" s="2" t="str">
        <f t="shared" si="115"/>
        <v/>
      </c>
      <c r="AG217" s="2" t="str">
        <f t="shared" si="116"/>
        <v/>
      </c>
      <c r="AH217" s="2" t="str">
        <f t="shared" si="117"/>
        <v/>
      </c>
      <c r="AI217" s="2" t="str">
        <f t="shared" si="118"/>
        <v/>
      </c>
      <c r="AJ217" s="2" t="str">
        <f t="shared" si="119"/>
        <v/>
      </c>
      <c r="AK217" s="2">
        <v>1</v>
      </c>
      <c r="AL217" s="260">
        <f t="shared" ca="1" si="106"/>
        <v>0</v>
      </c>
      <c r="AM217" s="260">
        <f t="shared" ca="1" si="107"/>
        <v>0</v>
      </c>
      <c r="AN217" s="260" t="str">
        <f ca="1">IF(AND(Tabla7[[#This Row],[UltLec]]&lt;&gt;0,Tabla7[[#This Row],[PenLect]]&lt;&gt;0),(AM217-AL217)*Tabla7[[#This Row],[RT]],"N/A")</f>
        <v>N/A</v>
      </c>
      <c r="AO217" s="380" t="s">
        <v>1020</v>
      </c>
      <c r="AP217" s="380" t="s">
        <v>1075</v>
      </c>
      <c r="AQ217" s="380" t="s">
        <v>1074</v>
      </c>
      <c r="AR217" s="2">
        <f t="shared" si="108"/>
        <v>0</v>
      </c>
      <c r="AT217" s="2" t="e">
        <f t="shared" ca="1" si="109"/>
        <v>#VALUE!</v>
      </c>
    </row>
    <row r="218" spans="1:16384" customFormat="1" ht="18" hidden="1" customHeight="1" x14ac:dyDescent="0.25">
      <c r="A218" s="291" t="s">
        <v>501</v>
      </c>
      <c r="B218" s="54">
        <v>1447</v>
      </c>
      <c r="C218" s="368" t="s">
        <v>1530</v>
      </c>
      <c r="D218" s="54" t="s">
        <v>565</v>
      </c>
      <c r="E218" s="232">
        <v>39951</v>
      </c>
      <c r="F218" s="2" t="s">
        <v>1531</v>
      </c>
      <c r="G218" s="2" t="s">
        <v>1532</v>
      </c>
      <c r="H218" s="2" t="s">
        <v>1533</v>
      </c>
      <c r="I218" s="2"/>
      <c r="J218" s="260">
        <v>227648</v>
      </c>
      <c r="K218" s="260">
        <v>235826</v>
      </c>
      <c r="L218" s="260"/>
      <c r="M218" s="260"/>
      <c r="N218" s="260"/>
      <c r="O218" s="260"/>
      <c r="P218" s="260"/>
      <c r="Q218" s="290"/>
      <c r="R218" s="260"/>
      <c r="S218" s="260"/>
      <c r="T218" s="260"/>
      <c r="U218" s="260"/>
      <c r="V218" s="260"/>
      <c r="W218" s="260"/>
      <c r="X218" s="2"/>
      <c r="Y218" s="2">
        <f t="shared" si="110"/>
        <v>8178</v>
      </c>
      <c r="Z218" s="2" t="str">
        <f t="shared" si="111"/>
        <v/>
      </c>
      <c r="AA218" s="2" t="str">
        <f t="shared" si="120"/>
        <v/>
      </c>
      <c r="AB218" s="2" t="str">
        <f t="shared" si="120"/>
        <v/>
      </c>
      <c r="AC218" s="2" t="str">
        <f t="shared" si="112"/>
        <v/>
      </c>
      <c r="AD218" s="260" t="str">
        <f t="shared" si="113"/>
        <v/>
      </c>
      <c r="AE218" s="2" t="str">
        <f t="shared" si="114"/>
        <v/>
      </c>
      <c r="AF218" s="2" t="str">
        <f t="shared" si="115"/>
        <v/>
      </c>
      <c r="AG218" s="2" t="str">
        <f t="shared" si="116"/>
        <v/>
      </c>
      <c r="AH218" s="2" t="str">
        <f t="shared" si="117"/>
        <v/>
      </c>
      <c r="AI218" s="2" t="str">
        <f t="shared" si="118"/>
        <v/>
      </c>
      <c r="AJ218" s="2" t="str">
        <f t="shared" si="119"/>
        <v/>
      </c>
      <c r="AK218" s="2">
        <v>1</v>
      </c>
      <c r="AL218" s="260">
        <f t="shared" ca="1" si="106"/>
        <v>0</v>
      </c>
      <c r="AM218" s="260">
        <f t="shared" ca="1" si="107"/>
        <v>0</v>
      </c>
      <c r="AN218" s="260" t="str">
        <f ca="1">IF(AND(Tabla7[[#This Row],[UltLec]]&lt;&gt;0,Tabla7[[#This Row],[PenLect]]&lt;&gt;0),(AM218-AL218)*Tabla7[[#This Row],[RT]],"N/A")</f>
        <v>N/A</v>
      </c>
      <c r="AO218" s="380" t="s">
        <v>1020</v>
      </c>
      <c r="AP218" s="380" t="s">
        <v>1075</v>
      </c>
      <c r="AQ218" s="380" t="s">
        <v>1074</v>
      </c>
      <c r="AR218" s="2">
        <f t="shared" si="108"/>
        <v>0</v>
      </c>
      <c r="AT218" s="2" t="e">
        <f t="shared" ca="1" si="109"/>
        <v>#VALUE!</v>
      </c>
    </row>
    <row r="219" spans="1:16384" customFormat="1" ht="18" hidden="1" customHeight="1" x14ac:dyDescent="0.25">
      <c r="A219" s="291" t="s">
        <v>501</v>
      </c>
      <c r="B219" s="54"/>
      <c r="C219" s="368"/>
      <c r="D219" s="54" t="s">
        <v>565</v>
      </c>
      <c r="E219" s="232">
        <v>2</v>
      </c>
      <c r="F219" s="2" t="s">
        <v>571</v>
      </c>
      <c r="G219" s="2"/>
      <c r="H219" s="2"/>
      <c r="I219" s="2"/>
      <c r="J219" s="260">
        <v>0</v>
      </c>
      <c r="K219" s="260">
        <v>0</v>
      </c>
      <c r="L219" s="2"/>
      <c r="M219" s="260"/>
      <c r="N219" s="260"/>
      <c r="O219" s="260"/>
      <c r="P219" s="260"/>
      <c r="Q219" s="290"/>
      <c r="R219" s="2"/>
      <c r="S219" s="260"/>
      <c r="T219" s="260"/>
      <c r="U219" s="260"/>
      <c r="V219" s="260"/>
      <c r="W219" s="2"/>
      <c r="X219" s="2"/>
      <c r="Y219" s="2">
        <f t="shared" si="110"/>
        <v>0</v>
      </c>
      <c r="Z219" s="2" t="str">
        <f t="shared" si="111"/>
        <v/>
      </c>
      <c r="AA219" s="2" t="str">
        <f t="shared" si="120"/>
        <v/>
      </c>
      <c r="AB219" s="2" t="str">
        <f t="shared" si="120"/>
        <v/>
      </c>
      <c r="AC219" s="2" t="str">
        <f t="shared" si="112"/>
        <v/>
      </c>
      <c r="AD219" s="260" t="str">
        <f t="shared" si="113"/>
        <v/>
      </c>
      <c r="AE219" s="2" t="str">
        <f t="shared" si="114"/>
        <v/>
      </c>
      <c r="AF219" s="2" t="str">
        <f t="shared" si="115"/>
        <v/>
      </c>
      <c r="AG219" s="2" t="str">
        <f t="shared" si="116"/>
        <v/>
      </c>
      <c r="AH219" s="2" t="str">
        <f t="shared" si="117"/>
        <v/>
      </c>
      <c r="AI219" s="2" t="str">
        <f t="shared" si="118"/>
        <v/>
      </c>
      <c r="AJ219" s="2" t="str">
        <f t="shared" si="119"/>
        <v/>
      </c>
      <c r="AK219" s="2">
        <v>1</v>
      </c>
      <c r="AL219" s="260">
        <f t="shared" ca="1" si="106"/>
        <v>0</v>
      </c>
      <c r="AM219" s="260">
        <f t="shared" ca="1" si="107"/>
        <v>0</v>
      </c>
      <c r="AN219" s="260" t="str">
        <f ca="1">IF(AND(Tabla7[[#This Row],[UltLec]]&lt;&gt;0,Tabla7[[#This Row],[PenLect]]&lt;&gt;0),(AM219-AL219)*Tabla7[[#This Row],[RT]],"N/A")</f>
        <v>N/A</v>
      </c>
      <c r="AO219" s="380" t="s">
        <v>1020</v>
      </c>
      <c r="AP219" s="380" t="s">
        <v>1075</v>
      </c>
      <c r="AQ219" s="380" t="s">
        <v>1074</v>
      </c>
      <c r="AR219" s="2">
        <f t="shared" si="108"/>
        <v>0</v>
      </c>
      <c r="AT219" s="2" t="e">
        <f t="shared" ca="1" si="109"/>
        <v>#VALUE!</v>
      </c>
    </row>
    <row r="220" spans="1:16384" customFormat="1" ht="18" hidden="1" customHeight="1" x14ac:dyDescent="0.25">
      <c r="A220" s="407" t="s">
        <v>501</v>
      </c>
      <c r="B220" s="54"/>
      <c r="C220" s="410">
        <v>114014011</v>
      </c>
      <c r="D220" s="374" t="s">
        <v>574</v>
      </c>
      <c r="E220" s="375">
        <v>2</v>
      </c>
      <c r="F220" s="2" t="s">
        <v>1052</v>
      </c>
      <c r="G220" s="2" t="s">
        <v>1044</v>
      </c>
      <c r="H220" s="2"/>
      <c r="I220" s="2"/>
      <c r="J220" s="260">
        <v>0</v>
      </c>
      <c r="K220" s="260">
        <v>0</v>
      </c>
      <c r="L220" s="2"/>
      <c r="M220" s="2"/>
      <c r="N220" s="260"/>
      <c r="O220" s="260"/>
      <c r="P220" s="308"/>
      <c r="Q220" s="290"/>
      <c r="R220" s="2"/>
      <c r="S220" s="260"/>
      <c r="T220" s="260"/>
      <c r="U220" s="260"/>
      <c r="V220" s="260"/>
      <c r="W220" s="2"/>
      <c r="X220" s="2"/>
      <c r="Y220" s="2">
        <f t="shared" si="110"/>
        <v>0</v>
      </c>
      <c r="Z220" s="2" t="str">
        <f t="shared" si="111"/>
        <v/>
      </c>
      <c r="AA220" s="2" t="str">
        <f t="shared" si="120"/>
        <v/>
      </c>
      <c r="AB220" s="2" t="str">
        <f t="shared" si="120"/>
        <v/>
      </c>
      <c r="AC220" s="2" t="str">
        <f t="shared" si="112"/>
        <v/>
      </c>
      <c r="AD220" s="260" t="str">
        <f t="shared" si="113"/>
        <v/>
      </c>
      <c r="AE220" s="2" t="str">
        <f t="shared" si="114"/>
        <v/>
      </c>
      <c r="AF220" s="2" t="str">
        <f t="shared" si="115"/>
        <v/>
      </c>
      <c r="AG220" s="2" t="str">
        <f t="shared" si="116"/>
        <v/>
      </c>
      <c r="AH220" s="2" t="str">
        <f t="shared" si="117"/>
        <v/>
      </c>
      <c r="AI220" s="2" t="str">
        <f t="shared" si="118"/>
        <v/>
      </c>
      <c r="AJ220" s="2" t="str">
        <f t="shared" si="119"/>
        <v/>
      </c>
      <c r="AK220" s="2">
        <v>1</v>
      </c>
      <c r="AL220" s="260">
        <f t="shared" ca="1" si="106"/>
        <v>0</v>
      </c>
      <c r="AM220" s="260">
        <f t="shared" ca="1" si="107"/>
        <v>0</v>
      </c>
      <c r="AN220" s="260" t="str">
        <f ca="1">IF(AND(Tabla7[[#This Row],[UltLec]]&lt;&gt;0,Tabla7[[#This Row],[PenLect]]&lt;&gt;0),(AM220-AL220)*Tabla7[[#This Row],[RT]],"N/A")</f>
        <v>N/A</v>
      </c>
      <c r="AO220" s="380" t="s">
        <v>1020</v>
      </c>
      <c r="AP220" s="380" t="s">
        <v>1075</v>
      </c>
      <c r="AQ220" s="380" t="s">
        <v>1074</v>
      </c>
      <c r="AR220" s="2">
        <f t="shared" si="108"/>
        <v>0</v>
      </c>
      <c r="AT220" s="2" t="e">
        <f t="shared" ca="1" si="109"/>
        <v>#VALUE!</v>
      </c>
    </row>
    <row r="221" spans="1:16384" customFormat="1" ht="18" hidden="1" customHeight="1" x14ac:dyDescent="0.25">
      <c r="A221" s="291" t="s">
        <v>501</v>
      </c>
      <c r="B221" s="54"/>
      <c r="C221" s="435" t="s">
        <v>1652</v>
      </c>
      <c r="D221" s="54" t="s">
        <v>574</v>
      </c>
      <c r="E221" s="232">
        <v>39912</v>
      </c>
      <c r="F221" s="2" t="s">
        <v>1653</v>
      </c>
      <c r="G221" s="2" t="s">
        <v>1654</v>
      </c>
      <c r="H221" s="2" t="s">
        <v>1655</v>
      </c>
      <c r="I221" s="2"/>
      <c r="J221" s="260">
        <v>54</v>
      </c>
      <c r="K221" s="260">
        <v>79</v>
      </c>
      <c r="L221" s="260"/>
      <c r="M221" s="260"/>
      <c r="N221" s="260"/>
      <c r="O221" s="308"/>
      <c r="P221" s="308"/>
      <c r="Q221" s="308"/>
      <c r="R221" s="260"/>
      <c r="S221" s="260"/>
      <c r="T221" s="260"/>
      <c r="U221" s="260"/>
      <c r="V221" s="260"/>
      <c r="W221" s="2"/>
      <c r="X221" s="2"/>
      <c r="Y221" s="2">
        <f t="shared" si="110"/>
        <v>25</v>
      </c>
      <c r="Z221" s="2" t="str">
        <f t="shared" si="111"/>
        <v/>
      </c>
      <c r="AA221" s="2" t="str">
        <f>IF(OR(ISBLANK(#REF!),ISBLANK(L221)),"",IF(AND(#REF!&gt;=L221,#REF!-L221&lt;=#REF!),(#REF!-L221)*$AK221,"!!!!"))</f>
        <v/>
      </c>
      <c r="AB221" s="2" t="str">
        <f>IF(OR(ISBLANK(N221),ISBLANK(#REF!)),"",IF(AND(N221&gt;=#REF!,N221-#REF!&lt;=N221),(N221-#REF!)*$AK221,"!!!!"))</f>
        <v/>
      </c>
      <c r="AC221" s="2" t="str">
        <f t="shared" si="112"/>
        <v/>
      </c>
      <c r="AD221" s="260" t="str">
        <f t="shared" si="113"/>
        <v/>
      </c>
      <c r="AE221" s="2" t="str">
        <f t="shared" si="114"/>
        <v/>
      </c>
      <c r="AF221" s="2" t="str">
        <f t="shared" si="115"/>
        <v/>
      </c>
      <c r="AG221" s="2" t="str">
        <f t="shared" si="116"/>
        <v/>
      </c>
      <c r="AH221" s="2" t="str">
        <f t="shared" si="117"/>
        <v/>
      </c>
      <c r="AI221" s="2" t="str">
        <f t="shared" si="118"/>
        <v/>
      </c>
      <c r="AJ221" s="2" t="str">
        <f t="shared" si="119"/>
        <v/>
      </c>
      <c r="AK221" s="2">
        <v>1</v>
      </c>
      <c r="AL221" s="260">
        <f t="shared" ca="1" si="106"/>
        <v>0</v>
      </c>
      <c r="AM221" s="260">
        <f t="shared" ca="1" si="107"/>
        <v>0</v>
      </c>
      <c r="AN221" s="380" t="str">
        <f ca="1">IF(AND(Tabla7[[#This Row],[UltLec]]&lt;&gt;0,Tabla7[[#This Row],[PenLect]]&lt;&gt;0),(AM221-AL221)*Tabla7[[#This Row],[RT]],"N/A")</f>
        <v>N/A</v>
      </c>
      <c r="AO221" s="380" t="s">
        <v>1020</v>
      </c>
      <c r="AP221" s="380" t="s">
        <v>1075</v>
      </c>
      <c r="AQ221" s="380" t="s">
        <v>1074</v>
      </c>
      <c r="AR221" s="2">
        <f t="shared" si="108"/>
        <v>0</v>
      </c>
      <c r="AT221" s="2" t="e">
        <f t="shared" ca="1" si="109"/>
        <v>#VALUE!</v>
      </c>
    </row>
    <row r="222" spans="1:16384" customFormat="1" ht="18" hidden="1" customHeight="1" x14ac:dyDescent="0.25">
      <c r="A222" s="291" t="s">
        <v>501</v>
      </c>
      <c r="B222" s="54"/>
      <c r="C222" s="368" t="s">
        <v>1051</v>
      </c>
      <c r="D222" s="54" t="s">
        <v>574</v>
      </c>
      <c r="E222" s="232">
        <v>2</v>
      </c>
      <c r="F222" s="2" t="s">
        <v>1487</v>
      </c>
      <c r="G222" s="2" t="s">
        <v>1489</v>
      </c>
      <c r="H222" s="2"/>
      <c r="I222" s="2"/>
      <c r="J222" s="260">
        <v>94489</v>
      </c>
      <c r="K222" s="260">
        <v>99627</v>
      </c>
      <c r="L222" s="260"/>
      <c r="M222" s="260"/>
      <c r="N222" s="260"/>
      <c r="O222" s="260"/>
      <c r="P222" s="308"/>
      <c r="Q222" s="290"/>
      <c r="R222" s="260"/>
      <c r="S222" s="260"/>
      <c r="T222" s="260"/>
      <c r="U222" s="260"/>
      <c r="V222" s="260"/>
      <c r="W222" s="2"/>
      <c r="X222" s="2"/>
      <c r="Y222" s="2">
        <f t="shared" si="110"/>
        <v>5138</v>
      </c>
      <c r="Z222" s="2" t="str">
        <f t="shared" si="111"/>
        <v/>
      </c>
      <c r="AA222" s="2" t="str">
        <f t="shared" ref="AA222:AB226" si="121">IF(OR(ISBLANK(M222),ISBLANK(L222)),"",IF(AND(M222&gt;=L222,M222-L222&lt;=M222),(M222-L222)*$AK222,"!!!!"))</f>
        <v/>
      </c>
      <c r="AB222" s="2" t="str">
        <f t="shared" si="121"/>
        <v/>
      </c>
      <c r="AC222" s="2" t="str">
        <f t="shared" si="112"/>
        <v/>
      </c>
      <c r="AD222" s="260" t="str">
        <f t="shared" si="113"/>
        <v/>
      </c>
      <c r="AE222" s="2" t="str">
        <f t="shared" si="114"/>
        <v/>
      </c>
      <c r="AF222" s="2" t="str">
        <f t="shared" si="115"/>
        <v/>
      </c>
      <c r="AG222" s="2" t="str">
        <f t="shared" si="116"/>
        <v/>
      </c>
      <c r="AH222" s="2" t="str">
        <f t="shared" si="117"/>
        <v/>
      </c>
      <c r="AI222" s="2" t="str">
        <f t="shared" si="118"/>
        <v/>
      </c>
      <c r="AJ222" s="2" t="str">
        <f t="shared" si="119"/>
        <v/>
      </c>
      <c r="AK222" s="2">
        <v>1</v>
      </c>
      <c r="AL222" s="260">
        <f t="shared" ca="1" si="106"/>
        <v>0</v>
      </c>
      <c r="AM222" s="260">
        <f t="shared" ca="1" si="107"/>
        <v>0</v>
      </c>
      <c r="AN222" s="260" t="str">
        <f ca="1">IF(AND(Tabla7[[#This Row],[UltLec]]&lt;&gt;0,Tabla7[[#This Row],[PenLect]]&lt;&gt;0),(AM222-AL222)*Tabla7[[#This Row],[RT]],"N/A")</f>
        <v>N/A</v>
      </c>
      <c r="AO222" s="380" t="s">
        <v>1020</v>
      </c>
      <c r="AP222" s="380" t="s">
        <v>1075</v>
      </c>
      <c r="AQ222" s="380" t="s">
        <v>1074</v>
      </c>
      <c r="AR222" s="2">
        <f t="shared" si="108"/>
        <v>0</v>
      </c>
      <c r="AT222" s="2" t="e">
        <f t="shared" ca="1" si="109"/>
        <v>#VALUE!</v>
      </c>
    </row>
    <row r="223" spans="1:16384" customFormat="1" ht="18.75" hidden="1" customHeight="1" x14ac:dyDescent="0.25">
      <c r="A223" s="291" t="s">
        <v>501</v>
      </c>
      <c r="B223" s="54"/>
      <c r="C223" s="368" t="s">
        <v>1045</v>
      </c>
      <c r="D223" s="54" t="s">
        <v>574</v>
      </c>
      <c r="E223" s="232">
        <v>2</v>
      </c>
      <c r="F223" s="2" t="s">
        <v>1488</v>
      </c>
      <c r="G223" s="2" t="s">
        <v>1490</v>
      </c>
      <c r="H223" s="2"/>
      <c r="I223" s="2"/>
      <c r="J223" s="260">
        <v>121679</v>
      </c>
      <c r="K223" s="260">
        <v>125329</v>
      </c>
      <c r="L223" s="260"/>
      <c r="M223" s="260"/>
      <c r="N223" s="260"/>
      <c r="O223" s="260"/>
      <c r="P223" s="308"/>
      <c r="Q223" s="290"/>
      <c r="R223" s="260"/>
      <c r="S223" s="260"/>
      <c r="T223" s="260"/>
      <c r="U223" s="260"/>
      <c r="V223" s="260"/>
      <c r="W223" s="2"/>
      <c r="X223" s="2"/>
      <c r="Y223" s="2">
        <f t="shared" si="110"/>
        <v>3650</v>
      </c>
      <c r="Z223" s="2" t="str">
        <f t="shared" si="111"/>
        <v/>
      </c>
      <c r="AA223" s="2" t="str">
        <f t="shared" si="121"/>
        <v/>
      </c>
      <c r="AB223" s="2" t="str">
        <f t="shared" si="121"/>
        <v/>
      </c>
      <c r="AC223" s="2" t="str">
        <f t="shared" si="112"/>
        <v/>
      </c>
      <c r="AD223" s="260" t="str">
        <f t="shared" si="113"/>
        <v/>
      </c>
      <c r="AE223" s="2" t="str">
        <f t="shared" si="114"/>
        <v/>
      </c>
      <c r="AF223" s="2" t="str">
        <f t="shared" si="115"/>
        <v/>
      </c>
      <c r="AG223" s="2" t="str">
        <f t="shared" si="116"/>
        <v/>
      </c>
      <c r="AH223" s="2" t="str">
        <f t="shared" si="117"/>
        <v/>
      </c>
      <c r="AI223" s="2" t="str">
        <f t="shared" si="118"/>
        <v/>
      </c>
      <c r="AJ223" s="2" t="str">
        <f t="shared" si="119"/>
        <v/>
      </c>
      <c r="AK223" s="2">
        <v>1</v>
      </c>
      <c r="AL223" s="260">
        <f t="shared" ca="1" si="106"/>
        <v>0</v>
      </c>
      <c r="AM223" s="260">
        <f t="shared" ca="1" si="107"/>
        <v>0</v>
      </c>
      <c r="AN223" s="260" t="str">
        <f ca="1">IF(AND(Tabla7[[#This Row],[UltLec]]&lt;&gt;0,Tabla7[[#This Row],[PenLect]]&lt;&gt;0),(AM223-AL223)*Tabla7[[#This Row],[RT]],"N/A")</f>
        <v>N/A</v>
      </c>
      <c r="AO223" s="380" t="s">
        <v>1020</v>
      </c>
      <c r="AP223" s="380" t="s">
        <v>1075</v>
      </c>
      <c r="AQ223" s="380" t="s">
        <v>1074</v>
      </c>
      <c r="AR223" s="2">
        <f t="shared" si="108"/>
        <v>0</v>
      </c>
      <c r="AT223" s="2" t="e">
        <f t="shared" ca="1" si="109"/>
        <v>#VALUE!</v>
      </c>
    </row>
    <row r="224" spans="1:16384" customFormat="1" ht="18" hidden="1" customHeight="1" x14ac:dyDescent="0.25">
      <c r="A224" s="291" t="s">
        <v>501</v>
      </c>
      <c r="B224" s="54"/>
      <c r="C224" s="368" t="s">
        <v>1047</v>
      </c>
      <c r="D224" s="54" t="s">
        <v>574</v>
      </c>
      <c r="E224" s="232">
        <v>2</v>
      </c>
      <c r="F224" s="2" t="s">
        <v>1048</v>
      </c>
      <c r="G224" s="2" t="s">
        <v>47</v>
      </c>
      <c r="H224" s="2"/>
      <c r="I224" s="2"/>
      <c r="J224" s="260">
        <v>0</v>
      </c>
      <c r="K224" s="260">
        <v>0</v>
      </c>
      <c r="L224" s="260"/>
      <c r="M224" s="2"/>
      <c r="N224" s="2"/>
      <c r="O224" s="260"/>
      <c r="P224" s="308"/>
      <c r="Q224" s="290"/>
      <c r="R224" s="2"/>
      <c r="S224" s="260"/>
      <c r="T224" s="260"/>
      <c r="U224" s="260"/>
      <c r="V224" s="260"/>
      <c r="W224" s="260"/>
      <c r="X224" s="2"/>
      <c r="Y224" s="2">
        <f t="shared" si="110"/>
        <v>0</v>
      </c>
      <c r="Z224" s="2" t="str">
        <f t="shared" si="111"/>
        <v/>
      </c>
      <c r="AA224" s="2" t="str">
        <f t="shared" si="121"/>
        <v/>
      </c>
      <c r="AB224" s="2" t="str">
        <f t="shared" si="121"/>
        <v/>
      </c>
      <c r="AC224" s="2" t="str">
        <f t="shared" si="112"/>
        <v/>
      </c>
      <c r="AD224" s="260" t="str">
        <f t="shared" si="113"/>
        <v/>
      </c>
      <c r="AE224" s="2" t="str">
        <f t="shared" si="114"/>
        <v/>
      </c>
      <c r="AF224" s="2" t="str">
        <f t="shared" si="115"/>
        <v/>
      </c>
      <c r="AG224" s="2" t="str">
        <f t="shared" si="116"/>
        <v/>
      </c>
      <c r="AH224" s="2" t="str">
        <f t="shared" si="117"/>
        <v/>
      </c>
      <c r="AI224" s="2" t="str">
        <f t="shared" si="118"/>
        <v/>
      </c>
      <c r="AJ224" s="2" t="str">
        <f t="shared" si="119"/>
        <v/>
      </c>
      <c r="AK224" s="2">
        <v>1</v>
      </c>
      <c r="AL224" s="260">
        <f t="shared" ca="1" si="106"/>
        <v>0</v>
      </c>
      <c r="AM224" s="260">
        <f t="shared" ca="1" si="107"/>
        <v>0</v>
      </c>
      <c r="AN224" s="260" t="str">
        <f ca="1">IF(AND(Tabla7[[#This Row],[UltLec]]&lt;&gt;0,Tabla7[[#This Row],[PenLect]]&lt;&gt;0),(AM224-AL224)*Tabla7[[#This Row],[RT]],"N/A")</f>
        <v>N/A</v>
      </c>
      <c r="AO224" s="380" t="s">
        <v>1020</v>
      </c>
      <c r="AP224" s="380" t="s">
        <v>1075</v>
      </c>
      <c r="AQ224" s="380" t="s">
        <v>1074</v>
      </c>
      <c r="AR224" s="2">
        <f t="shared" si="108"/>
        <v>0</v>
      </c>
      <c r="AT224" s="2" t="e">
        <f t="shared" ca="1" si="109"/>
        <v>#VALUE!</v>
      </c>
    </row>
    <row r="225" spans="1:50" ht="18.75" hidden="1" customHeight="1" x14ac:dyDescent="0.25">
      <c r="A225" s="291" t="s">
        <v>501</v>
      </c>
      <c r="B225" s="54"/>
      <c r="C225" s="368" t="s">
        <v>1049</v>
      </c>
      <c r="D225" s="54" t="s">
        <v>574</v>
      </c>
      <c r="E225" s="232">
        <v>2</v>
      </c>
      <c r="F225" s="2" t="s">
        <v>1048</v>
      </c>
      <c r="G225" s="2" t="s">
        <v>1044</v>
      </c>
      <c r="H225" s="2"/>
      <c r="I225" s="2"/>
      <c r="J225" s="260">
        <v>0</v>
      </c>
      <c r="K225" s="260">
        <v>0</v>
      </c>
      <c r="L225" s="260"/>
      <c r="M225" s="2"/>
      <c r="N225" s="2"/>
      <c r="O225" s="260"/>
      <c r="P225" s="308"/>
      <c r="Q225" s="290"/>
      <c r="R225" s="2"/>
      <c r="S225" s="260"/>
      <c r="U225" s="260"/>
      <c r="V225" s="260"/>
      <c r="W225" s="260"/>
      <c r="X225" s="2"/>
      <c r="Y225" s="2">
        <f t="shared" si="110"/>
        <v>0</v>
      </c>
      <c r="Z225" s="2" t="str">
        <f t="shared" si="111"/>
        <v/>
      </c>
      <c r="AA225" s="2" t="str">
        <f t="shared" si="121"/>
        <v/>
      </c>
      <c r="AB225" s="2" t="str">
        <f t="shared" si="121"/>
        <v/>
      </c>
      <c r="AC225" s="2" t="str">
        <f t="shared" si="112"/>
        <v/>
      </c>
      <c r="AD225" s="260" t="str">
        <f t="shared" si="113"/>
        <v/>
      </c>
      <c r="AE225" s="2" t="str">
        <f t="shared" si="114"/>
        <v/>
      </c>
      <c r="AF225" s="2" t="str">
        <f t="shared" si="115"/>
        <v/>
      </c>
      <c r="AG225" s="2" t="str">
        <f t="shared" si="116"/>
        <v/>
      </c>
      <c r="AH225" s="2" t="str">
        <f t="shared" si="117"/>
        <v/>
      </c>
      <c r="AI225" s="2" t="str">
        <f t="shared" si="118"/>
        <v/>
      </c>
      <c r="AJ225" s="2" t="str">
        <f t="shared" si="119"/>
        <v/>
      </c>
      <c r="AK225" s="2">
        <v>1</v>
      </c>
      <c r="AL225" s="260">
        <f t="shared" ca="1" si="106"/>
        <v>0</v>
      </c>
      <c r="AM225" s="260">
        <f t="shared" ca="1" si="107"/>
        <v>0</v>
      </c>
      <c r="AN225" s="260" t="str">
        <f ca="1">IF(AND(Tabla7[[#This Row],[UltLec]]&lt;&gt;0,Tabla7[[#This Row],[PenLect]]&lt;&gt;0),(AM225-AL225)*Tabla7[[#This Row],[RT]],"N/A")</f>
        <v>N/A</v>
      </c>
      <c r="AO225" s="380" t="s">
        <v>1020</v>
      </c>
      <c r="AP225" s="380" t="s">
        <v>1075</v>
      </c>
      <c r="AQ225" s="380" t="s">
        <v>1074</v>
      </c>
      <c r="AR225" s="2">
        <f t="shared" si="108"/>
        <v>0</v>
      </c>
      <c r="AT225" s="2" t="e">
        <f t="shared" ca="1" si="109"/>
        <v>#VALUE!</v>
      </c>
    </row>
    <row r="226" spans="1:50" ht="18" hidden="1" customHeight="1" x14ac:dyDescent="0.25">
      <c r="A226" s="291" t="s">
        <v>501</v>
      </c>
      <c r="B226" s="54"/>
      <c r="C226" s="368" t="s">
        <v>1043</v>
      </c>
      <c r="D226" s="54" t="s">
        <v>574</v>
      </c>
      <c r="E226" s="232">
        <v>2</v>
      </c>
      <c r="F226" s="2" t="s">
        <v>577</v>
      </c>
      <c r="G226" s="2" t="s">
        <v>1044</v>
      </c>
      <c r="H226" s="2"/>
      <c r="I226" s="2"/>
      <c r="J226" s="260">
        <v>485942</v>
      </c>
      <c r="K226" s="260">
        <v>490880</v>
      </c>
      <c r="L226" s="260"/>
      <c r="O226" s="308"/>
      <c r="P226" s="308"/>
      <c r="Q226" s="308"/>
      <c r="R226" s="260"/>
      <c r="S226" s="260"/>
      <c r="U226" s="260"/>
      <c r="V226" s="260"/>
      <c r="W226" s="2"/>
      <c r="X226" s="2"/>
      <c r="Y226" s="2">
        <f t="shared" si="110"/>
        <v>4938</v>
      </c>
      <c r="Z226" s="2" t="str">
        <f t="shared" si="111"/>
        <v/>
      </c>
      <c r="AA226" s="2" t="str">
        <f t="shared" si="121"/>
        <v/>
      </c>
      <c r="AB226" s="2" t="str">
        <f t="shared" si="121"/>
        <v/>
      </c>
      <c r="AC226" s="2" t="str">
        <f t="shared" si="112"/>
        <v/>
      </c>
      <c r="AD226" s="260" t="str">
        <f t="shared" si="113"/>
        <v/>
      </c>
      <c r="AE226" s="2" t="str">
        <f t="shared" si="114"/>
        <v/>
      </c>
      <c r="AF226" s="2" t="str">
        <f t="shared" si="115"/>
        <v/>
      </c>
      <c r="AG226" s="2" t="str">
        <f t="shared" si="116"/>
        <v/>
      </c>
      <c r="AH226" s="2" t="str">
        <f t="shared" si="117"/>
        <v/>
      </c>
      <c r="AI226" s="2" t="str">
        <f t="shared" si="118"/>
        <v/>
      </c>
      <c r="AJ226" s="2" t="str">
        <f t="shared" si="119"/>
        <v/>
      </c>
      <c r="AK226" s="2">
        <v>1</v>
      </c>
      <c r="AL226" s="260">
        <f t="shared" ca="1" si="106"/>
        <v>0</v>
      </c>
      <c r="AM226" s="260">
        <f t="shared" ca="1" si="107"/>
        <v>0</v>
      </c>
      <c r="AN226" s="260" t="str">
        <f ca="1">IF(AND(Tabla7[[#This Row],[UltLec]]&lt;&gt;0,Tabla7[[#This Row],[PenLect]]&lt;&gt;0),(AM226-AL226)*Tabla7[[#This Row],[RT]],"N/A")</f>
        <v>N/A</v>
      </c>
      <c r="AO226" s="380" t="s">
        <v>1020</v>
      </c>
      <c r="AP226" s="380" t="s">
        <v>1075</v>
      </c>
      <c r="AQ226" s="380" t="s">
        <v>1074</v>
      </c>
      <c r="AR226" s="2">
        <f t="shared" si="108"/>
        <v>0</v>
      </c>
      <c r="AT226" s="2" t="e">
        <f t="shared" ca="1" si="109"/>
        <v>#VALUE!</v>
      </c>
    </row>
    <row r="227" spans="1:50" ht="18.75" hidden="1" customHeight="1" x14ac:dyDescent="0.25">
      <c r="A227" s="418" t="s">
        <v>1060</v>
      </c>
      <c r="B227" s="273"/>
      <c r="C227" s="276"/>
      <c r="D227" s="273" t="s">
        <v>574</v>
      </c>
      <c r="E227" s="274">
        <v>2</v>
      </c>
      <c r="F227" s="393" t="s">
        <v>575</v>
      </c>
      <c r="G227" s="393" t="s">
        <v>576</v>
      </c>
      <c r="H227" s="393" t="s">
        <v>1581</v>
      </c>
      <c r="I227" s="393"/>
      <c r="J227" s="393"/>
      <c r="K227" s="393"/>
      <c r="L227" s="393"/>
      <c r="M227" s="393"/>
      <c r="N227" s="393"/>
      <c r="O227" s="393"/>
      <c r="P227" s="393"/>
      <c r="Q227" s="393"/>
      <c r="R227" s="393"/>
      <c r="S227" s="393"/>
      <c r="T227" s="393"/>
      <c r="U227" s="393"/>
      <c r="V227" s="393"/>
      <c r="W227" s="393"/>
      <c r="X227" s="393"/>
      <c r="Y227" s="393" t="str">
        <f t="shared" ref="Y227:Y230" si="122">IF(OR(ISBLANK(K227),ISBLANK(J227)),"",IF(AND(K227&gt;=J227,K227-J227&lt;=K227),(K227-J227)*$AK227,"!!!!"))</f>
        <v/>
      </c>
      <c r="Z227" s="393" t="str">
        <f t="shared" ref="Z227:Z230" si="123">IF(OR(ISBLANK(L227),ISBLANK(K227)),"",IF(AND(L227&gt;=K227,L227-K227&lt;=L227),(L227-K227)*$AK227,"!!!!"))</f>
        <v/>
      </c>
      <c r="AA227" s="393" t="str">
        <f t="shared" ref="AA227:AA230" si="124">IF(OR(ISBLANK(M227),ISBLANK(L227)),"",IF(AND(M227&gt;=L227,M227-L227&lt;=M227),(M227-L227)*$AK227,"!!!!"))</f>
        <v/>
      </c>
      <c r="AB227" s="393" t="str">
        <f t="shared" ref="AB227:AB230" si="125">IF(OR(ISBLANK(N227),ISBLANK(M227)),"",IF(AND(N227&gt;=M227,N227-M227&lt;=N227),(N227-M227)*$AK227,"!!!!"))</f>
        <v/>
      </c>
      <c r="AC227" s="393" t="str">
        <f t="shared" ref="AC227:AC229" si="126">IF(OR(ISBLANK(O227),ISBLANK(N227)),"",IF(AND(O227&gt;=N227,O227-N227&lt;=O227),(O227-N227)*$AK227,"!!!!"))</f>
        <v/>
      </c>
      <c r="AD227" s="393" t="str">
        <f t="shared" ref="AD227:AD229" si="127">IF(OR(ISBLANK(P227),ISBLANK(O227)),"",IF(AND(P227&gt;=O227,P227-O227&lt;=P227),(P227-O227)*$AK227,"!!!!"))</f>
        <v/>
      </c>
      <c r="AE227" s="393" t="str">
        <f t="shared" ref="AE227:AE229" si="128">IF(OR(ISBLANK(Q227),ISBLANK(P227)),"",IF(AND(Q227&gt;=P227,Q227-P227&lt;=Q227),(Q227-P227)*$AK227,"!!!!"))</f>
        <v/>
      </c>
      <c r="AF227" s="393" t="str">
        <f t="shared" ref="AF227:AF229" si="129">IF(OR(ISBLANK(R227),ISBLANK(Q227)),"",IF(AND(R227&gt;=Q227,R227-Q227&lt;=R227),(R227-Q227)*$AK227,"!!!!"))</f>
        <v/>
      </c>
      <c r="AG227" s="393" t="str">
        <f t="shared" ref="AG227:AG229" si="130">IF(OR(ISBLANK(S227),ISBLANK(R227)),"",IF(AND(S227&gt;=R227,S227-R227&lt;=S227),(S227-R227)*$AK227,"!!!!"))</f>
        <v/>
      </c>
      <c r="AH227" s="393" t="str">
        <f t="shared" ref="AH227:AH229" si="131">IF(OR(ISBLANK(T227),ISBLANK(S227)),"",IF(AND(T227&gt;=S227,T227-S227&lt;=T227),(T227-S227)*$AK227,"!!!!"))</f>
        <v/>
      </c>
      <c r="AI227" s="393" t="str">
        <f t="shared" ref="AI227:AI230" si="132">IF(OR(ISBLANK(U227),ISBLANK(T227)),"",IF(AND(U227&gt;=T227,U227-T227&lt;=U227),(U227-T227)*$AK227,"!!!!"))</f>
        <v/>
      </c>
      <c r="AJ227" s="393" t="str">
        <f t="shared" ref="AJ227:AJ229" si="133">IF(OR(ISBLANK(V227),ISBLANK(U227)),"",IF(AND(V227&gt;=U227,V227-U227&lt;=V227),(V227-U227)*$AK227,"!!!!"))</f>
        <v/>
      </c>
      <c r="AK227" s="393">
        <v>20</v>
      </c>
      <c r="AL227" s="277">
        <f t="shared" ref="AL227:AL230" ca="1" si="134">IF(DAY(TODAY())&lt;16,INDEX(J227:X227,1,MONTH(TODAY())-1),INDEX(J227:X227,1,MONTH(TODAY())))</f>
        <v>0</v>
      </c>
      <c r="AM227" s="277">
        <f t="shared" ref="AM227:AM230" ca="1" si="135">IF(DAY(TODAY())&lt;16,INDEX(J227:X227,1,MONTH(TODAY())),INDEX(J227:X227,1,MONTH(TODAY())+1))</f>
        <v>0</v>
      </c>
      <c r="AN227" s="277" t="str">
        <f ca="1">IF(AND(Tabla7[[#This Row],[UltLec]]&lt;&gt;0,Tabla7[[#This Row],[PenLect]]&lt;&gt;0),(AM227-AL227)*Tabla7[[#This Row],[RT]],"N/A")</f>
        <v>N/A</v>
      </c>
      <c r="AO227" s="393" t="s">
        <v>1160</v>
      </c>
      <c r="AP227" s="393" t="s">
        <v>1075</v>
      </c>
      <c r="AQ227" s="393" t="s">
        <v>1074</v>
      </c>
      <c r="AR227" s="275">
        <f t="shared" ref="AR227:AR230" si="136">COUNTIF(Y227:AJ227,"!!!!")</f>
        <v>0</v>
      </c>
      <c r="AT227" s="2" t="e">
        <f t="shared" ca="1" si="109"/>
        <v>#VALUE!</v>
      </c>
    </row>
    <row r="228" spans="1:50" ht="18.75" hidden="1" customHeight="1" x14ac:dyDescent="0.25">
      <c r="A228" s="406" t="s">
        <v>1060</v>
      </c>
      <c r="B228" s="273"/>
      <c r="C228" s="367">
        <v>1851740187</v>
      </c>
      <c r="D228" s="273" t="s">
        <v>1456</v>
      </c>
      <c r="E228" s="274">
        <v>39958</v>
      </c>
      <c r="F228" s="275" t="s">
        <v>1458</v>
      </c>
      <c r="G228" s="275" t="s">
        <v>1457</v>
      </c>
      <c r="H228" s="275" t="s">
        <v>1459</v>
      </c>
      <c r="I228" s="275" t="s">
        <v>1502</v>
      </c>
      <c r="J228" s="388"/>
      <c r="K228" s="277"/>
      <c r="L228" s="277"/>
      <c r="M228" s="277"/>
      <c r="N228" s="277"/>
      <c r="O228" s="277"/>
      <c r="P228" s="277"/>
      <c r="Q228" s="277"/>
      <c r="R228" s="388"/>
      <c r="S228" s="277"/>
      <c r="T228" s="277"/>
      <c r="U228" s="277"/>
      <c r="V228" s="388"/>
      <c r="W228" s="277"/>
      <c r="X228" s="277"/>
      <c r="Y228" s="277" t="str">
        <f t="shared" si="122"/>
        <v/>
      </c>
      <c r="Z228" s="388" t="str">
        <f t="shared" si="123"/>
        <v/>
      </c>
      <c r="AA228" s="277" t="str">
        <f t="shared" si="124"/>
        <v/>
      </c>
      <c r="AB228" s="277" t="str">
        <f t="shared" si="125"/>
        <v/>
      </c>
      <c r="AC228" s="277" t="str">
        <f t="shared" si="126"/>
        <v/>
      </c>
      <c r="AD228" s="388" t="str">
        <f t="shared" si="127"/>
        <v/>
      </c>
      <c r="AE228" s="277" t="str">
        <f t="shared" si="128"/>
        <v/>
      </c>
      <c r="AF228" s="277" t="str">
        <f t="shared" si="129"/>
        <v/>
      </c>
      <c r="AG228" s="277" t="str">
        <f t="shared" si="130"/>
        <v/>
      </c>
      <c r="AH228" s="388" t="str">
        <f t="shared" si="131"/>
        <v/>
      </c>
      <c r="AI228" s="277" t="str">
        <f t="shared" si="132"/>
        <v/>
      </c>
      <c r="AJ228" s="277" t="str">
        <f t="shared" si="133"/>
        <v/>
      </c>
      <c r="AK228" s="277">
        <v>1</v>
      </c>
      <c r="AL228" s="388">
        <f t="shared" ca="1" si="134"/>
        <v>0</v>
      </c>
      <c r="AM228" s="277">
        <f t="shared" ca="1" si="135"/>
        <v>0</v>
      </c>
      <c r="AN228" s="277" t="str">
        <f ca="1">IF(AND(Tabla7[[#This Row],[UltLec]]&lt;&gt;0,Tabla7[[#This Row],[PenLect]]&lt;&gt;0),(AM228-AL228)*Tabla7[[#This Row],[RT]],"N/A")</f>
        <v>N/A</v>
      </c>
      <c r="AO228" s="277" t="s">
        <v>1160</v>
      </c>
      <c r="AP228" s="347" t="s">
        <v>1075</v>
      </c>
      <c r="AQ228" s="277" t="s">
        <v>1074</v>
      </c>
      <c r="AR228" s="277">
        <f t="shared" si="136"/>
        <v>0</v>
      </c>
      <c r="AT228" s="2" t="e">
        <f t="shared" ca="1" si="109"/>
        <v>#VALUE!</v>
      </c>
    </row>
    <row r="229" spans="1:50" ht="18" hidden="1" customHeight="1" x14ac:dyDescent="0.25">
      <c r="A229" s="405" t="s">
        <v>699</v>
      </c>
      <c r="B229" s="54"/>
      <c r="C229" s="239" t="s">
        <v>1396</v>
      </c>
      <c r="D229" s="54" t="s">
        <v>310</v>
      </c>
      <c r="E229" s="232">
        <v>150</v>
      </c>
      <c r="F229" s="2" t="s">
        <v>312</v>
      </c>
      <c r="G229" s="2" t="s">
        <v>313</v>
      </c>
      <c r="H229" s="2"/>
      <c r="I229" s="2" t="s">
        <v>1398</v>
      </c>
      <c r="J229" s="260">
        <v>36193</v>
      </c>
      <c r="K229" s="260"/>
      <c r="L229" s="260"/>
      <c r="O229" s="260"/>
      <c r="P229" s="260"/>
      <c r="Q229" s="260"/>
      <c r="R229" s="260"/>
      <c r="S229" s="260"/>
      <c r="U229" s="260"/>
      <c r="V229" s="260"/>
      <c r="W229" s="2"/>
      <c r="X229" s="2"/>
      <c r="Y229" s="2" t="str">
        <f t="shared" si="122"/>
        <v/>
      </c>
      <c r="Z229" s="2" t="str">
        <f t="shared" si="123"/>
        <v/>
      </c>
      <c r="AA229" s="2" t="str">
        <f t="shared" si="124"/>
        <v/>
      </c>
      <c r="AB229" s="2" t="str">
        <f t="shared" si="125"/>
        <v/>
      </c>
      <c r="AC229" s="2" t="str">
        <f t="shared" si="126"/>
        <v/>
      </c>
      <c r="AD229" s="2" t="str">
        <f t="shared" si="127"/>
        <v/>
      </c>
      <c r="AE229" s="2" t="str">
        <f t="shared" si="128"/>
        <v/>
      </c>
      <c r="AF229" s="2" t="str">
        <f t="shared" si="129"/>
        <v/>
      </c>
      <c r="AG229" s="2" t="str">
        <f t="shared" si="130"/>
        <v/>
      </c>
      <c r="AH229" s="2" t="str">
        <f t="shared" si="131"/>
        <v/>
      </c>
      <c r="AI229" s="2" t="str">
        <f t="shared" si="132"/>
        <v/>
      </c>
      <c r="AJ229" s="2" t="str">
        <f t="shared" si="133"/>
        <v/>
      </c>
      <c r="AK229" s="2">
        <v>1</v>
      </c>
      <c r="AL229" s="260">
        <f t="shared" ca="1" si="134"/>
        <v>0</v>
      </c>
      <c r="AM229" s="260">
        <f t="shared" ca="1" si="135"/>
        <v>0</v>
      </c>
      <c r="AN229" s="260" t="str">
        <f ca="1">IF(AND(Tabla7[[#This Row],[UltLec]]&lt;&gt;0,Tabla7[[#This Row],[PenLect]]&lt;&gt;0),(AM229-AL229)*Tabla7[[#This Row],[RT]],"N/A")</f>
        <v>N/A</v>
      </c>
      <c r="AO229" s="380" t="s">
        <v>813</v>
      </c>
      <c r="AP229" s="380" t="s">
        <v>1075</v>
      </c>
      <c r="AQ229" s="380" t="s">
        <v>1074</v>
      </c>
      <c r="AR229" s="2">
        <f t="shared" si="136"/>
        <v>0</v>
      </c>
      <c r="AT229" s="2" t="e">
        <f t="shared" ca="1" si="109"/>
        <v>#VALUE!</v>
      </c>
    </row>
    <row r="230" spans="1:50" ht="18.75" hidden="1" customHeight="1" x14ac:dyDescent="0.25">
      <c r="A230" s="418" t="s">
        <v>1080</v>
      </c>
      <c r="B230" s="273"/>
      <c r="C230" s="276" t="s">
        <v>311</v>
      </c>
      <c r="D230" s="273" t="s">
        <v>310</v>
      </c>
      <c r="E230" s="274">
        <v>150</v>
      </c>
      <c r="F230" s="275" t="s">
        <v>312</v>
      </c>
      <c r="G230" s="275" t="s">
        <v>313</v>
      </c>
      <c r="H230" s="275" t="s">
        <v>1021</v>
      </c>
      <c r="I230" s="275" t="s">
        <v>1397</v>
      </c>
      <c r="J230" s="277"/>
      <c r="K230" s="277"/>
      <c r="L230" s="277"/>
      <c r="M230" s="277"/>
      <c r="N230" s="277"/>
      <c r="O230" s="277"/>
      <c r="P230" s="277"/>
      <c r="Q230" s="277"/>
      <c r="R230" s="277"/>
      <c r="S230" s="277"/>
      <c r="T230" s="277"/>
      <c r="U230" s="277"/>
      <c r="V230" s="277"/>
      <c r="W230" s="275"/>
      <c r="X230" s="275"/>
      <c r="Y230" s="275" t="str">
        <f t="shared" si="122"/>
        <v/>
      </c>
      <c r="Z230" s="275" t="str">
        <f t="shared" si="123"/>
        <v/>
      </c>
      <c r="AA230" s="275" t="str">
        <f t="shared" si="124"/>
        <v/>
      </c>
      <c r="AB230" s="275" t="str">
        <f t="shared" si="125"/>
        <v/>
      </c>
      <c r="AC230" s="275" t="str">
        <f t="shared" ref="AC230" si="137">IF(OR(ISBLANK(O230),ISBLANK(N230)),"",IF(AND(O230&gt;=N230,O230-N230&lt;=O230),(O230-N230)*$AK230,"!!!!"))</f>
        <v/>
      </c>
      <c r="AD230" s="275" t="str">
        <f t="shared" ref="AD230" si="138">IF(OR(ISBLANK(P230),ISBLANK(O230)),"",IF(AND(P230&gt;=O230,P230-O230&lt;=P230),(P230-O230)*$AK230,"!!!!"))</f>
        <v/>
      </c>
      <c r="AE230" s="275" t="str">
        <f t="shared" ref="AE230" si="139">IF(OR(ISBLANK(Q230),ISBLANK(P230)),"",IF(AND(Q230&gt;=P230,Q230-P230&lt;=Q230),(Q230-P230)*$AK230,"!!!!"))</f>
        <v/>
      </c>
      <c r="AF230" s="275" t="str">
        <f t="shared" ref="AF230" si="140">IF(OR(ISBLANK(R230),ISBLANK(Q230)),"",IF(AND(R230&gt;=Q230,R230-Q230&lt;=R230),(R230-Q230)*$AK230,"!!!!"))</f>
        <v/>
      </c>
      <c r="AG230" s="275" t="str">
        <f t="shared" ref="AG230" si="141">IF(OR(ISBLANK(S230),ISBLANK(R230)),"",IF(AND(S230&gt;=R230,S230-R230&lt;=S230),(S230-R230)*$AK230,"!!!!"))</f>
        <v/>
      </c>
      <c r="AH230" s="275" t="str">
        <f t="shared" ref="AH230" si="142">IF(OR(ISBLANK(T230),ISBLANK(S230)),"",IF(AND(T230&gt;=S230,T230-S230&lt;=T230),(T230-S230)*$AK230,"!!!!"))</f>
        <v/>
      </c>
      <c r="AI230" s="275" t="str">
        <f t="shared" si="132"/>
        <v/>
      </c>
      <c r="AJ230" s="275" t="str">
        <f t="shared" ref="AJ230" si="143">IF(OR(ISBLANK(V230),ISBLANK(U230)),"",IF(AND(V230&gt;=U230,V230-U230&lt;=V230),(V230-U230)*$AK230,"!!!!"))</f>
        <v/>
      </c>
      <c r="AK230" s="275">
        <v>1</v>
      </c>
      <c r="AL230" s="277">
        <f t="shared" ca="1" si="134"/>
        <v>0</v>
      </c>
      <c r="AM230" s="277">
        <f t="shared" ca="1" si="135"/>
        <v>0</v>
      </c>
      <c r="AN230" s="277" t="str">
        <f ca="1">IF(AND(Tabla7[[#This Row],[UltLec]]&lt;&gt;0,Tabla7[[#This Row],[PenLect]]&lt;&gt;0),(AM230-AL230)*Tabla7[[#This Row],[RT]],"N/A")</f>
        <v>N/A</v>
      </c>
      <c r="AO230" s="393" t="s">
        <v>1160</v>
      </c>
      <c r="AP230" s="393" t="s">
        <v>1075</v>
      </c>
      <c r="AQ230" s="393" t="s">
        <v>1074</v>
      </c>
      <c r="AR230" s="275">
        <f t="shared" si="136"/>
        <v>0</v>
      </c>
      <c r="AT230" s="2" t="e">
        <f t="shared" ca="1" si="109"/>
        <v>#VALUE!</v>
      </c>
    </row>
    <row r="231" spans="1:50" ht="18.75" customHeight="1" x14ac:dyDescent="0.25">
      <c r="A231" s="291" t="s">
        <v>717</v>
      </c>
      <c r="B231" s="54"/>
      <c r="C231" s="368" t="s">
        <v>314</v>
      </c>
      <c r="D231" s="54" t="s">
        <v>310</v>
      </c>
      <c r="E231" s="232">
        <v>39074</v>
      </c>
      <c r="F231" s="2" t="s">
        <v>315</v>
      </c>
      <c r="G231" s="2" t="s">
        <v>316</v>
      </c>
      <c r="H231" s="2" t="s">
        <v>317</v>
      </c>
      <c r="I231" s="2"/>
      <c r="J231" s="260"/>
      <c r="K231" s="260"/>
      <c r="L231" s="260"/>
      <c r="O231" s="260"/>
      <c r="P231" s="308"/>
      <c r="Q231" s="260"/>
      <c r="R231" s="260"/>
      <c r="S231" s="260"/>
      <c r="U231" s="260"/>
      <c r="V231" s="260"/>
      <c r="W231" s="2"/>
      <c r="X231" s="2"/>
      <c r="Y231" s="2" t="str">
        <f t="shared" ref="Y231:Y242" si="144">IF(OR(ISBLANK(K231),ISBLANK(J231)),"",IF(AND(K231&gt;=J231,K231-J231&lt;=K231),(K231-J231)*$AK231,"!!!!"))</f>
        <v/>
      </c>
      <c r="Z231" s="2" t="str">
        <f t="shared" ref="Z231:Z242" si="145">IF(OR(ISBLANK(L231),ISBLANK(K231)),"",IF(AND(L231&gt;=K231,L231-K231&lt;=L231),(L231-K231)*$AK231,"!!!!"))</f>
        <v/>
      </c>
      <c r="AA231" s="2" t="str">
        <f t="shared" ref="AA231:AA242" si="146">IF(OR(ISBLANK(M231),ISBLANK(L231)),"",IF(AND(M231&gt;=L231,M231-L231&lt;=M231),(M231-L231)*$AK231,"!!!!"))</f>
        <v/>
      </c>
      <c r="AB231" s="2" t="str">
        <f t="shared" ref="AB231:AB242" si="147">IF(OR(ISBLANK(N231),ISBLANK(M231)),"",IF(AND(N231&gt;=M231,N231-M231&lt;=N231),(N231-M231)*$AK231,"!!!!"))</f>
        <v/>
      </c>
      <c r="AC231" s="2" t="str">
        <f t="shared" ref="AC231:AC242" si="148">IF(OR(ISBLANK(O231),ISBLANK(N231)),"",IF(AND(O231&gt;=N231,O231-N231&lt;=O231),(O231-N231)*$AK231,"!!!!"))</f>
        <v/>
      </c>
      <c r="AD231" s="2" t="str">
        <f t="shared" ref="AD231:AD242" si="149">IF(OR(ISBLANK(P231),ISBLANK(O231)),"",IF(AND(P231&gt;=O231,P231-O231&lt;=P231),(P231-O231)*$AK231,"!!!!"))</f>
        <v/>
      </c>
      <c r="AE231" s="2" t="str">
        <f t="shared" ref="AE231:AE242" si="150">IF(OR(ISBLANK(Q231),ISBLANK(P231)),"",IF(AND(Q231&gt;=P231,Q231-P231&lt;=Q231),(Q231-P231)*$AK231,"!!!!"))</f>
        <v/>
      </c>
      <c r="AF231" s="2" t="str">
        <f t="shared" ref="AF231:AF242" si="151">IF(OR(ISBLANK(R231),ISBLANK(Q231)),"",IF(AND(R231&gt;=Q231,R231-Q231&lt;=R231),(R231-Q231)*$AK231,"!!!!"))</f>
        <v/>
      </c>
      <c r="AG231" s="2" t="str">
        <f t="shared" ref="AG231:AG242" si="152">IF(OR(ISBLANK(S231),ISBLANK(R231)),"",IF(AND(S231&gt;=R231,S231-R231&lt;=S231),(S231-R231)*$AK231,"!!!!"))</f>
        <v/>
      </c>
      <c r="AH231" s="2" t="str">
        <f t="shared" ref="AH231:AH242" si="153">IF(OR(ISBLANK(T231),ISBLANK(S231)),"",IF(AND(T231&gt;=S231,T231-S231&lt;=T231),(T231-S231)*$AK231,"!!!!"))</f>
        <v/>
      </c>
      <c r="AI231" s="2" t="str">
        <f t="shared" ref="AI231:AI242" si="154">IF(OR(ISBLANK(U231),ISBLANK(T231)),"",IF(AND(U231&gt;=T231,U231-T231&lt;=U231),(U231-T231)*$AK231,"!!!!"))</f>
        <v/>
      </c>
      <c r="AJ231" s="2" t="str">
        <f t="shared" ref="AJ231:AJ242" si="155">IF(OR(ISBLANK(V231),ISBLANK(U231)),"",IF(AND(V231&gt;=U231,V231-U231&lt;=V231),(V231-U231)*$AK231,"!!!!"))</f>
        <v/>
      </c>
      <c r="AK231" s="2">
        <v>1</v>
      </c>
      <c r="AL231" s="260">
        <f t="shared" ref="AL231:AL294" ca="1" si="156">IF(DAY(TODAY())&lt;16,INDEX(J231:X231,1,MONTH(TODAY())-1),INDEX(J231:X231,1,MONTH(TODAY())))</f>
        <v>0</v>
      </c>
      <c r="AM231" s="260">
        <f t="shared" ref="AM231:AM294" ca="1" si="157">IF(DAY(TODAY())&lt;16,INDEX(J231:X231,1,MONTH(TODAY())),INDEX(J231:X231,1,MONTH(TODAY())+1))</f>
        <v>0</v>
      </c>
      <c r="AN231" s="260" t="str">
        <f ca="1">IF(AND(Tabla7[[#This Row],[UltLec]]&lt;&gt;0,Tabla7[[#This Row],[PenLect]]&lt;&gt;0),(AM231-AL231)*Tabla7[[#This Row],[RT]],"N/A")</f>
        <v>N/A</v>
      </c>
      <c r="AO231" s="380"/>
      <c r="AP231" s="380" t="s">
        <v>1075</v>
      </c>
      <c r="AQ231" s="380" t="s">
        <v>1074</v>
      </c>
      <c r="AR231" s="2">
        <f t="shared" ref="AR231:AR294" si="158">COUNTIF(Y231:AJ231,"!!!!")</f>
        <v>0</v>
      </c>
      <c r="AT231" s="2" t="e">
        <f t="shared" ca="1" si="109"/>
        <v>#VALUE!</v>
      </c>
      <c r="AX231" s="537" t="str">
        <f>CONCATENATE("insert into lecturas(num_serie,fecha,lectura) values ","('",[1]!Tabla7[[#This Row],[CONTADOR]],"',STR_TO_DATE('",[1]!Tabla7[[#Headers],[31/12/2017]],"','%d/%m/%Y'),",J231,"),","('",[1]!Tabla7[[#This Row],[CONTADOR]],"',STR_TO_DATE('",[1]!Tabla7[[#Headers],[15/01/2018]],"','%d/%m/%Y'),",Z231,"),","('",[1]!Tabla7[[#This Row],[CONTADOR]],"',STR_TO_DATE('",[1]!Tabla7[[#Headers],[15/02/2018]],"','%d/%m/%Y'),",AA231,"),","('",[1]!Tabla7[[#This Row],[CONTADOR]],"',STR_TO_DATE('",[1]!Tabla7[[#Headers],[15/03/2018]],"','%d/%m/%Y'),",AB231,"),","('",[1]!Tabla7[[#This Row],[CONTADOR]],"',STR_TO_DATE('",[1]!Tabla7[[#Headers],[15/04/2018]],"','%d/%m/%Y'),",AC231,"),","('",[1]!Tabla7[[#This Row],[CONTADOR]],"',STR_TO_DATE('",[1]!Tabla7[[#Headers],[15/05/2018]],"','%d/%m/%Y'),",AD231,"),","('",[1]!Tabla7[[#This Row],[CONTADOR]],"',STR_TO_DATE('",[1]!Tabla7[[#Headers],[15/06/2018]],"','%d/%m/%Y'),",AE231,"),","('",[1]!Tabla7[[#This Row],[CONTADOR]],"',STR_TO_DATE('",[1]!Tabla7[[#Headers],[15/07/2018]],"','%d/%m/%Y'),",AF231,"),","('",[1]!Tabla7[[#This Row],[CONTADOR]],"',STR_TO_DATE('",[1]!Tabla7[[#Headers],[15/08/2018]],"','%d/%m/%Y'),",AG231,"),","('",[1]!Tabla7[[#This Row],[CONTADOR]],"',STR_TO_DATE('",[1]!Tabla7[[#Headers],[15/09/2018]],"','%d/%m/%Y'),",AH231,"),","('",[1]!Tabla7[[#This Row],[CONTADOR]],"',STR_TO_DATE('",[1]!Tabla7[[#Headers],[15/10/2018]],"','%d/%m/%Y'),",AI231,"),","('",[1]!Tabla7[[#This Row],[CONTADOR]],"',STR_TO_DATE('",[1]!Tabla7[[#Headers],[15/11/2018]],"','%d/%m/%Y'),",AJ231,"),","('",[1]!Tabla7[[#This Row],[CONTADOR]],"',STR_TO_DATE('",[1]!Tabla7[[#Headers],[15/12/2018]],"','%d/%m/%Y'),",AK231,");")</f>
        <v>insert into lecturas(num_serie,fecha,lectura) values ('LW00181178',STR_TO_DATE('31/12/2017','%d/%m/%Y'),),('LW00181178',STR_TO_DATE('15/01/2018','%d/%m/%Y'),),('LW00181178',STR_TO_DATE('15/02/2018','%d/%m/%Y'),),('LW00181178',STR_TO_DATE('15/03/2018','%d/%m/%Y'),),('LW00181178',STR_TO_DATE('15/04/2018','%d/%m/%Y'),),('LW00181178',STR_TO_DATE('15/05/2018','%d/%m/%Y'),),('LW00181178',STR_TO_DATE('15/06/2018','%d/%m/%Y'),),('LW00181178',STR_TO_DATE('15/07/2018','%d/%m/%Y'),),('LW00181178',STR_TO_DATE('15/08/2018','%d/%m/%Y'),),('LW00181178',STR_TO_DATE('15/09/2018','%d/%m/%Y'),),('LW00181178',STR_TO_DATE('15/10/2018','%d/%m/%Y'),),('LW00181178',STR_TO_DATE('15/11/2018','%d/%m/%Y'),),('LW00181178',STR_TO_DATE('15/12/2018','%d/%m/%Y'),1);</v>
      </c>
    </row>
    <row r="232" spans="1:50" ht="18.75" customHeight="1" x14ac:dyDescent="0.25">
      <c r="A232" s="493" t="s">
        <v>697</v>
      </c>
      <c r="B232" s="268"/>
      <c r="C232" s="268">
        <v>5900984</v>
      </c>
      <c r="D232" s="268" t="s">
        <v>318</v>
      </c>
      <c r="E232" s="269">
        <v>1</v>
      </c>
      <c r="F232" s="369" t="s">
        <v>328</v>
      </c>
      <c r="G232" s="369" t="s">
        <v>329</v>
      </c>
      <c r="H232" s="369"/>
      <c r="I232" s="369"/>
      <c r="J232" s="370">
        <v>195598</v>
      </c>
      <c r="K232" s="370">
        <v>195920</v>
      </c>
      <c r="L232" s="516"/>
      <c r="M232" s="370"/>
      <c r="N232" s="370"/>
      <c r="O232" s="370"/>
      <c r="P232" s="370"/>
      <c r="Q232" s="370"/>
      <c r="R232" s="370"/>
      <c r="S232" s="370"/>
      <c r="T232" s="370"/>
      <c r="U232" s="370"/>
      <c r="V232" s="370"/>
      <c r="W232" s="369"/>
      <c r="X232" s="369"/>
      <c r="Y232" s="369">
        <f t="shared" si="144"/>
        <v>322</v>
      </c>
      <c r="Z232" s="369" t="str">
        <f t="shared" si="145"/>
        <v/>
      </c>
      <c r="AA232" s="369" t="str">
        <f t="shared" si="146"/>
        <v/>
      </c>
      <c r="AB232" s="369" t="str">
        <f t="shared" si="147"/>
        <v/>
      </c>
      <c r="AC232" s="369" t="str">
        <f t="shared" si="148"/>
        <v/>
      </c>
      <c r="AD232" s="369" t="str">
        <f t="shared" si="149"/>
        <v/>
      </c>
      <c r="AE232" s="369" t="str">
        <f t="shared" si="150"/>
        <v/>
      </c>
      <c r="AF232" s="369" t="str">
        <f t="shared" si="151"/>
        <v/>
      </c>
      <c r="AG232" s="369" t="str">
        <f t="shared" si="152"/>
        <v/>
      </c>
      <c r="AH232" s="369" t="str">
        <f t="shared" si="153"/>
        <v/>
      </c>
      <c r="AI232" s="369" t="str">
        <f t="shared" si="154"/>
        <v/>
      </c>
      <c r="AJ232" s="369" t="str">
        <f t="shared" si="155"/>
        <v/>
      </c>
      <c r="AK232" s="369">
        <v>1</v>
      </c>
      <c r="AL232" s="370">
        <f t="shared" ca="1" si="156"/>
        <v>0</v>
      </c>
      <c r="AM232" s="370">
        <f t="shared" ca="1" si="157"/>
        <v>0</v>
      </c>
      <c r="AN232" s="370" t="str">
        <f ca="1">IF(AND(Tabla7[[#This Row],[UltLec]]&lt;&gt;0,Tabla7[[#This Row],[PenLect]]&lt;&gt;0),(AM232-AL232)*Tabla7[[#This Row],[RT]],"N/A")</f>
        <v>N/A</v>
      </c>
      <c r="AO232" s="395" t="s">
        <v>813</v>
      </c>
      <c r="AP232" s="395" t="s">
        <v>1075</v>
      </c>
      <c r="AQ232" s="395" t="s">
        <v>1074</v>
      </c>
      <c r="AR232" s="369">
        <f t="shared" si="158"/>
        <v>0</v>
      </c>
      <c r="AT232" s="2" t="e">
        <f t="shared" ca="1" si="109"/>
        <v>#VALUE!</v>
      </c>
    </row>
    <row r="233" spans="1:50" ht="18.75" hidden="1" customHeight="1" x14ac:dyDescent="0.25">
      <c r="A233" s="476" t="s">
        <v>1080</v>
      </c>
      <c r="B233" s="273"/>
      <c r="C233" s="272">
        <v>11210006</v>
      </c>
      <c r="D233" s="273" t="s">
        <v>318</v>
      </c>
      <c r="E233" s="274">
        <v>39033</v>
      </c>
      <c r="F233" s="275" t="s">
        <v>447</v>
      </c>
      <c r="G233" s="275" t="s">
        <v>963</v>
      </c>
      <c r="H233" s="275" t="s">
        <v>807</v>
      </c>
      <c r="I233" s="275" t="s">
        <v>751</v>
      </c>
      <c r="J233" s="275"/>
      <c r="K233" s="277"/>
      <c r="L233" s="516">
        <v>24138</v>
      </c>
      <c r="M233" s="277"/>
      <c r="N233" s="277"/>
      <c r="O233" s="277"/>
      <c r="P233" s="277"/>
      <c r="Q233" s="277"/>
      <c r="R233" s="277"/>
      <c r="S233" s="277"/>
      <c r="T233" s="277"/>
      <c r="U233" s="275"/>
      <c r="V233" s="275"/>
      <c r="W233" s="275"/>
      <c r="X233" s="275"/>
      <c r="Y233" s="275" t="str">
        <f t="shared" si="144"/>
        <v/>
      </c>
      <c r="Z233" s="275" t="str">
        <f t="shared" si="145"/>
        <v/>
      </c>
      <c r="AA233" s="275" t="str">
        <f t="shared" si="146"/>
        <v/>
      </c>
      <c r="AB233" s="275" t="str">
        <f t="shared" si="147"/>
        <v/>
      </c>
      <c r="AC233" s="275" t="str">
        <f t="shared" si="148"/>
        <v/>
      </c>
      <c r="AD233" s="275" t="str">
        <f t="shared" si="149"/>
        <v/>
      </c>
      <c r="AE233" s="275" t="str">
        <f t="shared" si="150"/>
        <v/>
      </c>
      <c r="AF233" s="275" t="str">
        <f t="shared" si="151"/>
        <v/>
      </c>
      <c r="AG233" s="275" t="str">
        <f t="shared" si="152"/>
        <v/>
      </c>
      <c r="AH233" s="275" t="str">
        <f t="shared" si="153"/>
        <v/>
      </c>
      <c r="AI233" s="275" t="str">
        <f t="shared" si="154"/>
        <v/>
      </c>
      <c r="AJ233" s="275" t="str">
        <f t="shared" si="155"/>
        <v/>
      </c>
      <c r="AK233" s="275">
        <v>20</v>
      </c>
      <c r="AL233" s="277">
        <f t="shared" ca="1" si="156"/>
        <v>0</v>
      </c>
      <c r="AM233" s="277">
        <f t="shared" ca="1" si="157"/>
        <v>0</v>
      </c>
      <c r="AN233" s="277" t="str">
        <f ca="1">IF(AND(Tabla7[[#This Row],[UltLec]]&lt;&gt;0,Tabla7[[#This Row],[PenLect]]&lt;&gt;0),(AM233-AL233)*Tabla7[[#This Row],[RT]],"N/A")</f>
        <v>N/A</v>
      </c>
      <c r="AO233" s="393" t="s">
        <v>1160</v>
      </c>
      <c r="AP233" s="393" t="s">
        <v>1075</v>
      </c>
      <c r="AQ233" s="393" t="s">
        <v>1074</v>
      </c>
      <c r="AR233" s="275">
        <f t="shared" si="158"/>
        <v>0</v>
      </c>
      <c r="AT233" s="2" t="e">
        <f t="shared" ca="1" si="109"/>
        <v>#VALUE!</v>
      </c>
    </row>
    <row r="234" spans="1:50" ht="18.75" hidden="1" customHeight="1" x14ac:dyDescent="0.25">
      <c r="A234" s="418" t="s">
        <v>1080</v>
      </c>
      <c r="B234" s="273"/>
      <c r="C234" s="367">
        <v>11210314</v>
      </c>
      <c r="D234" s="273" t="s">
        <v>318</v>
      </c>
      <c r="E234" s="274">
        <v>30000</v>
      </c>
      <c r="F234" s="275" t="s">
        <v>446</v>
      </c>
      <c r="G234" s="275" t="s">
        <v>899</v>
      </c>
      <c r="H234" s="275"/>
      <c r="I234" s="275" t="s">
        <v>750</v>
      </c>
      <c r="J234" s="275"/>
      <c r="K234" s="275"/>
      <c r="L234" s="516">
        <v>186281</v>
      </c>
      <c r="M234" s="275"/>
      <c r="N234" s="275"/>
      <c r="O234" s="277"/>
      <c r="P234" s="275"/>
      <c r="Q234" s="275"/>
      <c r="R234" s="275"/>
      <c r="S234" s="275"/>
      <c r="T234" s="275"/>
      <c r="U234" s="275"/>
      <c r="V234" s="275"/>
      <c r="W234" s="275"/>
      <c r="X234" s="275"/>
      <c r="Y234" s="275" t="str">
        <f t="shared" si="144"/>
        <v/>
      </c>
      <c r="Z234" s="275" t="str">
        <f t="shared" si="145"/>
        <v/>
      </c>
      <c r="AA234" s="275" t="str">
        <f t="shared" si="146"/>
        <v/>
      </c>
      <c r="AB234" s="275" t="str">
        <f t="shared" si="147"/>
        <v/>
      </c>
      <c r="AC234" s="275" t="str">
        <f t="shared" si="148"/>
        <v/>
      </c>
      <c r="AD234" s="275" t="str">
        <f t="shared" si="149"/>
        <v/>
      </c>
      <c r="AE234" s="275" t="str">
        <f t="shared" si="150"/>
        <v/>
      </c>
      <c r="AF234" s="275" t="str">
        <f t="shared" si="151"/>
        <v/>
      </c>
      <c r="AG234" s="275" t="str">
        <f t="shared" si="152"/>
        <v/>
      </c>
      <c r="AH234" s="275" t="str">
        <f t="shared" si="153"/>
        <v/>
      </c>
      <c r="AI234" s="275" t="str">
        <f t="shared" si="154"/>
        <v/>
      </c>
      <c r="AJ234" s="275" t="str">
        <f t="shared" si="155"/>
        <v/>
      </c>
      <c r="AK234" s="275">
        <v>20</v>
      </c>
      <c r="AL234" s="277">
        <f t="shared" ca="1" si="156"/>
        <v>0</v>
      </c>
      <c r="AM234" s="277">
        <f t="shared" ca="1" si="157"/>
        <v>0</v>
      </c>
      <c r="AN234" s="277" t="str">
        <f ca="1">IF(AND(Tabla7[[#This Row],[UltLec]]&lt;&gt;0,Tabla7[[#This Row],[PenLect]]&lt;&gt;0),(AM234-AL234)*Tabla7[[#This Row],[RT]],"N/A")</f>
        <v>N/A</v>
      </c>
      <c r="AO234" s="393" t="s">
        <v>1160</v>
      </c>
      <c r="AP234" s="393" t="s">
        <v>1075</v>
      </c>
      <c r="AQ234" s="393" t="s">
        <v>1074</v>
      </c>
      <c r="AR234" s="275">
        <f t="shared" si="158"/>
        <v>0</v>
      </c>
      <c r="AT234" s="2" t="e">
        <f t="shared" ca="1" si="109"/>
        <v>#VALUE!</v>
      </c>
    </row>
    <row r="235" spans="1:50" ht="18.75" customHeight="1" x14ac:dyDescent="0.25">
      <c r="A235" s="479" t="s">
        <v>697</v>
      </c>
      <c r="B235" s="268"/>
      <c r="C235" s="480">
        <v>40564523</v>
      </c>
      <c r="D235" s="498" t="s">
        <v>318</v>
      </c>
      <c r="E235" s="490">
        <v>1</v>
      </c>
      <c r="F235" s="369" t="s">
        <v>331</v>
      </c>
      <c r="G235" s="369" t="s">
        <v>900</v>
      </c>
      <c r="H235" s="369"/>
      <c r="I235" s="369"/>
      <c r="J235" s="370">
        <v>24131</v>
      </c>
      <c r="K235" s="370">
        <v>24138</v>
      </c>
      <c r="L235" s="516"/>
      <c r="M235" s="370"/>
      <c r="N235" s="370"/>
      <c r="O235" s="370"/>
      <c r="P235" s="370"/>
      <c r="Q235" s="370"/>
      <c r="R235" s="370"/>
      <c r="S235" s="370"/>
      <c r="T235" s="370"/>
      <c r="U235" s="370"/>
      <c r="V235" s="370"/>
      <c r="W235" s="369"/>
      <c r="X235" s="369"/>
      <c r="Y235" s="369">
        <f t="shared" si="144"/>
        <v>7</v>
      </c>
      <c r="Z235" s="369" t="str">
        <f t="shared" si="145"/>
        <v/>
      </c>
      <c r="AA235" s="369" t="str">
        <f t="shared" si="146"/>
        <v/>
      </c>
      <c r="AB235" s="369" t="str">
        <f t="shared" si="147"/>
        <v/>
      </c>
      <c r="AC235" s="369" t="str">
        <f t="shared" si="148"/>
        <v/>
      </c>
      <c r="AD235" s="369" t="str">
        <f t="shared" si="149"/>
        <v/>
      </c>
      <c r="AE235" s="369" t="str">
        <f t="shared" si="150"/>
        <v/>
      </c>
      <c r="AF235" s="369" t="str">
        <f t="shared" si="151"/>
        <v/>
      </c>
      <c r="AG235" s="369" t="str">
        <f t="shared" si="152"/>
        <v/>
      </c>
      <c r="AH235" s="369" t="str">
        <f t="shared" si="153"/>
        <v/>
      </c>
      <c r="AI235" s="369" t="str">
        <f t="shared" si="154"/>
        <v/>
      </c>
      <c r="AJ235" s="369" t="str">
        <f t="shared" si="155"/>
        <v/>
      </c>
      <c r="AK235" s="369">
        <v>1</v>
      </c>
      <c r="AL235" s="370">
        <f t="shared" ca="1" si="156"/>
        <v>0</v>
      </c>
      <c r="AM235" s="370">
        <f t="shared" ca="1" si="157"/>
        <v>0</v>
      </c>
      <c r="AN235" s="370" t="str">
        <f ca="1">IF(AND(Tabla7[[#This Row],[UltLec]]&lt;&gt;0,Tabla7[[#This Row],[PenLect]]&lt;&gt;0),(AM235-AL235)*Tabla7[[#This Row],[RT]],"N/A")</f>
        <v>N/A</v>
      </c>
      <c r="AO235" s="395" t="s">
        <v>813</v>
      </c>
      <c r="AP235" s="395" t="s">
        <v>1075</v>
      </c>
      <c r="AQ235" s="395" t="s">
        <v>1074</v>
      </c>
      <c r="AR235" s="369">
        <f t="shared" si="158"/>
        <v>0</v>
      </c>
      <c r="AT235" s="2" t="e">
        <f t="shared" ca="1" si="109"/>
        <v>#VALUE!</v>
      </c>
    </row>
    <row r="236" spans="1:50" ht="18.75" hidden="1" customHeight="1" x14ac:dyDescent="0.25">
      <c r="A236" s="406" t="s">
        <v>1080</v>
      </c>
      <c r="B236" s="273">
        <v>1327</v>
      </c>
      <c r="C236" s="367">
        <v>50990019</v>
      </c>
      <c r="D236" s="273" t="s">
        <v>318</v>
      </c>
      <c r="E236" s="274">
        <v>39072</v>
      </c>
      <c r="F236" s="275" t="s">
        <v>447</v>
      </c>
      <c r="G236" s="275" t="s">
        <v>901</v>
      </c>
      <c r="H236" s="275"/>
      <c r="I236" s="275" t="s">
        <v>751</v>
      </c>
      <c r="J236" s="275"/>
      <c r="K236" s="275"/>
      <c r="L236" s="516">
        <v>24138</v>
      </c>
      <c r="M236" s="275"/>
      <c r="N236" s="275"/>
      <c r="O236" s="277"/>
      <c r="P236" s="277"/>
      <c r="Q236" s="275"/>
      <c r="R236" s="275"/>
      <c r="S236" s="275"/>
      <c r="T236" s="275"/>
      <c r="U236" s="275"/>
      <c r="V236" s="275"/>
      <c r="W236" s="275"/>
      <c r="X236" s="275"/>
      <c r="Y236" s="275" t="str">
        <f t="shared" si="144"/>
        <v/>
      </c>
      <c r="Z236" s="275" t="str">
        <f t="shared" si="145"/>
        <v/>
      </c>
      <c r="AA236" s="275" t="str">
        <f t="shared" si="146"/>
        <v/>
      </c>
      <c r="AB236" s="275" t="str">
        <f t="shared" si="147"/>
        <v/>
      </c>
      <c r="AC236" s="275" t="str">
        <f t="shared" si="148"/>
        <v/>
      </c>
      <c r="AD236" s="275" t="str">
        <f t="shared" si="149"/>
        <v/>
      </c>
      <c r="AE236" s="275" t="str">
        <f t="shared" si="150"/>
        <v/>
      </c>
      <c r="AF236" s="275" t="str">
        <f t="shared" si="151"/>
        <v/>
      </c>
      <c r="AG236" s="275" t="str">
        <f t="shared" si="152"/>
        <v/>
      </c>
      <c r="AH236" s="275" t="str">
        <f t="shared" si="153"/>
        <v/>
      </c>
      <c r="AI236" s="275" t="str">
        <f t="shared" si="154"/>
        <v/>
      </c>
      <c r="AJ236" s="275" t="str">
        <f t="shared" si="155"/>
        <v/>
      </c>
      <c r="AK236" s="275">
        <v>20</v>
      </c>
      <c r="AL236" s="277">
        <f t="shared" ca="1" si="156"/>
        <v>0</v>
      </c>
      <c r="AM236" s="277">
        <f t="shared" ca="1" si="157"/>
        <v>0</v>
      </c>
      <c r="AN236" s="277" t="str">
        <f ca="1">IF(AND(Tabla7[[#This Row],[UltLec]]&lt;&gt;0,Tabla7[[#This Row],[PenLect]]&lt;&gt;0),(AM236-AL236)*Tabla7[[#This Row],[RT]],"N/A")</f>
        <v>N/A</v>
      </c>
      <c r="AO236" s="393" t="s">
        <v>1160</v>
      </c>
      <c r="AP236" s="393" t="s">
        <v>1075</v>
      </c>
      <c r="AQ236" s="393" t="s">
        <v>1074</v>
      </c>
      <c r="AR236" s="275">
        <f t="shared" si="158"/>
        <v>0</v>
      </c>
      <c r="AT236" s="2" t="e">
        <f t="shared" ca="1" si="109"/>
        <v>#VALUE!</v>
      </c>
    </row>
    <row r="237" spans="1:50" ht="18.75" customHeight="1" x14ac:dyDescent="0.25">
      <c r="A237" s="470" t="s">
        <v>697</v>
      </c>
      <c r="B237" s="268">
        <v>1107</v>
      </c>
      <c r="C237" s="270">
        <v>83363213</v>
      </c>
      <c r="D237" s="268" t="s">
        <v>318</v>
      </c>
      <c r="E237" s="269">
        <v>39496</v>
      </c>
      <c r="F237" s="369" t="s">
        <v>330</v>
      </c>
      <c r="G237" s="369" t="s">
        <v>902</v>
      </c>
      <c r="H237" s="369"/>
      <c r="I237" s="369"/>
      <c r="J237" s="370">
        <v>185338</v>
      </c>
      <c r="K237" s="370">
        <v>186281</v>
      </c>
      <c r="L237" s="516"/>
      <c r="M237" s="370"/>
      <c r="N237" s="370"/>
      <c r="O237" s="370"/>
      <c r="P237" s="370"/>
      <c r="Q237" s="370"/>
      <c r="R237" s="370"/>
      <c r="S237" s="370"/>
      <c r="T237" s="370"/>
      <c r="U237" s="370"/>
      <c r="V237" s="370"/>
      <c r="W237" s="369"/>
      <c r="X237" s="369"/>
      <c r="Y237" s="369">
        <f t="shared" si="144"/>
        <v>943</v>
      </c>
      <c r="Z237" s="369" t="str">
        <f t="shared" si="145"/>
        <v/>
      </c>
      <c r="AA237" s="369" t="str">
        <f t="shared" si="146"/>
        <v/>
      </c>
      <c r="AB237" s="369" t="str">
        <f t="shared" si="147"/>
        <v/>
      </c>
      <c r="AC237" s="369" t="str">
        <f t="shared" si="148"/>
        <v/>
      </c>
      <c r="AD237" s="369" t="str">
        <f t="shared" si="149"/>
        <v/>
      </c>
      <c r="AE237" s="369" t="str">
        <f t="shared" si="150"/>
        <v/>
      </c>
      <c r="AF237" s="369" t="str">
        <f t="shared" si="151"/>
        <v/>
      </c>
      <c r="AG237" s="369" t="str">
        <f t="shared" si="152"/>
        <v/>
      </c>
      <c r="AH237" s="369" t="str">
        <f t="shared" si="153"/>
        <v/>
      </c>
      <c r="AI237" s="369" t="str">
        <f t="shared" si="154"/>
        <v/>
      </c>
      <c r="AJ237" s="369" t="str">
        <f t="shared" si="155"/>
        <v/>
      </c>
      <c r="AK237" s="369">
        <v>1</v>
      </c>
      <c r="AL237" s="370">
        <f t="shared" ca="1" si="156"/>
        <v>0</v>
      </c>
      <c r="AM237" s="370">
        <f t="shared" ca="1" si="157"/>
        <v>0</v>
      </c>
      <c r="AN237" s="370" t="str">
        <f ca="1">IF(AND(Tabla7[[#This Row],[UltLec]]&lt;&gt;0,Tabla7[[#This Row],[PenLect]]&lt;&gt;0),(AM237-AL237)*Tabla7[[#This Row],[RT]],"N/A")</f>
        <v>N/A</v>
      </c>
      <c r="AO237" s="395" t="s">
        <v>813</v>
      </c>
      <c r="AP237" s="395" t="s">
        <v>1075</v>
      </c>
      <c r="AQ237" s="395" t="s">
        <v>1074</v>
      </c>
      <c r="AR237" s="369">
        <f t="shared" si="158"/>
        <v>0</v>
      </c>
      <c r="AT237" s="2" t="e">
        <f t="shared" ca="1" si="109"/>
        <v>#VALUE!</v>
      </c>
    </row>
    <row r="238" spans="1:50" ht="18.75" customHeight="1" x14ac:dyDescent="0.25">
      <c r="A238" s="291" t="s">
        <v>19</v>
      </c>
      <c r="B238" s="54"/>
      <c r="C238" s="239" t="s">
        <v>416</v>
      </c>
      <c r="D238" s="54" t="s">
        <v>318</v>
      </c>
      <c r="E238" s="232">
        <v>30000</v>
      </c>
      <c r="F238" s="2" t="s">
        <v>450</v>
      </c>
      <c r="G238" s="2" t="s">
        <v>806</v>
      </c>
      <c r="H238" s="2" t="s">
        <v>451</v>
      </c>
      <c r="I238" s="2" t="s">
        <v>430</v>
      </c>
      <c r="J238" s="260">
        <v>21298</v>
      </c>
      <c r="K238" s="260">
        <v>21578</v>
      </c>
      <c r="L238" s="516"/>
      <c r="O238" s="260"/>
      <c r="P238" s="308"/>
      <c r="Q238" s="260"/>
      <c r="R238" s="260"/>
      <c r="S238" s="260"/>
      <c r="U238" s="260"/>
      <c r="V238" s="260"/>
      <c r="W238" s="2"/>
      <c r="X238" s="2"/>
      <c r="Y238" s="2">
        <f t="shared" si="144"/>
        <v>280</v>
      </c>
      <c r="Z238" s="2" t="str">
        <f t="shared" si="145"/>
        <v/>
      </c>
      <c r="AA238" s="2" t="str">
        <f t="shared" si="146"/>
        <v/>
      </c>
      <c r="AB238" s="2" t="str">
        <f t="shared" si="147"/>
        <v/>
      </c>
      <c r="AC238" s="2" t="str">
        <f t="shared" si="148"/>
        <v/>
      </c>
      <c r="AD238" s="2" t="str">
        <f t="shared" si="149"/>
        <v/>
      </c>
      <c r="AE238" s="2" t="str">
        <f t="shared" si="150"/>
        <v/>
      </c>
      <c r="AF238" s="2" t="str">
        <f t="shared" si="151"/>
        <v/>
      </c>
      <c r="AG238" s="2" t="str">
        <f t="shared" si="152"/>
        <v/>
      </c>
      <c r="AH238" s="2" t="str">
        <f t="shared" si="153"/>
        <v/>
      </c>
      <c r="AI238" s="2" t="str">
        <f t="shared" si="154"/>
        <v/>
      </c>
      <c r="AJ238" s="2" t="str">
        <f t="shared" si="155"/>
        <v/>
      </c>
      <c r="AK238" s="2">
        <v>1</v>
      </c>
      <c r="AL238" s="260">
        <f t="shared" ca="1" si="156"/>
        <v>0</v>
      </c>
      <c r="AM238" s="260">
        <f t="shared" ca="1" si="157"/>
        <v>0</v>
      </c>
      <c r="AN238" s="260" t="str">
        <f ca="1">IF(AND(Tabla7[[#This Row],[UltLec]]&lt;&gt;0,Tabla7[[#This Row],[PenLect]]&lt;&gt;0),(AM238-AL238)*Tabla7[[#This Row],[RT]],"N/A")</f>
        <v>N/A</v>
      </c>
      <c r="AO238" s="380" t="s">
        <v>813</v>
      </c>
      <c r="AP238" s="380" t="s">
        <v>1075</v>
      </c>
      <c r="AQ238" s="380" t="s">
        <v>1074</v>
      </c>
      <c r="AR238" s="2">
        <f t="shared" si="158"/>
        <v>0</v>
      </c>
      <c r="AT238" s="2" t="e">
        <f t="shared" ca="1" si="109"/>
        <v>#VALUE!</v>
      </c>
    </row>
    <row r="239" spans="1:50" ht="18.75" hidden="1" customHeight="1" x14ac:dyDescent="0.25">
      <c r="A239" s="418" t="s">
        <v>1080</v>
      </c>
      <c r="B239" s="273"/>
      <c r="C239" s="276" t="s">
        <v>1224</v>
      </c>
      <c r="D239" s="273" t="s">
        <v>318</v>
      </c>
      <c r="E239" s="274">
        <v>39033</v>
      </c>
      <c r="F239" s="434" t="s">
        <v>447</v>
      </c>
      <c r="G239" s="275" t="s">
        <v>963</v>
      </c>
      <c r="H239" s="275" t="s">
        <v>1234</v>
      </c>
      <c r="I239" s="275" t="s">
        <v>1547</v>
      </c>
      <c r="J239" s="275"/>
      <c r="K239" s="275"/>
      <c r="L239" s="516">
        <v>186281</v>
      </c>
      <c r="M239" s="275"/>
      <c r="N239" s="275"/>
      <c r="O239" s="275"/>
      <c r="P239" s="275"/>
      <c r="Q239" s="275"/>
      <c r="R239" s="275"/>
      <c r="S239" s="275"/>
      <c r="T239" s="275"/>
      <c r="U239" s="275"/>
      <c r="V239" s="275"/>
      <c r="W239" s="275"/>
      <c r="X239" s="275"/>
      <c r="Y239" s="275" t="str">
        <f t="shared" si="144"/>
        <v/>
      </c>
      <c r="Z239" s="275" t="str">
        <f t="shared" si="145"/>
        <v/>
      </c>
      <c r="AA239" s="275" t="str">
        <f t="shared" si="146"/>
        <v/>
      </c>
      <c r="AB239" s="275" t="str">
        <f t="shared" si="147"/>
        <v/>
      </c>
      <c r="AC239" s="275" t="str">
        <f t="shared" si="148"/>
        <v/>
      </c>
      <c r="AD239" s="275" t="str">
        <f t="shared" si="149"/>
        <v/>
      </c>
      <c r="AE239" s="275" t="str">
        <f t="shared" si="150"/>
        <v/>
      </c>
      <c r="AF239" s="275" t="str">
        <f t="shared" si="151"/>
        <v/>
      </c>
      <c r="AG239" s="275" t="str">
        <f t="shared" si="152"/>
        <v/>
      </c>
      <c r="AH239" s="275" t="str">
        <f t="shared" si="153"/>
        <v/>
      </c>
      <c r="AI239" s="275" t="str">
        <f t="shared" si="154"/>
        <v/>
      </c>
      <c r="AJ239" s="275" t="str">
        <f t="shared" si="155"/>
        <v/>
      </c>
      <c r="AK239" s="275">
        <v>1</v>
      </c>
      <c r="AL239" s="275">
        <f t="shared" ca="1" si="156"/>
        <v>0</v>
      </c>
      <c r="AM239" s="275">
        <f t="shared" ca="1" si="157"/>
        <v>0</v>
      </c>
      <c r="AN239" s="275" t="str">
        <f ca="1">IF(AND(Tabla7[[#This Row],[UltLec]]&lt;&gt;0,Tabla7[[#This Row],[PenLect]]&lt;&gt;0),(AM239-AL239)*Tabla7[[#This Row],[RT]],"N/A")</f>
        <v>N/A</v>
      </c>
      <c r="AO239" s="275" t="s">
        <v>1160</v>
      </c>
      <c r="AP239" s="275" t="s">
        <v>1076</v>
      </c>
      <c r="AQ239" s="275" t="s">
        <v>1074</v>
      </c>
      <c r="AR239" s="275">
        <f t="shared" si="158"/>
        <v>0</v>
      </c>
      <c r="AT239" s="2" t="e">
        <f t="shared" ca="1" si="109"/>
        <v>#VALUE!</v>
      </c>
    </row>
    <row r="240" spans="1:50" ht="18.75" hidden="1" customHeight="1" x14ac:dyDescent="0.25">
      <c r="A240" s="418" t="s">
        <v>1080</v>
      </c>
      <c r="B240" s="273"/>
      <c r="C240" s="276" t="s">
        <v>1225</v>
      </c>
      <c r="D240" s="273" t="s">
        <v>318</v>
      </c>
      <c r="E240" s="274">
        <v>39072</v>
      </c>
      <c r="F240" s="434" t="s">
        <v>447</v>
      </c>
      <c r="G240" s="275" t="s">
        <v>901</v>
      </c>
      <c r="H240" s="275"/>
      <c r="I240" s="275" t="s">
        <v>1548</v>
      </c>
      <c r="J240" s="275"/>
      <c r="K240" s="275"/>
      <c r="L240" s="275"/>
      <c r="M240" s="275"/>
      <c r="N240" s="275"/>
      <c r="O240" s="275"/>
      <c r="P240" s="275"/>
      <c r="Q240" s="275"/>
      <c r="R240" s="275"/>
      <c r="S240" s="275"/>
      <c r="T240" s="275"/>
      <c r="U240" s="275"/>
      <c r="V240" s="275"/>
      <c r="W240" s="275"/>
      <c r="X240" s="275"/>
      <c r="Y240" s="275" t="str">
        <f t="shared" si="144"/>
        <v/>
      </c>
      <c r="Z240" s="275" t="str">
        <f t="shared" si="145"/>
        <v/>
      </c>
      <c r="AA240" s="275" t="str">
        <f t="shared" si="146"/>
        <v/>
      </c>
      <c r="AB240" s="275" t="str">
        <f t="shared" si="147"/>
        <v/>
      </c>
      <c r="AC240" s="275" t="str">
        <f t="shared" si="148"/>
        <v/>
      </c>
      <c r="AD240" s="275" t="str">
        <f t="shared" si="149"/>
        <v/>
      </c>
      <c r="AE240" s="275" t="str">
        <f t="shared" si="150"/>
        <v/>
      </c>
      <c r="AF240" s="275" t="str">
        <f t="shared" si="151"/>
        <v/>
      </c>
      <c r="AG240" s="275" t="str">
        <f t="shared" si="152"/>
        <v/>
      </c>
      <c r="AH240" s="275" t="str">
        <f t="shared" si="153"/>
        <v/>
      </c>
      <c r="AI240" s="275" t="str">
        <f t="shared" si="154"/>
        <v/>
      </c>
      <c r="AJ240" s="275" t="str">
        <f t="shared" si="155"/>
        <v/>
      </c>
      <c r="AK240" s="275">
        <v>1</v>
      </c>
      <c r="AL240" s="275">
        <f t="shared" ca="1" si="156"/>
        <v>0</v>
      </c>
      <c r="AM240" s="275">
        <f t="shared" ca="1" si="157"/>
        <v>0</v>
      </c>
      <c r="AN240" s="275" t="str">
        <f ca="1">IF(AND(Tabla7[[#This Row],[UltLec]]&lt;&gt;0,Tabla7[[#This Row],[PenLect]]&lt;&gt;0),(AM240-AL240)*Tabla7[[#This Row],[RT]],"N/A")</f>
        <v>N/A</v>
      </c>
      <c r="AO240" s="275" t="s">
        <v>1160</v>
      </c>
      <c r="AP240" s="275" t="s">
        <v>1076</v>
      </c>
      <c r="AQ240" s="275" t="s">
        <v>1074</v>
      </c>
      <c r="AR240" s="275">
        <f t="shared" si="158"/>
        <v>0</v>
      </c>
      <c r="AT240" s="2" t="e">
        <f t="shared" ca="1" si="109"/>
        <v>#VALUE!</v>
      </c>
    </row>
    <row r="241" spans="1:46" ht="18.75" customHeight="1" x14ac:dyDescent="0.25">
      <c r="A241" s="373" t="s">
        <v>697</v>
      </c>
      <c r="B241" s="268"/>
      <c r="C241" s="270" t="s">
        <v>1226</v>
      </c>
      <c r="D241" s="268" t="s">
        <v>318</v>
      </c>
      <c r="E241" s="269">
        <v>30000</v>
      </c>
      <c r="F241" s="369" t="s">
        <v>446</v>
      </c>
      <c r="G241" s="369" t="s">
        <v>899</v>
      </c>
      <c r="H241" s="369"/>
      <c r="I241" s="369"/>
      <c r="J241" s="370">
        <v>104039</v>
      </c>
      <c r="K241" s="370">
        <v>107518</v>
      </c>
      <c r="L241" s="370"/>
      <c r="M241" s="370"/>
      <c r="N241" s="370"/>
      <c r="O241" s="370"/>
      <c r="P241" s="370"/>
      <c r="Q241" s="370"/>
      <c r="R241" s="370"/>
      <c r="S241" s="370"/>
      <c r="T241" s="370"/>
      <c r="U241" s="370"/>
      <c r="V241" s="370"/>
      <c r="W241" s="369"/>
      <c r="X241" s="369"/>
      <c r="Y241" s="369">
        <f t="shared" si="144"/>
        <v>3479</v>
      </c>
      <c r="Z241" s="369" t="str">
        <f t="shared" si="145"/>
        <v/>
      </c>
      <c r="AA241" s="369" t="str">
        <f t="shared" si="146"/>
        <v/>
      </c>
      <c r="AB241" s="369" t="str">
        <f t="shared" si="147"/>
        <v/>
      </c>
      <c r="AC241" s="369" t="str">
        <f t="shared" si="148"/>
        <v/>
      </c>
      <c r="AD241" s="369" t="str">
        <f t="shared" si="149"/>
        <v/>
      </c>
      <c r="AE241" s="369" t="str">
        <f t="shared" si="150"/>
        <v/>
      </c>
      <c r="AF241" s="369" t="str">
        <f t="shared" si="151"/>
        <v/>
      </c>
      <c r="AG241" s="369" t="str">
        <f t="shared" si="152"/>
        <v/>
      </c>
      <c r="AH241" s="369" t="str">
        <f t="shared" si="153"/>
        <v/>
      </c>
      <c r="AI241" s="369" t="str">
        <f t="shared" si="154"/>
        <v/>
      </c>
      <c r="AJ241" s="369" t="str">
        <f t="shared" si="155"/>
        <v/>
      </c>
      <c r="AK241" s="369">
        <v>1</v>
      </c>
      <c r="AL241" s="370">
        <f t="shared" ca="1" si="156"/>
        <v>0</v>
      </c>
      <c r="AM241" s="370">
        <f t="shared" ca="1" si="157"/>
        <v>0</v>
      </c>
      <c r="AN241" s="370" t="str">
        <f ca="1">IF(AND(Tabla7[[#This Row],[UltLec]]&lt;&gt;0,Tabla7[[#This Row],[PenLect]]&lt;&gt;0),(AM241-AL241)*Tabla7[[#This Row],[RT]],"N/A")</f>
        <v>N/A</v>
      </c>
      <c r="AO241" s="395" t="s">
        <v>813</v>
      </c>
      <c r="AP241" s="395" t="s">
        <v>1076</v>
      </c>
      <c r="AQ241" s="395" t="s">
        <v>1074</v>
      </c>
      <c r="AR241" s="369">
        <f t="shared" si="158"/>
        <v>0</v>
      </c>
      <c r="AT241" s="2" t="e">
        <f t="shared" ca="1" si="109"/>
        <v>#VALUE!</v>
      </c>
    </row>
    <row r="242" spans="1:46" ht="18.75" customHeight="1" x14ac:dyDescent="0.25">
      <c r="A242" s="378" t="s">
        <v>19</v>
      </c>
      <c r="B242" s="262">
        <v>1498</v>
      </c>
      <c r="C242" s="262" t="s">
        <v>340</v>
      </c>
      <c r="D242" s="262" t="s">
        <v>318</v>
      </c>
      <c r="E242" s="262">
        <v>39270</v>
      </c>
      <c r="F242" s="503" t="s">
        <v>341</v>
      </c>
      <c r="G242" s="371" t="s">
        <v>1598</v>
      </c>
      <c r="H242" s="371"/>
      <c r="I242" s="371"/>
      <c r="J242" s="341">
        <v>115474</v>
      </c>
      <c r="K242" s="341">
        <v>115918</v>
      </c>
      <c r="L242" s="341"/>
      <c r="M242" s="341"/>
      <c r="N242" s="341"/>
      <c r="O242" s="341"/>
      <c r="P242" s="385"/>
      <c r="Q242" s="385"/>
      <c r="R242" s="341"/>
      <c r="S242" s="341"/>
      <c r="T242" s="341"/>
      <c r="U242" s="341"/>
      <c r="V242" s="341"/>
      <c r="W242" s="371"/>
      <c r="X242" s="371"/>
      <c r="Y242" s="371">
        <f t="shared" si="144"/>
        <v>444</v>
      </c>
      <c r="Z242" s="371" t="str">
        <f t="shared" si="145"/>
        <v/>
      </c>
      <c r="AA242" s="371" t="str">
        <f t="shared" si="146"/>
        <v/>
      </c>
      <c r="AB242" s="371" t="str">
        <f t="shared" si="147"/>
        <v/>
      </c>
      <c r="AC242" s="371" t="str">
        <f t="shared" si="148"/>
        <v/>
      </c>
      <c r="AD242" s="371" t="str">
        <f t="shared" si="149"/>
        <v/>
      </c>
      <c r="AE242" s="371" t="str">
        <f t="shared" si="150"/>
        <v/>
      </c>
      <c r="AF242" s="371" t="str">
        <f t="shared" si="151"/>
        <v/>
      </c>
      <c r="AG242" s="371" t="str">
        <f t="shared" si="152"/>
        <v/>
      </c>
      <c r="AH242" s="371" t="str">
        <f t="shared" si="153"/>
        <v/>
      </c>
      <c r="AI242" s="371" t="str">
        <f t="shared" si="154"/>
        <v/>
      </c>
      <c r="AJ242" s="371" t="str">
        <f t="shared" si="155"/>
        <v/>
      </c>
      <c r="AK242" s="371">
        <v>1</v>
      </c>
      <c r="AL242" s="341">
        <f t="shared" ca="1" si="156"/>
        <v>0</v>
      </c>
      <c r="AM242" s="341">
        <f t="shared" ca="1" si="157"/>
        <v>0</v>
      </c>
      <c r="AN242" s="341" t="str">
        <f ca="1">IF(AND(Tabla7[[#This Row],[UltLec]]&lt;&gt;0,Tabla7[[#This Row],[PenLect]]&lt;&gt;0),(AM242-AL242)*Tabla7[[#This Row],[RT]],"N/A")</f>
        <v>N/A</v>
      </c>
      <c r="AO242" s="389" t="s">
        <v>813</v>
      </c>
      <c r="AP242" s="389" t="s">
        <v>1075</v>
      </c>
      <c r="AQ242" s="389" t="s">
        <v>1074</v>
      </c>
      <c r="AR242" s="371">
        <f t="shared" si="158"/>
        <v>0</v>
      </c>
      <c r="AT242" s="2" t="e">
        <f t="shared" ca="1" si="109"/>
        <v>#VALUE!</v>
      </c>
    </row>
    <row r="243" spans="1:46" ht="18.75" hidden="1" customHeight="1" x14ac:dyDescent="0.25">
      <c r="A243" s="418" t="s">
        <v>1080</v>
      </c>
      <c r="B243" s="273">
        <v>1700</v>
      </c>
      <c r="C243" s="273" t="s">
        <v>1246</v>
      </c>
      <c r="D243" s="273" t="s">
        <v>318</v>
      </c>
      <c r="E243" s="273">
        <v>39848</v>
      </c>
      <c r="F243" s="439" t="s">
        <v>1247</v>
      </c>
      <c r="G243" s="393" t="s">
        <v>1248</v>
      </c>
      <c r="H243" s="393" t="s">
        <v>1322</v>
      </c>
      <c r="I243" s="393" t="s">
        <v>1324</v>
      </c>
      <c r="J243" s="277"/>
      <c r="K243" s="277"/>
      <c r="L243" s="277"/>
      <c r="M243" s="277"/>
      <c r="N243" s="277"/>
      <c r="O243" s="277"/>
      <c r="P243" s="277"/>
      <c r="Q243" s="277"/>
      <c r="R243" s="277"/>
      <c r="S243" s="277"/>
      <c r="T243" s="277"/>
      <c r="U243" s="277"/>
      <c r="V243" s="277"/>
      <c r="W243" s="277"/>
      <c r="X243" s="277"/>
      <c r="Y243" s="277" t="str">
        <f t="shared" ref="Y243:Y269" si="159">IF(OR(ISBLANK(K243),ISBLANK(J243)),"",IF(AND(K243&gt;=J243,K243-J243&lt;=K243),(K243-J243)*$AK243,"!!!!"))</f>
        <v/>
      </c>
      <c r="Z243" s="277" t="str">
        <f t="shared" ref="Z243:Z269" si="160">IF(OR(ISBLANK(L243),ISBLANK(K243)),"",IF(AND(L243&gt;=K243,L243-K243&lt;=L243),(L243-K243)*$AK243,"!!!!"))</f>
        <v/>
      </c>
      <c r="AA243" s="277" t="str">
        <f>IF(OR(ISBLANK(#REF!),ISBLANK(L243)),"",IF(AND(#REF!&gt;=L243,#REF!-L243&lt;=#REF!),(#REF!-L243)*$AK243,"!!!!"))</f>
        <v/>
      </c>
      <c r="AB243" s="277" t="str">
        <f>IF(OR(ISBLANK(N243),ISBLANK(#REF!)),"",IF(AND(N243&gt;=#REF!,N243-#REF!&lt;=N243),(N243-#REF!)*$AK243,"!!!!"))</f>
        <v/>
      </c>
      <c r="AC243" s="277" t="str">
        <f t="shared" ref="AC243:AC306" si="161">IF(OR(ISBLANK(O243),ISBLANK(N243)),"",IF(AND(O243&gt;=N243,O243-N243&lt;=O243),(O243-N243)*$AK243,"!!!!"))</f>
        <v/>
      </c>
      <c r="AD243" s="277" t="str">
        <f t="shared" ref="AD243:AD306" si="162">IF(OR(ISBLANK(P243),ISBLANK(O243)),"",IF(AND(P243&gt;=O243,P243-O243&lt;=P243),(P243-O243)*$AK243,"!!!!"))</f>
        <v/>
      </c>
      <c r="AE243" s="277" t="str">
        <f t="shared" ref="AE243:AE306" si="163">IF(OR(ISBLANK(Q243),ISBLANK(P243)),"",IF(AND(Q243&gt;=P243,Q243-P243&lt;=Q243),(Q243-P243)*$AK243,"!!!!"))</f>
        <v/>
      </c>
      <c r="AF243" s="277" t="str">
        <f t="shared" ref="AF243:AF306" si="164">IF(OR(ISBLANK(R243),ISBLANK(Q243)),"",IF(AND(R243&gt;=Q243,R243-Q243&lt;=R243),(R243-Q243)*$AK243,"!!!!"))</f>
        <v/>
      </c>
      <c r="AG243" s="277" t="str">
        <f t="shared" ref="AG243:AG306" si="165">IF(OR(ISBLANK(S243),ISBLANK(R243)),"",IF(AND(S243&gt;=R243,S243-R243&lt;=S243),(S243-R243)*$AK243,"!!!!"))</f>
        <v/>
      </c>
      <c r="AH243" s="277" t="str">
        <f t="shared" ref="AH243:AH306" si="166">IF(OR(ISBLANK(T243),ISBLANK(S243)),"",IF(AND(T243&gt;=S243,T243-S243&lt;=T243),(T243-S243)*$AK243,"!!!!"))</f>
        <v/>
      </c>
      <c r="AI243" s="277" t="str">
        <f t="shared" ref="AI243:AI306" si="167">IF(OR(ISBLANK(U243),ISBLANK(T243)),"",IF(AND(U243&gt;=T243,U243-T243&lt;=U243),(U243-T243)*$AK243,"!!!!"))</f>
        <v/>
      </c>
      <c r="AJ243" s="277" t="str">
        <f t="shared" ref="AJ243:AJ306" si="168">IF(OR(ISBLANK(V243),ISBLANK(U243)),"",IF(AND(V243&gt;=U243,V243-U243&lt;=V243),(V243-U243)*$AK243,"!!!!"))</f>
        <v/>
      </c>
      <c r="AK243" s="277"/>
      <c r="AL243" s="277">
        <f t="shared" ca="1" si="156"/>
        <v>0</v>
      </c>
      <c r="AM243" s="277">
        <f t="shared" ca="1" si="157"/>
        <v>0</v>
      </c>
      <c r="AN243" s="277" t="str">
        <f ca="1">IF(AND(Tabla7[[#This Row],[UltLec]]&lt;&gt;0,Tabla7[[#This Row],[PenLect]]&lt;&gt;0),(AM243-AL243)*Tabla7[[#This Row],[RT]],"N/A")</f>
        <v>N/A</v>
      </c>
      <c r="AO243" s="277" t="s">
        <v>1160</v>
      </c>
      <c r="AP243" s="277" t="s">
        <v>1075</v>
      </c>
      <c r="AQ243" s="277" t="s">
        <v>1077</v>
      </c>
      <c r="AR243" s="277">
        <f t="shared" si="158"/>
        <v>0</v>
      </c>
      <c r="AT243" s="2" t="e">
        <f t="shared" ca="1" si="109"/>
        <v>#VALUE!</v>
      </c>
    </row>
    <row r="244" spans="1:46" ht="18.75" customHeight="1" x14ac:dyDescent="0.25">
      <c r="A244" s="291" t="s">
        <v>19</v>
      </c>
      <c r="B244" s="54">
        <v>1727</v>
      </c>
      <c r="C244" s="368" t="s">
        <v>1310</v>
      </c>
      <c r="D244" s="54" t="s">
        <v>318</v>
      </c>
      <c r="E244" s="232">
        <v>39397</v>
      </c>
      <c r="F244" s="2" t="s">
        <v>1417</v>
      </c>
      <c r="G244" s="2" t="s">
        <v>1596</v>
      </c>
      <c r="H244" s="2"/>
      <c r="I244" s="2" t="s">
        <v>1416</v>
      </c>
      <c r="J244" s="260">
        <v>27207</v>
      </c>
      <c r="K244" s="260">
        <v>27434</v>
      </c>
      <c r="L244" s="260"/>
      <c r="O244" s="260"/>
      <c r="P244" s="308"/>
      <c r="Q244" s="260"/>
      <c r="R244" s="260"/>
      <c r="S244" s="260"/>
      <c r="U244" s="260"/>
      <c r="V244" s="260"/>
      <c r="W244" s="2"/>
      <c r="X244" s="2"/>
      <c r="Y244" s="2">
        <f t="shared" si="159"/>
        <v>227</v>
      </c>
      <c r="Z244" s="2" t="str">
        <f t="shared" si="160"/>
        <v/>
      </c>
      <c r="AA244" s="2" t="str">
        <f>IF(OR(ISBLANK(M244),ISBLANK(L244)),"",IF(AND(M244&gt;=L244,M244-L244&lt;=M244),(M244-L244)*$AK244,"!!!!"))</f>
        <v/>
      </c>
      <c r="AB244" s="2" t="str">
        <f>IF(OR(ISBLANK(N244),ISBLANK(M244)),"",IF(AND(N244&gt;=M244,N244-M244&lt;=N244),(N244-M244)*$AK244,"!!!!"))</f>
        <v/>
      </c>
      <c r="AC244" s="2" t="str">
        <f t="shared" si="161"/>
        <v/>
      </c>
      <c r="AD244" s="2" t="str">
        <f t="shared" si="162"/>
        <v/>
      </c>
      <c r="AE244" s="2" t="str">
        <f t="shared" si="163"/>
        <v/>
      </c>
      <c r="AF244" s="2" t="str">
        <f t="shared" si="164"/>
        <v/>
      </c>
      <c r="AG244" s="2" t="str">
        <f t="shared" si="165"/>
        <v/>
      </c>
      <c r="AH244" s="2" t="str">
        <f t="shared" si="166"/>
        <v/>
      </c>
      <c r="AI244" s="2" t="str">
        <f t="shared" si="167"/>
        <v/>
      </c>
      <c r="AJ244" s="2" t="str">
        <f t="shared" si="168"/>
        <v/>
      </c>
      <c r="AK244" s="2">
        <v>1</v>
      </c>
      <c r="AL244" s="260">
        <f t="shared" ca="1" si="156"/>
        <v>0</v>
      </c>
      <c r="AM244" s="260">
        <f t="shared" ca="1" si="157"/>
        <v>0</v>
      </c>
      <c r="AN244" s="260" t="str">
        <f ca="1">IF(AND(Tabla7[[#This Row],[UltLec]]&lt;&gt;0,Tabla7[[#This Row],[PenLect]]&lt;&gt;0),(AM244-AL244)*Tabla7[[#This Row],[RT]],"N/A")</f>
        <v>N/A</v>
      </c>
      <c r="AO244" s="380" t="s">
        <v>813</v>
      </c>
      <c r="AP244" s="380" t="s">
        <v>1075</v>
      </c>
      <c r="AQ244" s="380" t="s">
        <v>1074</v>
      </c>
      <c r="AR244" s="2">
        <f t="shared" si="158"/>
        <v>0</v>
      </c>
      <c r="AT244" s="2" t="e">
        <f t="shared" ca="1" si="109"/>
        <v>#VALUE!</v>
      </c>
    </row>
    <row r="245" spans="1:46" ht="18.75" hidden="1" customHeight="1" x14ac:dyDescent="0.25">
      <c r="A245" s="418" t="s">
        <v>1080</v>
      </c>
      <c r="B245" s="273">
        <v>1727</v>
      </c>
      <c r="C245" s="367" t="s">
        <v>1310</v>
      </c>
      <c r="D245" s="273" t="s">
        <v>318</v>
      </c>
      <c r="E245" s="274">
        <v>39397</v>
      </c>
      <c r="F245" s="275" t="s">
        <v>1311</v>
      </c>
      <c r="G245" s="275" t="s">
        <v>1248</v>
      </c>
      <c r="H245" s="275"/>
      <c r="I245" s="275" t="s">
        <v>1415</v>
      </c>
      <c r="J245" s="277"/>
      <c r="K245" s="277"/>
      <c r="L245" s="277"/>
      <c r="M245" s="277"/>
      <c r="N245" s="277"/>
      <c r="O245" s="277"/>
      <c r="P245" s="347"/>
      <c r="Q245" s="277"/>
      <c r="R245" s="277"/>
      <c r="S245" s="277"/>
      <c r="T245" s="277"/>
      <c r="U245" s="277"/>
      <c r="V245" s="277"/>
      <c r="W245" s="275"/>
      <c r="X245" s="275"/>
      <c r="Y245" s="275" t="str">
        <f t="shared" si="159"/>
        <v/>
      </c>
      <c r="Z245" s="275" t="str">
        <f t="shared" si="160"/>
        <v/>
      </c>
      <c r="AA245" s="275" t="str">
        <f>IF(OR(ISBLANK(M245),ISBLANK(L245)),"",IF(AND(M245&gt;=L245,M245-L245&lt;=M245),(M245-L245)*$AK245,"!!!!"))</f>
        <v/>
      </c>
      <c r="AB245" s="275" t="str">
        <f>IF(OR(ISBLANK(N245),ISBLANK(M245)),"",IF(AND(N245&gt;=M245,N245-M245&lt;=N245),(N245-M245)*$AK245,"!!!!"))</f>
        <v/>
      </c>
      <c r="AC245" s="275" t="str">
        <f t="shared" si="161"/>
        <v/>
      </c>
      <c r="AD245" s="275" t="str">
        <f t="shared" si="162"/>
        <v/>
      </c>
      <c r="AE245" s="275" t="str">
        <f t="shared" si="163"/>
        <v/>
      </c>
      <c r="AF245" s="275" t="str">
        <f t="shared" si="164"/>
        <v/>
      </c>
      <c r="AG245" s="275" t="str">
        <f t="shared" si="165"/>
        <v/>
      </c>
      <c r="AH245" s="275" t="str">
        <f t="shared" si="166"/>
        <v/>
      </c>
      <c r="AI245" s="275" t="str">
        <f t="shared" si="167"/>
        <v/>
      </c>
      <c r="AJ245" s="275" t="str">
        <f t="shared" si="168"/>
        <v/>
      </c>
      <c r="AK245" s="275">
        <v>1</v>
      </c>
      <c r="AL245" s="277">
        <f t="shared" ca="1" si="156"/>
        <v>0</v>
      </c>
      <c r="AM245" s="277">
        <f t="shared" ca="1" si="157"/>
        <v>0</v>
      </c>
      <c r="AN245" s="277" t="str">
        <f ca="1">IF(AND(Tabla7[[#This Row],[UltLec]]&lt;&gt;0,Tabla7[[#This Row],[PenLect]]&lt;&gt;0),(AM245-AL245)*Tabla7[[#This Row],[RT]],"N/A")</f>
        <v>N/A</v>
      </c>
      <c r="AO245" s="393" t="s">
        <v>1160</v>
      </c>
      <c r="AP245" s="393" t="s">
        <v>1075</v>
      </c>
      <c r="AQ245" s="393" t="s">
        <v>1074</v>
      </c>
      <c r="AR245" s="275">
        <f t="shared" si="158"/>
        <v>0</v>
      </c>
      <c r="AT245" s="2" t="e">
        <f t="shared" ca="1" si="109"/>
        <v>#VALUE!</v>
      </c>
    </row>
    <row r="246" spans="1:46" ht="18" customHeight="1" x14ac:dyDescent="0.25">
      <c r="A246" s="291" t="s">
        <v>19</v>
      </c>
      <c r="B246" s="54"/>
      <c r="C246" s="368" t="s">
        <v>1551</v>
      </c>
      <c r="D246" s="54" t="s">
        <v>318</v>
      </c>
      <c r="E246" s="232">
        <v>39456</v>
      </c>
      <c r="F246" s="2" t="s">
        <v>1552</v>
      </c>
      <c r="G246" s="2" t="s">
        <v>1602</v>
      </c>
      <c r="H246" s="299" t="s">
        <v>1553</v>
      </c>
      <c r="I246" s="2"/>
      <c r="J246" s="260">
        <v>26599</v>
      </c>
      <c r="K246" s="260">
        <v>26994</v>
      </c>
      <c r="L246" s="260"/>
      <c r="O246" s="260"/>
      <c r="P246" s="260"/>
      <c r="Q246" s="260"/>
      <c r="R246" s="260"/>
      <c r="S246" s="260"/>
      <c r="U246" s="260"/>
      <c r="V246" s="260"/>
      <c r="W246" s="2"/>
      <c r="X246" s="2"/>
      <c r="Y246" s="2">
        <f t="shared" si="159"/>
        <v>395</v>
      </c>
      <c r="Z246" s="2" t="str">
        <f t="shared" si="160"/>
        <v/>
      </c>
      <c r="AA246" s="2" t="str">
        <f>IF(OR(ISBLANK(M246),ISBLANK(L246)),"",IF(AND(M246&gt;=L246,M246-L246&lt;=M246),(M246-L246)*$AK246,"!!!!"))</f>
        <v/>
      </c>
      <c r="AB246" s="2" t="str">
        <f>IF(OR(ISBLANK(N246),ISBLANK(#REF!)),"",IF(AND(N246&gt;=#REF!,N246-#REF!&lt;=N246),(N246-#REF!)*$AK246,"!!!!"))</f>
        <v/>
      </c>
      <c r="AC246" s="2" t="str">
        <f t="shared" si="161"/>
        <v/>
      </c>
      <c r="AD246" s="2" t="str">
        <f t="shared" si="162"/>
        <v/>
      </c>
      <c r="AE246" s="2" t="str">
        <f t="shared" si="163"/>
        <v/>
      </c>
      <c r="AF246" s="2" t="str">
        <f t="shared" si="164"/>
        <v/>
      </c>
      <c r="AG246" s="2" t="str">
        <f t="shared" si="165"/>
        <v/>
      </c>
      <c r="AH246" s="2" t="str">
        <f t="shared" si="166"/>
        <v/>
      </c>
      <c r="AI246" s="2" t="str">
        <f t="shared" si="167"/>
        <v/>
      </c>
      <c r="AJ246" s="2" t="str">
        <f t="shared" si="168"/>
        <v/>
      </c>
      <c r="AK246" s="2">
        <v>1</v>
      </c>
      <c r="AL246" s="260">
        <f t="shared" ca="1" si="156"/>
        <v>0</v>
      </c>
      <c r="AM246" s="260">
        <f t="shared" ca="1" si="157"/>
        <v>0</v>
      </c>
      <c r="AN246" s="260" t="str">
        <f ca="1">IF(AND(Tabla7[[#This Row],[UltLec]]&lt;&gt;0,Tabla7[[#This Row],[PenLect]]&lt;&gt;0),(AM246-AL246)*Tabla7[[#This Row],[RT]],"N/A")</f>
        <v>N/A</v>
      </c>
      <c r="AO246" s="380" t="s">
        <v>813</v>
      </c>
      <c r="AP246" s="380" t="s">
        <v>1075</v>
      </c>
      <c r="AQ246" s="380" t="s">
        <v>1435</v>
      </c>
      <c r="AR246" s="2">
        <f t="shared" si="158"/>
        <v>0</v>
      </c>
      <c r="AT246" s="2" t="e">
        <f t="shared" ca="1" si="109"/>
        <v>#VALUE!</v>
      </c>
    </row>
    <row r="247" spans="1:46" ht="18.75" customHeight="1" x14ac:dyDescent="0.25">
      <c r="A247" s="291" t="s">
        <v>19</v>
      </c>
      <c r="B247" s="54">
        <v>769</v>
      </c>
      <c r="C247" s="239" t="s">
        <v>337</v>
      </c>
      <c r="D247" s="54" t="s">
        <v>318</v>
      </c>
      <c r="E247" s="232">
        <v>39358</v>
      </c>
      <c r="F247" s="2" t="s">
        <v>338</v>
      </c>
      <c r="G247" s="2" t="s">
        <v>1599</v>
      </c>
      <c r="H247" s="2" t="s">
        <v>339</v>
      </c>
      <c r="I247" s="2"/>
      <c r="J247" s="260">
        <v>119388</v>
      </c>
      <c r="K247" s="260">
        <v>120062</v>
      </c>
      <c r="L247" s="260"/>
      <c r="O247" s="260"/>
      <c r="P247" s="308"/>
      <c r="Q247" s="260"/>
      <c r="R247" s="260"/>
      <c r="S247" s="260"/>
      <c r="U247" s="260"/>
      <c r="V247" s="260"/>
      <c r="W247" s="2"/>
      <c r="X247" s="2"/>
      <c r="Y247" s="2">
        <f t="shared" si="159"/>
        <v>674</v>
      </c>
      <c r="Z247" s="2" t="str">
        <f t="shared" si="160"/>
        <v/>
      </c>
      <c r="AA247" s="2" t="str">
        <f>IF(OR(ISBLANK(M247),ISBLANK(L247)),"",IF(AND(M247&gt;=L247,M247-L247&lt;=M247),(M247-L247)*$AK247,"!!!!"))</f>
        <v/>
      </c>
      <c r="AB247" s="2" t="str">
        <f>IF(OR(ISBLANK(N247),ISBLANK(M247)),"",IF(AND(N247&gt;=M247,N247-M247&lt;=N247),(N247-M247)*$AK247,"!!!!"))</f>
        <v/>
      </c>
      <c r="AC247" s="2" t="str">
        <f t="shared" si="161"/>
        <v/>
      </c>
      <c r="AD247" s="2" t="str">
        <f t="shared" si="162"/>
        <v/>
      </c>
      <c r="AE247" s="2" t="str">
        <f t="shared" si="163"/>
        <v/>
      </c>
      <c r="AF247" s="2" t="str">
        <f t="shared" si="164"/>
        <v/>
      </c>
      <c r="AG247" s="2" t="str">
        <f t="shared" si="165"/>
        <v/>
      </c>
      <c r="AH247" s="2" t="str">
        <f t="shared" si="166"/>
        <v/>
      </c>
      <c r="AI247" s="2" t="str">
        <f t="shared" si="167"/>
        <v/>
      </c>
      <c r="AJ247" s="2" t="str">
        <f t="shared" si="168"/>
        <v/>
      </c>
      <c r="AK247" s="2">
        <v>1</v>
      </c>
      <c r="AL247" s="260">
        <f t="shared" ca="1" si="156"/>
        <v>0</v>
      </c>
      <c r="AM247" s="260">
        <f t="shared" ca="1" si="157"/>
        <v>0</v>
      </c>
      <c r="AN247" s="260" t="str">
        <f ca="1">IF(AND(Tabla7[[#This Row],[UltLec]]&lt;&gt;0,Tabla7[[#This Row],[PenLect]]&lt;&gt;0),(AM247-AL247)*Tabla7[[#This Row],[RT]],"N/A")</f>
        <v>N/A</v>
      </c>
      <c r="AO247" s="380" t="s">
        <v>813</v>
      </c>
      <c r="AP247" s="380" t="s">
        <v>1075</v>
      </c>
      <c r="AQ247" s="380" t="s">
        <v>1074</v>
      </c>
      <c r="AR247" s="2">
        <f t="shared" si="158"/>
        <v>0</v>
      </c>
      <c r="AT247" s="2" t="e">
        <f t="shared" ca="1" si="109"/>
        <v>#VALUE!</v>
      </c>
    </row>
    <row r="248" spans="1:46" ht="18.75" customHeight="1" x14ac:dyDescent="0.25">
      <c r="A248" s="478" t="s">
        <v>19</v>
      </c>
      <c r="B248" s="16">
        <v>1684</v>
      </c>
      <c r="C248" s="239" t="s">
        <v>1235</v>
      </c>
      <c r="D248" s="16" t="s">
        <v>318</v>
      </c>
      <c r="E248" s="232">
        <v>39684</v>
      </c>
      <c r="F248" s="2" t="s">
        <v>1249</v>
      </c>
      <c r="G248" s="2" t="s">
        <v>1597</v>
      </c>
      <c r="H248" s="2" t="s">
        <v>1414</v>
      </c>
      <c r="I248" s="403"/>
      <c r="J248" s="290">
        <v>3878</v>
      </c>
      <c r="K248" s="290">
        <v>3904</v>
      </c>
      <c r="L248" s="290"/>
      <c r="M248" s="290"/>
      <c r="N248" s="290"/>
      <c r="O248" s="290"/>
      <c r="P248" s="353"/>
      <c r="Q248" s="353"/>
      <c r="R248" s="353"/>
      <c r="S248" s="353"/>
      <c r="T248" s="353"/>
      <c r="U248" s="353"/>
      <c r="V248" s="290"/>
      <c r="W248" s="353"/>
      <c r="X248" s="353"/>
      <c r="Y248" s="353">
        <f t="shared" si="159"/>
        <v>26</v>
      </c>
      <c r="Z248" s="353" t="str">
        <f t="shared" si="160"/>
        <v/>
      </c>
      <c r="AA248" s="353" t="str">
        <f>IF(OR(ISBLANK(M248),ISBLANK(L248)),"",IF(AND(M248&gt;=L248,M248-L248&lt;=M248),(M248-L248)*$AK248,"!!!!"))</f>
        <v/>
      </c>
      <c r="AB248" s="353" t="str">
        <f>IF(OR(ISBLANK(N248),ISBLANK(M248)),"",IF(AND(N248&gt;=M248,N248-M248&lt;=N248),(N248-M248)*$AK248,"!!!!"))</f>
        <v/>
      </c>
      <c r="AC248" s="353" t="str">
        <f t="shared" si="161"/>
        <v/>
      </c>
      <c r="AD248" s="353" t="str">
        <f t="shared" si="162"/>
        <v/>
      </c>
      <c r="AE248" s="353" t="str">
        <f t="shared" si="163"/>
        <v/>
      </c>
      <c r="AF248" s="353" t="str">
        <f t="shared" si="164"/>
        <v/>
      </c>
      <c r="AG248" s="353" t="str">
        <f t="shared" si="165"/>
        <v/>
      </c>
      <c r="AH248" s="353" t="str">
        <f t="shared" si="166"/>
        <v/>
      </c>
      <c r="AI248" s="353" t="str">
        <f t="shared" si="167"/>
        <v/>
      </c>
      <c r="AJ248" s="353" t="str">
        <f t="shared" si="168"/>
        <v/>
      </c>
      <c r="AK248" s="353">
        <v>1</v>
      </c>
      <c r="AL248" s="353">
        <f t="shared" ca="1" si="156"/>
        <v>0</v>
      </c>
      <c r="AM248" s="353">
        <f t="shared" ca="1" si="157"/>
        <v>0</v>
      </c>
      <c r="AN248" s="353" t="str">
        <f ca="1">IF(AND(Tabla7[[#This Row],[UltLec]]&lt;&gt;0,Tabla7[[#This Row],[PenLect]]&lt;&gt;0),(AM248-AL248)*Tabla7[[#This Row],[RT]],"N/A")</f>
        <v>N/A</v>
      </c>
      <c r="AO248" s="353" t="s">
        <v>813</v>
      </c>
      <c r="AP248" s="353" t="s">
        <v>1075</v>
      </c>
      <c r="AQ248" s="353" t="s">
        <v>1077</v>
      </c>
      <c r="AR248" s="353">
        <f t="shared" si="158"/>
        <v>0</v>
      </c>
      <c r="AT248" s="2" t="e">
        <f t="shared" ca="1" si="109"/>
        <v>#VALUE!</v>
      </c>
    </row>
    <row r="249" spans="1:46" ht="18.75" hidden="1" customHeight="1" x14ac:dyDescent="0.25">
      <c r="A249" s="418" t="s">
        <v>1080</v>
      </c>
      <c r="B249" s="273">
        <v>1684</v>
      </c>
      <c r="C249" s="276" t="s">
        <v>1235</v>
      </c>
      <c r="D249" s="273" t="s">
        <v>318</v>
      </c>
      <c r="E249" s="274">
        <v>39684</v>
      </c>
      <c r="F249" s="393" t="s">
        <v>1249</v>
      </c>
      <c r="G249" s="393" t="s">
        <v>1248</v>
      </c>
      <c r="H249" s="393" t="s">
        <v>1334</v>
      </c>
      <c r="I249" s="404"/>
      <c r="J249" s="277"/>
      <c r="K249" s="277"/>
      <c r="L249" s="277"/>
      <c r="M249" s="277"/>
      <c r="N249" s="277"/>
      <c r="O249" s="277"/>
      <c r="P249" s="277"/>
      <c r="Q249" s="277"/>
      <c r="R249" s="277"/>
      <c r="S249" s="277"/>
      <c r="T249" s="277"/>
      <c r="U249" s="277"/>
      <c r="V249" s="277"/>
      <c r="W249" s="277"/>
      <c r="X249" s="277"/>
      <c r="Y249" s="277" t="str">
        <f t="shared" si="159"/>
        <v/>
      </c>
      <c r="Z249" s="277" t="str">
        <f t="shared" si="160"/>
        <v/>
      </c>
      <c r="AA249" s="277" t="str">
        <f>IF(OR(ISBLANK(#REF!),ISBLANK(L249)),"",IF(AND(#REF!&gt;=L249,#REF!-L249&lt;=#REF!),(#REF!-L249)*$AK249,"!!!!"))</f>
        <v/>
      </c>
      <c r="AB249" s="277" t="str">
        <f>IF(OR(ISBLANK(N249),ISBLANK(#REF!)),"",IF(AND(N249&gt;=#REF!,N249-#REF!&lt;=N249),(N249-#REF!)*$AK249,"!!!!"))</f>
        <v/>
      </c>
      <c r="AC249" s="277" t="str">
        <f t="shared" si="161"/>
        <v/>
      </c>
      <c r="AD249" s="277" t="str">
        <f t="shared" si="162"/>
        <v/>
      </c>
      <c r="AE249" s="277" t="str">
        <f t="shared" si="163"/>
        <v/>
      </c>
      <c r="AF249" s="277" t="str">
        <f t="shared" si="164"/>
        <v/>
      </c>
      <c r="AG249" s="277" t="str">
        <f t="shared" si="165"/>
        <v/>
      </c>
      <c r="AH249" s="277" t="str">
        <f t="shared" si="166"/>
        <v/>
      </c>
      <c r="AI249" s="277" t="str">
        <f t="shared" si="167"/>
        <v/>
      </c>
      <c r="AJ249" s="277" t="str">
        <f t="shared" si="168"/>
        <v/>
      </c>
      <c r="AK249" s="277">
        <v>1</v>
      </c>
      <c r="AL249" s="277">
        <f t="shared" ca="1" si="156"/>
        <v>0</v>
      </c>
      <c r="AM249" s="277">
        <f t="shared" ca="1" si="157"/>
        <v>0</v>
      </c>
      <c r="AN249" s="277" t="str">
        <f ca="1">IF(AND(Tabla7[[#This Row],[UltLec]]&lt;&gt;0,Tabla7[[#This Row],[PenLect]]&lt;&gt;0),(AM249-AL249)*Tabla7[[#This Row],[RT]],"N/A")</f>
        <v>N/A</v>
      </c>
      <c r="AO249" s="277" t="s">
        <v>1160</v>
      </c>
      <c r="AP249" s="277" t="s">
        <v>1075</v>
      </c>
      <c r="AQ249" s="277" t="s">
        <v>1077</v>
      </c>
      <c r="AR249" s="277">
        <f t="shared" si="158"/>
        <v>0</v>
      </c>
      <c r="AT249" s="2" t="e">
        <f t="shared" ca="1" si="109"/>
        <v>#VALUE!</v>
      </c>
    </row>
    <row r="250" spans="1:46" ht="18.75" customHeight="1" x14ac:dyDescent="0.25">
      <c r="A250" s="407" t="s">
        <v>19</v>
      </c>
      <c r="B250" s="54"/>
      <c r="C250" s="410" t="s">
        <v>112</v>
      </c>
      <c r="D250" s="374" t="s">
        <v>318</v>
      </c>
      <c r="E250" s="375">
        <v>140</v>
      </c>
      <c r="F250" s="2" t="s">
        <v>1539</v>
      </c>
      <c r="G250" s="2" t="s">
        <v>1600</v>
      </c>
      <c r="H250" s="299" t="s">
        <v>1538</v>
      </c>
      <c r="I250" s="2" t="s">
        <v>1540</v>
      </c>
      <c r="J250" s="260">
        <v>49267</v>
      </c>
      <c r="K250" s="260">
        <v>49305</v>
      </c>
      <c r="L250" s="260"/>
      <c r="O250" s="260"/>
      <c r="P250" s="260"/>
      <c r="Q250" s="260"/>
      <c r="R250" s="260"/>
      <c r="S250" s="260"/>
      <c r="U250" s="260"/>
      <c r="V250" s="260"/>
      <c r="W250" s="2"/>
      <c r="X250" s="2"/>
      <c r="Y250" s="2">
        <f t="shared" si="159"/>
        <v>38</v>
      </c>
      <c r="Z250" s="2" t="str">
        <f t="shared" si="160"/>
        <v/>
      </c>
      <c r="AA250" s="2" t="str">
        <f t="shared" ref="AA250:AB252" si="169">IF(OR(ISBLANK(M250),ISBLANK(L250)),"",IF(AND(M250&gt;=L250,M250-L250&lt;=M250),(M250-L250)*$AK250,"!!!!"))</f>
        <v/>
      </c>
      <c r="AB250" s="2" t="str">
        <f t="shared" si="169"/>
        <v/>
      </c>
      <c r="AC250" s="2" t="str">
        <f t="shared" si="161"/>
        <v/>
      </c>
      <c r="AD250" s="2" t="str">
        <f t="shared" si="162"/>
        <v/>
      </c>
      <c r="AE250" s="2" t="str">
        <f t="shared" si="163"/>
        <v/>
      </c>
      <c r="AF250" s="2" t="str">
        <f t="shared" si="164"/>
        <v/>
      </c>
      <c r="AG250" s="2" t="str">
        <f t="shared" si="165"/>
        <v/>
      </c>
      <c r="AH250" s="2" t="str">
        <f t="shared" si="166"/>
        <v/>
      </c>
      <c r="AI250" s="2" t="str">
        <f t="shared" si="167"/>
        <v/>
      </c>
      <c r="AJ250" s="2" t="str">
        <f t="shared" si="168"/>
        <v/>
      </c>
      <c r="AK250" s="2">
        <v>1</v>
      </c>
      <c r="AL250" s="260">
        <f t="shared" ca="1" si="156"/>
        <v>0</v>
      </c>
      <c r="AM250" s="260">
        <f t="shared" ca="1" si="157"/>
        <v>0</v>
      </c>
      <c r="AN250" s="260" t="str">
        <f ca="1">IF(AND(Tabla7[[#This Row],[UltLec]]&lt;&gt;0,Tabla7[[#This Row],[PenLect]]&lt;&gt;0),(AM250-AL250)*Tabla7[[#This Row],[RT]],"N/A")</f>
        <v>N/A</v>
      </c>
      <c r="AO250" s="380" t="s">
        <v>813</v>
      </c>
      <c r="AP250" s="380" t="s">
        <v>1075</v>
      </c>
      <c r="AQ250" s="380" t="s">
        <v>1435</v>
      </c>
      <c r="AR250" s="2">
        <f t="shared" si="158"/>
        <v>0</v>
      </c>
      <c r="AT250" s="2" t="e">
        <f t="shared" ca="1" si="109"/>
        <v>#VALUE!</v>
      </c>
    </row>
    <row r="251" spans="1:46" ht="18.75" customHeight="1" x14ac:dyDescent="0.25">
      <c r="A251" s="487" t="s">
        <v>19</v>
      </c>
      <c r="B251" s="16"/>
      <c r="C251" s="239" t="s">
        <v>415</v>
      </c>
      <c r="D251" s="16" t="s">
        <v>318</v>
      </c>
      <c r="E251" s="232">
        <v>30000</v>
      </c>
      <c r="F251" s="2" t="s">
        <v>805</v>
      </c>
      <c r="G251" s="2" t="s">
        <v>806</v>
      </c>
      <c r="H251" s="2" t="s">
        <v>448</v>
      </c>
      <c r="I251" s="403" t="s">
        <v>449</v>
      </c>
      <c r="J251" s="290">
        <v>14127</v>
      </c>
      <c r="K251" s="290">
        <v>14319</v>
      </c>
      <c r="L251" s="290"/>
      <c r="M251" s="290"/>
      <c r="N251" s="290"/>
      <c r="O251" s="290"/>
      <c r="P251" s="353"/>
      <c r="Q251" s="353"/>
      <c r="R251" s="353"/>
      <c r="S251" s="353"/>
      <c r="T251" s="353"/>
      <c r="U251" s="353"/>
      <c r="V251" s="290"/>
      <c r="W251" s="353"/>
      <c r="X251" s="353"/>
      <c r="Y251" s="353">
        <f t="shared" si="159"/>
        <v>192</v>
      </c>
      <c r="Z251" s="353" t="str">
        <f t="shared" si="160"/>
        <v/>
      </c>
      <c r="AA251" s="353" t="str">
        <f t="shared" si="169"/>
        <v/>
      </c>
      <c r="AB251" s="353" t="str">
        <f t="shared" si="169"/>
        <v/>
      </c>
      <c r="AC251" s="353" t="str">
        <f t="shared" si="161"/>
        <v/>
      </c>
      <c r="AD251" s="353" t="str">
        <f t="shared" si="162"/>
        <v/>
      </c>
      <c r="AE251" s="353" t="str">
        <f t="shared" si="163"/>
        <v/>
      </c>
      <c r="AF251" s="353" t="str">
        <f t="shared" si="164"/>
        <v/>
      </c>
      <c r="AG251" s="353" t="str">
        <f t="shared" si="165"/>
        <v/>
      </c>
      <c r="AH251" s="353" t="str">
        <f t="shared" si="166"/>
        <v/>
      </c>
      <c r="AI251" s="353" t="str">
        <f t="shared" si="167"/>
        <v/>
      </c>
      <c r="AJ251" s="353" t="str">
        <f t="shared" si="168"/>
        <v/>
      </c>
      <c r="AK251" s="353">
        <v>1</v>
      </c>
      <c r="AL251" s="353">
        <f t="shared" ca="1" si="156"/>
        <v>0</v>
      </c>
      <c r="AM251" s="353">
        <f t="shared" ca="1" si="157"/>
        <v>0</v>
      </c>
      <c r="AN251" s="353" t="str">
        <f ca="1">IF(AND(Tabla7[[#This Row],[UltLec]]&lt;&gt;0,Tabla7[[#This Row],[PenLect]]&lt;&gt;0),(AM251-AL251)*Tabla7[[#This Row],[RT]],"N/A")</f>
        <v>N/A</v>
      </c>
      <c r="AO251" s="353" t="s">
        <v>813</v>
      </c>
      <c r="AP251" s="353" t="s">
        <v>1075</v>
      </c>
      <c r="AQ251" s="353" t="s">
        <v>1074</v>
      </c>
      <c r="AR251" s="353">
        <f t="shared" si="158"/>
        <v>0</v>
      </c>
      <c r="AT251" s="2" t="e">
        <f t="shared" ca="1" si="109"/>
        <v>#VALUE!</v>
      </c>
    </row>
    <row r="252" spans="1:46" ht="18.75" customHeight="1" x14ac:dyDescent="0.25">
      <c r="A252" s="405" t="s">
        <v>19</v>
      </c>
      <c r="B252" s="54"/>
      <c r="C252" s="239" t="s">
        <v>1194</v>
      </c>
      <c r="D252" s="54" t="s">
        <v>318</v>
      </c>
      <c r="E252" s="232">
        <v>121</v>
      </c>
      <c r="F252" s="2" t="s">
        <v>319</v>
      </c>
      <c r="G252" s="2" t="s">
        <v>320</v>
      </c>
      <c r="H252" s="2" t="s">
        <v>321</v>
      </c>
      <c r="I252" s="2"/>
      <c r="J252" s="260">
        <v>12645462</v>
      </c>
      <c r="K252" s="260">
        <v>12705853</v>
      </c>
      <c r="L252" s="260"/>
      <c r="O252" s="260"/>
      <c r="P252" s="260"/>
      <c r="Q252" s="260"/>
      <c r="R252" s="260"/>
      <c r="S252" s="260"/>
      <c r="U252" s="260"/>
      <c r="V252" s="260"/>
      <c r="W252" s="260"/>
      <c r="X252" s="2"/>
      <c r="Y252" s="2">
        <f t="shared" si="159"/>
        <v>60391</v>
      </c>
      <c r="Z252" s="2" t="str">
        <f t="shared" si="160"/>
        <v/>
      </c>
      <c r="AA252" s="2" t="str">
        <f t="shared" si="169"/>
        <v/>
      </c>
      <c r="AB252" s="2" t="str">
        <f t="shared" si="169"/>
        <v/>
      </c>
      <c r="AC252" s="2" t="str">
        <f t="shared" si="161"/>
        <v/>
      </c>
      <c r="AD252" s="2" t="str">
        <f t="shared" si="162"/>
        <v/>
      </c>
      <c r="AE252" s="2" t="str">
        <f t="shared" si="163"/>
        <v/>
      </c>
      <c r="AF252" s="2" t="str">
        <f t="shared" si="164"/>
        <v/>
      </c>
      <c r="AG252" s="2" t="str">
        <f t="shared" si="165"/>
        <v/>
      </c>
      <c r="AH252" s="2" t="str">
        <f t="shared" si="166"/>
        <v/>
      </c>
      <c r="AI252" s="2" t="str">
        <f t="shared" si="167"/>
        <v/>
      </c>
      <c r="AJ252" s="2" t="str">
        <f t="shared" si="168"/>
        <v/>
      </c>
      <c r="AK252" s="2">
        <v>1</v>
      </c>
      <c r="AL252" s="260">
        <f t="shared" ca="1" si="156"/>
        <v>0</v>
      </c>
      <c r="AM252" s="260">
        <f t="shared" ca="1" si="157"/>
        <v>0</v>
      </c>
      <c r="AN252" s="260" t="str">
        <f ca="1">IF(AND(Tabla7[[#This Row],[UltLec]]&lt;&gt;0,Tabla7[[#This Row],[PenLect]]&lt;&gt;0),(AM252-AL252)*Tabla7[[#This Row],[RT]],"N/A")</f>
        <v>N/A</v>
      </c>
      <c r="AO252" s="380" t="s">
        <v>813</v>
      </c>
      <c r="AP252" s="380" t="s">
        <v>1076</v>
      </c>
      <c r="AQ252" s="380" t="s">
        <v>771</v>
      </c>
      <c r="AR252" s="2">
        <f t="shared" si="158"/>
        <v>0</v>
      </c>
      <c r="AT252" s="2" t="e">
        <f t="shared" ca="1" si="109"/>
        <v>#VALUE!</v>
      </c>
    </row>
    <row r="253" spans="1:46" ht="18.75" hidden="1" customHeight="1" x14ac:dyDescent="0.25">
      <c r="A253" s="406" t="s">
        <v>1080</v>
      </c>
      <c r="B253" s="273"/>
      <c r="C253" s="276" t="s">
        <v>1088</v>
      </c>
      <c r="D253" s="273" t="s">
        <v>318</v>
      </c>
      <c r="E253" s="274">
        <v>140</v>
      </c>
      <c r="F253" s="393" t="s">
        <v>1181</v>
      </c>
      <c r="G253" s="393" t="s">
        <v>322</v>
      </c>
      <c r="H253" s="393"/>
      <c r="I253" s="393"/>
      <c r="J253" s="393"/>
      <c r="K253" s="393"/>
      <c r="L253" s="393"/>
      <c r="M253" s="393"/>
      <c r="N253" s="393"/>
      <c r="O253" s="393"/>
      <c r="P253" s="393"/>
      <c r="Q253" s="393"/>
      <c r="R253" s="393"/>
      <c r="S253" s="393"/>
      <c r="T253" s="393"/>
      <c r="U253" s="393"/>
      <c r="V253" s="393"/>
      <c r="W253" s="393"/>
      <c r="X253" s="393"/>
      <c r="Y253" s="393" t="str">
        <f t="shared" si="159"/>
        <v/>
      </c>
      <c r="Z253" s="393" t="str">
        <f t="shared" si="160"/>
        <v/>
      </c>
      <c r="AA253" s="393" t="str">
        <f>IF(OR(ISBLANK(#REF!),ISBLANK(L253)),"",IF(AND(#REF!&gt;=L253,#REF!-L253&lt;=#REF!),(#REF!-L253)*$AK253,"!!!!"))</f>
        <v/>
      </c>
      <c r="AB253" s="393" t="str">
        <f t="shared" ref="AB253:AB271" si="170">IF(OR(ISBLANK(N253),ISBLANK(M253)),"",IF(AND(N253&gt;=M253,N253-M253&lt;=N253),(N253-M253)*$AK253,"!!!!"))</f>
        <v/>
      </c>
      <c r="AC253" s="393" t="str">
        <f t="shared" si="161"/>
        <v/>
      </c>
      <c r="AD253" s="393" t="str">
        <f t="shared" si="162"/>
        <v/>
      </c>
      <c r="AE253" s="393" t="str">
        <f t="shared" si="163"/>
        <v/>
      </c>
      <c r="AF253" s="393" t="str">
        <f t="shared" si="164"/>
        <v/>
      </c>
      <c r="AG253" s="393" t="str">
        <f t="shared" si="165"/>
        <v/>
      </c>
      <c r="AH253" s="393" t="str">
        <f t="shared" si="166"/>
        <v/>
      </c>
      <c r="AI253" s="393" t="str">
        <f t="shared" si="167"/>
        <v/>
      </c>
      <c r="AJ253" s="393" t="str">
        <f t="shared" si="168"/>
        <v/>
      </c>
      <c r="AK253" s="393">
        <v>1</v>
      </c>
      <c r="AL253" s="394">
        <f t="shared" ca="1" si="156"/>
        <v>0</v>
      </c>
      <c r="AM253" s="394">
        <f t="shared" ca="1" si="157"/>
        <v>0</v>
      </c>
      <c r="AN253" s="394" t="str">
        <f ca="1">IF(AND(Tabla7[[#This Row],[UltLec]]&lt;&gt;0,Tabla7[[#This Row],[PenLect]]&lt;&gt;0),(AM253-AL253)*Tabla7[[#This Row],[RT]],"N/A")</f>
        <v>N/A</v>
      </c>
      <c r="AO253" s="393" t="s">
        <v>1160</v>
      </c>
      <c r="AP253" s="393" t="s">
        <v>1076</v>
      </c>
      <c r="AQ253" s="393" t="s">
        <v>771</v>
      </c>
      <c r="AR253" s="393">
        <f t="shared" si="158"/>
        <v>0</v>
      </c>
      <c r="AT253" s="2" t="e">
        <f t="shared" ca="1" si="109"/>
        <v>#VALUE!</v>
      </c>
    </row>
    <row r="254" spans="1:46" ht="18.75" customHeight="1" x14ac:dyDescent="0.25">
      <c r="A254" s="291" t="s">
        <v>19</v>
      </c>
      <c r="B254" s="54"/>
      <c r="C254" s="239" t="s">
        <v>1104</v>
      </c>
      <c r="D254" s="54" t="s">
        <v>318</v>
      </c>
      <c r="E254" s="232">
        <v>110</v>
      </c>
      <c r="F254" s="2" t="s">
        <v>1093</v>
      </c>
      <c r="G254" s="2" t="s">
        <v>1514</v>
      </c>
      <c r="H254" s="2" t="s">
        <v>326</v>
      </c>
      <c r="I254" s="2"/>
      <c r="J254" s="260">
        <v>2700558</v>
      </c>
      <c r="K254" s="260">
        <v>2709840</v>
      </c>
      <c r="L254" s="260"/>
      <c r="O254" s="260"/>
      <c r="P254" s="308"/>
      <c r="Q254" s="260"/>
      <c r="R254" s="260"/>
      <c r="S254" s="260"/>
      <c r="U254" s="260"/>
      <c r="V254" s="260"/>
      <c r="W254" s="2"/>
      <c r="X254" s="2"/>
      <c r="Y254" s="2">
        <f t="shared" si="159"/>
        <v>9282</v>
      </c>
      <c r="Z254" s="2" t="str">
        <f t="shared" si="160"/>
        <v/>
      </c>
      <c r="AA254" s="2" t="str">
        <f t="shared" ref="AA254:AA271" si="171">IF(OR(ISBLANK(M254),ISBLANK(L254)),"",IF(AND(M254&gt;=L254,M254-L254&lt;=M254),(M254-L254)*$AK254,"!!!!"))</f>
        <v/>
      </c>
      <c r="AB254" s="2" t="str">
        <f t="shared" si="170"/>
        <v/>
      </c>
      <c r="AC254" s="2" t="str">
        <f t="shared" si="161"/>
        <v/>
      </c>
      <c r="AD254" s="2" t="str">
        <f t="shared" si="162"/>
        <v/>
      </c>
      <c r="AE254" s="2" t="str">
        <f t="shared" si="163"/>
        <v/>
      </c>
      <c r="AF254" s="2" t="str">
        <f t="shared" si="164"/>
        <v/>
      </c>
      <c r="AG254" s="2" t="str">
        <f t="shared" si="165"/>
        <v/>
      </c>
      <c r="AH254" s="2" t="str">
        <f t="shared" si="166"/>
        <v/>
      </c>
      <c r="AI254" s="2" t="str">
        <f t="shared" si="167"/>
        <v/>
      </c>
      <c r="AJ254" s="2" t="str">
        <f t="shared" si="168"/>
        <v/>
      </c>
      <c r="AK254" s="2">
        <v>1</v>
      </c>
      <c r="AL254" s="260">
        <f t="shared" ca="1" si="156"/>
        <v>0</v>
      </c>
      <c r="AM254" s="260">
        <f t="shared" ca="1" si="157"/>
        <v>0</v>
      </c>
      <c r="AN254" s="260" t="str">
        <f ca="1">IF(AND(Tabla7[[#This Row],[UltLec]]&lt;&gt;0,Tabla7[[#This Row],[PenLect]]&lt;&gt;0),(AM254-AL254)*Tabla7[[#This Row],[RT]],"N/A")</f>
        <v>N/A</v>
      </c>
      <c r="AO254" s="380" t="s">
        <v>813</v>
      </c>
      <c r="AP254" s="380" t="s">
        <v>1076</v>
      </c>
      <c r="AQ254" s="380" t="s">
        <v>771</v>
      </c>
      <c r="AR254" s="2">
        <f t="shared" si="158"/>
        <v>0</v>
      </c>
      <c r="AT254" s="2" t="e">
        <f t="shared" ca="1" si="109"/>
        <v>#VALUE!</v>
      </c>
    </row>
    <row r="255" spans="1:46" ht="18.75" customHeight="1" x14ac:dyDescent="0.25">
      <c r="A255" s="407" t="s">
        <v>19</v>
      </c>
      <c r="B255" s="54"/>
      <c r="C255" s="420" t="s">
        <v>1197</v>
      </c>
      <c r="D255" s="374" t="s">
        <v>318</v>
      </c>
      <c r="E255" s="375">
        <v>110</v>
      </c>
      <c r="F255" s="2" t="s">
        <v>1097</v>
      </c>
      <c r="G255" s="2" t="s">
        <v>1588</v>
      </c>
      <c r="H255" s="2" t="s">
        <v>326</v>
      </c>
      <c r="I255" s="2"/>
      <c r="J255" s="260">
        <v>4298530</v>
      </c>
      <c r="K255" s="260">
        <v>4315302</v>
      </c>
      <c r="L255" s="260"/>
      <c r="O255" s="260"/>
      <c r="P255" s="308"/>
      <c r="Q255" s="260"/>
      <c r="R255" s="260"/>
      <c r="S255" s="260"/>
      <c r="U255" s="260"/>
      <c r="V255" s="260"/>
      <c r="W255" s="2"/>
      <c r="X255" s="2"/>
      <c r="Y255" s="2">
        <f t="shared" si="159"/>
        <v>16772</v>
      </c>
      <c r="Z255" s="2" t="str">
        <f t="shared" si="160"/>
        <v/>
      </c>
      <c r="AA255" s="2" t="str">
        <f t="shared" si="171"/>
        <v/>
      </c>
      <c r="AB255" s="2" t="str">
        <f t="shared" si="170"/>
        <v/>
      </c>
      <c r="AC255" s="2" t="str">
        <f t="shared" si="161"/>
        <v/>
      </c>
      <c r="AD255" s="2" t="str">
        <f t="shared" si="162"/>
        <v/>
      </c>
      <c r="AE255" s="2" t="str">
        <f t="shared" si="163"/>
        <v/>
      </c>
      <c r="AF255" s="2" t="str">
        <f t="shared" si="164"/>
        <v/>
      </c>
      <c r="AG255" s="2" t="str">
        <f t="shared" si="165"/>
        <v/>
      </c>
      <c r="AH255" s="2" t="str">
        <f t="shared" si="166"/>
        <v/>
      </c>
      <c r="AI255" s="2" t="str">
        <f t="shared" si="167"/>
        <v/>
      </c>
      <c r="AJ255" s="2" t="str">
        <f t="shared" si="168"/>
        <v/>
      </c>
      <c r="AK255" s="2">
        <v>1</v>
      </c>
      <c r="AL255" s="260">
        <f t="shared" ca="1" si="156"/>
        <v>0</v>
      </c>
      <c r="AM255" s="260">
        <f t="shared" ca="1" si="157"/>
        <v>0</v>
      </c>
      <c r="AN255" s="260" t="str">
        <f ca="1">IF(AND(Tabla7[[#This Row],[UltLec]]&lt;&gt;0,Tabla7[[#This Row],[PenLect]]&lt;&gt;0),(AM255-AL255)*Tabla7[[#This Row],[RT]],"N/A")</f>
        <v>N/A</v>
      </c>
      <c r="AO255" s="380" t="s">
        <v>813</v>
      </c>
      <c r="AP255" s="380" t="s">
        <v>1076</v>
      </c>
      <c r="AQ255" s="380" t="s">
        <v>771</v>
      </c>
      <c r="AR255" s="2">
        <f t="shared" si="158"/>
        <v>0</v>
      </c>
      <c r="AT255" s="2" t="e">
        <f t="shared" ca="1" si="109"/>
        <v>#VALUE!</v>
      </c>
    </row>
    <row r="256" spans="1:46" ht="18.75" customHeight="1" x14ac:dyDescent="0.25">
      <c r="A256" s="405" t="s">
        <v>19</v>
      </c>
      <c r="B256" s="54"/>
      <c r="C256" s="239" t="s">
        <v>1087</v>
      </c>
      <c r="D256" s="54" t="s">
        <v>318</v>
      </c>
      <c r="E256" s="232">
        <v>140</v>
      </c>
      <c r="F256" s="2" t="s">
        <v>1085</v>
      </c>
      <c r="G256" s="2" t="s">
        <v>1589</v>
      </c>
      <c r="H256" s="2"/>
      <c r="I256" s="2"/>
      <c r="J256" s="260">
        <v>483903</v>
      </c>
      <c r="K256" s="260">
        <v>486161</v>
      </c>
      <c r="L256" s="260"/>
      <c r="O256" s="260"/>
      <c r="P256" s="308"/>
      <c r="Q256" s="260"/>
      <c r="R256" s="260"/>
      <c r="S256" s="260"/>
      <c r="U256" s="260"/>
      <c r="V256" s="260"/>
      <c r="W256" s="2"/>
      <c r="X256" s="2"/>
      <c r="Y256" s="2">
        <f t="shared" si="159"/>
        <v>2258</v>
      </c>
      <c r="Z256" s="2" t="str">
        <f t="shared" si="160"/>
        <v/>
      </c>
      <c r="AA256" s="2" t="str">
        <f t="shared" si="171"/>
        <v/>
      </c>
      <c r="AB256" s="2" t="str">
        <f t="shared" si="170"/>
        <v/>
      </c>
      <c r="AC256" s="2" t="str">
        <f t="shared" si="161"/>
        <v/>
      </c>
      <c r="AD256" s="2" t="str">
        <f t="shared" si="162"/>
        <v/>
      </c>
      <c r="AE256" s="2" t="str">
        <f t="shared" si="163"/>
        <v/>
      </c>
      <c r="AF256" s="2" t="str">
        <f t="shared" si="164"/>
        <v/>
      </c>
      <c r="AG256" s="2" t="str">
        <f t="shared" si="165"/>
        <v/>
      </c>
      <c r="AH256" s="2" t="str">
        <f t="shared" si="166"/>
        <v/>
      </c>
      <c r="AI256" s="2" t="str">
        <f t="shared" si="167"/>
        <v/>
      </c>
      <c r="AJ256" s="2" t="str">
        <f t="shared" si="168"/>
        <v/>
      </c>
      <c r="AK256" s="2">
        <v>1</v>
      </c>
      <c r="AL256" s="260">
        <f t="shared" ca="1" si="156"/>
        <v>0</v>
      </c>
      <c r="AM256" s="260">
        <f t="shared" ca="1" si="157"/>
        <v>0</v>
      </c>
      <c r="AN256" s="260" t="str">
        <f ca="1">IF(AND(Tabla7[[#This Row],[UltLec]]&lt;&gt;0,Tabla7[[#This Row],[PenLect]]&lt;&gt;0),(AM256-AL256)*Tabla7[[#This Row],[RT]],"N/A")</f>
        <v>N/A</v>
      </c>
      <c r="AO256" s="380" t="s">
        <v>813</v>
      </c>
      <c r="AP256" s="380" t="s">
        <v>1076</v>
      </c>
      <c r="AQ256" s="380" t="s">
        <v>771</v>
      </c>
      <c r="AR256" s="2">
        <f t="shared" si="158"/>
        <v>0</v>
      </c>
      <c r="AT256" s="2" t="e">
        <f t="shared" ca="1" si="109"/>
        <v>#VALUE!</v>
      </c>
    </row>
    <row r="257" spans="1:46" ht="18.75" hidden="1" customHeight="1" x14ac:dyDescent="0.25">
      <c r="A257" s="418" t="s">
        <v>1080</v>
      </c>
      <c r="B257" s="273"/>
      <c r="C257" s="276" t="s">
        <v>1099</v>
      </c>
      <c r="D257" s="273" t="s">
        <v>318</v>
      </c>
      <c r="E257" s="274">
        <v>39648</v>
      </c>
      <c r="F257" s="393" t="s">
        <v>1203</v>
      </c>
      <c r="G257" s="393" t="s">
        <v>322</v>
      </c>
      <c r="H257" s="393" t="s">
        <v>323</v>
      </c>
      <c r="I257" s="393"/>
      <c r="J257" s="275"/>
      <c r="K257" s="393"/>
      <c r="L257" s="393"/>
      <c r="M257" s="393"/>
      <c r="N257" s="393"/>
      <c r="O257" s="393"/>
      <c r="P257" s="393"/>
      <c r="Q257" s="393"/>
      <c r="R257" s="393"/>
      <c r="S257" s="393"/>
      <c r="T257" s="393"/>
      <c r="U257" s="393"/>
      <c r="V257" s="275"/>
      <c r="W257" s="393"/>
      <c r="X257" s="393"/>
      <c r="Y257" s="393" t="str">
        <f t="shared" si="159"/>
        <v/>
      </c>
      <c r="Z257" s="393" t="str">
        <f t="shared" si="160"/>
        <v/>
      </c>
      <c r="AA257" s="393" t="str">
        <f t="shared" si="171"/>
        <v/>
      </c>
      <c r="AB257" s="393" t="str">
        <f t="shared" si="170"/>
        <v/>
      </c>
      <c r="AC257" s="393" t="str">
        <f t="shared" si="161"/>
        <v/>
      </c>
      <c r="AD257" s="393" t="str">
        <f t="shared" si="162"/>
        <v/>
      </c>
      <c r="AE257" s="393" t="str">
        <f t="shared" si="163"/>
        <v/>
      </c>
      <c r="AF257" s="393" t="str">
        <f t="shared" si="164"/>
        <v/>
      </c>
      <c r="AG257" s="393" t="str">
        <f t="shared" si="165"/>
        <v/>
      </c>
      <c r="AH257" s="393" t="str">
        <f t="shared" si="166"/>
        <v/>
      </c>
      <c r="AI257" s="393" t="str">
        <f t="shared" si="167"/>
        <v/>
      </c>
      <c r="AJ257" s="393" t="str">
        <f t="shared" si="168"/>
        <v/>
      </c>
      <c r="AK257" s="393">
        <v>1</v>
      </c>
      <c r="AL257" s="394">
        <f t="shared" ca="1" si="156"/>
        <v>0</v>
      </c>
      <c r="AM257" s="394">
        <f t="shared" ca="1" si="157"/>
        <v>0</v>
      </c>
      <c r="AN257" s="394" t="str">
        <f ca="1">IF(AND(Tabla7[[#This Row],[UltLec]]&lt;&gt;0,Tabla7[[#This Row],[PenLect]]&lt;&gt;0),(AM257-AL257)*Tabla7[[#This Row],[RT]],"N/A")</f>
        <v>N/A</v>
      </c>
      <c r="AO257" s="393" t="s">
        <v>1160</v>
      </c>
      <c r="AP257" s="393" t="s">
        <v>1076</v>
      </c>
      <c r="AQ257" s="393" t="s">
        <v>771</v>
      </c>
      <c r="AR257" s="393">
        <f t="shared" si="158"/>
        <v>0</v>
      </c>
      <c r="AT257" s="2" t="e">
        <f t="shared" ca="1" si="109"/>
        <v>#VALUE!</v>
      </c>
    </row>
    <row r="258" spans="1:46" ht="18.75" customHeight="1" x14ac:dyDescent="0.25">
      <c r="A258" s="378" t="s">
        <v>19</v>
      </c>
      <c r="B258" s="262"/>
      <c r="C258" s="266" t="s">
        <v>1196</v>
      </c>
      <c r="D258" s="262" t="s">
        <v>318</v>
      </c>
      <c r="E258" s="235">
        <v>110</v>
      </c>
      <c r="F258" s="371" t="s">
        <v>1096</v>
      </c>
      <c r="G258" s="371" t="s">
        <v>1590</v>
      </c>
      <c r="H258" s="371" t="s">
        <v>804</v>
      </c>
      <c r="I258" s="371"/>
      <c r="J258" s="341">
        <v>1229420</v>
      </c>
      <c r="K258" s="341">
        <v>1232498</v>
      </c>
      <c r="L258" s="341"/>
      <c r="M258" s="341"/>
      <c r="N258" s="341"/>
      <c r="O258" s="341"/>
      <c r="P258" s="341"/>
      <c r="Q258" s="341"/>
      <c r="R258" s="341"/>
      <c r="S258" s="341"/>
      <c r="T258" s="341"/>
      <c r="U258" s="341"/>
      <c r="V258" s="341"/>
      <c r="W258" s="371"/>
      <c r="X258" s="371"/>
      <c r="Y258" s="371">
        <f t="shared" si="159"/>
        <v>3078</v>
      </c>
      <c r="Z258" s="371" t="str">
        <f t="shared" si="160"/>
        <v/>
      </c>
      <c r="AA258" s="371" t="str">
        <f t="shared" si="171"/>
        <v/>
      </c>
      <c r="AB258" s="371" t="str">
        <f t="shared" si="170"/>
        <v/>
      </c>
      <c r="AC258" s="371" t="str">
        <f t="shared" si="161"/>
        <v/>
      </c>
      <c r="AD258" s="371" t="str">
        <f t="shared" si="162"/>
        <v/>
      </c>
      <c r="AE258" s="371" t="str">
        <f t="shared" si="163"/>
        <v/>
      </c>
      <c r="AF258" s="371" t="str">
        <f t="shared" si="164"/>
        <v/>
      </c>
      <c r="AG258" s="371" t="str">
        <f t="shared" si="165"/>
        <v/>
      </c>
      <c r="AH258" s="371" t="str">
        <f t="shared" si="166"/>
        <v/>
      </c>
      <c r="AI258" s="371" t="str">
        <f t="shared" si="167"/>
        <v/>
      </c>
      <c r="AJ258" s="371" t="str">
        <f t="shared" si="168"/>
        <v/>
      </c>
      <c r="AK258" s="371">
        <v>1</v>
      </c>
      <c r="AL258" s="341">
        <f t="shared" ca="1" si="156"/>
        <v>0</v>
      </c>
      <c r="AM258" s="341">
        <f t="shared" ca="1" si="157"/>
        <v>0</v>
      </c>
      <c r="AN258" s="341" t="str">
        <f ca="1">IF(AND(Tabla7[[#This Row],[UltLec]]&lt;&gt;0,Tabla7[[#This Row],[PenLect]]&lt;&gt;0),(AM258-AL258)*Tabla7[[#This Row],[RT]],"N/A")</f>
        <v>N/A</v>
      </c>
      <c r="AO258" s="389" t="s">
        <v>813</v>
      </c>
      <c r="AP258" s="389" t="s">
        <v>1076</v>
      </c>
      <c r="AQ258" s="389" t="s">
        <v>771</v>
      </c>
      <c r="AR258" s="389">
        <f t="shared" si="158"/>
        <v>0</v>
      </c>
      <c r="AT258" s="2" t="e">
        <f t="shared" ca="1" si="109"/>
        <v>#VALUE!</v>
      </c>
    </row>
    <row r="259" spans="1:46" ht="18" customHeight="1" x14ac:dyDescent="0.25">
      <c r="A259" s="407" t="s">
        <v>19</v>
      </c>
      <c r="B259" s="54"/>
      <c r="C259" s="420" t="s">
        <v>1103</v>
      </c>
      <c r="D259" s="374" t="s">
        <v>318</v>
      </c>
      <c r="E259" s="375">
        <v>110</v>
      </c>
      <c r="F259" s="2" t="s">
        <v>1092</v>
      </c>
      <c r="G259" s="2" t="s">
        <v>1591</v>
      </c>
      <c r="H259" s="2" t="s">
        <v>324</v>
      </c>
      <c r="I259" s="2"/>
      <c r="J259" s="260">
        <v>2004008</v>
      </c>
      <c r="K259" s="260">
        <v>2013974</v>
      </c>
      <c r="L259" s="260"/>
      <c r="O259" s="260"/>
      <c r="P259" s="308"/>
      <c r="Q259" s="260"/>
      <c r="R259" s="260"/>
      <c r="S259" s="260"/>
      <c r="U259" s="260"/>
      <c r="V259" s="260"/>
      <c r="W259" s="2"/>
      <c r="X259" s="2"/>
      <c r="Y259" s="2">
        <f t="shared" si="159"/>
        <v>9966</v>
      </c>
      <c r="Z259" s="2" t="str">
        <f t="shared" si="160"/>
        <v/>
      </c>
      <c r="AA259" s="2" t="str">
        <f t="shared" si="171"/>
        <v/>
      </c>
      <c r="AB259" s="2" t="str">
        <f t="shared" si="170"/>
        <v/>
      </c>
      <c r="AC259" s="2" t="str">
        <f t="shared" si="161"/>
        <v/>
      </c>
      <c r="AD259" s="2" t="str">
        <f t="shared" si="162"/>
        <v/>
      </c>
      <c r="AE259" s="2" t="str">
        <f t="shared" si="163"/>
        <v/>
      </c>
      <c r="AF259" s="2" t="str">
        <f t="shared" si="164"/>
        <v/>
      </c>
      <c r="AG259" s="2" t="str">
        <f t="shared" si="165"/>
        <v/>
      </c>
      <c r="AH259" s="2" t="str">
        <f t="shared" si="166"/>
        <v/>
      </c>
      <c r="AI259" s="2" t="str">
        <f t="shared" si="167"/>
        <v/>
      </c>
      <c r="AJ259" s="2" t="str">
        <f t="shared" si="168"/>
        <v/>
      </c>
      <c r="AK259" s="2">
        <v>1</v>
      </c>
      <c r="AL259" s="260">
        <f t="shared" ca="1" si="156"/>
        <v>0</v>
      </c>
      <c r="AM259" s="260">
        <f t="shared" ca="1" si="157"/>
        <v>0</v>
      </c>
      <c r="AN259" s="260" t="str">
        <f ca="1">IF(AND(Tabla7[[#This Row],[UltLec]]&lt;&gt;0,Tabla7[[#This Row],[PenLect]]&lt;&gt;0),(AM259-AL259)*Tabla7[[#This Row],[RT]],"N/A")</f>
        <v>N/A</v>
      </c>
      <c r="AO259" s="380" t="s">
        <v>813</v>
      </c>
      <c r="AP259" s="380" t="s">
        <v>1076</v>
      </c>
      <c r="AQ259" s="380" t="s">
        <v>771</v>
      </c>
      <c r="AR259" s="2">
        <f t="shared" si="158"/>
        <v>0</v>
      </c>
      <c r="AT259" s="2" t="e">
        <f t="shared" ca="1" si="109"/>
        <v>#VALUE!</v>
      </c>
    </row>
    <row r="260" spans="1:46" ht="18" customHeight="1" x14ac:dyDescent="0.25">
      <c r="A260" s="405" t="s">
        <v>19</v>
      </c>
      <c r="B260" s="54"/>
      <c r="C260" s="239" t="s">
        <v>1105</v>
      </c>
      <c r="D260" s="54" t="s">
        <v>318</v>
      </c>
      <c r="E260" s="232">
        <v>39648</v>
      </c>
      <c r="F260" s="2" t="s">
        <v>1204</v>
      </c>
      <c r="G260" s="2" t="s">
        <v>1592</v>
      </c>
      <c r="H260" s="2" t="s">
        <v>323</v>
      </c>
      <c r="I260" s="2"/>
      <c r="J260" s="260">
        <v>3658554</v>
      </c>
      <c r="K260" s="260">
        <v>3679790</v>
      </c>
      <c r="L260" s="260"/>
      <c r="O260" s="260"/>
      <c r="P260" s="308"/>
      <c r="Q260" s="260"/>
      <c r="R260" s="260"/>
      <c r="S260" s="260"/>
      <c r="U260" s="260"/>
      <c r="V260" s="260"/>
      <c r="W260" s="2"/>
      <c r="X260" s="2"/>
      <c r="Y260" s="2">
        <f t="shared" si="159"/>
        <v>21236</v>
      </c>
      <c r="Z260" s="2" t="str">
        <f t="shared" si="160"/>
        <v/>
      </c>
      <c r="AA260" s="2" t="str">
        <f t="shared" si="171"/>
        <v/>
      </c>
      <c r="AB260" s="2" t="str">
        <f t="shared" si="170"/>
        <v/>
      </c>
      <c r="AC260" s="2" t="str">
        <f t="shared" si="161"/>
        <v/>
      </c>
      <c r="AD260" s="2" t="str">
        <f t="shared" si="162"/>
        <v/>
      </c>
      <c r="AE260" s="2" t="str">
        <f t="shared" si="163"/>
        <v/>
      </c>
      <c r="AF260" s="2" t="str">
        <f t="shared" si="164"/>
        <v/>
      </c>
      <c r="AG260" s="2" t="str">
        <f t="shared" si="165"/>
        <v/>
      </c>
      <c r="AH260" s="2" t="str">
        <f t="shared" si="166"/>
        <v/>
      </c>
      <c r="AI260" s="2" t="str">
        <f t="shared" si="167"/>
        <v/>
      </c>
      <c r="AJ260" s="2" t="str">
        <f t="shared" si="168"/>
        <v/>
      </c>
      <c r="AK260" s="2">
        <v>1</v>
      </c>
      <c r="AL260" s="260">
        <f t="shared" ca="1" si="156"/>
        <v>0</v>
      </c>
      <c r="AM260" s="260">
        <f t="shared" ca="1" si="157"/>
        <v>0</v>
      </c>
      <c r="AN260" s="260" t="str">
        <f ca="1">IF(AND(Tabla7[[#This Row],[UltLec]]&lt;&gt;0,Tabla7[[#This Row],[PenLect]]&lt;&gt;0),(AM260-AL260)*Tabla7[[#This Row],[RT]],"N/A")</f>
        <v>N/A</v>
      </c>
      <c r="AO260" s="380" t="s">
        <v>813</v>
      </c>
      <c r="AP260" s="380" t="s">
        <v>1076</v>
      </c>
      <c r="AQ260" s="380" t="s">
        <v>771</v>
      </c>
      <c r="AR260" s="2">
        <f t="shared" si="158"/>
        <v>0</v>
      </c>
      <c r="AT260" s="2" t="e">
        <f t="shared" ca="1" si="109"/>
        <v>#VALUE!</v>
      </c>
    </row>
    <row r="261" spans="1:46" ht="18" customHeight="1" x14ac:dyDescent="0.25">
      <c r="A261" s="291" t="s">
        <v>19</v>
      </c>
      <c r="B261" s="54"/>
      <c r="C261" s="239" t="s">
        <v>1102</v>
      </c>
      <c r="D261" s="54" t="s">
        <v>318</v>
      </c>
      <c r="E261" s="232">
        <v>39241</v>
      </c>
      <c r="F261" s="2" t="s">
        <v>1205</v>
      </c>
      <c r="G261" s="2" t="s">
        <v>1593</v>
      </c>
      <c r="H261" s="2" t="s">
        <v>325</v>
      </c>
      <c r="I261" s="2"/>
      <c r="J261" s="260">
        <v>7420672</v>
      </c>
      <c r="K261" s="260">
        <v>7459214</v>
      </c>
      <c r="L261" s="260"/>
      <c r="O261" s="260"/>
      <c r="P261" s="308"/>
      <c r="Q261" s="260"/>
      <c r="R261" s="260"/>
      <c r="S261" s="260"/>
      <c r="U261" s="260"/>
      <c r="V261" s="260"/>
      <c r="W261" s="2"/>
      <c r="X261" s="2"/>
      <c r="Y261" s="2">
        <f t="shared" si="159"/>
        <v>38542</v>
      </c>
      <c r="Z261" s="2" t="str">
        <f t="shared" si="160"/>
        <v/>
      </c>
      <c r="AA261" s="2" t="str">
        <f t="shared" si="171"/>
        <v/>
      </c>
      <c r="AB261" s="2" t="str">
        <f t="shared" si="170"/>
        <v/>
      </c>
      <c r="AC261" s="2" t="str">
        <f t="shared" si="161"/>
        <v/>
      </c>
      <c r="AD261" s="2" t="str">
        <f t="shared" si="162"/>
        <v/>
      </c>
      <c r="AE261" s="2" t="str">
        <f t="shared" si="163"/>
        <v/>
      </c>
      <c r="AF261" s="2" t="str">
        <f t="shared" si="164"/>
        <v/>
      </c>
      <c r="AG261" s="2" t="str">
        <f t="shared" si="165"/>
        <v/>
      </c>
      <c r="AH261" s="2" t="str">
        <f t="shared" si="166"/>
        <v/>
      </c>
      <c r="AI261" s="2" t="str">
        <f t="shared" si="167"/>
        <v/>
      </c>
      <c r="AJ261" s="2" t="str">
        <f t="shared" si="168"/>
        <v/>
      </c>
      <c r="AK261" s="2">
        <v>1</v>
      </c>
      <c r="AL261" s="260">
        <f t="shared" ca="1" si="156"/>
        <v>0</v>
      </c>
      <c r="AM261" s="260">
        <f t="shared" ca="1" si="157"/>
        <v>0</v>
      </c>
      <c r="AN261" s="260" t="str">
        <f ca="1">IF(AND(Tabla7[[#This Row],[UltLec]]&lt;&gt;0,Tabla7[[#This Row],[PenLect]]&lt;&gt;0),(AM261-AL261)*Tabla7[[#This Row],[RT]],"N/A")</f>
        <v>N/A</v>
      </c>
      <c r="AO261" s="380" t="s">
        <v>813</v>
      </c>
      <c r="AP261" s="380" t="s">
        <v>1076</v>
      </c>
      <c r="AQ261" s="380" t="s">
        <v>771</v>
      </c>
      <c r="AR261" s="2">
        <f t="shared" si="158"/>
        <v>0</v>
      </c>
      <c r="AT261" s="2" t="e">
        <f t="shared" ref="AT261:AT324" ca="1" si="172">IF(IF(DAY(TODAY())&gt;15,INDEX($Y261:$AJ261,1,MONTH(TODAY())-1),INDEX($Y261:$AJ261,1,MONTH(TODAY())-2))=0,"0",IF(DAY(TODAY())&gt;15,INDEX($Y261:$AJ261,1,MONTH(TODAY())),INDEX($Y261:$AJ261,1,MONTH(TODAY())-1))/IF(DAY(TODAY())&gt;15,INDEX($Y261:$AJ261,1,MONTH(TODAY())-1),INDEX($Y261:$AJ261,1,MONTH(TODAY())-2)))</f>
        <v>#VALUE!</v>
      </c>
    </row>
    <row r="262" spans="1:46" ht="18" customHeight="1" x14ac:dyDescent="0.25">
      <c r="A262" s="291" t="s">
        <v>19</v>
      </c>
      <c r="B262" s="54"/>
      <c r="C262" s="239" t="s">
        <v>1101</v>
      </c>
      <c r="D262" s="54" t="s">
        <v>318</v>
      </c>
      <c r="E262" s="232">
        <v>110</v>
      </c>
      <c r="F262" s="2" t="s">
        <v>1095</v>
      </c>
      <c r="G262" s="2" t="s">
        <v>1515</v>
      </c>
      <c r="H262" s="2" t="s">
        <v>327</v>
      </c>
      <c r="I262" s="2"/>
      <c r="J262" s="260">
        <v>585138</v>
      </c>
      <c r="K262" s="260">
        <v>585698</v>
      </c>
      <c r="L262" s="260"/>
      <c r="O262" s="260"/>
      <c r="P262" s="260"/>
      <c r="Q262" s="260"/>
      <c r="R262" s="260"/>
      <c r="S262" s="260"/>
      <c r="U262" s="260"/>
      <c r="V262" s="260"/>
      <c r="W262" s="2"/>
      <c r="X262" s="2"/>
      <c r="Y262" s="2">
        <f t="shared" si="159"/>
        <v>560</v>
      </c>
      <c r="Z262" s="2" t="str">
        <f t="shared" si="160"/>
        <v/>
      </c>
      <c r="AA262" s="2" t="str">
        <f t="shared" si="171"/>
        <v/>
      </c>
      <c r="AB262" s="2" t="str">
        <f t="shared" si="170"/>
        <v/>
      </c>
      <c r="AC262" s="2" t="str">
        <f t="shared" si="161"/>
        <v/>
      </c>
      <c r="AD262" s="2" t="str">
        <f t="shared" si="162"/>
        <v/>
      </c>
      <c r="AE262" s="2" t="str">
        <f t="shared" si="163"/>
        <v/>
      </c>
      <c r="AF262" s="2" t="str">
        <f t="shared" si="164"/>
        <v/>
      </c>
      <c r="AG262" s="2" t="str">
        <f t="shared" si="165"/>
        <v/>
      </c>
      <c r="AH262" s="2" t="str">
        <f t="shared" si="166"/>
        <v/>
      </c>
      <c r="AI262" s="2" t="str">
        <f t="shared" si="167"/>
        <v/>
      </c>
      <c r="AJ262" s="2" t="str">
        <f t="shared" si="168"/>
        <v/>
      </c>
      <c r="AK262" s="2">
        <v>1</v>
      </c>
      <c r="AL262" s="260">
        <f t="shared" ca="1" si="156"/>
        <v>0</v>
      </c>
      <c r="AM262" s="260">
        <f t="shared" ca="1" si="157"/>
        <v>0</v>
      </c>
      <c r="AN262" s="260" t="str">
        <f ca="1">IF(AND(Tabla7[[#This Row],[UltLec]]&lt;&gt;0,Tabla7[[#This Row],[PenLect]]&lt;&gt;0),(AM262-AL262)*Tabla7[[#This Row],[RT]],"N/A")</f>
        <v>N/A</v>
      </c>
      <c r="AO262" s="380" t="s">
        <v>813</v>
      </c>
      <c r="AP262" s="380" t="s">
        <v>1076</v>
      </c>
      <c r="AQ262" s="380" t="s">
        <v>771</v>
      </c>
      <c r="AR262" s="2">
        <f t="shared" si="158"/>
        <v>0</v>
      </c>
      <c r="AT262" s="2" t="e">
        <f t="shared" ca="1" si="172"/>
        <v>#VALUE!</v>
      </c>
    </row>
    <row r="263" spans="1:46" ht="18" customHeight="1" x14ac:dyDescent="0.25">
      <c r="A263" s="291" t="s">
        <v>19</v>
      </c>
      <c r="B263" s="54"/>
      <c r="C263" s="239" t="s">
        <v>1198</v>
      </c>
      <c r="D263" s="54" t="s">
        <v>318</v>
      </c>
      <c r="E263" s="232">
        <v>110</v>
      </c>
      <c r="F263" s="2" t="s">
        <v>1098</v>
      </c>
      <c r="G263" s="2" t="s">
        <v>1594</v>
      </c>
      <c r="H263" s="2" t="s">
        <v>327</v>
      </c>
      <c r="I263" s="2"/>
      <c r="J263" s="260">
        <v>947351</v>
      </c>
      <c r="K263" s="260">
        <v>952448</v>
      </c>
      <c r="L263" s="260"/>
      <c r="O263" s="260"/>
      <c r="P263" s="308"/>
      <c r="Q263" s="260"/>
      <c r="R263" s="260"/>
      <c r="S263" s="260"/>
      <c r="U263" s="260"/>
      <c r="V263" s="260"/>
      <c r="W263" s="2"/>
      <c r="X263" s="2"/>
      <c r="Y263" s="2">
        <f t="shared" si="159"/>
        <v>5097</v>
      </c>
      <c r="Z263" s="2" t="str">
        <f t="shared" si="160"/>
        <v/>
      </c>
      <c r="AA263" s="2" t="str">
        <f t="shared" si="171"/>
        <v/>
      </c>
      <c r="AB263" s="2" t="str">
        <f t="shared" si="170"/>
        <v/>
      </c>
      <c r="AC263" s="2" t="str">
        <f t="shared" si="161"/>
        <v/>
      </c>
      <c r="AD263" s="2" t="str">
        <f t="shared" si="162"/>
        <v/>
      </c>
      <c r="AE263" s="2" t="str">
        <f t="shared" si="163"/>
        <v/>
      </c>
      <c r="AF263" s="2" t="str">
        <f t="shared" si="164"/>
        <v/>
      </c>
      <c r="AG263" s="2" t="str">
        <f t="shared" si="165"/>
        <v/>
      </c>
      <c r="AH263" s="2" t="str">
        <f t="shared" si="166"/>
        <v/>
      </c>
      <c r="AI263" s="2" t="str">
        <f t="shared" si="167"/>
        <v/>
      </c>
      <c r="AJ263" s="2" t="str">
        <f t="shared" si="168"/>
        <v/>
      </c>
      <c r="AK263" s="2">
        <v>1</v>
      </c>
      <c r="AL263" s="260">
        <f t="shared" ca="1" si="156"/>
        <v>0</v>
      </c>
      <c r="AM263" s="260">
        <f t="shared" ca="1" si="157"/>
        <v>0</v>
      </c>
      <c r="AN263" s="260" t="str">
        <f ca="1">IF(AND(Tabla7[[#This Row],[UltLec]]&lt;&gt;0,Tabla7[[#This Row],[PenLect]]&lt;&gt;0),(AM263-AL263)*Tabla7[[#This Row],[RT]],"N/A")</f>
        <v>N/A</v>
      </c>
      <c r="AO263" s="380" t="s">
        <v>813</v>
      </c>
      <c r="AP263" s="380" t="s">
        <v>1076</v>
      </c>
      <c r="AQ263" s="380" t="s">
        <v>771</v>
      </c>
      <c r="AR263" s="2">
        <f t="shared" si="158"/>
        <v>0</v>
      </c>
      <c r="AT263" s="2" t="e">
        <f t="shared" ca="1" si="172"/>
        <v>#VALUE!</v>
      </c>
    </row>
    <row r="264" spans="1:46" ht="18.75" customHeight="1" x14ac:dyDescent="0.25">
      <c r="A264" s="407" t="s">
        <v>19</v>
      </c>
      <c r="B264" s="54"/>
      <c r="C264" s="420" t="s">
        <v>1195</v>
      </c>
      <c r="D264" s="374" t="s">
        <v>318</v>
      </c>
      <c r="E264" s="375">
        <v>39241</v>
      </c>
      <c r="F264" s="2" t="s">
        <v>1206</v>
      </c>
      <c r="G264" s="2" t="s">
        <v>1516</v>
      </c>
      <c r="H264" s="2" t="s">
        <v>325</v>
      </c>
      <c r="I264" s="2"/>
      <c r="J264" s="260">
        <v>4637200</v>
      </c>
      <c r="K264" s="260">
        <v>4664846</v>
      </c>
      <c r="L264" s="260"/>
      <c r="O264" s="260"/>
      <c r="P264" s="308"/>
      <c r="Q264" s="260"/>
      <c r="R264" s="260"/>
      <c r="S264" s="260"/>
      <c r="U264" s="260"/>
      <c r="V264" s="260"/>
      <c r="W264" s="2"/>
      <c r="X264" s="2"/>
      <c r="Y264" s="2">
        <f t="shared" si="159"/>
        <v>27646</v>
      </c>
      <c r="Z264" s="2" t="str">
        <f t="shared" si="160"/>
        <v/>
      </c>
      <c r="AA264" s="2" t="str">
        <f t="shared" si="171"/>
        <v/>
      </c>
      <c r="AB264" s="2" t="str">
        <f t="shared" si="170"/>
        <v/>
      </c>
      <c r="AC264" s="2" t="str">
        <f t="shared" si="161"/>
        <v/>
      </c>
      <c r="AD264" s="2" t="str">
        <f t="shared" si="162"/>
        <v/>
      </c>
      <c r="AE264" s="2" t="str">
        <f t="shared" si="163"/>
        <v/>
      </c>
      <c r="AF264" s="2" t="str">
        <f t="shared" si="164"/>
        <v/>
      </c>
      <c r="AG264" s="2" t="str">
        <f t="shared" si="165"/>
        <v/>
      </c>
      <c r="AH264" s="2" t="str">
        <f t="shared" si="166"/>
        <v/>
      </c>
      <c r="AI264" s="2" t="str">
        <f t="shared" si="167"/>
        <v/>
      </c>
      <c r="AJ264" s="2" t="str">
        <f t="shared" si="168"/>
        <v/>
      </c>
      <c r="AK264" s="2">
        <v>1</v>
      </c>
      <c r="AL264" s="260">
        <f t="shared" ca="1" si="156"/>
        <v>0</v>
      </c>
      <c r="AM264" s="260">
        <f t="shared" ca="1" si="157"/>
        <v>0</v>
      </c>
      <c r="AN264" s="260" t="str">
        <f ca="1">IF(AND(Tabla7[[#This Row],[UltLec]]&lt;&gt;0,Tabla7[[#This Row],[PenLect]]&lt;&gt;0),(AM264-AL264)*Tabla7[[#This Row],[RT]],"N/A")</f>
        <v>N/A</v>
      </c>
      <c r="AO264" s="380" t="s">
        <v>813</v>
      </c>
      <c r="AP264" s="380" t="s">
        <v>1076</v>
      </c>
      <c r="AQ264" s="380" t="s">
        <v>771</v>
      </c>
      <c r="AR264" s="2">
        <f t="shared" si="158"/>
        <v>0</v>
      </c>
      <c r="AT264" s="2" t="e">
        <f t="shared" ca="1" si="172"/>
        <v>#VALUE!</v>
      </c>
    </row>
    <row r="265" spans="1:46" ht="18.75" customHeight="1" x14ac:dyDescent="0.25">
      <c r="A265" s="291" t="s">
        <v>19</v>
      </c>
      <c r="B265" s="54"/>
      <c r="C265" s="239" t="s">
        <v>1086</v>
      </c>
      <c r="D265" s="54" t="s">
        <v>318</v>
      </c>
      <c r="E265" s="232">
        <v>140</v>
      </c>
      <c r="F265" s="2" t="s">
        <v>1084</v>
      </c>
      <c r="G265" s="2" t="s">
        <v>1595</v>
      </c>
      <c r="H265" s="2"/>
      <c r="I265" s="2"/>
      <c r="J265" s="260">
        <v>157572</v>
      </c>
      <c r="K265" s="260">
        <v>157572</v>
      </c>
      <c r="L265" s="260"/>
      <c r="O265" s="260"/>
      <c r="P265" s="308"/>
      <c r="Q265" s="260"/>
      <c r="R265" s="308"/>
      <c r="S265" s="308"/>
      <c r="U265" s="260"/>
      <c r="V265" s="260"/>
      <c r="W265" s="2"/>
      <c r="X265" s="2"/>
      <c r="Y265" s="2">
        <f t="shared" si="159"/>
        <v>0</v>
      </c>
      <c r="Z265" s="2" t="str">
        <f t="shared" si="160"/>
        <v/>
      </c>
      <c r="AA265" s="2" t="str">
        <f t="shared" si="171"/>
        <v/>
      </c>
      <c r="AB265" s="2" t="str">
        <f t="shared" si="170"/>
        <v/>
      </c>
      <c r="AC265" s="2" t="str">
        <f t="shared" si="161"/>
        <v/>
      </c>
      <c r="AD265" s="2" t="str">
        <f t="shared" si="162"/>
        <v/>
      </c>
      <c r="AE265" s="2" t="str">
        <f t="shared" si="163"/>
        <v/>
      </c>
      <c r="AF265" s="2" t="str">
        <f t="shared" si="164"/>
        <v/>
      </c>
      <c r="AG265" s="2" t="str">
        <f t="shared" si="165"/>
        <v/>
      </c>
      <c r="AH265" s="2" t="str">
        <f t="shared" si="166"/>
        <v/>
      </c>
      <c r="AI265" s="2" t="str">
        <f t="shared" si="167"/>
        <v/>
      </c>
      <c r="AJ265" s="2" t="str">
        <f t="shared" si="168"/>
        <v/>
      </c>
      <c r="AK265" s="2">
        <v>1</v>
      </c>
      <c r="AL265" s="260">
        <f t="shared" ca="1" si="156"/>
        <v>0</v>
      </c>
      <c r="AM265" s="260">
        <f t="shared" ca="1" si="157"/>
        <v>0</v>
      </c>
      <c r="AN265" s="260" t="str">
        <f ca="1">IF(AND(Tabla7[[#This Row],[UltLec]]&lt;&gt;0,Tabla7[[#This Row],[PenLect]]&lt;&gt;0),(AM265-AL265)*Tabla7[[#This Row],[RT]],"N/A")</f>
        <v>N/A</v>
      </c>
      <c r="AO265" s="380" t="s">
        <v>813</v>
      </c>
      <c r="AP265" s="380" t="s">
        <v>1076</v>
      </c>
      <c r="AQ265" s="380" t="s">
        <v>771</v>
      </c>
      <c r="AR265" s="2">
        <f t="shared" si="158"/>
        <v>0</v>
      </c>
      <c r="AT265" s="2" t="e">
        <f t="shared" ca="1" si="172"/>
        <v>#VALUE!</v>
      </c>
    </row>
    <row r="266" spans="1:46" ht="18.75" customHeight="1" x14ac:dyDescent="0.25">
      <c r="A266" s="291" t="s">
        <v>19</v>
      </c>
      <c r="B266" s="54"/>
      <c r="C266" s="368" t="s">
        <v>1100</v>
      </c>
      <c r="D266" s="54" t="s">
        <v>318</v>
      </c>
      <c r="E266" s="232">
        <v>110</v>
      </c>
      <c r="F266" s="2" t="s">
        <v>1094</v>
      </c>
      <c r="G266" s="2" t="s">
        <v>1517</v>
      </c>
      <c r="H266" s="2" t="s">
        <v>324</v>
      </c>
      <c r="I266" s="2"/>
      <c r="J266" s="260">
        <v>437029</v>
      </c>
      <c r="K266" s="260">
        <v>439551</v>
      </c>
      <c r="L266" s="260"/>
      <c r="O266" s="260"/>
      <c r="P266" s="308"/>
      <c r="Q266" s="260"/>
      <c r="R266" s="260"/>
      <c r="S266" s="260"/>
      <c r="U266" s="260"/>
      <c r="V266" s="260"/>
      <c r="W266" s="2"/>
      <c r="X266" s="2"/>
      <c r="Y266" s="2">
        <f t="shared" si="159"/>
        <v>2522</v>
      </c>
      <c r="Z266" s="2" t="str">
        <f t="shared" si="160"/>
        <v/>
      </c>
      <c r="AA266" s="2" t="str">
        <f t="shared" si="171"/>
        <v/>
      </c>
      <c r="AB266" s="2" t="str">
        <f t="shared" si="170"/>
        <v/>
      </c>
      <c r="AC266" s="2" t="str">
        <f t="shared" si="161"/>
        <v/>
      </c>
      <c r="AD266" s="2" t="str">
        <f t="shared" si="162"/>
        <v/>
      </c>
      <c r="AE266" s="2" t="str">
        <f t="shared" si="163"/>
        <v/>
      </c>
      <c r="AF266" s="2" t="str">
        <f t="shared" si="164"/>
        <v/>
      </c>
      <c r="AG266" s="2" t="str">
        <f t="shared" si="165"/>
        <v/>
      </c>
      <c r="AH266" s="2" t="str">
        <f t="shared" si="166"/>
        <v/>
      </c>
      <c r="AI266" s="2" t="str">
        <f t="shared" si="167"/>
        <v/>
      </c>
      <c r="AJ266" s="2" t="str">
        <f t="shared" si="168"/>
        <v/>
      </c>
      <c r="AK266" s="2">
        <v>1</v>
      </c>
      <c r="AL266" s="260">
        <f t="shared" ca="1" si="156"/>
        <v>0</v>
      </c>
      <c r="AM266" s="260">
        <f t="shared" ca="1" si="157"/>
        <v>0</v>
      </c>
      <c r="AN266" s="260" t="str">
        <f ca="1">IF(AND(Tabla7[[#This Row],[UltLec]]&lt;&gt;0,Tabla7[[#This Row],[PenLect]]&lt;&gt;0),(AM266-AL266)*Tabla7[[#This Row],[RT]],"N/A")</f>
        <v>N/A</v>
      </c>
      <c r="AO266" s="380" t="s">
        <v>813</v>
      </c>
      <c r="AP266" s="380" t="s">
        <v>1076</v>
      </c>
      <c r="AQ266" s="380" t="s">
        <v>771</v>
      </c>
      <c r="AR266" s="2">
        <f t="shared" si="158"/>
        <v>0</v>
      </c>
      <c r="AT266" s="2" t="e">
        <f t="shared" ca="1" si="172"/>
        <v>#VALUE!</v>
      </c>
    </row>
    <row r="267" spans="1:46" ht="18.75" customHeight="1" x14ac:dyDescent="0.25">
      <c r="A267" s="407" t="s">
        <v>19</v>
      </c>
      <c r="B267" s="54"/>
      <c r="C267" s="410" t="s">
        <v>1316</v>
      </c>
      <c r="D267" s="374" t="s">
        <v>318</v>
      </c>
      <c r="E267" s="375">
        <v>140</v>
      </c>
      <c r="F267" s="2" t="s">
        <v>1181</v>
      </c>
      <c r="G267" s="2" t="s">
        <v>1518</v>
      </c>
      <c r="H267" s="2"/>
      <c r="I267" s="2"/>
      <c r="J267" s="260">
        <v>64115</v>
      </c>
      <c r="K267" s="260">
        <v>66164</v>
      </c>
      <c r="L267" s="260"/>
      <c r="O267" s="260"/>
      <c r="P267" s="260"/>
      <c r="Q267" s="260"/>
      <c r="R267" s="260"/>
      <c r="S267" s="260"/>
      <c r="U267" s="260"/>
      <c r="V267" s="260"/>
      <c r="W267" s="2"/>
      <c r="X267" s="2"/>
      <c r="Y267" s="2">
        <f t="shared" si="159"/>
        <v>2049</v>
      </c>
      <c r="Z267" s="2" t="str">
        <f t="shared" si="160"/>
        <v/>
      </c>
      <c r="AA267" s="2" t="str">
        <f t="shared" si="171"/>
        <v/>
      </c>
      <c r="AB267" s="2" t="str">
        <f t="shared" si="170"/>
        <v/>
      </c>
      <c r="AC267" s="2" t="str">
        <f t="shared" si="161"/>
        <v/>
      </c>
      <c r="AD267" s="2" t="str">
        <f t="shared" si="162"/>
        <v/>
      </c>
      <c r="AE267" s="2" t="str">
        <f t="shared" si="163"/>
        <v/>
      </c>
      <c r="AF267" s="2" t="str">
        <f t="shared" si="164"/>
        <v/>
      </c>
      <c r="AG267" s="2" t="str">
        <f t="shared" si="165"/>
        <v/>
      </c>
      <c r="AH267" s="2" t="str">
        <f t="shared" si="166"/>
        <v/>
      </c>
      <c r="AI267" s="2" t="str">
        <f t="shared" si="167"/>
        <v/>
      </c>
      <c r="AJ267" s="2" t="str">
        <f t="shared" si="168"/>
        <v/>
      </c>
      <c r="AK267" s="2">
        <v>1</v>
      </c>
      <c r="AL267" s="260">
        <f t="shared" ca="1" si="156"/>
        <v>0</v>
      </c>
      <c r="AM267" s="260">
        <f t="shared" ca="1" si="157"/>
        <v>0</v>
      </c>
      <c r="AN267" s="260" t="str">
        <f ca="1">IF(AND(Tabla7[[#This Row],[UltLec]]&lt;&gt;0,Tabla7[[#This Row],[PenLect]]&lt;&gt;0),(AM267-AL267)*Tabla7[[#This Row],[RT]],"N/A")</f>
        <v>N/A</v>
      </c>
      <c r="AO267" s="380" t="s">
        <v>813</v>
      </c>
      <c r="AP267" s="380" t="s">
        <v>1076</v>
      </c>
      <c r="AQ267" s="380" t="s">
        <v>771</v>
      </c>
      <c r="AR267" s="2">
        <f t="shared" si="158"/>
        <v>0</v>
      </c>
      <c r="AT267" s="2" t="e">
        <f t="shared" ca="1" si="172"/>
        <v>#VALUE!</v>
      </c>
    </row>
    <row r="268" spans="1:46" ht="18.75" customHeight="1" x14ac:dyDescent="0.25">
      <c r="A268" s="291" t="s">
        <v>19</v>
      </c>
      <c r="B268" s="54"/>
      <c r="C268" s="368" t="s">
        <v>1317</v>
      </c>
      <c r="D268" s="54" t="s">
        <v>318</v>
      </c>
      <c r="E268" s="232">
        <v>39648</v>
      </c>
      <c r="F268" s="2" t="s">
        <v>1203</v>
      </c>
      <c r="G268" s="2" t="s">
        <v>1519</v>
      </c>
      <c r="H268" s="2" t="s">
        <v>323</v>
      </c>
      <c r="I268" s="2"/>
      <c r="J268" s="260">
        <v>155382</v>
      </c>
      <c r="K268" s="260">
        <v>159341</v>
      </c>
      <c r="L268" s="260"/>
      <c r="O268" s="260"/>
      <c r="P268" s="308"/>
      <c r="Q268" s="260"/>
      <c r="R268" s="260"/>
      <c r="S268" s="260"/>
      <c r="U268" s="260"/>
      <c r="V268" s="260"/>
      <c r="W268" s="2"/>
      <c r="X268" s="2"/>
      <c r="Y268" s="2">
        <f t="shared" si="159"/>
        <v>3959</v>
      </c>
      <c r="Z268" s="2" t="str">
        <f t="shared" si="160"/>
        <v/>
      </c>
      <c r="AA268" s="2" t="str">
        <f t="shared" si="171"/>
        <v/>
      </c>
      <c r="AB268" s="2" t="str">
        <f t="shared" si="170"/>
        <v/>
      </c>
      <c r="AC268" s="2" t="str">
        <f t="shared" si="161"/>
        <v/>
      </c>
      <c r="AD268" s="2" t="str">
        <f t="shared" si="162"/>
        <v/>
      </c>
      <c r="AE268" s="2" t="str">
        <f t="shared" si="163"/>
        <v/>
      </c>
      <c r="AF268" s="2" t="str">
        <f t="shared" si="164"/>
        <v/>
      </c>
      <c r="AG268" s="2" t="str">
        <f t="shared" si="165"/>
        <v/>
      </c>
      <c r="AH268" s="2" t="str">
        <f t="shared" si="166"/>
        <v/>
      </c>
      <c r="AI268" s="2" t="str">
        <f t="shared" si="167"/>
        <v/>
      </c>
      <c r="AJ268" s="2" t="str">
        <f t="shared" si="168"/>
        <v/>
      </c>
      <c r="AK268" s="2">
        <v>1</v>
      </c>
      <c r="AL268" s="260">
        <f t="shared" ca="1" si="156"/>
        <v>0</v>
      </c>
      <c r="AM268" s="260">
        <f t="shared" ca="1" si="157"/>
        <v>0</v>
      </c>
      <c r="AN268" s="260" t="str">
        <f ca="1">IF(AND(Tabla7[[#This Row],[UltLec]]&lt;&gt;0,Tabla7[[#This Row],[PenLect]]&lt;&gt;0),(AM268-AL268)*Tabla7[[#This Row],[RT]],"N/A")</f>
        <v>N/A</v>
      </c>
      <c r="AO268" s="380" t="s">
        <v>813</v>
      </c>
      <c r="AP268" s="380" t="s">
        <v>1076</v>
      </c>
      <c r="AQ268" s="380" t="s">
        <v>771</v>
      </c>
      <c r="AR268" s="2">
        <f t="shared" si="158"/>
        <v>0</v>
      </c>
      <c r="AT268" s="2" t="e">
        <f t="shared" ca="1" si="172"/>
        <v>#VALUE!</v>
      </c>
    </row>
    <row r="269" spans="1:46" ht="18.75" customHeight="1" x14ac:dyDescent="0.25">
      <c r="A269" s="291" t="s">
        <v>19</v>
      </c>
      <c r="B269" s="54"/>
      <c r="C269" s="368" t="s">
        <v>1542</v>
      </c>
      <c r="D269" s="54" t="s">
        <v>318</v>
      </c>
      <c r="E269" s="232">
        <v>39343</v>
      </c>
      <c r="F269" s="2" t="s">
        <v>1541</v>
      </c>
      <c r="G269" s="2" t="s">
        <v>1601</v>
      </c>
      <c r="H269" s="299" t="s">
        <v>1543</v>
      </c>
      <c r="I269" s="2"/>
      <c r="J269" s="260">
        <v>9892</v>
      </c>
      <c r="K269" s="260">
        <v>10847</v>
      </c>
      <c r="L269" s="260"/>
      <c r="O269" s="260"/>
      <c r="P269" s="260"/>
      <c r="Q269" s="260"/>
      <c r="R269" s="260"/>
      <c r="S269" s="260"/>
      <c r="U269" s="260"/>
      <c r="V269" s="260"/>
      <c r="W269" s="2"/>
      <c r="X269" s="2"/>
      <c r="Y269" s="2">
        <f t="shared" si="159"/>
        <v>955</v>
      </c>
      <c r="Z269" s="2" t="str">
        <f t="shared" si="160"/>
        <v/>
      </c>
      <c r="AA269" s="2" t="str">
        <f t="shared" si="171"/>
        <v/>
      </c>
      <c r="AB269" s="2" t="str">
        <f t="shared" si="170"/>
        <v/>
      </c>
      <c r="AC269" s="2" t="str">
        <f t="shared" si="161"/>
        <v/>
      </c>
      <c r="AD269" s="2" t="str">
        <f t="shared" si="162"/>
        <v/>
      </c>
      <c r="AE269" s="2" t="str">
        <f t="shared" si="163"/>
        <v/>
      </c>
      <c r="AF269" s="2" t="str">
        <f t="shared" si="164"/>
        <v/>
      </c>
      <c r="AG269" s="2" t="str">
        <f t="shared" si="165"/>
        <v/>
      </c>
      <c r="AH269" s="2" t="str">
        <f t="shared" si="166"/>
        <v/>
      </c>
      <c r="AI269" s="2" t="str">
        <f t="shared" si="167"/>
        <v/>
      </c>
      <c r="AJ269" s="2" t="str">
        <f t="shared" si="168"/>
        <v/>
      </c>
      <c r="AK269" s="2">
        <v>1</v>
      </c>
      <c r="AL269" s="260">
        <f t="shared" ca="1" si="156"/>
        <v>0</v>
      </c>
      <c r="AM269" s="260">
        <f t="shared" ca="1" si="157"/>
        <v>0</v>
      </c>
      <c r="AN269" s="260" t="str">
        <f ca="1">IF(AND(Tabla7[[#This Row],[UltLec]]&lt;&gt;0,Tabla7[[#This Row],[PenLect]]&lt;&gt;0),(AM269-AL269)*Tabla7[[#This Row],[RT]],"N/A")</f>
        <v>N/A</v>
      </c>
      <c r="AO269" s="380" t="s">
        <v>813</v>
      </c>
      <c r="AP269" s="380" t="s">
        <v>1075</v>
      </c>
      <c r="AQ269" s="380" t="s">
        <v>1074</v>
      </c>
      <c r="AR269" s="2">
        <f t="shared" si="158"/>
        <v>0</v>
      </c>
      <c r="AT269" s="2" t="e">
        <f t="shared" ca="1" si="172"/>
        <v>#VALUE!</v>
      </c>
    </row>
    <row r="270" spans="1:46" ht="18.75" customHeight="1" x14ac:dyDescent="0.25">
      <c r="A270" s="373" t="s">
        <v>697</v>
      </c>
      <c r="B270" s="268"/>
      <c r="C270" s="466" t="s">
        <v>334</v>
      </c>
      <c r="D270" s="268" t="s">
        <v>318</v>
      </c>
      <c r="E270" s="269">
        <v>1</v>
      </c>
      <c r="F270" s="369" t="s">
        <v>335</v>
      </c>
      <c r="G270" s="369" t="s">
        <v>998</v>
      </c>
      <c r="H270" s="369" t="s">
        <v>336</v>
      </c>
      <c r="I270" s="369"/>
      <c r="J270" s="370">
        <v>2515</v>
      </c>
      <c r="K270" s="370">
        <v>2515</v>
      </c>
      <c r="L270" s="369"/>
      <c r="M270" s="370"/>
      <c r="N270" s="370"/>
      <c r="O270" s="370"/>
      <c r="P270" s="370"/>
      <c r="Q270" s="370"/>
      <c r="R270" s="370"/>
      <c r="S270" s="370"/>
      <c r="T270" s="370"/>
      <c r="U270" s="370"/>
      <c r="V270" s="370"/>
      <c r="W270" s="369"/>
      <c r="X270" s="369"/>
      <c r="Y270" s="369">
        <f>IF(OR(ISBLANK(K272),ISBLANK(J270)),"",IF(AND(K272&gt;=J270,K272-J270&lt;=K272),(K272-J270)*$AK270,"!!!!"))</f>
        <v>47794455</v>
      </c>
      <c r="Z270" s="369" t="str">
        <f>IF(OR(ISBLANK(L270),ISBLANK(K272)),"",IF(AND(L270&gt;=K272,L270-K272&lt;=L270),(L270-K272)*$AK270,"!!!!"))</f>
        <v/>
      </c>
      <c r="AA270" s="369" t="str">
        <f t="shared" si="171"/>
        <v/>
      </c>
      <c r="AB270" s="369" t="str">
        <f t="shared" si="170"/>
        <v/>
      </c>
      <c r="AC270" s="369" t="str">
        <f t="shared" si="161"/>
        <v/>
      </c>
      <c r="AD270" s="369" t="str">
        <f t="shared" si="162"/>
        <v/>
      </c>
      <c r="AE270" s="369" t="str">
        <f t="shared" si="163"/>
        <v/>
      </c>
      <c r="AF270" s="369" t="str">
        <f t="shared" si="164"/>
        <v/>
      </c>
      <c r="AG270" s="369" t="str">
        <f t="shared" si="165"/>
        <v/>
      </c>
      <c r="AH270" s="369" t="str">
        <f t="shared" si="166"/>
        <v/>
      </c>
      <c r="AI270" s="369" t="str">
        <f t="shared" si="167"/>
        <v/>
      </c>
      <c r="AJ270" s="369" t="str">
        <f t="shared" si="168"/>
        <v/>
      </c>
      <c r="AK270" s="369">
        <v>1</v>
      </c>
      <c r="AL270" s="370">
        <f t="shared" ca="1" si="156"/>
        <v>0</v>
      </c>
      <c r="AM270" s="370">
        <f t="shared" ca="1" si="157"/>
        <v>0</v>
      </c>
      <c r="AN270" s="370" t="str">
        <f ca="1">IF(AND(Tabla7[[#This Row],[UltLec]]&lt;&gt;0,Tabla7[[#This Row],[PenLect]]&lt;&gt;0),(AM270-AL270)*Tabla7[[#This Row],[RT]],"N/A")</f>
        <v>N/A</v>
      </c>
      <c r="AO270" s="395" t="s">
        <v>813</v>
      </c>
      <c r="AP270" s="395" t="s">
        <v>1075</v>
      </c>
      <c r="AQ270" s="395" t="s">
        <v>1074</v>
      </c>
      <c r="AR270" s="369">
        <f t="shared" si="158"/>
        <v>0</v>
      </c>
      <c r="AT270" s="2" t="e">
        <f t="shared" ca="1" si="172"/>
        <v>#VALUE!</v>
      </c>
    </row>
    <row r="271" spans="1:46" ht="18.75" customHeight="1" x14ac:dyDescent="0.25">
      <c r="A271" s="407" t="s">
        <v>19</v>
      </c>
      <c r="B271" s="54"/>
      <c r="C271" s="410" t="s">
        <v>1331</v>
      </c>
      <c r="D271" s="374" t="s">
        <v>318</v>
      </c>
      <c r="E271" s="375">
        <v>140</v>
      </c>
      <c r="F271" s="2" t="s">
        <v>332</v>
      </c>
      <c r="G271" s="2" t="s">
        <v>1022</v>
      </c>
      <c r="H271" s="2" t="s">
        <v>333</v>
      </c>
      <c r="I271" s="2"/>
      <c r="J271" s="260">
        <v>4228</v>
      </c>
      <c r="K271" s="260">
        <v>4228</v>
      </c>
      <c r="L271" s="260"/>
      <c r="O271" s="260"/>
      <c r="P271" s="260"/>
      <c r="Q271" s="260"/>
      <c r="R271" s="260"/>
      <c r="S271" s="260"/>
      <c r="U271" s="260"/>
      <c r="V271" s="260"/>
      <c r="W271" s="2"/>
      <c r="X271" s="2"/>
      <c r="Y271" s="2">
        <f t="shared" ref="Y271:Y334" si="173">IF(OR(ISBLANK(K271),ISBLANK(J271)),"",IF(AND(K271&gt;=J271,K271-J271&lt;=K271),(K271-J271)*$AK271,"!!!!"))</f>
        <v>0</v>
      </c>
      <c r="Z271" s="2" t="str">
        <f t="shared" ref="Z271:Z334" si="174">IF(OR(ISBLANK(L271),ISBLANK(K271)),"",IF(AND(L271&gt;=K271,L271-K271&lt;=L271),(L271-K271)*$AK271,"!!!!"))</f>
        <v/>
      </c>
      <c r="AA271" s="2" t="str">
        <f t="shared" si="171"/>
        <v/>
      </c>
      <c r="AB271" s="2" t="str">
        <f t="shared" si="170"/>
        <v/>
      </c>
      <c r="AC271" s="2" t="str">
        <f t="shared" si="161"/>
        <v/>
      </c>
      <c r="AD271" s="2" t="str">
        <f t="shared" si="162"/>
        <v/>
      </c>
      <c r="AE271" s="2" t="str">
        <f t="shared" si="163"/>
        <v/>
      </c>
      <c r="AF271" s="2" t="str">
        <f t="shared" si="164"/>
        <v/>
      </c>
      <c r="AG271" s="2" t="str">
        <f t="shared" si="165"/>
        <v/>
      </c>
      <c r="AH271" s="2" t="str">
        <f t="shared" si="166"/>
        <v/>
      </c>
      <c r="AI271" s="2" t="str">
        <f t="shared" si="167"/>
        <v/>
      </c>
      <c r="AJ271" s="2" t="str">
        <f t="shared" si="168"/>
        <v/>
      </c>
      <c r="AK271" s="2">
        <v>1</v>
      </c>
      <c r="AL271" s="260">
        <f t="shared" ca="1" si="156"/>
        <v>0</v>
      </c>
      <c r="AM271" s="260">
        <f t="shared" ca="1" si="157"/>
        <v>0</v>
      </c>
      <c r="AN271" s="260" t="str">
        <f ca="1">IF(AND(Tabla7[[#This Row],[UltLec]]&lt;&gt;0,Tabla7[[#This Row],[PenLect]]&lt;&gt;0),(AM271-AL271)*Tabla7[[#This Row],[RT]],"N/A")</f>
        <v>N/A</v>
      </c>
      <c r="AO271" s="380" t="s">
        <v>813</v>
      </c>
      <c r="AP271" s="380" t="s">
        <v>1075</v>
      </c>
      <c r="AQ271" s="380" t="s">
        <v>1074</v>
      </c>
      <c r="AR271" s="2">
        <f t="shared" si="158"/>
        <v>0</v>
      </c>
      <c r="AT271" s="2" t="e">
        <f t="shared" ca="1" si="172"/>
        <v>#VALUE!</v>
      </c>
    </row>
    <row r="272" spans="1:46" ht="18.75" customHeight="1" x14ac:dyDescent="0.25">
      <c r="A272" s="291" t="s">
        <v>19</v>
      </c>
      <c r="B272" s="54"/>
      <c r="C272" s="368" t="s">
        <v>1625</v>
      </c>
      <c r="D272" s="54" t="s">
        <v>318</v>
      </c>
      <c r="E272" s="232">
        <v>0</v>
      </c>
      <c r="F272" s="2" t="s">
        <v>1623</v>
      </c>
      <c r="G272" s="2"/>
      <c r="H272" s="2" t="s">
        <v>1624</v>
      </c>
      <c r="I272" s="2"/>
      <c r="J272" s="260">
        <v>44301270</v>
      </c>
      <c r="K272" s="260">
        <v>47796970</v>
      </c>
      <c r="L272" s="260"/>
      <c r="O272" s="260"/>
      <c r="P272" s="308"/>
      <c r="Q272" s="260"/>
      <c r="R272" s="260"/>
      <c r="S272" s="260"/>
      <c r="U272" s="260"/>
      <c r="V272" s="260"/>
      <c r="W272" s="2"/>
      <c r="X272" s="2"/>
      <c r="Y272" s="2">
        <f t="shared" si="173"/>
        <v>3495700</v>
      </c>
      <c r="Z272" s="2" t="str">
        <f t="shared" si="174"/>
        <v/>
      </c>
      <c r="AA272" s="2" t="str">
        <f>IF(OR(ISBLANK(#REF!),ISBLANK(L272)),"",IF(AND(#REF!&gt;=L272,#REF!-L272&lt;=#REF!),(#REF!-L272)*$AK272,"!!!!"))</f>
        <v/>
      </c>
      <c r="AB272" s="2" t="str">
        <f>IF(OR(ISBLANK(N272),ISBLANK(#REF!)),"",IF(AND(N272&gt;=#REF!,N272-#REF!&lt;=N272),(N272-#REF!)*$AK272,"!!!!"))</f>
        <v/>
      </c>
      <c r="AC272" s="2" t="str">
        <f t="shared" si="161"/>
        <v/>
      </c>
      <c r="AD272" s="2" t="str">
        <f t="shared" si="162"/>
        <v/>
      </c>
      <c r="AE272" s="2" t="str">
        <f t="shared" si="163"/>
        <v/>
      </c>
      <c r="AF272" s="2" t="str">
        <f t="shared" si="164"/>
        <v/>
      </c>
      <c r="AG272" s="2" t="str">
        <f t="shared" si="165"/>
        <v/>
      </c>
      <c r="AH272" s="2" t="str">
        <f t="shared" si="166"/>
        <v/>
      </c>
      <c r="AI272" s="2" t="str">
        <f t="shared" si="167"/>
        <v/>
      </c>
      <c r="AJ272" s="2" t="str">
        <f t="shared" si="168"/>
        <v/>
      </c>
      <c r="AK272" s="2">
        <v>1</v>
      </c>
      <c r="AL272" s="260">
        <f t="shared" ca="1" si="156"/>
        <v>0</v>
      </c>
      <c r="AM272" s="260">
        <f t="shared" ca="1" si="157"/>
        <v>0</v>
      </c>
      <c r="AN272" s="260" t="str">
        <f ca="1">IF(AND(Tabla7[[#This Row],[UltLec]]&lt;&gt;0,Tabla7[[#This Row],[PenLect]]&lt;&gt;0),(AM272-AL272)*Tabla7[[#This Row],[RT]],"N/A")</f>
        <v>N/A</v>
      </c>
      <c r="AO272" s="380" t="s">
        <v>813</v>
      </c>
      <c r="AP272" s="380" t="s">
        <v>1075</v>
      </c>
      <c r="AQ272" s="380"/>
      <c r="AR272" s="2">
        <f t="shared" si="158"/>
        <v>0</v>
      </c>
      <c r="AT272" s="2" t="e">
        <f t="shared" ca="1" si="172"/>
        <v>#VALUE!</v>
      </c>
    </row>
    <row r="273" spans="1:46" ht="18.75" customHeight="1" x14ac:dyDescent="0.25">
      <c r="A273" s="291" t="s">
        <v>19</v>
      </c>
      <c r="B273" s="54"/>
      <c r="C273" s="368" t="s">
        <v>1622</v>
      </c>
      <c r="D273" s="54" t="s">
        <v>318</v>
      </c>
      <c r="E273" s="232">
        <v>0</v>
      </c>
      <c r="F273" s="2" t="s">
        <v>1623</v>
      </c>
      <c r="G273" s="2"/>
      <c r="H273" s="2" t="s">
        <v>1624</v>
      </c>
      <c r="I273" s="2"/>
      <c r="J273" s="260">
        <v>40267099</v>
      </c>
      <c r="K273" s="260">
        <v>44660528</v>
      </c>
      <c r="L273" s="260"/>
      <c r="O273" s="260"/>
      <c r="P273" s="308"/>
      <c r="Q273" s="260"/>
      <c r="R273" s="260"/>
      <c r="S273" s="260"/>
      <c r="U273" s="260"/>
      <c r="V273" s="260"/>
      <c r="W273" s="2"/>
      <c r="X273" s="2"/>
      <c r="Y273" s="2">
        <f t="shared" si="173"/>
        <v>4393429</v>
      </c>
      <c r="Z273" s="2" t="str">
        <f t="shared" si="174"/>
        <v/>
      </c>
      <c r="AA273" s="2" t="str">
        <f>IF(OR(ISBLANK(#REF!),ISBLANK(L273)),"",IF(AND(#REF!&gt;=L273,#REF!-L273&lt;=#REF!),(#REF!-L273)*$AK273,"!!!!"))</f>
        <v/>
      </c>
      <c r="AB273" s="2" t="str">
        <f>IF(OR(ISBLANK(N273),ISBLANK(#REF!)),"",IF(AND(N273&gt;=#REF!,N273-#REF!&lt;=N273),(N273-#REF!)*$AK273,"!!!!"))</f>
        <v/>
      </c>
      <c r="AC273" s="2" t="str">
        <f t="shared" si="161"/>
        <v/>
      </c>
      <c r="AD273" s="2" t="str">
        <f t="shared" si="162"/>
        <v/>
      </c>
      <c r="AE273" s="2" t="str">
        <f t="shared" si="163"/>
        <v/>
      </c>
      <c r="AF273" s="2" t="str">
        <f t="shared" si="164"/>
        <v/>
      </c>
      <c r="AG273" s="2" t="str">
        <f t="shared" si="165"/>
        <v/>
      </c>
      <c r="AH273" s="2" t="str">
        <f t="shared" si="166"/>
        <v/>
      </c>
      <c r="AI273" s="2" t="str">
        <f t="shared" si="167"/>
        <v/>
      </c>
      <c r="AJ273" s="2" t="str">
        <f t="shared" si="168"/>
        <v/>
      </c>
      <c r="AK273" s="2">
        <v>1</v>
      </c>
      <c r="AL273" s="260">
        <f t="shared" ca="1" si="156"/>
        <v>0</v>
      </c>
      <c r="AM273" s="260">
        <f t="shared" ca="1" si="157"/>
        <v>0</v>
      </c>
      <c r="AN273" s="260" t="str">
        <f ca="1">IF(AND(Tabla7[[#This Row],[UltLec]]&lt;&gt;0,Tabla7[[#This Row],[PenLect]]&lt;&gt;0),(AM273-AL273)*Tabla7[[#This Row],[RT]],"N/A")</f>
        <v>N/A</v>
      </c>
      <c r="AO273" s="380" t="s">
        <v>813</v>
      </c>
      <c r="AP273" s="380" t="s">
        <v>1075</v>
      </c>
      <c r="AQ273" s="380"/>
      <c r="AR273" s="2">
        <f t="shared" si="158"/>
        <v>0</v>
      </c>
      <c r="AT273" s="2" t="e">
        <f t="shared" ca="1" si="172"/>
        <v>#VALUE!</v>
      </c>
    </row>
    <row r="274" spans="1:46" ht="18.75" hidden="1" customHeight="1" x14ac:dyDescent="0.25">
      <c r="A274" s="418" t="s">
        <v>1080</v>
      </c>
      <c r="B274" s="350"/>
      <c r="C274" s="436" t="s">
        <v>307</v>
      </c>
      <c r="D274" s="350" t="s">
        <v>306</v>
      </c>
      <c r="E274" s="438">
        <v>39075</v>
      </c>
      <c r="F274" s="352" t="s">
        <v>82</v>
      </c>
      <c r="G274" s="352" t="s">
        <v>308</v>
      </c>
      <c r="H274" s="352" t="s">
        <v>445</v>
      </c>
      <c r="I274" s="352" t="s">
        <v>1412</v>
      </c>
      <c r="J274" s="351"/>
      <c r="K274" s="351"/>
      <c r="L274" s="351"/>
      <c r="M274" s="351"/>
      <c r="N274" s="351"/>
      <c r="O274" s="351"/>
      <c r="P274" s="351"/>
      <c r="Q274" s="351"/>
      <c r="R274" s="351"/>
      <c r="S274" s="351"/>
      <c r="T274" s="351"/>
      <c r="U274" s="351"/>
      <c r="V274" s="351"/>
      <c r="W274" s="351"/>
      <c r="X274" s="352"/>
      <c r="Y274" s="352" t="str">
        <f t="shared" si="173"/>
        <v/>
      </c>
      <c r="Z274" s="352" t="str">
        <f t="shared" si="174"/>
        <v/>
      </c>
      <c r="AA274" s="352" t="str">
        <f t="shared" ref="AA274:AA291" si="175">IF(OR(ISBLANK(M274),ISBLANK(L274)),"",IF(AND(M274&gt;=L274,M274-L274&lt;=M274),(M274-L274)*$AK274,"!!!!"))</f>
        <v/>
      </c>
      <c r="AB274" s="352" t="str">
        <f t="shared" ref="AB274:AB291" si="176">IF(OR(ISBLANK(N274),ISBLANK(M274)),"",IF(AND(N274&gt;=M274,N274-M274&lt;=N274),(N274-M274)*$AK274,"!!!!"))</f>
        <v/>
      </c>
      <c r="AC274" s="352" t="str">
        <f t="shared" si="161"/>
        <v/>
      </c>
      <c r="AD274" s="352" t="str">
        <f t="shared" si="162"/>
        <v/>
      </c>
      <c r="AE274" s="352" t="str">
        <f t="shared" si="163"/>
        <v/>
      </c>
      <c r="AF274" s="352" t="str">
        <f t="shared" si="164"/>
        <v/>
      </c>
      <c r="AG274" s="352" t="str">
        <f t="shared" si="165"/>
        <v/>
      </c>
      <c r="AH274" s="352" t="str">
        <f t="shared" si="166"/>
        <v/>
      </c>
      <c r="AI274" s="352" t="str">
        <f t="shared" si="167"/>
        <v/>
      </c>
      <c r="AJ274" s="352" t="str">
        <f t="shared" si="168"/>
        <v/>
      </c>
      <c r="AK274" s="352">
        <v>200</v>
      </c>
      <c r="AL274" s="351">
        <f t="shared" ca="1" si="156"/>
        <v>0</v>
      </c>
      <c r="AM274" s="351">
        <f t="shared" ca="1" si="157"/>
        <v>0</v>
      </c>
      <c r="AN274" s="351" t="str">
        <f ca="1">IF(AND(Tabla7[[#This Row],[UltLec]]&lt;&gt;0,Tabla7[[#This Row],[PenLect]]&lt;&gt;0),(AM274-AL274)*Tabla7[[#This Row],[RT]],"N/A")</f>
        <v>N/A</v>
      </c>
      <c r="AO274" s="397" t="s">
        <v>1160</v>
      </c>
      <c r="AP274" s="397" t="s">
        <v>1075</v>
      </c>
      <c r="AQ274" s="397" t="s">
        <v>1074</v>
      </c>
      <c r="AR274" s="352">
        <f t="shared" si="158"/>
        <v>0</v>
      </c>
      <c r="AT274" s="2" t="e">
        <f t="shared" ca="1" si="172"/>
        <v>#VALUE!</v>
      </c>
    </row>
    <row r="275" spans="1:46" ht="18.75" hidden="1" customHeight="1" x14ac:dyDescent="0.25">
      <c r="A275" s="418" t="s">
        <v>1080</v>
      </c>
      <c r="B275" s="273"/>
      <c r="C275" s="276" t="s">
        <v>309</v>
      </c>
      <c r="D275" s="273" t="s">
        <v>306</v>
      </c>
      <c r="E275" s="274">
        <v>150</v>
      </c>
      <c r="F275" s="275" t="s">
        <v>21</v>
      </c>
      <c r="G275" s="275" t="s">
        <v>308</v>
      </c>
      <c r="H275" s="275" t="s">
        <v>310</v>
      </c>
      <c r="I275" s="275" t="s">
        <v>1413</v>
      </c>
      <c r="J275" s="277"/>
      <c r="K275" s="277"/>
      <c r="L275" s="277"/>
      <c r="M275" s="277"/>
      <c r="N275" s="277"/>
      <c r="O275" s="277"/>
      <c r="P275" s="277"/>
      <c r="Q275" s="277"/>
      <c r="R275" s="277"/>
      <c r="S275" s="277"/>
      <c r="T275" s="277"/>
      <c r="U275" s="277"/>
      <c r="V275" s="277"/>
      <c r="W275" s="275"/>
      <c r="X275" s="275"/>
      <c r="Y275" s="275" t="str">
        <f t="shared" si="173"/>
        <v/>
      </c>
      <c r="Z275" s="275" t="str">
        <f t="shared" si="174"/>
        <v/>
      </c>
      <c r="AA275" s="275" t="str">
        <f t="shared" si="175"/>
        <v/>
      </c>
      <c r="AB275" s="275" t="str">
        <f t="shared" si="176"/>
        <v/>
      </c>
      <c r="AC275" s="275" t="str">
        <f t="shared" si="161"/>
        <v/>
      </c>
      <c r="AD275" s="275" t="str">
        <f t="shared" si="162"/>
        <v/>
      </c>
      <c r="AE275" s="275" t="str">
        <f t="shared" si="163"/>
        <v/>
      </c>
      <c r="AF275" s="275" t="str">
        <f t="shared" si="164"/>
        <v/>
      </c>
      <c r="AG275" s="275" t="str">
        <f t="shared" si="165"/>
        <v/>
      </c>
      <c r="AH275" s="275" t="str">
        <f t="shared" si="166"/>
        <v/>
      </c>
      <c r="AI275" s="275" t="str">
        <f t="shared" si="167"/>
        <v/>
      </c>
      <c r="AJ275" s="275" t="str">
        <f t="shared" si="168"/>
        <v/>
      </c>
      <c r="AK275" s="275">
        <v>1</v>
      </c>
      <c r="AL275" s="277">
        <f t="shared" ca="1" si="156"/>
        <v>0</v>
      </c>
      <c r="AM275" s="277">
        <f t="shared" ca="1" si="157"/>
        <v>0</v>
      </c>
      <c r="AN275" s="277" t="str">
        <f ca="1">IF(AND(Tabla7[[#This Row],[UltLec]]&lt;&gt;0,Tabla7[[#This Row],[PenLect]]&lt;&gt;0),(AM275-AL275)*Tabla7[[#This Row],[RT]],"N/A")</f>
        <v>N/A</v>
      </c>
      <c r="AO275" s="393" t="s">
        <v>1160</v>
      </c>
      <c r="AP275" s="393" t="s">
        <v>1075</v>
      </c>
      <c r="AQ275" s="393" t="s">
        <v>1074</v>
      </c>
      <c r="AR275" s="275">
        <f t="shared" si="158"/>
        <v>0</v>
      </c>
      <c r="AT275" s="2" t="e">
        <f t="shared" ca="1" si="172"/>
        <v>#VALUE!</v>
      </c>
    </row>
    <row r="276" spans="1:46" ht="18.75" customHeight="1" x14ac:dyDescent="0.25">
      <c r="A276" s="291" t="s">
        <v>19</v>
      </c>
      <c r="B276" s="54"/>
      <c r="C276" s="239" t="s">
        <v>1148</v>
      </c>
      <c r="D276" s="54" t="s">
        <v>680</v>
      </c>
      <c r="E276" s="232">
        <v>150</v>
      </c>
      <c r="F276" s="2" t="s">
        <v>21</v>
      </c>
      <c r="G276" s="2" t="s">
        <v>20</v>
      </c>
      <c r="H276" s="2"/>
      <c r="I276" s="2" t="s">
        <v>747</v>
      </c>
      <c r="J276" s="260">
        <v>21959</v>
      </c>
      <c r="K276" s="260">
        <v>22102</v>
      </c>
      <c r="L276" s="260"/>
      <c r="O276" s="260"/>
      <c r="P276" s="260"/>
      <c r="Q276" s="260"/>
      <c r="R276" s="260"/>
      <c r="S276" s="260"/>
      <c r="U276" s="260"/>
      <c r="V276" s="260"/>
      <c r="W276" s="2"/>
      <c r="X276" s="2"/>
      <c r="Y276" s="2">
        <f t="shared" si="173"/>
        <v>17160</v>
      </c>
      <c r="Z276" s="2" t="str">
        <f t="shared" si="174"/>
        <v/>
      </c>
      <c r="AA276" s="2" t="str">
        <f t="shared" si="175"/>
        <v/>
      </c>
      <c r="AB276" s="2" t="str">
        <f t="shared" si="176"/>
        <v/>
      </c>
      <c r="AC276" s="2" t="str">
        <f t="shared" si="161"/>
        <v/>
      </c>
      <c r="AD276" s="2" t="str">
        <f t="shared" si="162"/>
        <v/>
      </c>
      <c r="AE276" s="2" t="str">
        <f t="shared" si="163"/>
        <v/>
      </c>
      <c r="AF276" s="2" t="str">
        <f t="shared" si="164"/>
        <v/>
      </c>
      <c r="AG276" s="2" t="str">
        <f t="shared" si="165"/>
        <v/>
      </c>
      <c r="AH276" s="2" t="str">
        <f t="shared" si="166"/>
        <v/>
      </c>
      <c r="AI276" s="2" t="str">
        <f t="shared" si="167"/>
        <v/>
      </c>
      <c r="AJ276" s="2" t="str">
        <f t="shared" si="168"/>
        <v/>
      </c>
      <c r="AK276" s="2">
        <v>120</v>
      </c>
      <c r="AL276" s="260">
        <f t="shared" ca="1" si="156"/>
        <v>0</v>
      </c>
      <c r="AM276" s="260">
        <f t="shared" ca="1" si="157"/>
        <v>0</v>
      </c>
      <c r="AN276" s="260" t="str">
        <f ca="1">IF(AND(Tabla7[[#This Row],[UltLec]]&lt;&gt;0,Tabla7[[#This Row],[PenLect]]&lt;&gt;0),(AM276-AL276)*Tabla7[[#This Row],[RT]],"N/A")</f>
        <v>N/A</v>
      </c>
      <c r="AO276" s="380" t="s">
        <v>813</v>
      </c>
      <c r="AP276" s="380" t="s">
        <v>1075</v>
      </c>
      <c r="AQ276" s="380" t="s">
        <v>1074</v>
      </c>
      <c r="AR276" s="2">
        <f t="shared" si="158"/>
        <v>0</v>
      </c>
      <c r="AT276" s="2" t="e">
        <f t="shared" ca="1" si="172"/>
        <v>#VALUE!</v>
      </c>
    </row>
    <row r="277" spans="1:46" ht="18.75" customHeight="1" x14ac:dyDescent="0.25">
      <c r="A277" s="414" t="s">
        <v>19</v>
      </c>
      <c r="B277" s="54"/>
      <c r="C277" s="54">
        <v>500018</v>
      </c>
      <c r="D277" s="54" t="s">
        <v>22</v>
      </c>
      <c r="E277" s="232">
        <v>39331</v>
      </c>
      <c r="F277" s="2" t="s">
        <v>1374</v>
      </c>
      <c r="G277" s="2" t="s">
        <v>894</v>
      </c>
      <c r="H277" s="2" t="s">
        <v>24</v>
      </c>
      <c r="I277" s="2" t="s">
        <v>1373</v>
      </c>
      <c r="J277" s="260">
        <v>42866</v>
      </c>
      <c r="K277" s="260">
        <v>43101</v>
      </c>
      <c r="L277" s="260"/>
      <c r="O277" s="260"/>
      <c r="P277" s="260"/>
      <c r="Q277" s="260"/>
      <c r="R277" s="260"/>
      <c r="S277" s="260"/>
      <c r="U277" s="260"/>
      <c r="V277" s="260"/>
      <c r="W277" s="260"/>
      <c r="X277" s="2"/>
      <c r="Y277" s="2">
        <f t="shared" si="173"/>
        <v>9400</v>
      </c>
      <c r="Z277" s="2" t="str">
        <f t="shared" si="174"/>
        <v/>
      </c>
      <c r="AA277" s="2" t="str">
        <f t="shared" si="175"/>
        <v/>
      </c>
      <c r="AB277" s="2" t="str">
        <f t="shared" si="176"/>
        <v/>
      </c>
      <c r="AC277" s="2" t="str">
        <f t="shared" si="161"/>
        <v/>
      </c>
      <c r="AD277" s="2" t="str">
        <f t="shared" si="162"/>
        <v/>
      </c>
      <c r="AE277" s="2" t="str">
        <f t="shared" si="163"/>
        <v/>
      </c>
      <c r="AF277" s="2" t="str">
        <f t="shared" si="164"/>
        <v/>
      </c>
      <c r="AG277" s="2" t="str">
        <f t="shared" si="165"/>
        <v/>
      </c>
      <c r="AH277" s="2" t="str">
        <f t="shared" si="166"/>
        <v/>
      </c>
      <c r="AI277" s="2" t="str">
        <f t="shared" si="167"/>
        <v/>
      </c>
      <c r="AJ277" s="2" t="str">
        <f t="shared" si="168"/>
        <v/>
      </c>
      <c r="AK277" s="2">
        <v>40</v>
      </c>
      <c r="AL277" s="260">
        <f t="shared" ca="1" si="156"/>
        <v>0</v>
      </c>
      <c r="AM277" s="260">
        <f t="shared" ca="1" si="157"/>
        <v>0</v>
      </c>
      <c r="AN277" s="260" t="str">
        <f ca="1">IF(AND(Tabla7[[#This Row],[UltLec]]&lt;&gt;0,Tabla7[[#This Row],[PenLect]]&lt;&gt;0),(AM277-AL277)*Tabla7[[#This Row],[RT]],"N/A")</f>
        <v>N/A</v>
      </c>
      <c r="AO277" s="380" t="s">
        <v>813</v>
      </c>
      <c r="AP277" s="380" t="s">
        <v>1075</v>
      </c>
      <c r="AQ277" s="380" t="s">
        <v>1074</v>
      </c>
      <c r="AR277" s="2">
        <f t="shared" si="158"/>
        <v>0</v>
      </c>
      <c r="AT277" s="2" t="e">
        <f t="shared" ca="1" si="172"/>
        <v>#VALUE!</v>
      </c>
    </row>
    <row r="278" spans="1:46" ht="18.75" customHeight="1" x14ac:dyDescent="0.25">
      <c r="A278" s="291" t="s">
        <v>19</v>
      </c>
      <c r="B278" s="54">
        <v>945</v>
      </c>
      <c r="C278" s="239">
        <v>18506393</v>
      </c>
      <c r="D278" s="54" t="s">
        <v>22</v>
      </c>
      <c r="E278" s="232">
        <v>39416</v>
      </c>
      <c r="F278" s="2" t="s">
        <v>1374</v>
      </c>
      <c r="G278" s="2" t="s">
        <v>895</v>
      </c>
      <c r="H278" s="2" t="s">
        <v>29</v>
      </c>
      <c r="I278" s="2" t="s">
        <v>1373</v>
      </c>
      <c r="J278" s="260">
        <v>172271</v>
      </c>
      <c r="K278" s="260">
        <v>172790</v>
      </c>
      <c r="L278" s="260"/>
      <c r="O278" s="260"/>
      <c r="P278" s="260"/>
      <c r="Q278" s="260"/>
      <c r="R278" s="260"/>
      <c r="S278" s="260"/>
      <c r="U278" s="260"/>
      <c r="V278" s="260"/>
      <c r="W278" s="260"/>
      <c r="X278" s="2"/>
      <c r="Y278" s="2">
        <f t="shared" si="173"/>
        <v>519</v>
      </c>
      <c r="Z278" s="2" t="str">
        <f t="shared" si="174"/>
        <v/>
      </c>
      <c r="AA278" s="2" t="str">
        <f t="shared" si="175"/>
        <v/>
      </c>
      <c r="AB278" s="2" t="str">
        <f t="shared" si="176"/>
        <v/>
      </c>
      <c r="AC278" s="2" t="str">
        <f t="shared" si="161"/>
        <v/>
      </c>
      <c r="AD278" s="2" t="str">
        <f t="shared" si="162"/>
        <v/>
      </c>
      <c r="AE278" s="2" t="str">
        <f t="shared" si="163"/>
        <v/>
      </c>
      <c r="AF278" s="2" t="str">
        <f t="shared" si="164"/>
        <v/>
      </c>
      <c r="AG278" s="2" t="str">
        <f t="shared" si="165"/>
        <v/>
      </c>
      <c r="AH278" s="2" t="str">
        <f t="shared" si="166"/>
        <v/>
      </c>
      <c r="AI278" s="2" t="str">
        <f t="shared" si="167"/>
        <v/>
      </c>
      <c r="AJ278" s="2" t="str">
        <f t="shared" si="168"/>
        <v/>
      </c>
      <c r="AK278" s="2">
        <v>1</v>
      </c>
      <c r="AL278" s="260">
        <f t="shared" ca="1" si="156"/>
        <v>0</v>
      </c>
      <c r="AM278" s="260">
        <f t="shared" ca="1" si="157"/>
        <v>0</v>
      </c>
      <c r="AN278" s="260" t="str">
        <f ca="1">IF(AND(Tabla7[[#This Row],[UltLec]]&lt;&gt;0,Tabla7[[#This Row],[PenLect]]&lt;&gt;0),(AM278-AL278)*Tabla7[[#This Row],[RT]],"N/A")</f>
        <v>N/A</v>
      </c>
      <c r="AO278" s="380" t="s">
        <v>813</v>
      </c>
      <c r="AP278" s="380" t="s">
        <v>1076</v>
      </c>
      <c r="AQ278" s="380" t="s">
        <v>1074</v>
      </c>
      <c r="AR278" s="2">
        <f t="shared" si="158"/>
        <v>0</v>
      </c>
      <c r="AT278" s="2" t="e">
        <f t="shared" ca="1" si="172"/>
        <v>#VALUE!</v>
      </c>
    </row>
    <row r="279" spans="1:46" ht="18.75" customHeight="1" x14ac:dyDescent="0.25">
      <c r="A279" s="291" t="s">
        <v>19</v>
      </c>
      <c r="B279" s="54">
        <v>973</v>
      </c>
      <c r="C279" s="239" t="s">
        <v>30</v>
      </c>
      <c r="D279" s="54" t="s">
        <v>22</v>
      </c>
      <c r="E279" s="232">
        <v>39430</v>
      </c>
      <c r="F279" s="2" t="s">
        <v>1374</v>
      </c>
      <c r="G279" s="2" t="s">
        <v>896</v>
      </c>
      <c r="H279" s="2" t="s">
        <v>31</v>
      </c>
      <c r="I279" s="2" t="s">
        <v>1373</v>
      </c>
      <c r="J279" s="260">
        <v>697032</v>
      </c>
      <c r="K279" s="260">
        <v>702678</v>
      </c>
      <c r="L279" s="260"/>
      <c r="O279" s="260"/>
      <c r="P279" s="260"/>
      <c r="Q279" s="260"/>
      <c r="R279" s="260"/>
      <c r="S279" s="260"/>
      <c r="U279" s="260"/>
      <c r="V279" s="260"/>
      <c r="W279" s="260"/>
      <c r="X279" s="2"/>
      <c r="Y279" s="2">
        <f t="shared" si="173"/>
        <v>5646</v>
      </c>
      <c r="Z279" s="2" t="str">
        <f t="shared" si="174"/>
        <v/>
      </c>
      <c r="AA279" s="2" t="str">
        <f t="shared" si="175"/>
        <v/>
      </c>
      <c r="AB279" s="2" t="str">
        <f t="shared" si="176"/>
        <v/>
      </c>
      <c r="AC279" s="2" t="str">
        <f t="shared" si="161"/>
        <v/>
      </c>
      <c r="AD279" s="2" t="str">
        <f t="shared" si="162"/>
        <v/>
      </c>
      <c r="AE279" s="2" t="str">
        <f t="shared" si="163"/>
        <v/>
      </c>
      <c r="AF279" s="2" t="str">
        <f t="shared" si="164"/>
        <v/>
      </c>
      <c r="AG279" s="2" t="str">
        <f t="shared" si="165"/>
        <v/>
      </c>
      <c r="AH279" s="2" t="str">
        <f t="shared" si="166"/>
        <v/>
      </c>
      <c r="AI279" s="2" t="str">
        <f t="shared" si="167"/>
        <v/>
      </c>
      <c r="AJ279" s="2" t="str">
        <f t="shared" si="168"/>
        <v/>
      </c>
      <c r="AK279" s="2">
        <v>1</v>
      </c>
      <c r="AL279" s="260">
        <f t="shared" ca="1" si="156"/>
        <v>0</v>
      </c>
      <c r="AM279" s="260">
        <f t="shared" ca="1" si="157"/>
        <v>0</v>
      </c>
      <c r="AN279" s="260" t="str">
        <f ca="1">IF(AND(Tabla7[[#This Row],[UltLec]]&lt;&gt;0,Tabla7[[#This Row],[PenLect]]&lt;&gt;0),(AM279-AL279)*Tabla7[[#This Row],[RT]],"N/A")</f>
        <v>N/A</v>
      </c>
      <c r="AO279" s="380" t="s">
        <v>813</v>
      </c>
      <c r="AP279" s="380" t="s">
        <v>1075</v>
      </c>
      <c r="AQ279" s="380" t="s">
        <v>1074</v>
      </c>
      <c r="AR279" s="2">
        <f t="shared" si="158"/>
        <v>0</v>
      </c>
      <c r="AT279" s="2" t="e">
        <f t="shared" ca="1" si="172"/>
        <v>#VALUE!</v>
      </c>
    </row>
    <row r="280" spans="1:46" ht="18.75" customHeight="1" x14ac:dyDescent="0.25">
      <c r="A280" s="291" t="s">
        <v>19</v>
      </c>
      <c r="B280" s="54">
        <v>525</v>
      </c>
      <c r="C280" s="239" t="s">
        <v>25</v>
      </c>
      <c r="D280" s="54" t="s">
        <v>22</v>
      </c>
      <c r="E280" s="232">
        <v>39638</v>
      </c>
      <c r="F280" s="2" t="s">
        <v>1374</v>
      </c>
      <c r="G280" s="2" t="s">
        <v>897</v>
      </c>
      <c r="H280" s="2" t="s">
        <v>26</v>
      </c>
      <c r="I280" s="2" t="s">
        <v>1373</v>
      </c>
      <c r="J280" s="260">
        <v>672052</v>
      </c>
      <c r="K280" s="260">
        <v>677408</v>
      </c>
      <c r="L280" s="260"/>
      <c r="O280" s="260"/>
      <c r="P280" s="260"/>
      <c r="Q280" s="260"/>
      <c r="R280" s="260"/>
      <c r="S280" s="260"/>
      <c r="U280" s="260"/>
      <c r="V280" s="260"/>
      <c r="W280" s="260"/>
      <c r="X280" s="2"/>
      <c r="Y280" s="2">
        <f t="shared" si="173"/>
        <v>5356</v>
      </c>
      <c r="Z280" s="2" t="str">
        <f t="shared" si="174"/>
        <v/>
      </c>
      <c r="AA280" s="2" t="str">
        <f t="shared" si="175"/>
        <v/>
      </c>
      <c r="AB280" s="2" t="str">
        <f t="shared" si="176"/>
        <v/>
      </c>
      <c r="AC280" s="2" t="str">
        <f t="shared" si="161"/>
        <v/>
      </c>
      <c r="AD280" s="2" t="str">
        <f t="shared" si="162"/>
        <v/>
      </c>
      <c r="AE280" s="2" t="str">
        <f t="shared" si="163"/>
        <v/>
      </c>
      <c r="AF280" s="2" t="str">
        <f t="shared" si="164"/>
        <v/>
      </c>
      <c r="AG280" s="2" t="str">
        <f t="shared" si="165"/>
        <v/>
      </c>
      <c r="AH280" s="2" t="str">
        <f t="shared" si="166"/>
        <v/>
      </c>
      <c r="AI280" s="2" t="str">
        <f t="shared" si="167"/>
        <v/>
      </c>
      <c r="AJ280" s="2" t="str">
        <f t="shared" si="168"/>
        <v/>
      </c>
      <c r="AK280" s="2">
        <v>1</v>
      </c>
      <c r="AL280" s="260">
        <f t="shared" ca="1" si="156"/>
        <v>0</v>
      </c>
      <c r="AM280" s="260">
        <f t="shared" ca="1" si="157"/>
        <v>0</v>
      </c>
      <c r="AN280" s="260" t="str">
        <f ca="1">IF(AND(Tabla7[[#This Row],[UltLec]]&lt;&gt;0,Tabla7[[#This Row],[PenLect]]&lt;&gt;0),(AM280-AL280)*Tabla7[[#This Row],[RT]],"N/A")</f>
        <v>N/A</v>
      </c>
      <c r="AO280" s="380" t="s">
        <v>813</v>
      </c>
      <c r="AP280" s="380" t="s">
        <v>1075</v>
      </c>
      <c r="AQ280" s="380" t="s">
        <v>1074</v>
      </c>
      <c r="AR280" s="2">
        <f t="shared" si="158"/>
        <v>0</v>
      </c>
      <c r="AT280" s="2" t="e">
        <f t="shared" ca="1" si="172"/>
        <v>#VALUE!</v>
      </c>
    </row>
    <row r="281" spans="1:46" ht="18" customHeight="1" x14ac:dyDescent="0.25">
      <c r="A281" s="291" t="s">
        <v>19</v>
      </c>
      <c r="B281" s="54">
        <v>952</v>
      </c>
      <c r="C281" s="239" t="s">
        <v>27</v>
      </c>
      <c r="D281" s="54" t="s">
        <v>22</v>
      </c>
      <c r="E281" s="232">
        <v>39426</v>
      </c>
      <c r="F281" s="2" t="s">
        <v>1374</v>
      </c>
      <c r="G281" s="2" t="s">
        <v>898</v>
      </c>
      <c r="H281" s="2" t="s">
        <v>28</v>
      </c>
      <c r="I281" s="2" t="s">
        <v>1373</v>
      </c>
      <c r="J281" s="260">
        <v>1007416</v>
      </c>
      <c r="K281" s="260">
        <v>1015347</v>
      </c>
      <c r="L281" s="260"/>
      <c r="O281" s="260"/>
      <c r="P281" s="260"/>
      <c r="Q281" s="260"/>
      <c r="R281" s="260"/>
      <c r="S281" s="260"/>
      <c r="U281" s="260"/>
      <c r="V281" s="260"/>
      <c r="W281" s="260"/>
      <c r="X281" s="2"/>
      <c r="Y281" s="2">
        <f t="shared" si="173"/>
        <v>7931</v>
      </c>
      <c r="Z281" s="2" t="str">
        <f t="shared" si="174"/>
        <v/>
      </c>
      <c r="AA281" s="2" t="str">
        <f t="shared" si="175"/>
        <v/>
      </c>
      <c r="AB281" s="2" t="str">
        <f t="shared" si="176"/>
        <v/>
      </c>
      <c r="AC281" s="2" t="str">
        <f t="shared" si="161"/>
        <v/>
      </c>
      <c r="AD281" s="2" t="str">
        <f t="shared" si="162"/>
        <v/>
      </c>
      <c r="AE281" s="2" t="str">
        <f t="shared" si="163"/>
        <v/>
      </c>
      <c r="AF281" s="2" t="str">
        <f t="shared" si="164"/>
        <v/>
      </c>
      <c r="AG281" s="2" t="str">
        <f t="shared" si="165"/>
        <v/>
      </c>
      <c r="AH281" s="2" t="str">
        <f t="shared" si="166"/>
        <v/>
      </c>
      <c r="AI281" s="2" t="str">
        <f t="shared" si="167"/>
        <v/>
      </c>
      <c r="AJ281" s="2" t="str">
        <f t="shared" si="168"/>
        <v/>
      </c>
      <c r="AK281" s="2">
        <v>1</v>
      </c>
      <c r="AL281" s="260">
        <f t="shared" ca="1" si="156"/>
        <v>0</v>
      </c>
      <c r="AM281" s="260">
        <f t="shared" ca="1" si="157"/>
        <v>0</v>
      </c>
      <c r="AN281" s="260" t="str">
        <f ca="1">IF(AND(Tabla7[[#This Row],[UltLec]]&lt;&gt;0,Tabla7[[#This Row],[PenLect]]&lt;&gt;0),(AM281-AL281)*Tabla7[[#This Row],[RT]],"N/A")</f>
        <v>N/A</v>
      </c>
      <c r="AO281" s="380" t="s">
        <v>813</v>
      </c>
      <c r="AP281" s="380" t="s">
        <v>1075</v>
      </c>
      <c r="AQ281" s="380" t="s">
        <v>1074</v>
      </c>
      <c r="AR281" s="2">
        <f t="shared" si="158"/>
        <v>0</v>
      </c>
      <c r="AT281" s="2" t="e">
        <f t="shared" ca="1" si="172"/>
        <v>#VALUE!</v>
      </c>
    </row>
    <row r="282" spans="1:46" ht="18.75" customHeight="1" x14ac:dyDescent="0.25">
      <c r="A282" s="291" t="s">
        <v>19</v>
      </c>
      <c r="B282" s="54"/>
      <c r="C282" s="239">
        <v>5215981</v>
      </c>
      <c r="D282" s="54" t="s">
        <v>32</v>
      </c>
      <c r="E282" s="232">
        <v>39334</v>
      </c>
      <c r="F282" s="2" t="s">
        <v>1374</v>
      </c>
      <c r="G282" s="2" t="s">
        <v>33</v>
      </c>
      <c r="H282" s="2"/>
      <c r="I282" s="2" t="s">
        <v>1373</v>
      </c>
      <c r="J282" s="260">
        <v>428144</v>
      </c>
      <c r="K282" s="260">
        <v>432546</v>
      </c>
      <c r="L282" s="260"/>
      <c r="O282" s="260"/>
      <c r="P282" s="260"/>
      <c r="Q282" s="260"/>
      <c r="R282" s="260"/>
      <c r="S282" s="260"/>
      <c r="U282" s="260"/>
      <c r="V282" s="260"/>
      <c r="W282" s="260"/>
      <c r="X282" s="2"/>
      <c r="Y282" s="2">
        <f t="shared" si="173"/>
        <v>4402</v>
      </c>
      <c r="Z282" s="2" t="str">
        <f t="shared" si="174"/>
        <v/>
      </c>
      <c r="AA282" s="2" t="str">
        <f t="shared" si="175"/>
        <v/>
      </c>
      <c r="AB282" s="2" t="str">
        <f t="shared" si="176"/>
        <v/>
      </c>
      <c r="AC282" s="2" t="str">
        <f t="shared" si="161"/>
        <v/>
      </c>
      <c r="AD282" s="2" t="str">
        <f t="shared" si="162"/>
        <v/>
      </c>
      <c r="AE282" s="2" t="str">
        <f t="shared" si="163"/>
        <v/>
      </c>
      <c r="AF282" s="2" t="str">
        <f t="shared" si="164"/>
        <v/>
      </c>
      <c r="AG282" s="2" t="str">
        <f t="shared" si="165"/>
        <v/>
      </c>
      <c r="AH282" s="2" t="str">
        <f t="shared" si="166"/>
        <v/>
      </c>
      <c r="AI282" s="2" t="str">
        <f t="shared" si="167"/>
        <v/>
      </c>
      <c r="AJ282" s="2" t="str">
        <f t="shared" si="168"/>
        <v/>
      </c>
      <c r="AK282" s="2">
        <v>1</v>
      </c>
      <c r="AL282" s="260">
        <f t="shared" ca="1" si="156"/>
        <v>0</v>
      </c>
      <c r="AM282" s="260">
        <f t="shared" ca="1" si="157"/>
        <v>0</v>
      </c>
      <c r="AN282" s="260" t="str">
        <f ca="1">IF(AND(Tabla7[[#This Row],[UltLec]]&lt;&gt;0,Tabla7[[#This Row],[PenLect]]&lt;&gt;0),(AM282-AL282)*Tabla7[[#This Row],[RT]],"N/A")</f>
        <v>N/A</v>
      </c>
      <c r="AO282" s="380" t="s">
        <v>813</v>
      </c>
      <c r="AP282" s="380" t="s">
        <v>1075</v>
      </c>
      <c r="AQ282" s="380" t="s">
        <v>1074</v>
      </c>
      <c r="AR282" s="2">
        <f t="shared" si="158"/>
        <v>0</v>
      </c>
      <c r="AT282" s="2" t="e">
        <f t="shared" ca="1" si="172"/>
        <v>#VALUE!</v>
      </c>
    </row>
    <row r="283" spans="1:46" ht="18.75" customHeight="1" x14ac:dyDescent="0.25">
      <c r="A283" s="291" t="s">
        <v>19</v>
      </c>
      <c r="B283" s="54">
        <v>1084</v>
      </c>
      <c r="C283" s="239">
        <v>55158086</v>
      </c>
      <c r="D283" s="54" t="s">
        <v>32</v>
      </c>
      <c r="E283" s="232">
        <v>39495</v>
      </c>
      <c r="F283" s="2" t="s">
        <v>1374</v>
      </c>
      <c r="G283" s="2" t="s">
        <v>34</v>
      </c>
      <c r="H283" s="2" t="s">
        <v>35</v>
      </c>
      <c r="I283" s="2" t="s">
        <v>1373</v>
      </c>
      <c r="J283" s="260">
        <v>8598</v>
      </c>
      <c r="K283" s="260">
        <v>8812</v>
      </c>
      <c r="L283" s="260"/>
      <c r="O283" s="260"/>
      <c r="P283" s="260"/>
      <c r="Q283" s="260"/>
      <c r="R283" s="260"/>
      <c r="S283" s="260"/>
      <c r="U283" s="260"/>
      <c r="V283" s="260"/>
      <c r="W283" s="260"/>
      <c r="X283" s="2"/>
      <c r="Y283" s="2">
        <f t="shared" si="173"/>
        <v>6420</v>
      </c>
      <c r="Z283" s="2" t="str">
        <f t="shared" si="174"/>
        <v/>
      </c>
      <c r="AA283" s="2" t="str">
        <f t="shared" si="175"/>
        <v/>
      </c>
      <c r="AB283" s="2" t="str">
        <f t="shared" si="176"/>
        <v/>
      </c>
      <c r="AC283" s="2" t="str">
        <f t="shared" si="161"/>
        <v/>
      </c>
      <c r="AD283" s="2" t="str">
        <f t="shared" si="162"/>
        <v/>
      </c>
      <c r="AE283" s="2" t="str">
        <f t="shared" si="163"/>
        <v/>
      </c>
      <c r="AF283" s="2" t="str">
        <f t="shared" si="164"/>
        <v/>
      </c>
      <c r="AG283" s="2" t="str">
        <f t="shared" si="165"/>
        <v/>
      </c>
      <c r="AH283" s="2" t="str">
        <f t="shared" si="166"/>
        <v/>
      </c>
      <c r="AI283" s="2" t="str">
        <f t="shared" si="167"/>
        <v/>
      </c>
      <c r="AJ283" s="2" t="str">
        <f t="shared" si="168"/>
        <v/>
      </c>
      <c r="AK283" s="2">
        <v>30</v>
      </c>
      <c r="AL283" s="260">
        <f t="shared" ca="1" si="156"/>
        <v>0</v>
      </c>
      <c r="AM283" s="260">
        <f t="shared" ca="1" si="157"/>
        <v>0</v>
      </c>
      <c r="AN283" s="260" t="str">
        <f ca="1">IF(AND(Tabla7[[#This Row],[UltLec]]&lt;&gt;0,Tabla7[[#This Row],[PenLect]]&lt;&gt;0),(AM283-AL283)*Tabla7[[#This Row],[RT]],"N/A")</f>
        <v>N/A</v>
      </c>
      <c r="AO283" s="380" t="s">
        <v>813</v>
      </c>
      <c r="AP283" s="380" t="s">
        <v>1075</v>
      </c>
      <c r="AQ283" s="380" t="s">
        <v>1074</v>
      </c>
      <c r="AR283" s="2">
        <f t="shared" si="158"/>
        <v>0</v>
      </c>
      <c r="AT283" s="2" t="e">
        <f t="shared" ca="1" si="172"/>
        <v>#VALUE!</v>
      </c>
    </row>
    <row r="284" spans="1:46" ht="18.75" hidden="1" customHeight="1" x14ac:dyDescent="0.25">
      <c r="A284" s="418" t="s">
        <v>1080</v>
      </c>
      <c r="B284" s="273"/>
      <c r="C284" s="276">
        <v>5356191</v>
      </c>
      <c r="D284" s="273" t="s">
        <v>36</v>
      </c>
      <c r="E284" s="274">
        <v>39333</v>
      </c>
      <c r="F284" s="393" t="s">
        <v>23</v>
      </c>
      <c r="G284" s="393" t="s">
        <v>38</v>
      </c>
      <c r="H284" s="393" t="s">
        <v>45</v>
      </c>
      <c r="I284" s="393" t="s">
        <v>753</v>
      </c>
      <c r="J284" s="393"/>
      <c r="K284" s="393"/>
      <c r="L284" s="393"/>
      <c r="M284" s="393"/>
      <c r="N284" s="393"/>
      <c r="O284" s="393"/>
      <c r="P284" s="393"/>
      <c r="Q284" s="393"/>
      <c r="R284" s="393"/>
      <c r="S284" s="393"/>
      <c r="T284" s="393"/>
      <c r="U284" s="393"/>
      <c r="V284" s="393"/>
      <c r="W284" s="393"/>
      <c r="X284" s="393"/>
      <c r="Y284" s="393" t="str">
        <f t="shared" si="173"/>
        <v/>
      </c>
      <c r="Z284" s="393" t="str">
        <f t="shared" si="174"/>
        <v/>
      </c>
      <c r="AA284" s="393" t="str">
        <f t="shared" si="175"/>
        <v/>
      </c>
      <c r="AB284" s="393" t="str">
        <f t="shared" si="176"/>
        <v/>
      </c>
      <c r="AC284" s="393" t="str">
        <f t="shared" si="161"/>
        <v/>
      </c>
      <c r="AD284" s="393" t="str">
        <f t="shared" si="162"/>
        <v/>
      </c>
      <c r="AE284" s="393" t="str">
        <f t="shared" si="163"/>
        <v/>
      </c>
      <c r="AF284" s="393" t="str">
        <f t="shared" si="164"/>
        <v/>
      </c>
      <c r="AG284" s="393" t="str">
        <f t="shared" si="165"/>
        <v/>
      </c>
      <c r="AH284" s="393" t="str">
        <f t="shared" si="166"/>
        <v/>
      </c>
      <c r="AI284" s="393" t="str">
        <f t="shared" si="167"/>
        <v/>
      </c>
      <c r="AJ284" s="393" t="str">
        <f t="shared" si="168"/>
        <v/>
      </c>
      <c r="AK284" s="393">
        <v>15</v>
      </c>
      <c r="AL284" s="393">
        <f t="shared" ca="1" si="156"/>
        <v>0</v>
      </c>
      <c r="AM284" s="394">
        <f t="shared" ca="1" si="157"/>
        <v>0</v>
      </c>
      <c r="AN284" s="393" t="str">
        <f ca="1">IF(AND(Tabla7[[#This Row],[UltLec]]&lt;&gt;0,Tabla7[[#This Row],[PenLect]]&lt;&gt;0),(AM284-AL284)*Tabla7[[#This Row],[RT]],"N/A")</f>
        <v>N/A</v>
      </c>
      <c r="AO284" s="393" t="s">
        <v>1160</v>
      </c>
      <c r="AP284" s="393" t="s">
        <v>1075</v>
      </c>
      <c r="AQ284" s="393" t="s">
        <v>1074</v>
      </c>
      <c r="AR284" s="393">
        <f t="shared" si="158"/>
        <v>0</v>
      </c>
      <c r="AT284" s="2" t="e">
        <f t="shared" ca="1" si="172"/>
        <v>#VALUE!</v>
      </c>
    </row>
    <row r="285" spans="1:46" ht="18.75" customHeight="1" x14ac:dyDescent="0.25">
      <c r="A285" s="291" t="s">
        <v>19</v>
      </c>
      <c r="B285" s="54"/>
      <c r="C285" s="239" t="s">
        <v>1358</v>
      </c>
      <c r="D285" s="54" t="s">
        <v>36</v>
      </c>
      <c r="E285" s="232">
        <v>39333</v>
      </c>
      <c r="F285" s="2" t="s">
        <v>1374</v>
      </c>
      <c r="G285" s="2" t="s">
        <v>38</v>
      </c>
      <c r="H285" s="2" t="s">
        <v>45</v>
      </c>
      <c r="I285" s="2" t="s">
        <v>1366</v>
      </c>
      <c r="J285" s="260">
        <v>8772</v>
      </c>
      <c r="K285" s="260">
        <v>8772</v>
      </c>
      <c r="L285" s="260"/>
      <c r="O285" s="260"/>
      <c r="P285" s="260"/>
      <c r="Q285" s="260"/>
      <c r="R285" s="260"/>
      <c r="S285" s="260"/>
      <c r="U285" s="260"/>
      <c r="V285" s="260"/>
      <c r="W285" s="260"/>
      <c r="X285" s="2"/>
      <c r="Y285" s="2">
        <f t="shared" si="173"/>
        <v>0</v>
      </c>
      <c r="Z285" s="2" t="str">
        <f t="shared" si="174"/>
        <v/>
      </c>
      <c r="AA285" s="2" t="str">
        <f t="shared" si="175"/>
        <v/>
      </c>
      <c r="AB285" s="2" t="str">
        <f t="shared" si="176"/>
        <v/>
      </c>
      <c r="AC285" s="2" t="str">
        <f t="shared" si="161"/>
        <v/>
      </c>
      <c r="AD285" s="2" t="str">
        <f t="shared" si="162"/>
        <v/>
      </c>
      <c r="AE285" s="2" t="str">
        <f t="shared" si="163"/>
        <v/>
      </c>
      <c r="AF285" s="2" t="str">
        <f t="shared" si="164"/>
        <v/>
      </c>
      <c r="AG285" s="2" t="str">
        <f t="shared" si="165"/>
        <v/>
      </c>
      <c r="AH285" s="2" t="str">
        <f t="shared" si="166"/>
        <v/>
      </c>
      <c r="AI285" s="2" t="str">
        <f t="shared" si="167"/>
        <v/>
      </c>
      <c r="AJ285" s="2" t="str">
        <f t="shared" si="168"/>
        <v/>
      </c>
      <c r="AK285" s="2">
        <v>1</v>
      </c>
      <c r="AL285" s="260">
        <f t="shared" ca="1" si="156"/>
        <v>0</v>
      </c>
      <c r="AM285" s="260">
        <f t="shared" ca="1" si="157"/>
        <v>0</v>
      </c>
      <c r="AN285" s="260" t="str">
        <f ca="1">IF(AND(Tabla7[[#This Row],[UltLec]]&lt;&gt;0,Tabla7[[#This Row],[PenLect]]&lt;&gt;0),(AM285-AL285)*Tabla7[[#This Row],[RT]],"N/A")</f>
        <v>N/A</v>
      </c>
      <c r="AO285" s="380" t="s">
        <v>813</v>
      </c>
      <c r="AP285" s="380" t="s">
        <v>1075</v>
      </c>
      <c r="AQ285" s="380" t="s">
        <v>1074</v>
      </c>
      <c r="AR285" s="2">
        <f t="shared" si="158"/>
        <v>0</v>
      </c>
      <c r="AT285" s="2" t="e">
        <f t="shared" ca="1" si="172"/>
        <v>#VALUE!</v>
      </c>
    </row>
    <row r="286" spans="1:46" ht="18.75" customHeight="1" x14ac:dyDescent="0.25">
      <c r="A286" s="291" t="s">
        <v>19</v>
      </c>
      <c r="B286" s="54"/>
      <c r="C286" s="239" t="s">
        <v>1355</v>
      </c>
      <c r="D286" s="54" t="s">
        <v>36</v>
      </c>
      <c r="E286" s="232">
        <v>132</v>
      </c>
      <c r="F286" s="2" t="s">
        <v>829</v>
      </c>
      <c r="G286" s="2" t="s">
        <v>38</v>
      </c>
      <c r="H286" s="2" t="s">
        <v>1356</v>
      </c>
      <c r="I286" s="2" t="s">
        <v>1357</v>
      </c>
      <c r="J286" s="260">
        <v>52587</v>
      </c>
      <c r="K286" s="260">
        <v>55832</v>
      </c>
      <c r="L286" s="260"/>
      <c r="O286" s="260"/>
      <c r="P286" s="260"/>
      <c r="Q286" s="260"/>
      <c r="R286" s="260"/>
      <c r="S286" s="260"/>
      <c r="U286" s="260"/>
      <c r="V286" s="260"/>
      <c r="W286" s="260"/>
      <c r="X286" s="2"/>
      <c r="Y286" s="2">
        <f t="shared" si="173"/>
        <v>3245</v>
      </c>
      <c r="Z286" s="2" t="str">
        <f t="shared" si="174"/>
        <v/>
      </c>
      <c r="AA286" s="2" t="str">
        <f t="shared" si="175"/>
        <v/>
      </c>
      <c r="AB286" s="2" t="str">
        <f t="shared" si="176"/>
        <v/>
      </c>
      <c r="AC286" s="2" t="str">
        <f t="shared" si="161"/>
        <v/>
      </c>
      <c r="AD286" s="2" t="str">
        <f t="shared" si="162"/>
        <v/>
      </c>
      <c r="AE286" s="2" t="str">
        <f t="shared" si="163"/>
        <v/>
      </c>
      <c r="AF286" s="2" t="str">
        <f t="shared" si="164"/>
        <v/>
      </c>
      <c r="AG286" s="2" t="str">
        <f t="shared" si="165"/>
        <v/>
      </c>
      <c r="AH286" s="2" t="str">
        <f t="shared" si="166"/>
        <v/>
      </c>
      <c r="AI286" s="2" t="str">
        <f t="shared" si="167"/>
        <v/>
      </c>
      <c r="AJ286" s="2" t="str">
        <f t="shared" si="168"/>
        <v/>
      </c>
      <c r="AK286" s="2">
        <v>1</v>
      </c>
      <c r="AL286" s="260">
        <f t="shared" ca="1" si="156"/>
        <v>0</v>
      </c>
      <c r="AM286" s="260">
        <f t="shared" ca="1" si="157"/>
        <v>0</v>
      </c>
      <c r="AN286" s="260" t="str">
        <f ca="1">IF(AND(Tabla7[[#This Row],[UltLec]]&lt;&gt;0,Tabla7[[#This Row],[PenLect]]&lt;&gt;0),(AM286-AL286)*Tabla7[[#This Row],[RT]],"N/A")</f>
        <v>N/A</v>
      </c>
      <c r="AO286" s="380" t="s">
        <v>813</v>
      </c>
      <c r="AP286" s="380" t="s">
        <v>1075</v>
      </c>
      <c r="AQ286" s="380" t="s">
        <v>1074</v>
      </c>
      <c r="AR286" s="2">
        <f t="shared" si="158"/>
        <v>0</v>
      </c>
      <c r="AT286" s="2" t="e">
        <f t="shared" ca="1" si="172"/>
        <v>#VALUE!</v>
      </c>
    </row>
    <row r="287" spans="1:46" ht="18.75" customHeight="1" x14ac:dyDescent="0.25">
      <c r="A287" s="291" t="s">
        <v>19</v>
      </c>
      <c r="B287" s="54" t="s">
        <v>40</v>
      </c>
      <c r="C287" s="239" t="s">
        <v>41</v>
      </c>
      <c r="D287" s="54" t="s">
        <v>36</v>
      </c>
      <c r="E287" s="232">
        <v>39014</v>
      </c>
      <c r="F287" s="2" t="s">
        <v>1374</v>
      </c>
      <c r="G287" s="2" t="s">
        <v>38</v>
      </c>
      <c r="H287" s="2" t="s">
        <v>42</v>
      </c>
      <c r="I287" s="2" t="s">
        <v>1373</v>
      </c>
      <c r="J287" s="260">
        <v>112873</v>
      </c>
      <c r="K287" s="260">
        <v>112873</v>
      </c>
      <c r="L287" s="260"/>
      <c r="O287" s="260"/>
      <c r="P287" s="260"/>
      <c r="Q287" s="260"/>
      <c r="R287" s="260"/>
      <c r="S287" s="260"/>
      <c r="U287" s="260"/>
      <c r="V287" s="260"/>
      <c r="W287" s="260"/>
      <c r="X287" s="2"/>
      <c r="Y287" s="2">
        <f t="shared" si="173"/>
        <v>0</v>
      </c>
      <c r="Z287" s="2" t="str">
        <f t="shared" si="174"/>
        <v/>
      </c>
      <c r="AA287" s="2" t="str">
        <f t="shared" si="175"/>
        <v/>
      </c>
      <c r="AB287" s="2" t="str">
        <f t="shared" si="176"/>
        <v/>
      </c>
      <c r="AC287" s="2" t="str">
        <f t="shared" si="161"/>
        <v/>
      </c>
      <c r="AD287" s="2" t="str">
        <f t="shared" si="162"/>
        <v/>
      </c>
      <c r="AE287" s="2" t="str">
        <f t="shared" si="163"/>
        <v/>
      </c>
      <c r="AF287" s="2" t="str">
        <f t="shared" si="164"/>
        <v/>
      </c>
      <c r="AG287" s="2" t="str">
        <f t="shared" si="165"/>
        <v/>
      </c>
      <c r="AH287" s="2" t="str">
        <f t="shared" si="166"/>
        <v/>
      </c>
      <c r="AI287" s="2" t="str">
        <f t="shared" si="167"/>
        <v/>
      </c>
      <c r="AJ287" s="2" t="str">
        <f t="shared" si="168"/>
        <v/>
      </c>
      <c r="AK287" s="2">
        <v>1</v>
      </c>
      <c r="AL287" s="260">
        <f t="shared" ca="1" si="156"/>
        <v>0</v>
      </c>
      <c r="AM287" s="260">
        <f t="shared" ca="1" si="157"/>
        <v>0</v>
      </c>
      <c r="AN287" s="260" t="str">
        <f ca="1">IF(AND(Tabla7[[#This Row],[UltLec]]&lt;&gt;0,Tabla7[[#This Row],[PenLect]]&lt;&gt;0),(AM287-AL287)*Tabla7[[#This Row],[RT]],"N/A")</f>
        <v>N/A</v>
      </c>
      <c r="AO287" s="380" t="s">
        <v>813</v>
      </c>
      <c r="AP287" s="380" t="s">
        <v>1075</v>
      </c>
      <c r="AQ287" s="380" t="s">
        <v>1074</v>
      </c>
      <c r="AR287" s="2">
        <f t="shared" si="158"/>
        <v>0</v>
      </c>
      <c r="AT287" s="2" t="e">
        <f t="shared" ca="1" si="172"/>
        <v>#VALUE!</v>
      </c>
    </row>
    <row r="288" spans="1:46" ht="18.75" customHeight="1" x14ac:dyDescent="0.25">
      <c r="A288" s="291" t="s">
        <v>19</v>
      </c>
      <c r="B288" s="54">
        <v>946</v>
      </c>
      <c r="C288" s="239" t="s">
        <v>37</v>
      </c>
      <c r="D288" s="54" t="s">
        <v>36</v>
      </c>
      <c r="E288" s="232">
        <v>39417</v>
      </c>
      <c r="F288" s="2" t="s">
        <v>1374</v>
      </c>
      <c r="G288" s="2" t="s">
        <v>38</v>
      </c>
      <c r="H288" s="2" t="s">
        <v>39</v>
      </c>
      <c r="I288" s="2" t="s">
        <v>1373</v>
      </c>
      <c r="J288" s="260">
        <v>719631</v>
      </c>
      <c r="K288" s="260">
        <v>719632</v>
      </c>
      <c r="L288" s="260"/>
      <c r="O288" s="260"/>
      <c r="P288" s="260"/>
      <c r="Q288" s="260"/>
      <c r="R288" s="260"/>
      <c r="S288" s="260"/>
      <c r="U288" s="260"/>
      <c r="V288" s="260"/>
      <c r="W288" s="260"/>
      <c r="X288" s="2"/>
      <c r="Y288" s="2">
        <f t="shared" si="173"/>
        <v>1</v>
      </c>
      <c r="Z288" s="2" t="str">
        <f t="shared" si="174"/>
        <v/>
      </c>
      <c r="AA288" s="2" t="str">
        <f t="shared" si="175"/>
        <v/>
      </c>
      <c r="AB288" s="2" t="str">
        <f t="shared" si="176"/>
        <v/>
      </c>
      <c r="AC288" s="2" t="str">
        <f t="shared" si="161"/>
        <v/>
      </c>
      <c r="AD288" s="2" t="str">
        <f t="shared" si="162"/>
        <v/>
      </c>
      <c r="AE288" s="2" t="str">
        <f t="shared" si="163"/>
        <v/>
      </c>
      <c r="AF288" s="2" t="str">
        <f t="shared" si="164"/>
        <v/>
      </c>
      <c r="AG288" s="2" t="str">
        <f t="shared" si="165"/>
        <v/>
      </c>
      <c r="AH288" s="2" t="str">
        <f t="shared" si="166"/>
        <v/>
      </c>
      <c r="AI288" s="2" t="str">
        <f t="shared" si="167"/>
        <v/>
      </c>
      <c r="AJ288" s="2" t="str">
        <f t="shared" si="168"/>
        <v/>
      </c>
      <c r="AK288" s="2">
        <v>1</v>
      </c>
      <c r="AL288" s="260">
        <f t="shared" ca="1" si="156"/>
        <v>0</v>
      </c>
      <c r="AM288" s="260">
        <f t="shared" ca="1" si="157"/>
        <v>0</v>
      </c>
      <c r="AN288" s="260" t="str">
        <f ca="1">IF(AND(Tabla7[[#This Row],[UltLec]]&lt;&gt;0,Tabla7[[#This Row],[PenLect]]&lt;&gt;0),(AM288-AL288)*Tabla7[[#This Row],[RT]],"N/A")</f>
        <v>N/A</v>
      </c>
      <c r="AO288" s="380" t="s">
        <v>813</v>
      </c>
      <c r="AP288" s="380" t="s">
        <v>1075</v>
      </c>
      <c r="AQ288" s="380" t="s">
        <v>1074</v>
      </c>
      <c r="AR288" s="2">
        <f t="shared" si="158"/>
        <v>0</v>
      </c>
      <c r="AT288" s="2" t="e">
        <f t="shared" ca="1" si="172"/>
        <v>#VALUE!</v>
      </c>
    </row>
    <row r="289" spans="1:46" ht="18.75" hidden="1" customHeight="1" x14ac:dyDescent="0.25">
      <c r="A289" s="418" t="s">
        <v>1080</v>
      </c>
      <c r="B289" s="273"/>
      <c r="C289" s="276" t="s">
        <v>43</v>
      </c>
      <c r="D289" s="273" t="s">
        <v>36</v>
      </c>
      <c r="E289" s="274">
        <v>132</v>
      </c>
      <c r="F289" s="393" t="s">
        <v>829</v>
      </c>
      <c r="G289" s="393" t="s">
        <v>38</v>
      </c>
      <c r="H289" s="393" t="s">
        <v>44</v>
      </c>
      <c r="I289" s="393"/>
      <c r="J289" s="393"/>
      <c r="K289" s="393"/>
      <c r="L289" s="393"/>
      <c r="M289" s="393"/>
      <c r="N289" s="393"/>
      <c r="O289" s="393"/>
      <c r="P289" s="393"/>
      <c r="Q289" s="393"/>
      <c r="R289" s="393"/>
      <c r="S289" s="393"/>
      <c r="T289" s="393"/>
      <c r="U289" s="393"/>
      <c r="V289" s="393"/>
      <c r="W289" s="393"/>
      <c r="X289" s="393"/>
      <c r="Y289" s="393" t="str">
        <f t="shared" si="173"/>
        <v/>
      </c>
      <c r="Z289" s="393" t="str">
        <f t="shared" si="174"/>
        <v/>
      </c>
      <c r="AA289" s="393" t="str">
        <f t="shared" si="175"/>
        <v/>
      </c>
      <c r="AB289" s="393" t="str">
        <f t="shared" si="176"/>
        <v/>
      </c>
      <c r="AC289" s="393" t="str">
        <f t="shared" si="161"/>
        <v/>
      </c>
      <c r="AD289" s="393" t="str">
        <f t="shared" si="162"/>
        <v/>
      </c>
      <c r="AE289" s="393" t="str">
        <f t="shared" si="163"/>
        <v/>
      </c>
      <c r="AF289" s="393" t="str">
        <f t="shared" si="164"/>
        <v/>
      </c>
      <c r="AG289" s="393" t="str">
        <f t="shared" si="165"/>
        <v/>
      </c>
      <c r="AH289" s="393" t="str">
        <f t="shared" si="166"/>
        <v/>
      </c>
      <c r="AI289" s="393" t="str">
        <f t="shared" si="167"/>
        <v/>
      </c>
      <c r="AJ289" s="393" t="str">
        <f t="shared" si="168"/>
        <v/>
      </c>
      <c r="AK289" s="393">
        <v>1</v>
      </c>
      <c r="AL289" s="393">
        <f t="shared" ca="1" si="156"/>
        <v>0</v>
      </c>
      <c r="AM289" s="394">
        <f t="shared" ca="1" si="157"/>
        <v>0</v>
      </c>
      <c r="AN289" s="393" t="str">
        <f ca="1">IF(AND(Tabla7[[#This Row],[UltLec]]&lt;&gt;0,Tabla7[[#This Row],[PenLect]]&lt;&gt;0),(AM289-AL289)*Tabla7[[#This Row],[RT]],"N/A")</f>
        <v>N/A</v>
      </c>
      <c r="AO289" s="393" t="s">
        <v>1160</v>
      </c>
      <c r="AP289" s="393" t="s">
        <v>1075</v>
      </c>
      <c r="AQ289" s="393" t="s">
        <v>1074</v>
      </c>
      <c r="AR289" s="393">
        <f t="shared" si="158"/>
        <v>0</v>
      </c>
      <c r="AT289" s="2" t="e">
        <f t="shared" ca="1" si="172"/>
        <v>#VALUE!</v>
      </c>
    </row>
    <row r="290" spans="1:46" ht="18.75" hidden="1" customHeight="1" x14ac:dyDescent="0.25">
      <c r="A290" s="418" t="s">
        <v>1080</v>
      </c>
      <c r="B290" s="273"/>
      <c r="C290" s="276">
        <v>1025626</v>
      </c>
      <c r="D290" s="273" t="s">
        <v>46</v>
      </c>
      <c r="E290" s="274">
        <v>39325</v>
      </c>
      <c r="F290" s="393" t="s">
        <v>51</v>
      </c>
      <c r="G290" s="393" t="s">
        <v>52</v>
      </c>
      <c r="H290" s="393"/>
      <c r="I290" s="393"/>
      <c r="J290" s="393"/>
      <c r="K290" s="393"/>
      <c r="L290" s="393"/>
      <c r="M290" s="393"/>
      <c r="N290" s="393"/>
      <c r="O290" s="393"/>
      <c r="P290" s="393"/>
      <c r="Q290" s="393"/>
      <c r="R290" s="393"/>
      <c r="S290" s="393"/>
      <c r="T290" s="393"/>
      <c r="U290" s="393"/>
      <c r="V290" s="393"/>
      <c r="W290" s="393"/>
      <c r="X290" s="393"/>
      <c r="Y290" s="393" t="str">
        <f t="shared" si="173"/>
        <v/>
      </c>
      <c r="Z290" s="393" t="str">
        <f t="shared" si="174"/>
        <v/>
      </c>
      <c r="AA290" s="393" t="str">
        <f t="shared" si="175"/>
        <v/>
      </c>
      <c r="AB290" s="393" t="str">
        <f t="shared" si="176"/>
        <v/>
      </c>
      <c r="AC290" s="393" t="str">
        <f t="shared" si="161"/>
        <v/>
      </c>
      <c r="AD290" s="393" t="str">
        <f t="shared" si="162"/>
        <v/>
      </c>
      <c r="AE290" s="393" t="str">
        <f t="shared" si="163"/>
        <v/>
      </c>
      <c r="AF290" s="393" t="str">
        <f t="shared" si="164"/>
        <v/>
      </c>
      <c r="AG290" s="393" t="str">
        <f t="shared" si="165"/>
        <v/>
      </c>
      <c r="AH290" s="393" t="str">
        <f t="shared" si="166"/>
        <v/>
      </c>
      <c r="AI290" s="393" t="str">
        <f t="shared" si="167"/>
        <v/>
      </c>
      <c r="AJ290" s="393" t="str">
        <f t="shared" si="168"/>
        <v/>
      </c>
      <c r="AK290" s="393">
        <v>1</v>
      </c>
      <c r="AL290" s="393">
        <f t="shared" ca="1" si="156"/>
        <v>0</v>
      </c>
      <c r="AM290" s="393">
        <f t="shared" ca="1" si="157"/>
        <v>0</v>
      </c>
      <c r="AN290" s="393" t="str">
        <f ca="1">IF(AND(Tabla7[[#This Row],[UltLec]]&lt;&gt;0,Tabla7[[#This Row],[PenLect]]&lt;&gt;0),(AM290-AL290)*Tabla7[[#This Row],[RT]],"N/A")</f>
        <v>N/A</v>
      </c>
      <c r="AO290" s="393" t="s">
        <v>1160</v>
      </c>
      <c r="AP290" s="393" t="s">
        <v>1075</v>
      </c>
      <c r="AQ290" s="393" t="s">
        <v>1074</v>
      </c>
      <c r="AR290" s="393">
        <f t="shared" si="158"/>
        <v>0</v>
      </c>
      <c r="AT290" s="2" t="e">
        <f t="shared" ca="1" si="172"/>
        <v>#VALUE!</v>
      </c>
    </row>
    <row r="291" spans="1:46" ht="18.75" customHeight="1" x14ac:dyDescent="0.25">
      <c r="A291" s="291" t="s">
        <v>19</v>
      </c>
      <c r="B291" s="54"/>
      <c r="C291" s="239">
        <v>5130043</v>
      </c>
      <c r="D291" s="54" t="s">
        <v>46</v>
      </c>
      <c r="E291" s="232">
        <v>150</v>
      </c>
      <c r="F291" s="2" t="s">
        <v>48</v>
      </c>
      <c r="G291" s="2" t="s">
        <v>49</v>
      </c>
      <c r="H291" s="2" t="s">
        <v>50</v>
      </c>
      <c r="I291" s="2" t="s">
        <v>752</v>
      </c>
      <c r="J291" s="260">
        <v>0</v>
      </c>
      <c r="K291" s="260">
        <v>0</v>
      </c>
      <c r="L291" s="260"/>
      <c r="O291" s="260"/>
      <c r="P291" s="260"/>
      <c r="Q291" s="260"/>
      <c r="R291" s="260"/>
      <c r="S291" s="260"/>
      <c r="U291" s="260"/>
      <c r="V291" s="260"/>
      <c r="W291" s="2"/>
      <c r="X291" s="2"/>
      <c r="Y291" s="2">
        <f t="shared" si="173"/>
        <v>0</v>
      </c>
      <c r="Z291" s="2" t="str">
        <f t="shared" si="174"/>
        <v/>
      </c>
      <c r="AA291" s="2" t="str">
        <f t="shared" si="175"/>
        <v/>
      </c>
      <c r="AB291" s="2" t="str">
        <f t="shared" si="176"/>
        <v/>
      </c>
      <c r="AC291" s="2" t="str">
        <f t="shared" si="161"/>
        <v/>
      </c>
      <c r="AD291" s="2" t="str">
        <f t="shared" si="162"/>
        <v/>
      </c>
      <c r="AE291" s="2" t="str">
        <f t="shared" si="163"/>
        <v/>
      </c>
      <c r="AF291" s="2" t="str">
        <f t="shared" si="164"/>
        <v/>
      </c>
      <c r="AG291" s="2" t="str">
        <f t="shared" si="165"/>
        <v/>
      </c>
      <c r="AH291" s="2" t="str">
        <f t="shared" si="166"/>
        <v/>
      </c>
      <c r="AI291" s="2" t="str">
        <f t="shared" si="167"/>
        <v/>
      </c>
      <c r="AJ291" s="2" t="str">
        <f t="shared" si="168"/>
        <v/>
      </c>
      <c r="AK291" s="2">
        <v>30</v>
      </c>
      <c r="AL291" s="260">
        <f t="shared" ca="1" si="156"/>
        <v>0</v>
      </c>
      <c r="AM291" s="260">
        <f t="shared" ca="1" si="157"/>
        <v>0</v>
      </c>
      <c r="AN291" s="260" t="str">
        <f ca="1">IF(AND(Tabla7[[#This Row],[UltLec]]&lt;&gt;0,Tabla7[[#This Row],[PenLect]]&lt;&gt;0),(AM291-AL291)*Tabla7[[#This Row],[RT]],"N/A")</f>
        <v>N/A</v>
      </c>
      <c r="AO291" s="380" t="s">
        <v>813</v>
      </c>
      <c r="AP291" s="380" t="s">
        <v>1075</v>
      </c>
      <c r="AQ291" s="380" t="s">
        <v>1074</v>
      </c>
      <c r="AR291" s="2">
        <f t="shared" si="158"/>
        <v>0</v>
      </c>
      <c r="AT291" s="2" t="e">
        <f t="shared" ca="1" si="172"/>
        <v>#VALUE!</v>
      </c>
    </row>
    <row r="292" spans="1:46" ht="18.75" customHeight="1" x14ac:dyDescent="0.25">
      <c r="A292" s="291" t="s">
        <v>19</v>
      </c>
      <c r="B292" s="54"/>
      <c r="C292" s="368">
        <v>142100532</v>
      </c>
      <c r="D292" s="54" t="s">
        <v>46</v>
      </c>
      <c r="E292" s="232">
        <v>39712</v>
      </c>
      <c r="F292" s="2" t="s">
        <v>145</v>
      </c>
      <c r="G292" s="2" t="s">
        <v>1693</v>
      </c>
      <c r="H292" s="2" t="s">
        <v>1694</v>
      </c>
      <c r="I292" s="2"/>
      <c r="J292" s="260">
        <v>80</v>
      </c>
      <c r="K292" s="260">
        <v>1092</v>
      </c>
      <c r="L292" s="260"/>
      <c r="O292" s="260"/>
      <c r="P292" s="308"/>
      <c r="Q292" s="260"/>
      <c r="R292" s="260"/>
      <c r="S292" s="260"/>
      <c r="U292" s="260"/>
      <c r="V292" s="260"/>
      <c r="W292" s="260"/>
      <c r="X292" s="2"/>
      <c r="Y292" s="2">
        <f t="shared" si="173"/>
        <v>1012</v>
      </c>
      <c r="Z292" s="2" t="str">
        <f t="shared" si="174"/>
        <v/>
      </c>
      <c r="AA292" s="2" t="str">
        <f>IF(OR(ISBLANK(#REF!),ISBLANK(L292)),"",IF(AND(#REF!&gt;=L292,#REF!-L292&lt;=#REF!),(#REF!-L292)*$AK292,"!!!!"))</f>
        <v/>
      </c>
      <c r="AB292" s="2" t="str">
        <f>IF(OR(ISBLANK(N292),ISBLANK(#REF!)),"",IF(AND(N292&gt;=#REF!,N292-#REF!&lt;=N292),(N292-#REF!)*$AK292,"!!!!"))</f>
        <v/>
      </c>
      <c r="AC292" s="2" t="str">
        <f t="shared" si="161"/>
        <v/>
      </c>
      <c r="AD292" s="2" t="str">
        <f t="shared" si="162"/>
        <v/>
      </c>
      <c r="AE292" s="2" t="str">
        <f t="shared" si="163"/>
        <v/>
      </c>
      <c r="AF292" s="2" t="str">
        <f t="shared" si="164"/>
        <v/>
      </c>
      <c r="AG292" s="2" t="str">
        <f t="shared" si="165"/>
        <v/>
      </c>
      <c r="AH292" s="2" t="str">
        <f t="shared" si="166"/>
        <v/>
      </c>
      <c r="AI292" s="2" t="str">
        <f t="shared" si="167"/>
        <v/>
      </c>
      <c r="AJ292" s="2" t="str">
        <f t="shared" si="168"/>
        <v/>
      </c>
      <c r="AK292" s="2">
        <v>1</v>
      </c>
      <c r="AL292" s="260">
        <f t="shared" ca="1" si="156"/>
        <v>0</v>
      </c>
      <c r="AM292" s="260">
        <f t="shared" ca="1" si="157"/>
        <v>0</v>
      </c>
      <c r="AN292" s="260" t="str">
        <f ca="1">IF(AND(Tabla7[[#This Row],[UltLec]]&lt;&gt;0,Tabla7[[#This Row],[PenLect]]&lt;&gt;0),(AM292-AL292)*Tabla7[[#This Row],[RT]],"N/A")</f>
        <v>N/A</v>
      </c>
      <c r="AO292" s="380" t="s">
        <v>813</v>
      </c>
      <c r="AP292" s="380" t="s">
        <v>1075</v>
      </c>
      <c r="AQ292" s="380" t="s">
        <v>1074</v>
      </c>
      <c r="AR292" s="2">
        <f t="shared" si="158"/>
        <v>0</v>
      </c>
      <c r="AT292" s="2" t="e">
        <f t="shared" ca="1" si="172"/>
        <v>#VALUE!</v>
      </c>
    </row>
    <row r="293" spans="1:46" ht="18" customHeight="1" x14ac:dyDescent="0.25">
      <c r="A293" s="291" t="s">
        <v>19</v>
      </c>
      <c r="B293" s="54"/>
      <c r="C293" s="239">
        <v>717084013</v>
      </c>
      <c r="D293" s="54" t="s">
        <v>46</v>
      </c>
      <c r="E293" s="232">
        <v>141</v>
      </c>
      <c r="F293" s="2" t="s">
        <v>887</v>
      </c>
      <c r="G293" s="2" t="s">
        <v>47</v>
      </c>
      <c r="H293" s="2"/>
      <c r="I293" s="229">
        <v>42948</v>
      </c>
      <c r="J293" s="260">
        <v>132296</v>
      </c>
      <c r="K293" s="260">
        <v>134324</v>
      </c>
      <c r="L293" s="260"/>
      <c r="O293" s="260"/>
      <c r="P293" s="260"/>
      <c r="Q293" s="260"/>
      <c r="R293" s="260"/>
      <c r="S293" s="260"/>
      <c r="U293" s="260"/>
      <c r="V293" s="260"/>
      <c r="W293" s="260"/>
      <c r="X293" s="2"/>
      <c r="Y293" s="2">
        <f t="shared" si="173"/>
        <v>2028</v>
      </c>
      <c r="Z293" s="2" t="str">
        <f t="shared" si="174"/>
        <v/>
      </c>
      <c r="AA293" s="2" t="str">
        <f t="shared" ref="AA293:AB299" si="177">IF(OR(ISBLANK(M293),ISBLANK(L293)),"",IF(AND(M293&gt;=L293,M293-L293&lt;=M293),(M293-L293)*$AK293,"!!!!"))</f>
        <v/>
      </c>
      <c r="AB293" s="2" t="str">
        <f t="shared" si="177"/>
        <v/>
      </c>
      <c r="AC293" s="2" t="str">
        <f t="shared" si="161"/>
        <v/>
      </c>
      <c r="AD293" s="2" t="str">
        <f t="shared" si="162"/>
        <v/>
      </c>
      <c r="AE293" s="2" t="str">
        <f t="shared" si="163"/>
        <v/>
      </c>
      <c r="AF293" s="2" t="str">
        <f t="shared" si="164"/>
        <v/>
      </c>
      <c r="AG293" s="2" t="str">
        <f t="shared" si="165"/>
        <v/>
      </c>
      <c r="AH293" s="2" t="str">
        <f t="shared" si="166"/>
        <v/>
      </c>
      <c r="AI293" s="2" t="str">
        <f t="shared" si="167"/>
        <v/>
      </c>
      <c r="AJ293" s="2" t="str">
        <f t="shared" si="168"/>
        <v/>
      </c>
      <c r="AK293" s="2">
        <v>1</v>
      </c>
      <c r="AL293" s="260">
        <f t="shared" ca="1" si="156"/>
        <v>0</v>
      </c>
      <c r="AM293" s="260">
        <f t="shared" ca="1" si="157"/>
        <v>0</v>
      </c>
      <c r="AN293" s="260" t="str">
        <f ca="1">IF(AND(Tabla7[[#This Row],[UltLec]]&lt;&gt;0,Tabla7[[#This Row],[PenLect]]&lt;&gt;0),(AM293-AL293)*Tabla7[[#This Row],[RT]],"N/A")</f>
        <v>N/A</v>
      </c>
      <c r="AO293" s="380" t="s">
        <v>813</v>
      </c>
      <c r="AP293" s="380" t="s">
        <v>1075</v>
      </c>
      <c r="AQ293" s="380" t="s">
        <v>1074</v>
      </c>
      <c r="AR293" s="2">
        <f t="shared" si="158"/>
        <v>0</v>
      </c>
      <c r="AT293" s="2" t="e">
        <f t="shared" ca="1" si="172"/>
        <v>#VALUE!</v>
      </c>
    </row>
    <row r="294" spans="1:46" ht="18.75" customHeight="1" x14ac:dyDescent="0.25">
      <c r="A294" s="291" t="s">
        <v>19</v>
      </c>
      <c r="B294" s="54"/>
      <c r="C294" s="239" t="s">
        <v>713</v>
      </c>
      <c r="D294" s="54" t="s">
        <v>46</v>
      </c>
      <c r="E294" s="232">
        <v>30000</v>
      </c>
      <c r="F294" s="2" t="s">
        <v>1318</v>
      </c>
      <c r="G294" s="2" t="s">
        <v>1319</v>
      </c>
      <c r="H294" s="2"/>
      <c r="I294" s="2"/>
      <c r="J294" s="260">
        <v>237670</v>
      </c>
      <c r="K294" s="260">
        <v>243992</v>
      </c>
      <c r="L294" s="260"/>
      <c r="O294" s="260"/>
      <c r="P294" s="260"/>
      <c r="Q294" s="260"/>
      <c r="R294" s="260"/>
      <c r="S294" s="260"/>
      <c r="U294" s="260"/>
      <c r="V294" s="260"/>
      <c r="W294" s="260"/>
      <c r="X294" s="2"/>
      <c r="Y294" s="2">
        <f t="shared" si="173"/>
        <v>6322</v>
      </c>
      <c r="Z294" s="2" t="str">
        <f t="shared" si="174"/>
        <v/>
      </c>
      <c r="AA294" s="2" t="str">
        <f t="shared" si="177"/>
        <v/>
      </c>
      <c r="AB294" s="2" t="str">
        <f t="shared" si="177"/>
        <v/>
      </c>
      <c r="AC294" s="2" t="str">
        <f t="shared" si="161"/>
        <v/>
      </c>
      <c r="AD294" s="2" t="str">
        <f t="shared" si="162"/>
        <v/>
      </c>
      <c r="AE294" s="2" t="str">
        <f t="shared" si="163"/>
        <v/>
      </c>
      <c r="AF294" s="2" t="str">
        <f t="shared" si="164"/>
        <v/>
      </c>
      <c r="AG294" s="2" t="str">
        <f t="shared" si="165"/>
        <v/>
      </c>
      <c r="AH294" s="2" t="str">
        <f t="shared" si="166"/>
        <v/>
      </c>
      <c r="AI294" s="2" t="str">
        <f t="shared" si="167"/>
        <v/>
      </c>
      <c r="AJ294" s="2" t="str">
        <f t="shared" si="168"/>
        <v/>
      </c>
      <c r="AK294" s="2">
        <v>1</v>
      </c>
      <c r="AL294" s="260">
        <f t="shared" ca="1" si="156"/>
        <v>0</v>
      </c>
      <c r="AM294" s="260">
        <f t="shared" ca="1" si="157"/>
        <v>0</v>
      </c>
      <c r="AN294" s="260" t="str">
        <f ca="1">IF(AND(Tabla7[[#This Row],[UltLec]]&lt;&gt;0,Tabla7[[#This Row],[PenLect]]&lt;&gt;0),(AM294-AL294)*Tabla7[[#This Row],[RT]],"N/A")</f>
        <v>N/A</v>
      </c>
      <c r="AO294" s="380" t="s">
        <v>813</v>
      </c>
      <c r="AP294" s="380" t="s">
        <v>1075</v>
      </c>
      <c r="AQ294" s="380" t="s">
        <v>1074</v>
      </c>
      <c r="AR294" s="2">
        <f t="shared" si="158"/>
        <v>0</v>
      </c>
      <c r="AT294" s="2" t="e">
        <f t="shared" ca="1" si="172"/>
        <v>#VALUE!</v>
      </c>
    </row>
    <row r="295" spans="1:46" ht="18.75" customHeight="1" x14ac:dyDescent="0.25">
      <c r="A295" s="407" t="s">
        <v>19</v>
      </c>
      <c r="B295" s="54"/>
      <c r="C295" s="420" t="s">
        <v>1176</v>
      </c>
      <c r="D295" s="374" t="s">
        <v>46</v>
      </c>
      <c r="E295" s="375">
        <v>39328</v>
      </c>
      <c r="F295" s="2" t="s">
        <v>145</v>
      </c>
      <c r="G295" s="2" t="s">
        <v>54</v>
      </c>
      <c r="H295" s="2" t="s">
        <v>1696</v>
      </c>
      <c r="I295" s="2"/>
      <c r="J295" s="260">
        <v>247455</v>
      </c>
      <c r="K295" s="260">
        <v>248671</v>
      </c>
      <c r="L295" s="260"/>
      <c r="O295" s="260"/>
      <c r="P295" s="260"/>
      <c r="Q295" s="260"/>
      <c r="R295" s="260"/>
      <c r="S295" s="260"/>
      <c r="U295" s="260"/>
      <c r="V295" s="260"/>
      <c r="W295" s="260"/>
      <c r="X295" s="2"/>
      <c r="Y295" s="2">
        <f t="shared" si="173"/>
        <v>1216</v>
      </c>
      <c r="Z295" s="2" t="str">
        <f t="shared" si="174"/>
        <v/>
      </c>
      <c r="AA295" s="2" t="str">
        <f t="shared" si="177"/>
        <v/>
      </c>
      <c r="AB295" s="2" t="str">
        <f t="shared" si="177"/>
        <v/>
      </c>
      <c r="AC295" s="2" t="str">
        <f t="shared" si="161"/>
        <v/>
      </c>
      <c r="AD295" s="2" t="str">
        <f t="shared" si="162"/>
        <v/>
      </c>
      <c r="AE295" s="2" t="str">
        <f t="shared" si="163"/>
        <v/>
      </c>
      <c r="AF295" s="2" t="str">
        <f t="shared" si="164"/>
        <v/>
      </c>
      <c r="AG295" s="2" t="str">
        <f t="shared" si="165"/>
        <v/>
      </c>
      <c r="AH295" s="2" t="str">
        <f t="shared" si="166"/>
        <v/>
      </c>
      <c r="AI295" s="2" t="str">
        <f t="shared" si="167"/>
        <v/>
      </c>
      <c r="AJ295" s="2" t="str">
        <f t="shared" si="168"/>
        <v/>
      </c>
      <c r="AK295" s="2">
        <v>1</v>
      </c>
      <c r="AL295" s="260">
        <f t="shared" ref="AL295:AL358" ca="1" si="178">IF(DAY(TODAY())&lt;16,INDEX(J295:X295,1,MONTH(TODAY())-1),INDEX(J295:X295,1,MONTH(TODAY())))</f>
        <v>0</v>
      </c>
      <c r="AM295" s="260">
        <f t="shared" ref="AM295:AM358" ca="1" si="179">IF(DAY(TODAY())&lt;16,INDEX(J295:X295,1,MONTH(TODAY())),INDEX(J295:X295,1,MONTH(TODAY())+1))</f>
        <v>0</v>
      </c>
      <c r="AN295" s="260" t="str">
        <f ca="1">IF(AND(Tabla7[[#This Row],[UltLec]]&lt;&gt;0,Tabla7[[#This Row],[PenLect]]&lt;&gt;0),(AM295-AL295)*Tabla7[[#This Row],[RT]],"N/A")</f>
        <v>N/A</v>
      </c>
      <c r="AO295" s="380" t="s">
        <v>813</v>
      </c>
      <c r="AP295" s="380" t="s">
        <v>1075</v>
      </c>
      <c r="AQ295" s="380" t="s">
        <v>1074</v>
      </c>
      <c r="AR295" s="2">
        <f t="shared" ref="AR295:AR358" si="180">COUNTIF(Y295:AJ295,"!!!!")</f>
        <v>0</v>
      </c>
      <c r="AT295" s="2" t="e">
        <f t="shared" ca="1" si="172"/>
        <v>#VALUE!</v>
      </c>
    </row>
    <row r="296" spans="1:46" ht="18" customHeight="1" x14ac:dyDescent="0.25">
      <c r="A296" s="291" t="s">
        <v>19</v>
      </c>
      <c r="B296" s="54"/>
      <c r="C296" s="239" t="s">
        <v>1177</v>
      </c>
      <c r="D296" s="54" t="s">
        <v>46</v>
      </c>
      <c r="E296" s="232">
        <v>39326</v>
      </c>
      <c r="F296" s="2" t="s">
        <v>145</v>
      </c>
      <c r="G296" s="2" t="s">
        <v>53</v>
      </c>
      <c r="H296" s="2" t="s">
        <v>1696</v>
      </c>
      <c r="I296" s="2"/>
      <c r="J296" s="260">
        <v>179054</v>
      </c>
      <c r="K296" s="260">
        <v>181342</v>
      </c>
      <c r="L296" s="260"/>
      <c r="O296" s="260"/>
      <c r="P296" s="260"/>
      <c r="Q296" s="260"/>
      <c r="R296" s="260"/>
      <c r="S296" s="260"/>
      <c r="U296" s="260"/>
      <c r="V296" s="260"/>
      <c r="W296" s="260"/>
      <c r="X296" s="2"/>
      <c r="Y296" s="2">
        <f t="shared" si="173"/>
        <v>2288</v>
      </c>
      <c r="Z296" s="2" t="str">
        <f t="shared" si="174"/>
        <v/>
      </c>
      <c r="AA296" s="2" t="str">
        <f t="shared" si="177"/>
        <v/>
      </c>
      <c r="AB296" s="2" t="str">
        <f t="shared" si="177"/>
        <v/>
      </c>
      <c r="AC296" s="2" t="str">
        <f t="shared" si="161"/>
        <v/>
      </c>
      <c r="AD296" s="2" t="str">
        <f t="shared" si="162"/>
        <v/>
      </c>
      <c r="AE296" s="2" t="str">
        <f t="shared" si="163"/>
        <v/>
      </c>
      <c r="AF296" s="2" t="str">
        <f t="shared" si="164"/>
        <v/>
      </c>
      <c r="AG296" s="2" t="str">
        <f t="shared" si="165"/>
        <v/>
      </c>
      <c r="AH296" s="2" t="str">
        <f t="shared" si="166"/>
        <v/>
      </c>
      <c r="AI296" s="2" t="str">
        <f t="shared" si="167"/>
        <v/>
      </c>
      <c r="AJ296" s="2" t="str">
        <f t="shared" si="168"/>
        <v/>
      </c>
      <c r="AK296" s="2">
        <v>1</v>
      </c>
      <c r="AL296" s="260">
        <f t="shared" ca="1" si="178"/>
        <v>0</v>
      </c>
      <c r="AM296" s="260">
        <f t="shared" ca="1" si="179"/>
        <v>0</v>
      </c>
      <c r="AN296" s="260" t="str">
        <f ca="1">IF(AND(Tabla7[[#This Row],[UltLec]]&lt;&gt;0,Tabla7[[#This Row],[PenLect]]&lt;&gt;0),(AM296-AL296)*Tabla7[[#This Row],[RT]],"N/A")</f>
        <v>N/A</v>
      </c>
      <c r="AO296" s="380" t="s">
        <v>813</v>
      </c>
      <c r="AP296" s="380" t="s">
        <v>1075</v>
      </c>
      <c r="AQ296" s="380" t="s">
        <v>1074</v>
      </c>
      <c r="AR296" s="2">
        <f t="shared" si="180"/>
        <v>0</v>
      </c>
      <c r="AT296" s="2" t="e">
        <f t="shared" ca="1" si="172"/>
        <v>#VALUE!</v>
      </c>
    </row>
    <row r="297" spans="1:46" ht="18" customHeight="1" x14ac:dyDescent="0.25">
      <c r="A297" s="407" t="s">
        <v>19</v>
      </c>
      <c r="B297" s="54"/>
      <c r="C297" s="420" t="s">
        <v>1641</v>
      </c>
      <c r="D297" s="374" t="s">
        <v>46</v>
      </c>
      <c r="E297" s="375">
        <v>39325</v>
      </c>
      <c r="F297" s="2" t="s">
        <v>145</v>
      </c>
      <c r="G297" s="2" t="s">
        <v>52</v>
      </c>
      <c r="H297" s="2" t="s">
        <v>1696</v>
      </c>
      <c r="I297" s="2" t="s">
        <v>1642</v>
      </c>
      <c r="J297" s="260">
        <v>81759</v>
      </c>
      <c r="K297" s="260">
        <v>82773</v>
      </c>
      <c r="L297" s="260"/>
      <c r="O297" s="260"/>
      <c r="P297" s="260"/>
      <c r="Q297" s="260"/>
      <c r="R297" s="260"/>
      <c r="S297" s="260"/>
      <c r="U297" s="260"/>
      <c r="V297" s="260"/>
      <c r="W297" s="260"/>
      <c r="X297" s="2"/>
      <c r="Y297" s="2">
        <f t="shared" si="173"/>
        <v>1014</v>
      </c>
      <c r="Z297" s="2" t="str">
        <f t="shared" si="174"/>
        <v/>
      </c>
      <c r="AA297" s="2" t="str">
        <f t="shared" si="177"/>
        <v/>
      </c>
      <c r="AB297" s="2" t="str">
        <f t="shared" si="177"/>
        <v/>
      </c>
      <c r="AC297" s="2" t="str">
        <f t="shared" si="161"/>
        <v/>
      </c>
      <c r="AD297" s="2" t="str">
        <f t="shared" si="162"/>
        <v/>
      </c>
      <c r="AE297" s="2" t="str">
        <f t="shared" si="163"/>
        <v/>
      </c>
      <c r="AF297" s="2" t="str">
        <f t="shared" si="164"/>
        <v/>
      </c>
      <c r="AG297" s="2" t="str">
        <f t="shared" si="165"/>
        <v/>
      </c>
      <c r="AH297" s="2" t="str">
        <f t="shared" si="166"/>
        <v/>
      </c>
      <c r="AI297" s="2" t="str">
        <f t="shared" si="167"/>
        <v/>
      </c>
      <c r="AJ297" s="2" t="str">
        <f t="shared" si="168"/>
        <v/>
      </c>
      <c r="AK297" s="2">
        <v>1</v>
      </c>
      <c r="AL297" s="260">
        <f t="shared" ca="1" si="178"/>
        <v>0</v>
      </c>
      <c r="AM297" s="260">
        <f t="shared" ca="1" si="179"/>
        <v>0</v>
      </c>
      <c r="AN297" s="260" t="str">
        <f ca="1">IF(AND(Tabla7[[#This Row],[UltLec]]&lt;&gt;0,Tabla7[[#This Row],[PenLect]]&lt;&gt;0),(AM297-AL297)*Tabla7[[#This Row],[RT]],"N/A")</f>
        <v>N/A</v>
      </c>
      <c r="AO297" s="380" t="s">
        <v>813</v>
      </c>
      <c r="AP297" s="380" t="s">
        <v>1075</v>
      </c>
      <c r="AQ297" s="380" t="s">
        <v>1074</v>
      </c>
      <c r="AR297" s="2">
        <f t="shared" si="180"/>
        <v>0</v>
      </c>
      <c r="AT297" s="2" t="e">
        <f t="shared" ca="1" si="172"/>
        <v>#VALUE!</v>
      </c>
    </row>
    <row r="298" spans="1:46" ht="18" customHeight="1" x14ac:dyDescent="0.25">
      <c r="A298" s="291" t="s">
        <v>19</v>
      </c>
      <c r="B298" s="291"/>
      <c r="C298" s="291" t="s">
        <v>1701</v>
      </c>
      <c r="D298" s="291" t="s">
        <v>46</v>
      </c>
      <c r="E298" s="291">
        <v>142</v>
      </c>
      <c r="F298" s="2" t="s">
        <v>778</v>
      </c>
      <c r="G298" s="2" t="s">
        <v>1329</v>
      </c>
      <c r="H298" s="2" t="s">
        <v>1699</v>
      </c>
      <c r="I298" s="2" t="s">
        <v>774</v>
      </c>
      <c r="J298" s="260"/>
      <c r="K298" s="260">
        <v>2492</v>
      </c>
      <c r="L298" s="260"/>
      <c r="O298" s="260"/>
      <c r="P298" s="260"/>
      <c r="Q298" s="260"/>
      <c r="R298" s="260"/>
      <c r="S298" s="260"/>
      <c r="U298" s="260"/>
      <c r="V298" s="260"/>
      <c r="W298" s="260"/>
      <c r="X298" s="2"/>
      <c r="Y298" s="2" t="str">
        <f t="shared" si="173"/>
        <v/>
      </c>
      <c r="Z298" s="2" t="str">
        <f t="shared" si="174"/>
        <v/>
      </c>
      <c r="AA298" s="2" t="str">
        <f t="shared" si="177"/>
        <v/>
      </c>
      <c r="AB298" s="2" t="str">
        <f t="shared" si="177"/>
        <v/>
      </c>
      <c r="AC298" s="2" t="str">
        <f t="shared" si="161"/>
        <v/>
      </c>
      <c r="AD298" s="2" t="str">
        <f t="shared" si="162"/>
        <v/>
      </c>
      <c r="AE298" s="2" t="str">
        <f t="shared" si="163"/>
        <v/>
      </c>
      <c r="AF298" s="2" t="str">
        <f t="shared" si="164"/>
        <v/>
      </c>
      <c r="AG298" s="2" t="str">
        <f t="shared" si="165"/>
        <v/>
      </c>
      <c r="AH298" s="2" t="str">
        <f t="shared" si="166"/>
        <v/>
      </c>
      <c r="AI298" s="2" t="str">
        <f t="shared" si="167"/>
        <v/>
      </c>
      <c r="AJ298" s="2" t="str">
        <f t="shared" si="168"/>
        <v/>
      </c>
      <c r="AK298" s="2">
        <v>1</v>
      </c>
      <c r="AL298" s="260">
        <f t="shared" ca="1" si="178"/>
        <v>0</v>
      </c>
      <c r="AM298" s="260">
        <f t="shared" ca="1" si="179"/>
        <v>0</v>
      </c>
      <c r="AN298" s="260" t="str">
        <f ca="1">IF(AND(Tabla7[[#This Row],[UltLec]]&lt;&gt;0,Tabla7[[#This Row],[PenLect]]&lt;&gt;0),(AM298-AL298)*Tabla7[[#This Row],[RT]],"N/A")</f>
        <v>N/A</v>
      </c>
      <c r="AO298" s="380" t="s">
        <v>813</v>
      </c>
      <c r="AP298" s="380" t="s">
        <v>1076</v>
      </c>
      <c r="AQ298" s="380" t="s">
        <v>771</v>
      </c>
      <c r="AR298" s="2">
        <f t="shared" si="180"/>
        <v>0</v>
      </c>
      <c r="AT298" s="2" t="e">
        <f t="shared" ca="1" si="172"/>
        <v>#VALUE!</v>
      </c>
    </row>
    <row r="299" spans="1:46" ht="18" hidden="1" customHeight="1" x14ac:dyDescent="0.25">
      <c r="A299" s="418" t="s">
        <v>1080</v>
      </c>
      <c r="B299" s="273"/>
      <c r="C299" s="276" t="s">
        <v>1193</v>
      </c>
      <c r="D299" s="273" t="s">
        <v>46</v>
      </c>
      <c r="E299" s="274">
        <v>142</v>
      </c>
      <c r="F299" s="393" t="s">
        <v>778</v>
      </c>
      <c r="G299" s="393" t="s">
        <v>1329</v>
      </c>
      <c r="H299" s="393" t="s">
        <v>1700</v>
      </c>
      <c r="I299" s="393" t="s">
        <v>774</v>
      </c>
      <c r="J299" s="393">
        <v>1198320</v>
      </c>
      <c r="K299" s="393"/>
      <c r="L299" s="393"/>
      <c r="M299" s="393"/>
      <c r="N299" s="393"/>
      <c r="O299" s="393"/>
      <c r="P299" s="393"/>
      <c r="Q299" s="393"/>
      <c r="R299" s="393"/>
      <c r="S299" s="393"/>
      <c r="T299" s="393"/>
      <c r="U299" s="393"/>
      <c r="V299" s="393"/>
      <c r="W299" s="393"/>
      <c r="X299" s="393"/>
      <c r="Y299" s="393" t="str">
        <f t="shared" si="173"/>
        <v/>
      </c>
      <c r="Z299" s="393" t="str">
        <f t="shared" si="174"/>
        <v/>
      </c>
      <c r="AA299" s="393" t="str">
        <f t="shared" si="177"/>
        <v/>
      </c>
      <c r="AB299" s="393" t="str">
        <f t="shared" si="177"/>
        <v/>
      </c>
      <c r="AC299" s="393" t="str">
        <f t="shared" si="161"/>
        <v/>
      </c>
      <c r="AD299" s="393" t="str">
        <f t="shared" si="162"/>
        <v/>
      </c>
      <c r="AE299" s="393" t="str">
        <f t="shared" si="163"/>
        <v/>
      </c>
      <c r="AF299" s="393" t="str">
        <f t="shared" si="164"/>
        <v/>
      </c>
      <c r="AG299" s="393" t="str">
        <f t="shared" si="165"/>
        <v/>
      </c>
      <c r="AH299" s="393" t="str">
        <f t="shared" si="166"/>
        <v/>
      </c>
      <c r="AI299" s="393" t="str">
        <f t="shared" si="167"/>
        <v/>
      </c>
      <c r="AJ299" s="393" t="str">
        <f t="shared" si="168"/>
        <v/>
      </c>
      <c r="AK299" s="393">
        <v>1</v>
      </c>
      <c r="AL299" s="393">
        <f t="shared" ca="1" si="178"/>
        <v>0</v>
      </c>
      <c r="AM299" s="393">
        <f t="shared" ca="1" si="179"/>
        <v>0</v>
      </c>
      <c r="AN299" s="393" t="str">
        <f ca="1">IF(AND(Tabla7[[#This Row],[UltLec]]&lt;&gt;0,Tabla7[[#This Row],[PenLect]]&lt;&gt;0),(AM299-AL299)*Tabla7[[#This Row],[RT]],"N/A")</f>
        <v>N/A</v>
      </c>
      <c r="AO299" s="393" t="s">
        <v>1160</v>
      </c>
      <c r="AP299" s="393" t="s">
        <v>1076</v>
      </c>
      <c r="AQ299" s="393" t="s">
        <v>771</v>
      </c>
      <c r="AR299" s="393">
        <f t="shared" si="180"/>
        <v>0</v>
      </c>
      <c r="AT299" s="2" t="e">
        <f t="shared" ca="1" si="172"/>
        <v>#VALUE!</v>
      </c>
    </row>
    <row r="300" spans="1:46" ht="18" customHeight="1" x14ac:dyDescent="0.25">
      <c r="A300" s="291" t="s">
        <v>19</v>
      </c>
      <c r="B300" s="291"/>
      <c r="C300" s="477" t="s">
        <v>1698</v>
      </c>
      <c r="D300" s="291" t="s">
        <v>46</v>
      </c>
      <c r="E300" s="291">
        <v>131</v>
      </c>
      <c r="F300" s="2" t="s">
        <v>440</v>
      </c>
      <c r="G300" s="2" t="s">
        <v>47</v>
      </c>
      <c r="H300" s="2" t="s">
        <v>1715</v>
      </c>
      <c r="I300" s="2"/>
      <c r="J300" s="260">
        <v>190036</v>
      </c>
      <c r="K300" s="260">
        <v>193635</v>
      </c>
      <c r="L300" s="260"/>
      <c r="O300" s="260"/>
      <c r="P300" s="260"/>
      <c r="Q300" s="260"/>
      <c r="R300" s="260"/>
      <c r="S300" s="260"/>
      <c r="U300" s="260"/>
      <c r="V300" s="260"/>
      <c r="W300" s="260"/>
      <c r="X300" s="2"/>
      <c r="Y300" s="2">
        <f t="shared" si="173"/>
        <v>3599</v>
      </c>
      <c r="Z300" s="2" t="str">
        <f t="shared" si="174"/>
        <v/>
      </c>
      <c r="AA300" s="2" t="str">
        <f>IF(OR(ISBLANK(#REF!),ISBLANK(L300)),"",IF(AND(#REF!&gt;=L300,#REF!-L300&lt;=#REF!),(#REF!-L300)*$AK300,"!!!!"))</f>
        <v/>
      </c>
      <c r="AB300" s="2" t="str">
        <f>IF(OR(ISBLANK(N300),ISBLANK(#REF!)),"",IF(AND(N300&gt;=#REF!,N300-#REF!&lt;=N300),(N300-#REF!)*$AK300,"!!!!"))</f>
        <v/>
      </c>
      <c r="AC300" s="2" t="str">
        <f t="shared" si="161"/>
        <v/>
      </c>
      <c r="AD300" s="2" t="str">
        <f t="shared" si="162"/>
        <v/>
      </c>
      <c r="AE300" s="2" t="str">
        <f t="shared" si="163"/>
        <v/>
      </c>
      <c r="AF300" s="2" t="str">
        <f t="shared" si="164"/>
        <v/>
      </c>
      <c r="AG300" s="2" t="str">
        <f t="shared" si="165"/>
        <v/>
      </c>
      <c r="AH300" s="2" t="str">
        <f t="shared" si="166"/>
        <v/>
      </c>
      <c r="AI300" s="2" t="str">
        <f t="shared" si="167"/>
        <v/>
      </c>
      <c r="AJ300" s="2" t="str">
        <f t="shared" si="168"/>
        <v/>
      </c>
      <c r="AK300" s="2">
        <v>1</v>
      </c>
      <c r="AL300" s="260">
        <f t="shared" ca="1" si="178"/>
        <v>0</v>
      </c>
      <c r="AM300" s="260">
        <f t="shared" ca="1" si="179"/>
        <v>0</v>
      </c>
      <c r="AN300" s="260" t="str">
        <f ca="1">IF(AND(Tabla7[[#This Row],[UltLec]]&lt;&gt;0,Tabla7[[#This Row],[PenLect]]&lt;&gt;0),(AM300-AL300)*Tabla7[[#This Row],[RT]],"N/A")</f>
        <v>N/A</v>
      </c>
      <c r="AO300" s="380" t="s">
        <v>813</v>
      </c>
      <c r="AP300" s="380" t="s">
        <v>1075</v>
      </c>
      <c r="AQ300" s="380" t="s">
        <v>771</v>
      </c>
      <c r="AR300" s="2">
        <f t="shared" si="180"/>
        <v>0</v>
      </c>
      <c r="AT300" s="2" t="e">
        <f t="shared" ca="1" si="172"/>
        <v>#VALUE!</v>
      </c>
    </row>
    <row r="301" spans="1:46" ht="18" hidden="1" customHeight="1" x14ac:dyDescent="0.25">
      <c r="A301" s="476" t="s">
        <v>1080</v>
      </c>
      <c r="B301" s="273"/>
      <c r="C301" s="273" t="s">
        <v>1133</v>
      </c>
      <c r="D301" s="273" t="s">
        <v>46</v>
      </c>
      <c r="E301" s="274">
        <v>131</v>
      </c>
      <c r="F301" s="393" t="s">
        <v>440</v>
      </c>
      <c r="G301" s="393" t="s">
        <v>47</v>
      </c>
      <c r="H301" s="393" t="s">
        <v>1697</v>
      </c>
      <c r="I301" s="393"/>
      <c r="J301" s="393">
        <v>399652</v>
      </c>
      <c r="K301" s="393"/>
      <c r="L301" s="393"/>
      <c r="M301" s="393"/>
      <c r="N301" s="393"/>
      <c r="O301" s="393"/>
      <c r="P301" s="393"/>
      <c r="Q301" s="393"/>
      <c r="R301" s="393"/>
      <c r="S301" s="393"/>
      <c r="T301" s="393"/>
      <c r="U301" s="393"/>
      <c r="V301" s="393"/>
      <c r="W301" s="393"/>
      <c r="X301" s="393"/>
      <c r="Y301" s="393" t="str">
        <f t="shared" si="173"/>
        <v/>
      </c>
      <c r="Z301" s="393" t="str">
        <f t="shared" si="174"/>
        <v/>
      </c>
      <c r="AA301" s="393" t="str">
        <f t="shared" ref="AA301:AA309" si="181">IF(OR(ISBLANK(M301),ISBLANK(L301)),"",IF(AND(M301&gt;=L301,M301-L301&lt;=M301),(M301-L301)*$AK301,"!!!!"))</f>
        <v/>
      </c>
      <c r="AB301" s="393" t="str">
        <f t="shared" ref="AB301:AB309" si="182">IF(OR(ISBLANK(N301),ISBLANK(M301)),"",IF(AND(N301&gt;=M301,N301-M301&lt;=N301),(N301-M301)*$AK301,"!!!!"))</f>
        <v/>
      </c>
      <c r="AC301" s="393" t="str">
        <f t="shared" si="161"/>
        <v/>
      </c>
      <c r="AD301" s="393" t="str">
        <f t="shared" si="162"/>
        <v/>
      </c>
      <c r="AE301" s="393" t="str">
        <f t="shared" si="163"/>
        <v/>
      </c>
      <c r="AF301" s="393" t="str">
        <f t="shared" si="164"/>
        <v/>
      </c>
      <c r="AG301" s="393" t="str">
        <f t="shared" si="165"/>
        <v/>
      </c>
      <c r="AH301" s="393" t="str">
        <f t="shared" si="166"/>
        <v/>
      </c>
      <c r="AI301" s="393" t="str">
        <f t="shared" si="167"/>
        <v/>
      </c>
      <c r="AJ301" s="393" t="str">
        <f t="shared" si="168"/>
        <v/>
      </c>
      <c r="AK301" s="393">
        <v>1</v>
      </c>
      <c r="AL301" s="393">
        <f t="shared" ca="1" si="178"/>
        <v>0</v>
      </c>
      <c r="AM301" s="393">
        <f t="shared" ca="1" si="179"/>
        <v>0</v>
      </c>
      <c r="AN301" s="393" t="str">
        <f ca="1">IF(AND(Tabla7[[#This Row],[UltLec]]&lt;&gt;0,Tabla7[[#This Row],[PenLect]]&lt;&gt;0),(AM301-AL301)*Tabla7[[#This Row],[RT]],"N/A")</f>
        <v>N/A</v>
      </c>
      <c r="AO301" s="393" t="s">
        <v>1160</v>
      </c>
      <c r="AP301" s="393" t="s">
        <v>1076</v>
      </c>
      <c r="AQ301" s="393" t="s">
        <v>771</v>
      </c>
      <c r="AR301" s="393">
        <f t="shared" si="180"/>
        <v>0</v>
      </c>
      <c r="AT301" s="2" t="e">
        <f t="shared" ca="1" si="172"/>
        <v>#VALUE!</v>
      </c>
    </row>
    <row r="302" spans="1:46" ht="18" customHeight="1" x14ac:dyDescent="0.25">
      <c r="A302" s="291" t="s">
        <v>19</v>
      </c>
      <c r="B302" s="54"/>
      <c r="C302" s="239">
        <v>141201860</v>
      </c>
      <c r="D302" s="54" t="s">
        <v>419</v>
      </c>
      <c r="E302" s="232">
        <v>39708</v>
      </c>
      <c r="F302" s="2" t="s">
        <v>1638</v>
      </c>
      <c r="G302" s="2" t="s">
        <v>1639</v>
      </c>
      <c r="H302" s="2" t="s">
        <v>1640</v>
      </c>
      <c r="I302" s="2"/>
      <c r="J302" s="260">
        <v>99</v>
      </c>
      <c r="K302" s="290">
        <v>105</v>
      </c>
      <c r="L302" s="260"/>
      <c r="O302" s="260"/>
      <c r="P302" s="260"/>
      <c r="Q302" s="260"/>
      <c r="R302" s="260"/>
      <c r="S302" s="260"/>
      <c r="U302" s="260"/>
      <c r="V302" s="260"/>
      <c r="W302" s="260"/>
      <c r="X302" s="2"/>
      <c r="Y302" s="2">
        <f t="shared" si="173"/>
        <v>6</v>
      </c>
      <c r="Z302" s="2" t="str">
        <f t="shared" si="174"/>
        <v/>
      </c>
      <c r="AA302" s="2" t="str">
        <f t="shared" si="181"/>
        <v/>
      </c>
      <c r="AB302" s="2" t="str">
        <f t="shared" si="182"/>
        <v/>
      </c>
      <c r="AC302" s="2" t="str">
        <f t="shared" si="161"/>
        <v/>
      </c>
      <c r="AD302" s="2" t="str">
        <f t="shared" si="162"/>
        <v/>
      </c>
      <c r="AE302" s="2" t="str">
        <f t="shared" si="163"/>
        <v/>
      </c>
      <c r="AF302" s="2" t="str">
        <f t="shared" si="164"/>
        <v/>
      </c>
      <c r="AG302" s="2" t="str">
        <f t="shared" si="165"/>
        <v/>
      </c>
      <c r="AH302" s="2" t="str">
        <f t="shared" si="166"/>
        <v/>
      </c>
      <c r="AI302" s="2" t="str">
        <f t="shared" si="167"/>
        <v/>
      </c>
      <c r="AJ302" s="2" t="str">
        <f t="shared" si="168"/>
        <v/>
      </c>
      <c r="AK302" s="2">
        <v>1</v>
      </c>
      <c r="AL302" s="260">
        <f t="shared" ca="1" si="178"/>
        <v>0</v>
      </c>
      <c r="AM302" s="260">
        <f t="shared" ca="1" si="179"/>
        <v>0</v>
      </c>
      <c r="AN302" s="260" t="str">
        <f ca="1">IF(AND(Tabla7[[#This Row],[UltLec]]&lt;&gt;0,Tabla7[[#This Row],[PenLect]]&lt;&gt;0),(AM302-AL302)*Tabla7[[#This Row],[RT]],"N/A")</f>
        <v>N/A</v>
      </c>
      <c r="AO302" s="380" t="s">
        <v>813</v>
      </c>
      <c r="AP302" s="380" t="s">
        <v>1075</v>
      </c>
      <c r="AQ302" s="380" t="s">
        <v>1435</v>
      </c>
      <c r="AR302" s="2">
        <f t="shared" si="180"/>
        <v>0</v>
      </c>
      <c r="AT302" s="2" t="e">
        <f t="shared" ca="1" si="172"/>
        <v>#VALUE!</v>
      </c>
    </row>
    <row r="303" spans="1:46" ht="18" customHeight="1" x14ac:dyDescent="0.25">
      <c r="A303" s="291" t="s">
        <v>19</v>
      </c>
      <c r="B303" s="54"/>
      <c r="C303" s="239" t="s">
        <v>1132</v>
      </c>
      <c r="D303" s="54" t="s">
        <v>419</v>
      </c>
      <c r="E303" s="232">
        <v>140</v>
      </c>
      <c r="F303" s="2" t="s">
        <v>770</v>
      </c>
      <c r="G303" s="2" t="s">
        <v>420</v>
      </c>
      <c r="H303" s="2"/>
      <c r="I303" s="2"/>
      <c r="J303" s="260">
        <v>5053077</v>
      </c>
      <c r="K303" s="290">
        <v>5075980</v>
      </c>
      <c r="L303" s="260"/>
      <c r="O303" s="260"/>
      <c r="P303" s="260"/>
      <c r="Q303" s="260"/>
      <c r="R303" s="260"/>
      <c r="S303" s="260"/>
      <c r="U303" s="260"/>
      <c r="V303" s="260"/>
      <c r="W303" s="260"/>
      <c r="X303" s="2"/>
      <c r="Y303" s="2">
        <f t="shared" si="173"/>
        <v>22903</v>
      </c>
      <c r="Z303" s="2" t="str">
        <f t="shared" si="174"/>
        <v/>
      </c>
      <c r="AA303" s="2" t="str">
        <f t="shared" si="181"/>
        <v/>
      </c>
      <c r="AB303" s="2" t="str">
        <f t="shared" si="182"/>
        <v/>
      </c>
      <c r="AC303" s="2" t="str">
        <f t="shared" si="161"/>
        <v/>
      </c>
      <c r="AD303" s="2" t="str">
        <f t="shared" si="162"/>
        <v/>
      </c>
      <c r="AE303" s="2" t="str">
        <f t="shared" si="163"/>
        <v/>
      </c>
      <c r="AF303" s="2" t="str">
        <f t="shared" si="164"/>
        <v/>
      </c>
      <c r="AG303" s="2" t="str">
        <f t="shared" si="165"/>
        <v/>
      </c>
      <c r="AH303" s="2" t="str">
        <f t="shared" si="166"/>
        <v/>
      </c>
      <c r="AI303" s="2" t="str">
        <f t="shared" si="167"/>
        <v/>
      </c>
      <c r="AJ303" s="2" t="str">
        <f t="shared" si="168"/>
        <v/>
      </c>
      <c r="AK303" s="2">
        <v>1</v>
      </c>
      <c r="AL303" s="260">
        <f t="shared" ca="1" si="178"/>
        <v>0</v>
      </c>
      <c r="AM303" s="260">
        <f t="shared" ca="1" si="179"/>
        <v>0</v>
      </c>
      <c r="AN303" s="260" t="str">
        <f ca="1">IF(AND(Tabla7[[#This Row],[UltLec]]&lt;&gt;0,Tabla7[[#This Row],[PenLect]]&lt;&gt;0),(AM303-AL303)*Tabla7[[#This Row],[RT]],"N/A")</f>
        <v>N/A</v>
      </c>
      <c r="AO303" s="380" t="s">
        <v>813</v>
      </c>
      <c r="AP303" s="380" t="s">
        <v>1076</v>
      </c>
      <c r="AQ303" s="380" t="s">
        <v>771</v>
      </c>
      <c r="AR303" s="2">
        <f t="shared" si="180"/>
        <v>0</v>
      </c>
      <c r="AT303" s="2" t="e">
        <f t="shared" ca="1" si="172"/>
        <v>#VALUE!</v>
      </c>
    </row>
    <row r="304" spans="1:46" ht="18" hidden="1" customHeight="1" x14ac:dyDescent="0.25">
      <c r="A304" s="418" t="s">
        <v>1080</v>
      </c>
      <c r="B304" s="273">
        <v>1921</v>
      </c>
      <c r="C304" s="276">
        <v>2507435</v>
      </c>
      <c r="D304" s="273" t="s">
        <v>55</v>
      </c>
      <c r="E304" s="274">
        <v>39620</v>
      </c>
      <c r="F304" s="275" t="s">
        <v>1311</v>
      </c>
      <c r="G304" s="275" t="s">
        <v>1433</v>
      </c>
      <c r="H304" s="275" t="s">
        <v>1479</v>
      </c>
      <c r="I304" s="275" t="s">
        <v>1434</v>
      </c>
      <c r="J304" s="275"/>
      <c r="K304" s="275"/>
      <c r="L304" s="275"/>
      <c r="M304" s="275"/>
      <c r="N304" s="275"/>
      <c r="O304" s="275"/>
      <c r="P304" s="275"/>
      <c r="Q304" s="275"/>
      <c r="R304" s="275"/>
      <c r="S304" s="275"/>
      <c r="T304" s="275"/>
      <c r="U304" s="275"/>
      <c r="V304" s="275"/>
      <c r="W304" s="275"/>
      <c r="X304" s="275"/>
      <c r="Y304" s="275" t="str">
        <f t="shared" si="173"/>
        <v/>
      </c>
      <c r="Z304" s="275" t="str">
        <f t="shared" si="174"/>
        <v/>
      </c>
      <c r="AA304" s="275" t="str">
        <f t="shared" si="181"/>
        <v/>
      </c>
      <c r="AB304" s="275" t="str">
        <f t="shared" si="182"/>
        <v/>
      </c>
      <c r="AC304" s="275" t="str">
        <f t="shared" si="161"/>
        <v/>
      </c>
      <c r="AD304" s="275" t="str">
        <f t="shared" si="162"/>
        <v/>
      </c>
      <c r="AE304" s="275" t="str">
        <f t="shared" si="163"/>
        <v/>
      </c>
      <c r="AF304" s="275" t="str">
        <f t="shared" si="164"/>
        <v/>
      </c>
      <c r="AG304" s="275" t="str">
        <f t="shared" si="165"/>
        <v/>
      </c>
      <c r="AH304" s="275" t="str">
        <f t="shared" si="166"/>
        <v/>
      </c>
      <c r="AI304" s="275" t="str">
        <f t="shared" si="167"/>
        <v/>
      </c>
      <c r="AJ304" s="275" t="str">
        <f t="shared" si="168"/>
        <v/>
      </c>
      <c r="AK304" s="275">
        <v>1</v>
      </c>
      <c r="AL304" s="275">
        <f t="shared" ca="1" si="178"/>
        <v>0</v>
      </c>
      <c r="AM304" s="275">
        <f t="shared" ca="1" si="179"/>
        <v>0</v>
      </c>
      <c r="AN304" s="275" t="str">
        <f ca="1">IF(AND(Tabla7[[#This Row],[UltLec]]&lt;&gt;0,Tabla7[[#This Row],[PenLect]]&lt;&gt;0),(AM304-AL304)*Tabla7[[#This Row],[RT]],"N/A")</f>
        <v>N/A</v>
      </c>
      <c r="AO304" s="393" t="s">
        <v>1160</v>
      </c>
      <c r="AP304" s="275" t="s">
        <v>1075</v>
      </c>
      <c r="AQ304" s="275" t="s">
        <v>1435</v>
      </c>
      <c r="AR304" s="275">
        <f t="shared" si="180"/>
        <v>0</v>
      </c>
      <c r="AT304" s="2" t="e">
        <f t="shared" ca="1" si="172"/>
        <v>#VALUE!</v>
      </c>
    </row>
    <row r="305" spans="1:46" ht="18" customHeight="1" x14ac:dyDescent="0.25">
      <c r="A305" s="291" t="s">
        <v>19</v>
      </c>
      <c r="B305" s="54"/>
      <c r="C305" s="239">
        <v>717083052</v>
      </c>
      <c r="D305" s="54" t="s">
        <v>55</v>
      </c>
      <c r="E305" s="232">
        <v>140</v>
      </c>
      <c r="F305" s="2" t="s">
        <v>858</v>
      </c>
      <c r="G305" s="2" t="s">
        <v>930</v>
      </c>
      <c r="H305" s="2"/>
      <c r="I305" s="2" t="s">
        <v>859</v>
      </c>
      <c r="J305" s="260">
        <v>39441</v>
      </c>
      <c r="K305" s="260">
        <v>39832</v>
      </c>
      <c r="L305" s="260"/>
      <c r="O305" s="260"/>
      <c r="P305" s="260"/>
      <c r="Q305" s="260"/>
      <c r="R305" s="260"/>
      <c r="S305" s="260"/>
      <c r="U305" s="260"/>
      <c r="V305" s="260"/>
      <c r="W305" s="2"/>
      <c r="X305" s="2"/>
      <c r="Y305" s="2">
        <f t="shared" si="173"/>
        <v>391</v>
      </c>
      <c r="Z305" s="2" t="str">
        <f t="shared" si="174"/>
        <v/>
      </c>
      <c r="AA305" s="2" t="str">
        <f t="shared" si="181"/>
        <v/>
      </c>
      <c r="AB305" s="2" t="str">
        <f t="shared" si="182"/>
        <v/>
      </c>
      <c r="AC305" s="2" t="str">
        <f t="shared" si="161"/>
        <v/>
      </c>
      <c r="AD305" s="2" t="str">
        <f t="shared" si="162"/>
        <v/>
      </c>
      <c r="AE305" s="2" t="str">
        <f t="shared" si="163"/>
        <v/>
      </c>
      <c r="AF305" s="2" t="str">
        <f t="shared" si="164"/>
        <v/>
      </c>
      <c r="AG305" s="2" t="str">
        <f t="shared" si="165"/>
        <v/>
      </c>
      <c r="AH305" s="2" t="str">
        <f t="shared" si="166"/>
        <v/>
      </c>
      <c r="AI305" s="2" t="str">
        <f t="shared" si="167"/>
        <v/>
      </c>
      <c r="AJ305" s="2" t="str">
        <f t="shared" si="168"/>
        <v/>
      </c>
      <c r="AK305" s="2">
        <v>1</v>
      </c>
      <c r="AL305" s="260">
        <f t="shared" ca="1" si="178"/>
        <v>0</v>
      </c>
      <c r="AM305" s="260">
        <f t="shared" ca="1" si="179"/>
        <v>0</v>
      </c>
      <c r="AN305" s="260" t="str">
        <f ca="1">IF(AND(Tabla7[[#This Row],[UltLec]]&lt;&gt;0,Tabla7[[#This Row],[PenLect]]&lt;&gt;0),(AM305-AL305)*Tabla7[[#This Row],[RT]],"N/A")</f>
        <v>N/A</v>
      </c>
      <c r="AO305" s="380" t="s">
        <v>813</v>
      </c>
      <c r="AP305" s="380" t="s">
        <v>1075</v>
      </c>
      <c r="AQ305" s="380" t="s">
        <v>1074</v>
      </c>
      <c r="AR305" s="2">
        <f t="shared" si="180"/>
        <v>0</v>
      </c>
      <c r="AT305" s="2" t="e">
        <f t="shared" ca="1" si="172"/>
        <v>#VALUE!</v>
      </c>
    </row>
    <row r="306" spans="1:46" ht="18" customHeight="1" x14ac:dyDescent="0.25">
      <c r="A306" s="291" t="s">
        <v>19</v>
      </c>
      <c r="B306" s="54"/>
      <c r="C306" s="239">
        <v>717083063</v>
      </c>
      <c r="D306" s="54" t="s">
        <v>55</v>
      </c>
      <c r="E306" s="232">
        <v>131</v>
      </c>
      <c r="F306" s="2" t="s">
        <v>856</v>
      </c>
      <c r="G306" s="2" t="s">
        <v>931</v>
      </c>
      <c r="H306" s="2"/>
      <c r="I306" s="2" t="s">
        <v>859</v>
      </c>
      <c r="J306" s="260">
        <v>35993</v>
      </c>
      <c r="K306" s="260">
        <v>36789</v>
      </c>
      <c r="L306" s="260"/>
      <c r="O306" s="260"/>
      <c r="P306" s="260"/>
      <c r="Q306" s="260"/>
      <c r="R306" s="260"/>
      <c r="S306" s="260"/>
      <c r="U306" s="260"/>
      <c r="V306" s="260"/>
      <c r="W306" s="2"/>
      <c r="X306" s="2"/>
      <c r="Y306" s="2">
        <f t="shared" si="173"/>
        <v>796</v>
      </c>
      <c r="Z306" s="2" t="str">
        <f t="shared" si="174"/>
        <v/>
      </c>
      <c r="AA306" s="2" t="str">
        <f t="shared" si="181"/>
        <v/>
      </c>
      <c r="AB306" s="2" t="str">
        <f t="shared" si="182"/>
        <v/>
      </c>
      <c r="AC306" s="2" t="str">
        <f t="shared" si="161"/>
        <v/>
      </c>
      <c r="AD306" s="2" t="str">
        <f t="shared" si="162"/>
        <v/>
      </c>
      <c r="AE306" s="2" t="str">
        <f t="shared" si="163"/>
        <v/>
      </c>
      <c r="AF306" s="2" t="str">
        <f t="shared" si="164"/>
        <v/>
      </c>
      <c r="AG306" s="2" t="str">
        <f t="shared" si="165"/>
        <v/>
      </c>
      <c r="AH306" s="2" t="str">
        <f t="shared" si="166"/>
        <v/>
      </c>
      <c r="AI306" s="2" t="str">
        <f t="shared" si="167"/>
        <v/>
      </c>
      <c r="AJ306" s="2" t="str">
        <f t="shared" si="168"/>
        <v/>
      </c>
      <c r="AK306" s="2">
        <v>1</v>
      </c>
      <c r="AL306" s="260">
        <f t="shared" ca="1" si="178"/>
        <v>0</v>
      </c>
      <c r="AM306" s="260">
        <f t="shared" ca="1" si="179"/>
        <v>0</v>
      </c>
      <c r="AN306" s="260" t="str">
        <f ca="1">IF(AND(Tabla7[[#This Row],[UltLec]]&lt;&gt;0,Tabla7[[#This Row],[PenLect]]&lt;&gt;0),(AM306-AL306)*Tabla7[[#This Row],[RT]],"N/A")</f>
        <v>N/A</v>
      </c>
      <c r="AO306" s="380" t="s">
        <v>813</v>
      </c>
      <c r="AP306" s="380" t="s">
        <v>1075</v>
      </c>
      <c r="AQ306" s="380" t="s">
        <v>1074</v>
      </c>
      <c r="AR306" s="2">
        <f t="shared" si="180"/>
        <v>0</v>
      </c>
      <c r="AT306" s="2" t="e">
        <f t="shared" ca="1" si="172"/>
        <v>#VALUE!</v>
      </c>
    </row>
    <row r="307" spans="1:46" ht="18" customHeight="1" x14ac:dyDescent="0.25">
      <c r="A307" s="291" t="s">
        <v>19</v>
      </c>
      <c r="B307" s="54"/>
      <c r="C307" s="239">
        <v>717084017</v>
      </c>
      <c r="D307" s="54" t="s">
        <v>55</v>
      </c>
      <c r="E307" s="232">
        <v>140</v>
      </c>
      <c r="F307" s="2" t="s">
        <v>924</v>
      </c>
      <c r="G307" s="2" t="s">
        <v>925</v>
      </c>
      <c r="H307" s="2" t="s">
        <v>855</v>
      </c>
      <c r="I307" s="2" t="s">
        <v>942</v>
      </c>
      <c r="J307" s="260">
        <v>311111</v>
      </c>
      <c r="K307" s="260">
        <v>316283</v>
      </c>
      <c r="L307" s="260"/>
      <c r="O307" s="260"/>
      <c r="P307" s="260"/>
      <c r="Q307" s="260"/>
      <c r="R307" s="260"/>
      <c r="S307" s="260"/>
      <c r="U307" s="260"/>
      <c r="V307" s="260"/>
      <c r="W307" s="260"/>
      <c r="X307" s="2"/>
      <c r="Y307" s="2">
        <f t="shared" si="173"/>
        <v>5172</v>
      </c>
      <c r="Z307" s="2" t="str">
        <f t="shared" si="174"/>
        <v/>
      </c>
      <c r="AA307" s="2" t="str">
        <f t="shared" si="181"/>
        <v/>
      </c>
      <c r="AB307" s="2" t="str">
        <f t="shared" si="182"/>
        <v/>
      </c>
      <c r="AC307" s="2" t="str">
        <f t="shared" ref="AC307:AC370" si="183">IF(OR(ISBLANK(O307),ISBLANK(N307)),"",IF(AND(O307&gt;=N307,O307-N307&lt;=O307),(O307-N307)*$AK307,"!!!!"))</f>
        <v/>
      </c>
      <c r="AD307" s="2" t="str">
        <f t="shared" ref="AD307:AD370" si="184">IF(OR(ISBLANK(P307),ISBLANK(O307)),"",IF(AND(P307&gt;=O307,P307-O307&lt;=P307),(P307-O307)*$AK307,"!!!!"))</f>
        <v/>
      </c>
      <c r="AE307" s="2" t="str">
        <f t="shared" ref="AE307:AE370" si="185">IF(OR(ISBLANK(Q307),ISBLANK(P307)),"",IF(AND(Q307&gt;=P307,Q307-P307&lt;=Q307),(Q307-P307)*$AK307,"!!!!"))</f>
        <v/>
      </c>
      <c r="AF307" s="2" t="str">
        <f t="shared" ref="AF307:AF370" si="186">IF(OR(ISBLANK(R307),ISBLANK(Q307)),"",IF(AND(R307&gt;=Q307,R307-Q307&lt;=R307),(R307-Q307)*$AK307,"!!!!"))</f>
        <v/>
      </c>
      <c r="AG307" s="2" t="str">
        <f t="shared" ref="AG307:AG370" si="187">IF(OR(ISBLANK(S307),ISBLANK(R307)),"",IF(AND(S307&gt;=R307,S307-R307&lt;=S307),(S307-R307)*$AK307,"!!!!"))</f>
        <v/>
      </c>
      <c r="AH307" s="2" t="str">
        <f t="shared" ref="AH307:AH370" si="188">IF(OR(ISBLANK(T307),ISBLANK(S307)),"",IF(AND(T307&gt;=S307,T307-S307&lt;=T307),(T307-S307)*$AK307,"!!!!"))</f>
        <v/>
      </c>
      <c r="AI307" s="2" t="str">
        <f t="shared" ref="AI307:AI370" si="189">IF(OR(ISBLANK(U307),ISBLANK(T307)),"",IF(AND(U307&gt;=T307,U307-T307&lt;=U307),(U307-T307)*$AK307,"!!!!"))</f>
        <v/>
      </c>
      <c r="AJ307" s="2" t="str">
        <f t="shared" ref="AJ307:AJ370" si="190">IF(OR(ISBLANK(V307),ISBLANK(U307)),"",IF(AND(V307&gt;=U307,V307-U307&lt;=V307),(V307-U307)*$AK307,"!!!!"))</f>
        <v/>
      </c>
      <c r="AK307" s="2">
        <v>1</v>
      </c>
      <c r="AL307" s="260">
        <f t="shared" ca="1" si="178"/>
        <v>0</v>
      </c>
      <c r="AM307" s="260">
        <f t="shared" ca="1" si="179"/>
        <v>0</v>
      </c>
      <c r="AN307" s="260" t="str">
        <f ca="1">IF(AND(Tabla7[[#This Row],[UltLec]]&lt;&gt;0,Tabla7[[#This Row],[PenLect]]&lt;&gt;0),(AM307-AL307)*Tabla7[[#This Row],[RT]],"N/A")</f>
        <v>N/A</v>
      </c>
      <c r="AO307" s="380" t="s">
        <v>813</v>
      </c>
      <c r="AP307" s="380" t="s">
        <v>1075</v>
      </c>
      <c r="AQ307" s="380" t="s">
        <v>1074</v>
      </c>
      <c r="AR307" s="2">
        <f t="shared" si="180"/>
        <v>0</v>
      </c>
      <c r="AT307" s="2" t="e">
        <f t="shared" ca="1" si="172"/>
        <v>#VALUE!</v>
      </c>
    </row>
    <row r="308" spans="1:46" ht="18" customHeight="1" x14ac:dyDescent="0.25">
      <c r="A308" s="291" t="s">
        <v>19</v>
      </c>
      <c r="B308" s="54"/>
      <c r="C308" s="239">
        <v>717084039</v>
      </c>
      <c r="D308" s="54" t="s">
        <v>55</v>
      </c>
      <c r="E308" s="232">
        <v>140</v>
      </c>
      <c r="F308" s="2" t="s">
        <v>857</v>
      </c>
      <c r="G308" s="2" t="s">
        <v>932</v>
      </c>
      <c r="H308" s="2"/>
      <c r="I308" s="2" t="s">
        <v>860</v>
      </c>
      <c r="J308" s="260">
        <v>72763</v>
      </c>
      <c r="K308" s="260">
        <v>73829</v>
      </c>
      <c r="L308" s="260"/>
      <c r="O308" s="260"/>
      <c r="P308" s="260"/>
      <c r="Q308" s="260"/>
      <c r="R308" s="260"/>
      <c r="S308" s="260"/>
      <c r="U308" s="260"/>
      <c r="V308" s="260"/>
      <c r="W308" s="2"/>
      <c r="X308" s="2"/>
      <c r="Y308" s="2">
        <f t="shared" si="173"/>
        <v>1066</v>
      </c>
      <c r="Z308" s="2" t="str">
        <f t="shared" si="174"/>
        <v/>
      </c>
      <c r="AA308" s="2" t="str">
        <f t="shared" si="181"/>
        <v/>
      </c>
      <c r="AB308" s="2" t="str">
        <f t="shared" si="182"/>
        <v/>
      </c>
      <c r="AC308" s="2" t="str">
        <f t="shared" si="183"/>
        <v/>
      </c>
      <c r="AD308" s="2" t="str">
        <f t="shared" si="184"/>
        <v/>
      </c>
      <c r="AE308" s="2" t="str">
        <f t="shared" si="185"/>
        <v/>
      </c>
      <c r="AF308" s="2" t="str">
        <f t="shared" si="186"/>
        <v/>
      </c>
      <c r="AG308" s="2" t="str">
        <f t="shared" si="187"/>
        <v/>
      </c>
      <c r="AH308" s="2" t="str">
        <f t="shared" si="188"/>
        <v/>
      </c>
      <c r="AI308" s="2" t="str">
        <f t="shared" si="189"/>
        <v/>
      </c>
      <c r="AJ308" s="2" t="str">
        <f t="shared" si="190"/>
        <v/>
      </c>
      <c r="AK308" s="2">
        <v>1</v>
      </c>
      <c r="AL308" s="260">
        <f t="shared" ca="1" si="178"/>
        <v>0</v>
      </c>
      <c r="AM308" s="260">
        <f t="shared" ca="1" si="179"/>
        <v>0</v>
      </c>
      <c r="AN308" s="341" t="str">
        <f ca="1">IF(AND(Tabla7[[#This Row],[UltLec]]&lt;&gt;0,Tabla7[[#This Row],[PenLect]]&lt;&gt;0),(AM308-AL308)*Tabla7[[#This Row],[RT]],"N/A")</f>
        <v>N/A</v>
      </c>
      <c r="AO308" s="380" t="s">
        <v>813</v>
      </c>
      <c r="AP308" s="380" t="s">
        <v>1075</v>
      </c>
      <c r="AQ308" s="380" t="s">
        <v>1074</v>
      </c>
      <c r="AR308" s="2">
        <f t="shared" si="180"/>
        <v>0</v>
      </c>
      <c r="AT308" s="2" t="e">
        <f t="shared" ca="1" si="172"/>
        <v>#VALUE!</v>
      </c>
    </row>
    <row r="309" spans="1:46" ht="18" customHeight="1" x14ac:dyDescent="0.25">
      <c r="A309" s="291" t="s">
        <v>19</v>
      </c>
      <c r="B309" s="54"/>
      <c r="C309" s="239">
        <v>717093061</v>
      </c>
      <c r="D309" s="54" t="s">
        <v>55</v>
      </c>
      <c r="E309" s="232">
        <v>140</v>
      </c>
      <c r="F309" s="2" t="s">
        <v>422</v>
      </c>
      <c r="G309" s="2" t="s">
        <v>926</v>
      </c>
      <c r="H309" s="2" t="s">
        <v>943</v>
      </c>
      <c r="I309" s="2" t="s">
        <v>942</v>
      </c>
      <c r="J309" s="260">
        <v>226425</v>
      </c>
      <c r="K309" s="260">
        <v>227436</v>
      </c>
      <c r="L309" s="260"/>
      <c r="O309" s="260"/>
      <c r="P309" s="260"/>
      <c r="Q309" s="260"/>
      <c r="R309" s="260"/>
      <c r="S309" s="260"/>
      <c r="U309" s="260"/>
      <c r="V309" s="260"/>
      <c r="W309" s="260"/>
      <c r="X309" s="2"/>
      <c r="Y309" s="2">
        <f t="shared" si="173"/>
        <v>1011</v>
      </c>
      <c r="Z309" s="2" t="str">
        <f t="shared" si="174"/>
        <v/>
      </c>
      <c r="AA309" s="2" t="str">
        <f t="shared" si="181"/>
        <v/>
      </c>
      <c r="AB309" s="2" t="str">
        <f t="shared" si="182"/>
        <v/>
      </c>
      <c r="AC309" s="2" t="str">
        <f t="shared" si="183"/>
        <v/>
      </c>
      <c r="AD309" s="2" t="str">
        <f t="shared" si="184"/>
        <v/>
      </c>
      <c r="AE309" s="2" t="str">
        <f t="shared" si="185"/>
        <v/>
      </c>
      <c r="AF309" s="2" t="str">
        <f t="shared" si="186"/>
        <v/>
      </c>
      <c r="AG309" s="2" t="str">
        <f t="shared" si="187"/>
        <v/>
      </c>
      <c r="AH309" s="2" t="str">
        <f t="shared" si="188"/>
        <v/>
      </c>
      <c r="AI309" s="2" t="str">
        <f t="shared" si="189"/>
        <v/>
      </c>
      <c r="AJ309" s="2" t="str">
        <f t="shared" si="190"/>
        <v/>
      </c>
      <c r="AK309" s="2">
        <v>1</v>
      </c>
      <c r="AL309" s="260">
        <f t="shared" ca="1" si="178"/>
        <v>0</v>
      </c>
      <c r="AM309" s="260">
        <f t="shared" ca="1" si="179"/>
        <v>0</v>
      </c>
      <c r="AN309" s="341" t="str">
        <f ca="1">IF(AND(Tabla7[[#This Row],[UltLec]]&lt;&gt;0,Tabla7[[#This Row],[PenLect]]&lt;&gt;0),(AM309-AL309)*Tabla7[[#This Row],[RT]],"N/A")</f>
        <v>N/A</v>
      </c>
      <c r="AO309" s="380" t="s">
        <v>813</v>
      </c>
      <c r="AP309" s="380" t="s">
        <v>1075</v>
      </c>
      <c r="AQ309" s="380" t="s">
        <v>1074</v>
      </c>
      <c r="AR309" s="2">
        <f t="shared" si="180"/>
        <v>0</v>
      </c>
      <c r="AT309" s="2" t="e">
        <f t="shared" ca="1" si="172"/>
        <v>#VALUE!</v>
      </c>
    </row>
    <row r="310" spans="1:46" ht="18" customHeight="1" x14ac:dyDescent="0.25">
      <c r="A310" s="291" t="s">
        <v>19</v>
      </c>
      <c r="B310" s="54"/>
      <c r="C310" s="239" t="s">
        <v>1658</v>
      </c>
      <c r="D310" s="54" t="s">
        <v>55</v>
      </c>
      <c r="E310" s="232">
        <v>140</v>
      </c>
      <c r="F310" s="2" t="s">
        <v>1659</v>
      </c>
      <c r="G310" s="2" t="s">
        <v>1660</v>
      </c>
      <c r="H310" s="2" t="s">
        <v>1661</v>
      </c>
      <c r="I310" s="2"/>
      <c r="J310" s="260">
        <v>349</v>
      </c>
      <c r="K310" s="260">
        <v>592</v>
      </c>
      <c r="L310" s="260"/>
      <c r="O310" s="260"/>
      <c r="P310" s="260"/>
      <c r="Q310" s="260"/>
      <c r="R310" s="260"/>
      <c r="S310" s="260"/>
      <c r="U310" s="260"/>
      <c r="V310" s="260"/>
      <c r="W310" s="260"/>
      <c r="X310" s="2"/>
      <c r="Y310" s="260">
        <f t="shared" si="173"/>
        <v>243</v>
      </c>
      <c r="Z310" s="260" t="str">
        <f t="shared" si="174"/>
        <v/>
      </c>
      <c r="AA310" s="260" t="str">
        <f>IF(OR(ISBLANK(#REF!),ISBLANK(L310)),"",IF(AND(#REF!&gt;=L310,#REF!-L310&lt;=#REF!),(#REF!-L310)*$AK310,"!!!!"))</f>
        <v/>
      </c>
      <c r="AB310" s="260" t="str">
        <f>IF(OR(ISBLANK(N310),ISBLANK(#REF!)),"",IF(AND(N310&gt;=#REF!,N310-#REF!&lt;=N310),(N310-#REF!)*$AK310,"!!!!"))</f>
        <v/>
      </c>
      <c r="AC310" s="260" t="str">
        <f t="shared" si="183"/>
        <v/>
      </c>
      <c r="AD310" s="260" t="str">
        <f t="shared" si="184"/>
        <v/>
      </c>
      <c r="AE310" s="260" t="str">
        <f t="shared" si="185"/>
        <v/>
      </c>
      <c r="AF310" s="260" t="str">
        <f t="shared" si="186"/>
        <v/>
      </c>
      <c r="AG310" s="260" t="str">
        <f t="shared" si="187"/>
        <v/>
      </c>
      <c r="AH310" s="260" t="str">
        <f t="shared" si="188"/>
        <v/>
      </c>
      <c r="AI310" s="2" t="str">
        <f t="shared" si="189"/>
        <v/>
      </c>
      <c r="AJ310" s="2" t="str">
        <f t="shared" si="190"/>
        <v/>
      </c>
      <c r="AK310" s="2">
        <v>1</v>
      </c>
      <c r="AL310" s="260">
        <f t="shared" ca="1" si="178"/>
        <v>0</v>
      </c>
      <c r="AM310" s="260">
        <f t="shared" ca="1" si="179"/>
        <v>0</v>
      </c>
      <c r="AN310" s="341" t="str">
        <f ca="1">IF(AND(Tabla7[[#This Row],[UltLec]]&lt;&gt;0,Tabla7[[#This Row],[PenLect]]&lt;&gt;0),(AM310-AL310)*Tabla7[[#This Row],[RT]],"N/A")</f>
        <v>N/A</v>
      </c>
      <c r="AO310" s="380" t="s">
        <v>813</v>
      </c>
      <c r="AP310" s="380" t="s">
        <v>1075</v>
      </c>
      <c r="AQ310" s="380" t="s">
        <v>1074</v>
      </c>
      <c r="AR310" s="2">
        <f t="shared" si="180"/>
        <v>0</v>
      </c>
      <c r="AT310" s="2" t="e">
        <f t="shared" ca="1" si="172"/>
        <v>#VALUE!</v>
      </c>
    </row>
    <row r="311" spans="1:46" ht="18" customHeight="1" x14ac:dyDescent="0.25">
      <c r="A311" s="378" t="s">
        <v>19</v>
      </c>
      <c r="B311" s="262"/>
      <c r="C311" s="266" t="s">
        <v>56</v>
      </c>
      <c r="D311" s="262" t="s">
        <v>55</v>
      </c>
      <c r="E311" s="235">
        <v>39254</v>
      </c>
      <c r="F311" s="371" t="s">
        <v>57</v>
      </c>
      <c r="G311" s="371" t="s">
        <v>58</v>
      </c>
      <c r="H311" s="371"/>
      <c r="I311" s="371"/>
      <c r="J311" s="341">
        <v>131022</v>
      </c>
      <c r="K311" s="341">
        <v>131740</v>
      </c>
      <c r="L311" s="341"/>
      <c r="M311" s="341"/>
      <c r="N311" s="341"/>
      <c r="O311" s="341"/>
      <c r="P311" s="341"/>
      <c r="Q311" s="341"/>
      <c r="R311" s="341"/>
      <c r="S311" s="341"/>
      <c r="T311" s="341"/>
      <c r="U311" s="341"/>
      <c r="V311" s="341"/>
      <c r="W311" s="341"/>
      <c r="X311" s="371"/>
      <c r="Y311" s="371">
        <f t="shared" si="173"/>
        <v>718</v>
      </c>
      <c r="Z311" s="371" t="str">
        <f t="shared" si="174"/>
        <v/>
      </c>
      <c r="AA311" s="371" t="str">
        <f t="shared" ref="AA311:AA339" si="191">IF(OR(ISBLANK(M311),ISBLANK(L311)),"",IF(AND(M311&gt;=L311,M311-L311&lt;=M311),(M311-L311)*$AK311,"!!!!"))</f>
        <v/>
      </c>
      <c r="AB311" s="371" t="str">
        <f t="shared" ref="AB311:AB339" si="192">IF(OR(ISBLANK(N311),ISBLANK(M311)),"",IF(AND(N311&gt;=M311,N311-M311&lt;=N311),(N311-M311)*$AK311,"!!!!"))</f>
        <v/>
      </c>
      <c r="AC311" s="371" t="str">
        <f t="shared" si="183"/>
        <v/>
      </c>
      <c r="AD311" s="371" t="str">
        <f t="shared" si="184"/>
        <v/>
      </c>
      <c r="AE311" s="371" t="str">
        <f t="shared" si="185"/>
        <v/>
      </c>
      <c r="AF311" s="371" t="str">
        <f t="shared" si="186"/>
        <v/>
      </c>
      <c r="AG311" s="371" t="str">
        <f t="shared" si="187"/>
        <v/>
      </c>
      <c r="AH311" s="371" t="str">
        <f t="shared" si="188"/>
        <v/>
      </c>
      <c r="AI311" s="371" t="str">
        <f t="shared" si="189"/>
        <v/>
      </c>
      <c r="AJ311" s="371" t="str">
        <f t="shared" si="190"/>
        <v/>
      </c>
      <c r="AK311" s="371">
        <v>1</v>
      </c>
      <c r="AL311" s="341">
        <f t="shared" ca="1" si="178"/>
        <v>0</v>
      </c>
      <c r="AM311" s="341">
        <f t="shared" ca="1" si="179"/>
        <v>0</v>
      </c>
      <c r="AN311" s="341" t="str">
        <f ca="1">IF(AND(Tabla7[[#This Row],[UltLec]]&lt;&gt;0,Tabla7[[#This Row],[PenLect]]&lt;&gt;0),(AM311-AL311)*Tabla7[[#This Row],[RT]],"N/A")</f>
        <v>N/A</v>
      </c>
      <c r="AO311" s="389" t="s">
        <v>813</v>
      </c>
      <c r="AP311" s="389" t="s">
        <v>1075</v>
      </c>
      <c r="AQ311" s="389" t="s">
        <v>1074</v>
      </c>
      <c r="AR311" s="371">
        <f t="shared" si="180"/>
        <v>0</v>
      </c>
      <c r="AT311" s="2" t="e">
        <f t="shared" ca="1" si="172"/>
        <v>#VALUE!</v>
      </c>
    </row>
    <row r="312" spans="1:46" ht="18" customHeight="1" x14ac:dyDescent="0.25">
      <c r="A312" s="407" t="s">
        <v>19</v>
      </c>
      <c r="B312" s="54"/>
      <c r="C312" s="420" t="s">
        <v>66</v>
      </c>
      <c r="D312" s="374" t="s">
        <v>55</v>
      </c>
      <c r="E312" s="375">
        <v>150</v>
      </c>
      <c r="F312" s="2" t="s">
        <v>769</v>
      </c>
      <c r="G312" s="2" t="s">
        <v>927</v>
      </c>
      <c r="H312" s="2" t="s">
        <v>67</v>
      </c>
      <c r="I312" s="2"/>
      <c r="J312" s="260">
        <v>591029</v>
      </c>
      <c r="K312" s="260">
        <v>594614</v>
      </c>
      <c r="L312" s="260"/>
      <c r="O312" s="260"/>
      <c r="P312" s="260"/>
      <c r="Q312" s="260"/>
      <c r="R312" s="260"/>
      <c r="S312" s="260"/>
      <c r="U312" s="260"/>
      <c r="V312" s="260"/>
      <c r="W312" s="2"/>
      <c r="X312" s="2"/>
      <c r="Y312" s="2">
        <f t="shared" si="173"/>
        <v>3585</v>
      </c>
      <c r="Z312" s="2" t="str">
        <f t="shared" si="174"/>
        <v/>
      </c>
      <c r="AA312" s="2" t="str">
        <f t="shared" si="191"/>
        <v/>
      </c>
      <c r="AB312" s="2" t="str">
        <f t="shared" si="192"/>
        <v/>
      </c>
      <c r="AC312" s="2" t="str">
        <f t="shared" si="183"/>
        <v/>
      </c>
      <c r="AD312" s="2" t="str">
        <f t="shared" si="184"/>
        <v/>
      </c>
      <c r="AE312" s="2" t="str">
        <f t="shared" si="185"/>
        <v/>
      </c>
      <c r="AF312" s="2" t="str">
        <f t="shared" si="186"/>
        <v/>
      </c>
      <c r="AG312" s="2" t="str">
        <f t="shared" si="187"/>
        <v/>
      </c>
      <c r="AH312" s="2" t="str">
        <f t="shared" si="188"/>
        <v/>
      </c>
      <c r="AI312" s="2" t="str">
        <f t="shared" si="189"/>
        <v/>
      </c>
      <c r="AJ312" s="2" t="str">
        <f t="shared" si="190"/>
        <v/>
      </c>
      <c r="AK312" s="2">
        <v>1</v>
      </c>
      <c r="AL312" s="260">
        <f t="shared" ca="1" si="178"/>
        <v>0</v>
      </c>
      <c r="AM312" s="260">
        <f t="shared" ca="1" si="179"/>
        <v>0</v>
      </c>
      <c r="AN312" s="260" t="str">
        <f ca="1">IF(AND(Tabla7[[#This Row],[UltLec]]&lt;&gt;0,Tabla7[[#This Row],[PenLect]]&lt;&gt;0),(AM312-AL312)*Tabla7[[#This Row],[RT]],"N/A")</f>
        <v>N/A</v>
      </c>
      <c r="AO312" s="380" t="s">
        <v>813</v>
      </c>
      <c r="AP312" s="380" t="s">
        <v>1075</v>
      </c>
      <c r="AQ312" s="380" t="s">
        <v>1074</v>
      </c>
      <c r="AR312" s="2">
        <f t="shared" si="180"/>
        <v>0</v>
      </c>
      <c r="AT312" s="2" t="e">
        <f t="shared" ca="1" si="172"/>
        <v>#VALUE!</v>
      </c>
    </row>
    <row r="313" spans="1:46" ht="18" customHeight="1" x14ac:dyDescent="0.25">
      <c r="A313" s="291" t="s">
        <v>19</v>
      </c>
      <c r="B313" s="54"/>
      <c r="C313" s="239" t="s">
        <v>68</v>
      </c>
      <c r="D313" s="54" t="s">
        <v>55</v>
      </c>
      <c r="E313" s="232">
        <v>39088</v>
      </c>
      <c r="F313" s="2" t="s">
        <v>421</v>
      </c>
      <c r="G313" s="2" t="s">
        <v>69</v>
      </c>
      <c r="H313" s="2"/>
      <c r="I313" s="2"/>
      <c r="J313" s="260">
        <v>1026091</v>
      </c>
      <c r="K313" s="260"/>
      <c r="L313" s="260"/>
      <c r="O313" s="260"/>
      <c r="P313" s="260"/>
      <c r="Q313" s="260"/>
      <c r="R313" s="260"/>
      <c r="S313" s="260"/>
      <c r="U313" s="260"/>
      <c r="V313" s="260"/>
      <c r="W313" s="2"/>
      <c r="X313" s="2"/>
      <c r="Y313" s="2" t="str">
        <f t="shared" si="173"/>
        <v/>
      </c>
      <c r="Z313" s="2" t="str">
        <f t="shared" si="174"/>
        <v/>
      </c>
      <c r="AA313" s="2" t="str">
        <f t="shared" si="191"/>
        <v/>
      </c>
      <c r="AB313" s="2" t="str">
        <f t="shared" si="192"/>
        <v/>
      </c>
      <c r="AC313" s="2" t="str">
        <f t="shared" si="183"/>
        <v/>
      </c>
      <c r="AD313" s="2" t="str">
        <f t="shared" si="184"/>
        <v/>
      </c>
      <c r="AE313" s="2" t="str">
        <f t="shared" si="185"/>
        <v/>
      </c>
      <c r="AF313" s="2" t="str">
        <f t="shared" si="186"/>
        <v/>
      </c>
      <c r="AG313" s="2" t="str">
        <f t="shared" si="187"/>
        <v/>
      </c>
      <c r="AH313" s="2" t="str">
        <f t="shared" si="188"/>
        <v/>
      </c>
      <c r="AI313" s="2" t="str">
        <f t="shared" si="189"/>
        <v/>
      </c>
      <c r="AJ313" s="2" t="str">
        <f t="shared" si="190"/>
        <v/>
      </c>
      <c r="AK313" s="2">
        <v>1</v>
      </c>
      <c r="AL313" s="260">
        <f t="shared" ca="1" si="178"/>
        <v>0</v>
      </c>
      <c r="AM313" s="260">
        <f t="shared" ca="1" si="179"/>
        <v>0</v>
      </c>
      <c r="AN313" s="260" t="str">
        <f ca="1">IF(AND(Tabla7[[#This Row],[UltLec]]&lt;&gt;0,Tabla7[[#This Row],[PenLect]]&lt;&gt;0),(AM313-AL313)*Tabla7[[#This Row],[RT]],"N/A")</f>
        <v>N/A</v>
      </c>
      <c r="AO313" s="380" t="s">
        <v>813</v>
      </c>
      <c r="AP313" s="380" t="s">
        <v>1075</v>
      </c>
      <c r="AQ313" s="380" t="s">
        <v>1074</v>
      </c>
      <c r="AR313" s="2">
        <f t="shared" si="180"/>
        <v>0</v>
      </c>
      <c r="AT313" s="2" t="e">
        <f t="shared" ca="1" si="172"/>
        <v>#VALUE!</v>
      </c>
    </row>
    <row r="314" spans="1:46" ht="18" customHeight="1" x14ac:dyDescent="0.25">
      <c r="A314" s="291" t="s">
        <v>19</v>
      </c>
      <c r="B314" s="54">
        <v>32026</v>
      </c>
      <c r="C314" s="239" t="s">
        <v>61</v>
      </c>
      <c r="D314" s="54" t="s">
        <v>55</v>
      </c>
      <c r="E314" s="232">
        <v>39160</v>
      </c>
      <c r="F314" s="2" t="s">
        <v>62</v>
      </c>
      <c r="G314" s="2" t="s">
        <v>928</v>
      </c>
      <c r="H314" s="2"/>
      <c r="I314" s="2"/>
      <c r="J314" s="260">
        <v>231891</v>
      </c>
      <c r="K314" s="260">
        <v>231891</v>
      </c>
      <c r="L314" s="260"/>
      <c r="O314" s="260"/>
      <c r="P314" s="260"/>
      <c r="Q314" s="260"/>
      <c r="R314" s="260"/>
      <c r="S314" s="260"/>
      <c r="U314" s="260"/>
      <c r="V314" s="260"/>
      <c r="W314" s="260"/>
      <c r="X314" s="2"/>
      <c r="Y314" s="2">
        <f t="shared" si="173"/>
        <v>0</v>
      </c>
      <c r="Z314" s="2" t="str">
        <f t="shared" si="174"/>
        <v/>
      </c>
      <c r="AA314" s="2" t="str">
        <f t="shared" si="191"/>
        <v/>
      </c>
      <c r="AB314" s="2" t="str">
        <f t="shared" si="192"/>
        <v/>
      </c>
      <c r="AC314" s="2" t="str">
        <f t="shared" si="183"/>
        <v/>
      </c>
      <c r="AD314" s="2" t="str">
        <f t="shared" si="184"/>
        <v/>
      </c>
      <c r="AE314" s="2" t="str">
        <f t="shared" si="185"/>
        <v/>
      </c>
      <c r="AF314" s="2" t="str">
        <f t="shared" si="186"/>
        <v/>
      </c>
      <c r="AG314" s="2" t="str">
        <f t="shared" si="187"/>
        <v/>
      </c>
      <c r="AH314" s="2" t="str">
        <f t="shared" si="188"/>
        <v/>
      </c>
      <c r="AI314" s="2" t="str">
        <f t="shared" si="189"/>
        <v/>
      </c>
      <c r="AJ314" s="2" t="str">
        <f t="shared" si="190"/>
        <v/>
      </c>
      <c r="AK314" s="2">
        <v>1</v>
      </c>
      <c r="AL314" s="260">
        <f t="shared" ca="1" si="178"/>
        <v>0</v>
      </c>
      <c r="AM314" s="260">
        <f t="shared" ca="1" si="179"/>
        <v>0</v>
      </c>
      <c r="AN314" s="260" t="str">
        <f ca="1">IF(AND(Tabla7[[#This Row],[UltLec]]&lt;&gt;0,Tabla7[[#This Row],[PenLect]]&lt;&gt;0),(AM314-AL314)*Tabla7[[#This Row],[RT]],"N/A")</f>
        <v>N/A</v>
      </c>
      <c r="AO314" s="380" t="s">
        <v>813</v>
      </c>
      <c r="AP314" s="380" t="s">
        <v>1075</v>
      </c>
      <c r="AQ314" s="380" t="s">
        <v>1074</v>
      </c>
      <c r="AR314" s="2">
        <f t="shared" si="180"/>
        <v>0</v>
      </c>
      <c r="AT314" s="2" t="e">
        <f t="shared" ca="1" si="172"/>
        <v>#VALUE!</v>
      </c>
    </row>
    <row r="315" spans="1:46" ht="18" customHeight="1" x14ac:dyDescent="0.25">
      <c r="A315" s="291" t="s">
        <v>19</v>
      </c>
      <c r="B315" s="54"/>
      <c r="C315" s="239" t="s">
        <v>59</v>
      </c>
      <c r="D315" s="54" t="s">
        <v>55</v>
      </c>
      <c r="E315" s="232">
        <v>39255</v>
      </c>
      <c r="F315" s="2" t="s">
        <v>60</v>
      </c>
      <c r="G315" s="2" t="s">
        <v>58</v>
      </c>
      <c r="H315" s="2"/>
      <c r="I315" s="2"/>
      <c r="J315" s="260">
        <v>1239454</v>
      </c>
      <c r="K315" s="260">
        <v>1246306</v>
      </c>
      <c r="L315" s="260"/>
      <c r="O315" s="260"/>
      <c r="P315" s="260"/>
      <c r="Q315" s="260"/>
      <c r="R315" s="260"/>
      <c r="S315" s="260"/>
      <c r="U315" s="260"/>
      <c r="V315" s="260"/>
      <c r="W315" s="260"/>
      <c r="X315" s="2"/>
      <c r="Y315" s="260">
        <f t="shared" si="173"/>
        <v>6852</v>
      </c>
      <c r="Z315" s="260" t="str">
        <f t="shared" si="174"/>
        <v/>
      </c>
      <c r="AA315" s="260" t="str">
        <f t="shared" si="191"/>
        <v/>
      </c>
      <c r="AB315" s="260" t="str">
        <f t="shared" si="192"/>
        <v/>
      </c>
      <c r="AC315" s="260" t="str">
        <f t="shared" si="183"/>
        <v/>
      </c>
      <c r="AD315" s="260" t="str">
        <f t="shared" si="184"/>
        <v/>
      </c>
      <c r="AE315" s="260" t="str">
        <f t="shared" si="185"/>
        <v/>
      </c>
      <c r="AF315" s="260" t="str">
        <f t="shared" si="186"/>
        <v/>
      </c>
      <c r="AG315" s="260" t="str">
        <f t="shared" si="187"/>
        <v/>
      </c>
      <c r="AH315" s="260" t="str">
        <f t="shared" si="188"/>
        <v/>
      </c>
      <c r="AI315" s="2" t="str">
        <f t="shared" si="189"/>
        <v/>
      </c>
      <c r="AJ315" s="2" t="str">
        <f t="shared" si="190"/>
        <v/>
      </c>
      <c r="AK315" s="2">
        <v>1</v>
      </c>
      <c r="AL315" s="260">
        <f t="shared" ca="1" si="178"/>
        <v>0</v>
      </c>
      <c r="AM315" s="260">
        <f t="shared" ca="1" si="179"/>
        <v>0</v>
      </c>
      <c r="AN315" s="260" t="str">
        <f ca="1">IF(AND(Tabla7[[#This Row],[UltLec]]&lt;&gt;0,Tabla7[[#This Row],[PenLect]]&lt;&gt;0),(AM315-AL315)*Tabla7[[#This Row],[RT]],"N/A")</f>
        <v>N/A</v>
      </c>
      <c r="AO315" s="380" t="s">
        <v>813</v>
      </c>
      <c r="AP315" s="380" t="s">
        <v>1075</v>
      </c>
      <c r="AQ315" s="380" t="s">
        <v>1074</v>
      </c>
      <c r="AR315" s="2">
        <f t="shared" si="180"/>
        <v>0</v>
      </c>
      <c r="AT315" s="2" t="e">
        <f t="shared" ca="1" si="172"/>
        <v>#VALUE!</v>
      </c>
    </row>
    <row r="316" spans="1:46" ht="18" customHeight="1" x14ac:dyDescent="0.25">
      <c r="A316" s="378" t="s">
        <v>19</v>
      </c>
      <c r="B316" s="262"/>
      <c r="C316" s="266" t="s">
        <v>64</v>
      </c>
      <c r="D316" s="262" t="s">
        <v>55</v>
      </c>
      <c r="E316" s="235">
        <v>140</v>
      </c>
      <c r="F316" s="371" t="s">
        <v>833</v>
      </c>
      <c r="G316" s="371" t="s">
        <v>929</v>
      </c>
      <c r="H316" s="371" t="s">
        <v>65</v>
      </c>
      <c r="I316" s="371"/>
      <c r="J316" s="341">
        <v>1243850</v>
      </c>
      <c r="K316" s="341">
        <v>1250331</v>
      </c>
      <c r="L316" s="341"/>
      <c r="M316" s="341"/>
      <c r="N316" s="341"/>
      <c r="O316" s="341"/>
      <c r="P316" s="341"/>
      <c r="Q316" s="341"/>
      <c r="R316" s="341"/>
      <c r="S316" s="341"/>
      <c r="T316" s="341"/>
      <c r="U316" s="341"/>
      <c r="V316" s="341"/>
      <c r="W316" s="341"/>
      <c r="X316" s="341"/>
      <c r="Y316" s="341">
        <f t="shared" si="173"/>
        <v>6481</v>
      </c>
      <c r="Z316" s="341" t="str">
        <f t="shared" si="174"/>
        <v/>
      </c>
      <c r="AA316" s="341" t="str">
        <f t="shared" si="191"/>
        <v/>
      </c>
      <c r="AB316" s="341" t="str">
        <f t="shared" si="192"/>
        <v/>
      </c>
      <c r="AC316" s="341" t="str">
        <f t="shared" si="183"/>
        <v/>
      </c>
      <c r="AD316" s="341" t="str">
        <f t="shared" si="184"/>
        <v/>
      </c>
      <c r="AE316" s="341" t="str">
        <f t="shared" si="185"/>
        <v/>
      </c>
      <c r="AF316" s="341" t="str">
        <f t="shared" si="186"/>
        <v/>
      </c>
      <c r="AG316" s="341" t="str">
        <f t="shared" si="187"/>
        <v/>
      </c>
      <c r="AH316" s="341" t="str">
        <f t="shared" si="188"/>
        <v/>
      </c>
      <c r="AI316" s="341" t="str">
        <f t="shared" si="189"/>
        <v/>
      </c>
      <c r="AJ316" s="341" t="str">
        <f t="shared" si="190"/>
        <v/>
      </c>
      <c r="AK316" s="341">
        <v>1</v>
      </c>
      <c r="AL316" s="341">
        <f t="shared" ca="1" si="178"/>
        <v>0</v>
      </c>
      <c r="AM316" s="341">
        <f t="shared" ca="1" si="179"/>
        <v>0</v>
      </c>
      <c r="AN316" s="341" t="str">
        <f ca="1">IF(AND(Tabla7[[#This Row],[UltLec]]&lt;&gt;0,Tabla7[[#This Row],[PenLect]]&lt;&gt;0),(AM316-AL316)*Tabla7[[#This Row],[RT]],"N/A")</f>
        <v>N/A</v>
      </c>
      <c r="AO316" s="389" t="s">
        <v>813</v>
      </c>
      <c r="AP316" s="389" t="s">
        <v>1075</v>
      </c>
      <c r="AQ316" s="389" t="s">
        <v>1074</v>
      </c>
      <c r="AR316" s="371">
        <f t="shared" si="180"/>
        <v>0</v>
      </c>
      <c r="AT316" s="2" t="e">
        <f t="shared" ca="1" si="172"/>
        <v>#VALUE!</v>
      </c>
    </row>
    <row r="317" spans="1:46" ht="18" customHeight="1" x14ac:dyDescent="0.25">
      <c r="A317" s="419" t="s">
        <v>19</v>
      </c>
      <c r="B317" s="262"/>
      <c r="C317" s="497" t="s">
        <v>1350</v>
      </c>
      <c r="D317" s="421" t="s">
        <v>55</v>
      </c>
      <c r="E317" s="451" t="s">
        <v>1351</v>
      </c>
      <c r="F317" s="371" t="s">
        <v>1352</v>
      </c>
      <c r="G317" s="371" t="s">
        <v>1353</v>
      </c>
      <c r="H317" s="391" t="s">
        <v>1354</v>
      </c>
      <c r="I317" s="371"/>
      <c r="J317" s="341">
        <v>37554</v>
      </c>
      <c r="K317" s="341">
        <v>38054</v>
      </c>
      <c r="L317" s="341"/>
      <c r="M317" s="341"/>
      <c r="N317" s="341"/>
      <c r="O317" s="341"/>
      <c r="P317" s="385"/>
      <c r="Q317" s="341"/>
      <c r="R317" s="341"/>
      <c r="S317" s="341"/>
      <c r="T317" s="341"/>
      <c r="U317" s="341"/>
      <c r="V317" s="341"/>
      <c r="W317" s="341"/>
      <c r="X317" s="341"/>
      <c r="Y317" s="341">
        <f t="shared" si="173"/>
        <v>500</v>
      </c>
      <c r="Z317" s="341" t="str">
        <f t="shared" si="174"/>
        <v/>
      </c>
      <c r="AA317" s="341" t="str">
        <f t="shared" si="191"/>
        <v/>
      </c>
      <c r="AB317" s="341" t="str">
        <f t="shared" si="192"/>
        <v/>
      </c>
      <c r="AC317" s="341" t="str">
        <f t="shared" si="183"/>
        <v/>
      </c>
      <c r="AD317" s="341" t="str">
        <f t="shared" si="184"/>
        <v/>
      </c>
      <c r="AE317" s="341" t="str">
        <f t="shared" si="185"/>
        <v/>
      </c>
      <c r="AF317" s="341" t="str">
        <f t="shared" si="186"/>
        <v/>
      </c>
      <c r="AG317" s="341" t="str">
        <f t="shared" si="187"/>
        <v/>
      </c>
      <c r="AH317" s="341" t="str">
        <f t="shared" si="188"/>
        <v/>
      </c>
      <c r="AI317" s="341" t="str">
        <f t="shared" si="189"/>
        <v/>
      </c>
      <c r="AJ317" s="341" t="str">
        <f t="shared" si="190"/>
        <v/>
      </c>
      <c r="AK317" s="341">
        <v>1</v>
      </c>
      <c r="AL317" s="341">
        <f t="shared" ca="1" si="178"/>
        <v>0</v>
      </c>
      <c r="AM317" s="341">
        <f t="shared" ca="1" si="179"/>
        <v>0</v>
      </c>
      <c r="AN317" s="341" t="str">
        <f ca="1">IF(AND(Tabla7[[#This Row],[UltLec]]&lt;&gt;0,Tabla7[[#This Row],[PenLect]]&lt;&gt;0),(AM317-AL317)*Tabla7[[#This Row],[RT]],"N/A")</f>
        <v>N/A</v>
      </c>
      <c r="AO317" s="389" t="s">
        <v>813</v>
      </c>
      <c r="AP317" s="389" t="s">
        <v>1075</v>
      </c>
      <c r="AQ317" s="389" t="s">
        <v>1077</v>
      </c>
      <c r="AR317" s="371">
        <f t="shared" si="180"/>
        <v>0</v>
      </c>
      <c r="AT317" s="2" t="e">
        <f t="shared" ca="1" si="172"/>
        <v>#VALUE!</v>
      </c>
    </row>
    <row r="318" spans="1:46" ht="18" customHeight="1" x14ac:dyDescent="0.25">
      <c r="A318" s="470" t="s">
        <v>697</v>
      </c>
      <c r="B318" s="268"/>
      <c r="C318" s="466" t="s">
        <v>1332</v>
      </c>
      <c r="D318" s="268" t="s">
        <v>55</v>
      </c>
      <c r="E318" s="269">
        <v>140</v>
      </c>
      <c r="F318" s="369" t="s">
        <v>834</v>
      </c>
      <c r="G318" s="369" t="s">
        <v>70</v>
      </c>
      <c r="H318" s="369" t="s">
        <v>71</v>
      </c>
      <c r="I318" s="369"/>
      <c r="J318" s="370">
        <v>20642</v>
      </c>
      <c r="K318" s="370">
        <v>20642</v>
      </c>
      <c r="L318" s="370"/>
      <c r="M318" s="370"/>
      <c r="N318" s="370"/>
      <c r="O318" s="370"/>
      <c r="P318" s="370"/>
      <c r="Q318" s="370"/>
      <c r="R318" s="370"/>
      <c r="S318" s="370"/>
      <c r="T318" s="370"/>
      <c r="U318" s="370"/>
      <c r="V318" s="370"/>
      <c r="W318" s="369"/>
      <c r="X318" s="369"/>
      <c r="Y318" s="369">
        <f t="shared" si="173"/>
        <v>0</v>
      </c>
      <c r="Z318" s="369" t="str">
        <f t="shared" si="174"/>
        <v/>
      </c>
      <c r="AA318" s="369" t="str">
        <f t="shared" si="191"/>
        <v/>
      </c>
      <c r="AB318" s="369" t="str">
        <f t="shared" si="192"/>
        <v/>
      </c>
      <c r="AC318" s="369" t="str">
        <f t="shared" si="183"/>
        <v/>
      </c>
      <c r="AD318" s="369" t="str">
        <f t="shared" si="184"/>
        <v/>
      </c>
      <c r="AE318" s="369" t="str">
        <f t="shared" si="185"/>
        <v/>
      </c>
      <c r="AF318" s="369" t="str">
        <f t="shared" si="186"/>
        <v/>
      </c>
      <c r="AG318" s="369" t="str">
        <f t="shared" si="187"/>
        <v/>
      </c>
      <c r="AH318" s="369" t="str">
        <f t="shared" si="188"/>
        <v/>
      </c>
      <c r="AI318" s="369" t="str">
        <f t="shared" si="189"/>
        <v/>
      </c>
      <c r="AJ318" s="369" t="str">
        <f t="shared" si="190"/>
        <v/>
      </c>
      <c r="AK318" s="369">
        <v>1</v>
      </c>
      <c r="AL318" s="370">
        <f t="shared" ca="1" si="178"/>
        <v>0</v>
      </c>
      <c r="AM318" s="370">
        <f t="shared" ca="1" si="179"/>
        <v>0</v>
      </c>
      <c r="AN318" s="370" t="str">
        <f ca="1">IF(AND(Tabla7[[#This Row],[UltLec]]&lt;&gt;0,Tabla7[[#This Row],[PenLect]]&lt;&gt;0),(AM318-AL318)*Tabla7[[#This Row],[RT]],"N/A")</f>
        <v>N/A</v>
      </c>
      <c r="AO318" s="395" t="s">
        <v>813</v>
      </c>
      <c r="AP318" s="395" t="s">
        <v>1075</v>
      </c>
      <c r="AQ318" s="395" t="s">
        <v>1074</v>
      </c>
      <c r="AR318" s="369">
        <f t="shared" si="180"/>
        <v>0</v>
      </c>
      <c r="AT318" s="2" t="e">
        <f t="shared" ca="1" si="172"/>
        <v>#VALUE!</v>
      </c>
    </row>
    <row r="319" spans="1:46" ht="18" hidden="1" customHeight="1" x14ac:dyDescent="0.25">
      <c r="A319" s="406" t="s">
        <v>1080</v>
      </c>
      <c r="B319" s="273">
        <v>1495</v>
      </c>
      <c r="C319" s="367" t="s">
        <v>72</v>
      </c>
      <c r="D319" s="273" t="s">
        <v>55</v>
      </c>
      <c r="E319" s="274">
        <v>39256</v>
      </c>
      <c r="F319" s="275" t="s">
        <v>73</v>
      </c>
      <c r="G319" s="275" t="s">
        <v>74</v>
      </c>
      <c r="H319" s="275"/>
      <c r="I319" s="275"/>
      <c r="J319" s="277"/>
      <c r="K319" s="277"/>
      <c r="L319" s="277"/>
      <c r="M319" s="277"/>
      <c r="N319" s="277"/>
      <c r="O319" s="277"/>
      <c r="P319" s="277"/>
      <c r="Q319" s="277"/>
      <c r="R319" s="277"/>
      <c r="S319" s="277"/>
      <c r="T319" s="277"/>
      <c r="U319" s="277"/>
      <c r="V319" s="277"/>
      <c r="W319" s="277">
        <v>12600</v>
      </c>
      <c r="X319" s="275"/>
      <c r="Y319" s="275" t="str">
        <f t="shared" si="173"/>
        <v/>
      </c>
      <c r="Z319" s="275" t="str">
        <f t="shared" si="174"/>
        <v/>
      </c>
      <c r="AA319" s="275" t="str">
        <f t="shared" si="191"/>
        <v/>
      </c>
      <c r="AB319" s="275" t="str">
        <f t="shared" si="192"/>
        <v/>
      </c>
      <c r="AC319" s="275" t="str">
        <f t="shared" si="183"/>
        <v/>
      </c>
      <c r="AD319" s="275" t="str">
        <f t="shared" si="184"/>
        <v/>
      </c>
      <c r="AE319" s="275" t="str">
        <f t="shared" si="185"/>
        <v/>
      </c>
      <c r="AF319" s="275" t="str">
        <f t="shared" si="186"/>
        <v/>
      </c>
      <c r="AG319" s="275" t="str">
        <f t="shared" si="187"/>
        <v/>
      </c>
      <c r="AH319" s="275" t="str">
        <f t="shared" si="188"/>
        <v/>
      </c>
      <c r="AI319" s="275" t="str">
        <f t="shared" si="189"/>
        <v/>
      </c>
      <c r="AJ319" s="275" t="str">
        <f t="shared" si="190"/>
        <v/>
      </c>
      <c r="AK319" s="275">
        <v>1</v>
      </c>
      <c r="AL319" s="277">
        <f t="shared" ca="1" si="178"/>
        <v>0</v>
      </c>
      <c r="AM319" s="277">
        <f t="shared" ca="1" si="179"/>
        <v>0</v>
      </c>
      <c r="AN319" s="277" t="str">
        <f ca="1">IF(AND(Tabla7[[#This Row],[UltLec]]&lt;&gt;0,Tabla7[[#This Row],[PenLect]]&lt;&gt;0),(AM319-AL319)*Tabla7[[#This Row],[RT]],"N/A")</f>
        <v>N/A</v>
      </c>
      <c r="AO319" s="393" t="s">
        <v>1160</v>
      </c>
      <c r="AP319" s="393" t="s">
        <v>1075</v>
      </c>
      <c r="AQ319" s="393" t="s">
        <v>1074</v>
      </c>
      <c r="AR319" s="275">
        <f t="shared" si="180"/>
        <v>0</v>
      </c>
      <c r="AT319" s="2" t="e">
        <f t="shared" ca="1" si="172"/>
        <v>#VALUE!</v>
      </c>
    </row>
    <row r="320" spans="1:46" ht="18" hidden="1" customHeight="1" x14ac:dyDescent="0.25">
      <c r="A320" s="406" t="s">
        <v>1080</v>
      </c>
      <c r="B320" s="273"/>
      <c r="C320" s="367" t="s">
        <v>75</v>
      </c>
      <c r="D320" s="273" t="s">
        <v>55</v>
      </c>
      <c r="E320" s="274">
        <v>39396</v>
      </c>
      <c r="F320" s="275" t="s">
        <v>73</v>
      </c>
      <c r="G320" s="275" t="s">
        <v>74</v>
      </c>
      <c r="H320" s="275"/>
      <c r="I320" s="275"/>
      <c r="J320" s="277"/>
      <c r="K320" s="277"/>
      <c r="L320" s="277"/>
      <c r="M320" s="277"/>
      <c r="N320" s="277"/>
      <c r="O320" s="277"/>
      <c r="P320" s="277"/>
      <c r="Q320" s="277"/>
      <c r="R320" s="277"/>
      <c r="S320" s="277"/>
      <c r="T320" s="277"/>
      <c r="U320" s="277"/>
      <c r="V320" s="277"/>
      <c r="W320" s="277">
        <v>36095</v>
      </c>
      <c r="X320" s="275"/>
      <c r="Y320" s="275" t="str">
        <f t="shared" si="173"/>
        <v/>
      </c>
      <c r="Z320" s="275" t="str">
        <f t="shared" si="174"/>
        <v/>
      </c>
      <c r="AA320" s="275" t="str">
        <f t="shared" si="191"/>
        <v/>
      </c>
      <c r="AB320" s="275" t="str">
        <f t="shared" si="192"/>
        <v/>
      </c>
      <c r="AC320" s="275" t="str">
        <f t="shared" si="183"/>
        <v/>
      </c>
      <c r="AD320" s="275" t="str">
        <f t="shared" si="184"/>
        <v/>
      </c>
      <c r="AE320" s="275" t="str">
        <f t="shared" si="185"/>
        <v/>
      </c>
      <c r="AF320" s="275" t="str">
        <f t="shared" si="186"/>
        <v/>
      </c>
      <c r="AG320" s="275" t="str">
        <f t="shared" si="187"/>
        <v/>
      </c>
      <c r="AH320" s="275" t="str">
        <f t="shared" si="188"/>
        <v/>
      </c>
      <c r="AI320" s="275" t="str">
        <f t="shared" si="189"/>
        <v/>
      </c>
      <c r="AJ320" s="275" t="str">
        <f t="shared" si="190"/>
        <v/>
      </c>
      <c r="AK320" s="275">
        <v>1</v>
      </c>
      <c r="AL320" s="277">
        <f t="shared" ca="1" si="178"/>
        <v>0</v>
      </c>
      <c r="AM320" s="277">
        <f t="shared" ca="1" si="179"/>
        <v>0</v>
      </c>
      <c r="AN320" s="277" t="str">
        <f ca="1">IF(AND(Tabla7[[#This Row],[UltLec]]&lt;&gt;0,Tabla7[[#This Row],[PenLect]]&lt;&gt;0),(AM320-AL320)*Tabla7[[#This Row],[RT]],"N/A")</f>
        <v>N/A</v>
      </c>
      <c r="AO320" s="393" t="s">
        <v>1160</v>
      </c>
      <c r="AP320" s="393" t="s">
        <v>1075</v>
      </c>
      <c r="AQ320" s="393" t="s">
        <v>1074</v>
      </c>
      <c r="AR320" s="275">
        <f t="shared" si="180"/>
        <v>0</v>
      </c>
      <c r="AT320" s="2" t="e">
        <f t="shared" ca="1" si="172"/>
        <v>#VALUE!</v>
      </c>
    </row>
    <row r="321" spans="1:46" ht="18" hidden="1" customHeight="1" x14ac:dyDescent="0.25">
      <c r="A321" s="406" t="s">
        <v>1080</v>
      </c>
      <c r="B321" s="273"/>
      <c r="C321" s="367" t="s">
        <v>76</v>
      </c>
      <c r="D321" s="273" t="s">
        <v>55</v>
      </c>
      <c r="E321" s="274">
        <v>39399</v>
      </c>
      <c r="F321" s="275" t="s">
        <v>73</v>
      </c>
      <c r="G321" s="275" t="s">
        <v>77</v>
      </c>
      <c r="H321" s="275"/>
      <c r="I321" s="275"/>
      <c r="J321" s="277"/>
      <c r="K321" s="277"/>
      <c r="L321" s="277"/>
      <c r="M321" s="277"/>
      <c r="N321" s="277"/>
      <c r="O321" s="277"/>
      <c r="P321" s="277"/>
      <c r="Q321" s="277"/>
      <c r="R321" s="277"/>
      <c r="S321" s="277"/>
      <c r="T321" s="277"/>
      <c r="U321" s="277"/>
      <c r="V321" s="277"/>
      <c r="W321" s="277">
        <v>50208</v>
      </c>
      <c r="X321" s="275"/>
      <c r="Y321" s="275" t="str">
        <f t="shared" si="173"/>
        <v/>
      </c>
      <c r="Z321" s="275" t="str">
        <f t="shared" si="174"/>
        <v/>
      </c>
      <c r="AA321" s="275" t="str">
        <f t="shared" si="191"/>
        <v/>
      </c>
      <c r="AB321" s="275" t="str">
        <f t="shared" si="192"/>
        <v/>
      </c>
      <c r="AC321" s="275" t="str">
        <f t="shared" si="183"/>
        <v/>
      </c>
      <c r="AD321" s="275" t="str">
        <f t="shared" si="184"/>
        <v/>
      </c>
      <c r="AE321" s="275" t="str">
        <f t="shared" si="185"/>
        <v/>
      </c>
      <c r="AF321" s="275" t="str">
        <f t="shared" si="186"/>
        <v/>
      </c>
      <c r="AG321" s="275" t="str">
        <f t="shared" si="187"/>
        <v/>
      </c>
      <c r="AH321" s="275" t="str">
        <f t="shared" si="188"/>
        <v/>
      </c>
      <c r="AI321" s="275" t="str">
        <f t="shared" si="189"/>
        <v/>
      </c>
      <c r="AJ321" s="275" t="str">
        <f t="shared" si="190"/>
        <v/>
      </c>
      <c r="AK321" s="275">
        <v>1</v>
      </c>
      <c r="AL321" s="277">
        <f t="shared" ca="1" si="178"/>
        <v>0</v>
      </c>
      <c r="AM321" s="277">
        <f t="shared" ca="1" si="179"/>
        <v>0</v>
      </c>
      <c r="AN321" s="277" t="str">
        <f ca="1">IF(AND(Tabla7[[#This Row],[UltLec]]&lt;&gt;0,Tabla7[[#This Row],[PenLect]]&lt;&gt;0),(AM321-AL321)*Tabla7[[#This Row],[RT]],"N/A")</f>
        <v>N/A</v>
      </c>
      <c r="AO321" s="393" t="s">
        <v>1160</v>
      </c>
      <c r="AP321" s="393" t="s">
        <v>1075</v>
      </c>
      <c r="AQ321" s="393" t="s">
        <v>1074</v>
      </c>
      <c r="AR321" s="275">
        <f t="shared" si="180"/>
        <v>0</v>
      </c>
      <c r="AT321" s="2" t="e">
        <f t="shared" ca="1" si="172"/>
        <v>#VALUE!</v>
      </c>
    </row>
    <row r="322" spans="1:46" ht="18" customHeight="1" x14ac:dyDescent="0.25">
      <c r="A322" s="407" t="s">
        <v>698</v>
      </c>
      <c r="B322" s="54"/>
      <c r="C322" s="368" t="s">
        <v>78</v>
      </c>
      <c r="D322" s="374" t="s">
        <v>681</v>
      </c>
      <c r="E322" s="375">
        <v>0</v>
      </c>
      <c r="F322" s="2" t="s">
        <v>835</v>
      </c>
      <c r="G322" s="2" t="s">
        <v>47</v>
      </c>
      <c r="H322" s="2"/>
      <c r="I322" s="2"/>
      <c r="J322" s="290">
        <v>8977310</v>
      </c>
      <c r="K322" s="260">
        <v>9027884</v>
      </c>
      <c r="L322" s="260"/>
      <c r="O322" s="260"/>
      <c r="P322" s="308"/>
      <c r="Q322" s="308"/>
      <c r="R322" s="260"/>
      <c r="S322" s="260"/>
      <c r="U322" s="260"/>
      <c r="V322" s="290"/>
      <c r="W322" s="2"/>
      <c r="X322" s="2"/>
      <c r="Y322" s="2">
        <f t="shared" si="173"/>
        <v>50574</v>
      </c>
      <c r="Z322" s="2" t="str">
        <f t="shared" si="174"/>
        <v/>
      </c>
      <c r="AA322" s="2" t="str">
        <f t="shared" si="191"/>
        <v/>
      </c>
      <c r="AB322" s="2" t="str">
        <f t="shared" si="192"/>
        <v/>
      </c>
      <c r="AC322" s="2" t="str">
        <f t="shared" si="183"/>
        <v/>
      </c>
      <c r="AD322" s="2" t="str">
        <f t="shared" si="184"/>
        <v/>
      </c>
      <c r="AE322" s="2" t="str">
        <f t="shared" si="185"/>
        <v/>
      </c>
      <c r="AF322" s="2" t="str">
        <f t="shared" si="186"/>
        <v/>
      </c>
      <c r="AG322" s="2" t="str">
        <f t="shared" si="187"/>
        <v/>
      </c>
      <c r="AH322" s="2" t="str">
        <f t="shared" si="188"/>
        <v/>
      </c>
      <c r="AI322" s="2" t="str">
        <f t="shared" si="189"/>
        <v/>
      </c>
      <c r="AJ322" s="2" t="str">
        <f t="shared" si="190"/>
        <v/>
      </c>
      <c r="AK322" s="2">
        <v>1</v>
      </c>
      <c r="AL322" s="260">
        <f t="shared" ca="1" si="178"/>
        <v>0</v>
      </c>
      <c r="AM322" s="260">
        <f t="shared" ca="1" si="179"/>
        <v>0</v>
      </c>
      <c r="AN322" s="260" t="str">
        <f ca="1">IF(AND(Tabla7[[#This Row],[UltLec]]&lt;&gt;0,Tabla7[[#This Row],[PenLect]]&lt;&gt;0),(AM322-AL322)*Tabla7[[#This Row],[RT]],"N/A")</f>
        <v>N/A</v>
      </c>
      <c r="AO322" s="380" t="s">
        <v>813</v>
      </c>
      <c r="AP322" s="380" t="s">
        <v>1076</v>
      </c>
      <c r="AQ322" s="380" t="s">
        <v>771</v>
      </c>
      <c r="AR322" s="2">
        <f t="shared" si="180"/>
        <v>0</v>
      </c>
      <c r="AT322" s="2" t="e">
        <f t="shared" ca="1" si="172"/>
        <v>#VALUE!</v>
      </c>
    </row>
    <row r="323" spans="1:46" ht="18" customHeight="1" x14ac:dyDescent="0.25">
      <c r="A323" s="291" t="s">
        <v>19</v>
      </c>
      <c r="B323" s="54"/>
      <c r="C323" s="368" t="s">
        <v>79</v>
      </c>
      <c r="D323" s="54" t="s">
        <v>682</v>
      </c>
      <c r="E323" s="232">
        <v>140</v>
      </c>
      <c r="F323" s="2" t="s">
        <v>837</v>
      </c>
      <c r="G323" s="2"/>
      <c r="H323" s="2" t="s">
        <v>649</v>
      </c>
      <c r="I323" s="2" t="s">
        <v>768</v>
      </c>
      <c r="J323" s="260">
        <f>J322-SUBTOTAL(109,J304:J321)</f>
        <v>3769695</v>
      </c>
      <c r="K323" s="260">
        <f>K322-SUBTOTAL(109,K304:K321)</f>
        <v>4819545</v>
      </c>
      <c r="L323" s="260"/>
      <c r="O323" s="260"/>
      <c r="P323" s="260"/>
      <c r="Q323" s="260"/>
      <c r="R323" s="260"/>
      <c r="S323" s="260"/>
      <c r="U323" s="260"/>
      <c r="V323" s="260"/>
      <c r="W323" s="260">
        <f>W322-SUBTOTAL(109,W304:W321)</f>
        <v>0</v>
      </c>
      <c r="X323" s="260"/>
      <c r="Y323" s="2">
        <f t="shared" si="173"/>
        <v>1049850</v>
      </c>
      <c r="Z323" s="2" t="str">
        <f t="shared" si="174"/>
        <v/>
      </c>
      <c r="AA323" s="2" t="str">
        <f t="shared" si="191"/>
        <v/>
      </c>
      <c r="AB323" s="2" t="str">
        <f t="shared" si="192"/>
        <v/>
      </c>
      <c r="AC323" s="2" t="str">
        <f t="shared" si="183"/>
        <v/>
      </c>
      <c r="AD323" s="2" t="str">
        <f t="shared" si="184"/>
        <v/>
      </c>
      <c r="AE323" s="2" t="str">
        <f t="shared" si="185"/>
        <v/>
      </c>
      <c r="AF323" s="2" t="str">
        <f t="shared" si="186"/>
        <v/>
      </c>
      <c r="AG323" s="2" t="str">
        <f t="shared" si="187"/>
        <v/>
      </c>
      <c r="AH323" s="2" t="str">
        <f t="shared" si="188"/>
        <v/>
      </c>
      <c r="AI323" s="2" t="str">
        <f t="shared" si="189"/>
        <v/>
      </c>
      <c r="AJ323" s="2" t="str">
        <f t="shared" si="190"/>
        <v/>
      </c>
      <c r="AK323" s="2">
        <v>1</v>
      </c>
      <c r="AL323" s="260">
        <f t="shared" ca="1" si="178"/>
        <v>0</v>
      </c>
      <c r="AM323" s="260">
        <f t="shared" ca="1" si="179"/>
        <v>0</v>
      </c>
      <c r="AN323" s="260" t="str">
        <f ca="1">IF(AND(Tabla7[[#This Row],[UltLec]]&lt;&gt;0,Tabla7[[#This Row],[PenLect]]&lt;&gt;0),(AM323-AL323)*Tabla7[[#This Row],[RT]],"N/A")</f>
        <v>N/A</v>
      </c>
      <c r="AO323" s="380"/>
      <c r="AP323" s="380" t="s">
        <v>1076</v>
      </c>
      <c r="AQ323" s="380" t="s">
        <v>771</v>
      </c>
      <c r="AR323" s="2">
        <f t="shared" si="180"/>
        <v>0</v>
      </c>
      <c r="AT323" s="2" t="e">
        <f t="shared" ca="1" si="172"/>
        <v>#VALUE!</v>
      </c>
    </row>
    <row r="324" spans="1:46" ht="18" hidden="1" customHeight="1" x14ac:dyDescent="0.25">
      <c r="A324" s="418" t="s">
        <v>1080</v>
      </c>
      <c r="B324" s="273"/>
      <c r="C324" s="367" t="s">
        <v>1202</v>
      </c>
      <c r="D324" s="499" t="s">
        <v>80</v>
      </c>
      <c r="E324" s="500">
        <v>39142</v>
      </c>
      <c r="F324" s="311" t="s">
        <v>82</v>
      </c>
      <c r="G324" s="311" t="s">
        <v>84</v>
      </c>
      <c r="H324" s="311" t="s">
        <v>1245</v>
      </c>
      <c r="I324" s="311" t="s">
        <v>85</v>
      </c>
      <c r="J324" s="311"/>
      <c r="K324" s="311"/>
      <c r="L324" s="311"/>
      <c r="M324" s="311"/>
      <c r="N324" s="311"/>
      <c r="O324" s="311"/>
      <c r="P324" s="311"/>
      <c r="Q324" s="311"/>
      <c r="R324" s="311"/>
      <c r="S324" s="311"/>
      <c r="T324" s="311"/>
      <c r="U324" s="311"/>
      <c r="V324" s="311"/>
      <c r="W324" s="311"/>
      <c r="X324" s="311"/>
      <c r="Y324" s="311" t="str">
        <f t="shared" si="173"/>
        <v/>
      </c>
      <c r="Z324" s="311" t="str">
        <f t="shared" si="174"/>
        <v/>
      </c>
      <c r="AA324" s="311" t="str">
        <f t="shared" si="191"/>
        <v/>
      </c>
      <c r="AB324" s="311" t="str">
        <f t="shared" si="192"/>
        <v/>
      </c>
      <c r="AC324" s="311" t="str">
        <f t="shared" si="183"/>
        <v/>
      </c>
      <c r="AD324" s="311" t="str">
        <f t="shared" si="184"/>
        <v/>
      </c>
      <c r="AE324" s="311" t="str">
        <f t="shared" si="185"/>
        <v/>
      </c>
      <c r="AF324" s="311" t="str">
        <f t="shared" si="186"/>
        <v/>
      </c>
      <c r="AG324" s="311" t="str">
        <f t="shared" si="187"/>
        <v/>
      </c>
      <c r="AH324" s="311" t="str">
        <f t="shared" si="188"/>
        <v/>
      </c>
      <c r="AI324" s="311" t="str">
        <f t="shared" si="189"/>
        <v/>
      </c>
      <c r="AJ324" s="311" t="str">
        <f t="shared" si="190"/>
        <v/>
      </c>
      <c r="AK324" s="311">
        <v>80</v>
      </c>
      <c r="AL324" s="310">
        <f t="shared" ca="1" si="178"/>
        <v>0</v>
      </c>
      <c r="AM324" s="310">
        <f t="shared" ca="1" si="179"/>
        <v>0</v>
      </c>
      <c r="AN324" s="310" t="str">
        <f ca="1">IF(AND(Tabla7[[#This Row],[UltLec]]&lt;&gt;0,Tabla7[[#This Row],[PenLect]]&lt;&gt;0),(AM324-AL324)*Tabla7[[#This Row],[RT]],"N/A")</f>
        <v>N/A</v>
      </c>
      <c r="AO324" s="401" t="s">
        <v>1160</v>
      </c>
      <c r="AP324" s="401" t="s">
        <v>1075</v>
      </c>
      <c r="AQ324" s="401" t="s">
        <v>1074</v>
      </c>
      <c r="AR324" s="311">
        <f t="shared" si="180"/>
        <v>0</v>
      </c>
      <c r="AT324" s="2" t="e">
        <f t="shared" ca="1" si="172"/>
        <v>#VALUE!</v>
      </c>
    </row>
    <row r="325" spans="1:46" ht="18" hidden="1" customHeight="1" x14ac:dyDescent="0.25">
      <c r="A325" s="406" t="s">
        <v>1080</v>
      </c>
      <c r="B325" s="273"/>
      <c r="C325" s="367" t="s">
        <v>81</v>
      </c>
      <c r="D325" s="273" t="s">
        <v>80</v>
      </c>
      <c r="E325" s="274">
        <v>39503</v>
      </c>
      <c r="F325" s="275" t="s">
        <v>82</v>
      </c>
      <c r="G325" s="275" t="s">
        <v>83</v>
      </c>
      <c r="H325" s="275" t="s">
        <v>423</v>
      </c>
      <c r="I325" s="275" t="s">
        <v>1399</v>
      </c>
      <c r="J325" s="277"/>
      <c r="K325" s="277"/>
      <c r="L325" s="277"/>
      <c r="M325" s="277"/>
      <c r="N325" s="277"/>
      <c r="O325" s="277"/>
      <c r="P325" s="277"/>
      <c r="Q325" s="277"/>
      <c r="R325" s="277"/>
      <c r="S325" s="277"/>
      <c r="T325" s="277"/>
      <c r="U325" s="277"/>
      <c r="V325" s="277"/>
      <c r="W325" s="275"/>
      <c r="X325" s="275"/>
      <c r="Y325" s="275" t="str">
        <f t="shared" si="173"/>
        <v/>
      </c>
      <c r="Z325" s="275" t="str">
        <f t="shared" si="174"/>
        <v/>
      </c>
      <c r="AA325" s="275" t="str">
        <f t="shared" si="191"/>
        <v/>
      </c>
      <c r="AB325" s="275" t="str">
        <f t="shared" si="192"/>
        <v/>
      </c>
      <c r="AC325" s="275" t="str">
        <f t="shared" si="183"/>
        <v/>
      </c>
      <c r="AD325" s="275" t="str">
        <f t="shared" si="184"/>
        <v/>
      </c>
      <c r="AE325" s="275" t="str">
        <f t="shared" si="185"/>
        <v/>
      </c>
      <c r="AF325" s="275" t="str">
        <f t="shared" si="186"/>
        <v/>
      </c>
      <c r="AG325" s="275" t="str">
        <f t="shared" si="187"/>
        <v/>
      </c>
      <c r="AH325" s="275" t="str">
        <f t="shared" si="188"/>
        <v/>
      </c>
      <c r="AI325" s="275" t="str">
        <f t="shared" si="189"/>
        <v/>
      </c>
      <c r="AJ325" s="275" t="str">
        <f t="shared" si="190"/>
        <v/>
      </c>
      <c r="AK325" s="275">
        <v>1</v>
      </c>
      <c r="AL325" s="277">
        <f t="shared" ca="1" si="178"/>
        <v>0</v>
      </c>
      <c r="AM325" s="277">
        <f t="shared" ca="1" si="179"/>
        <v>0</v>
      </c>
      <c r="AN325" s="277" t="str">
        <f ca="1">IF(AND(Tabla7[[#This Row],[UltLec]]&lt;&gt;0,Tabla7[[#This Row],[PenLect]]&lt;&gt;0),(AM325-AL325)*Tabla7[[#This Row],[RT]],"N/A")</f>
        <v>N/A</v>
      </c>
      <c r="AO325" s="393" t="s">
        <v>1160</v>
      </c>
      <c r="AP325" s="393" t="s">
        <v>1075</v>
      </c>
      <c r="AQ325" s="393" t="s">
        <v>1074</v>
      </c>
      <c r="AR325" s="275">
        <f t="shared" si="180"/>
        <v>0</v>
      </c>
      <c r="AT325" s="2" t="e">
        <f t="shared" ref="AT325:AT388" ca="1" si="193">IF(IF(DAY(TODAY())&gt;15,INDEX($Y325:$AJ325,1,MONTH(TODAY())-1),INDEX($Y325:$AJ325,1,MONTH(TODAY())-2))=0,"0",IF(DAY(TODAY())&gt;15,INDEX($Y325:$AJ325,1,MONTH(TODAY())),INDEX($Y325:$AJ325,1,MONTH(TODAY())-1))/IF(DAY(TODAY())&gt;15,INDEX($Y325:$AJ325,1,MONTH(TODAY())-1),INDEX($Y325:$AJ325,1,MONTH(TODAY())-2)))</f>
        <v>#VALUE!</v>
      </c>
    </row>
    <row r="326" spans="1:46" ht="18" hidden="1" customHeight="1" x14ac:dyDescent="0.25">
      <c r="A326" s="418" t="s">
        <v>1080</v>
      </c>
      <c r="B326" s="273"/>
      <c r="C326" s="367">
        <v>52577618</v>
      </c>
      <c r="D326" s="273" t="s">
        <v>86</v>
      </c>
      <c r="E326" s="274">
        <v>1</v>
      </c>
      <c r="F326" s="275" t="s">
        <v>710</v>
      </c>
      <c r="G326" s="275" t="s">
        <v>63</v>
      </c>
      <c r="H326" s="275" t="s">
        <v>1222</v>
      </c>
      <c r="I326" s="275" t="s">
        <v>754</v>
      </c>
      <c r="J326" s="275"/>
      <c r="K326" s="275"/>
      <c r="L326" s="275"/>
      <c r="M326" s="275"/>
      <c r="N326" s="275"/>
      <c r="O326" s="275"/>
      <c r="P326" s="275"/>
      <c r="Q326" s="275"/>
      <c r="R326" s="275"/>
      <c r="S326" s="275"/>
      <c r="T326" s="275"/>
      <c r="U326" s="275"/>
      <c r="V326" s="275"/>
      <c r="W326" s="275"/>
      <c r="X326" s="275"/>
      <c r="Y326" s="275" t="str">
        <f t="shared" si="173"/>
        <v/>
      </c>
      <c r="Z326" s="275" t="str">
        <f t="shared" si="174"/>
        <v/>
      </c>
      <c r="AA326" s="275" t="str">
        <f t="shared" si="191"/>
        <v/>
      </c>
      <c r="AB326" s="275" t="str">
        <f t="shared" si="192"/>
        <v/>
      </c>
      <c r="AC326" s="275" t="str">
        <f t="shared" si="183"/>
        <v/>
      </c>
      <c r="AD326" s="275" t="str">
        <f t="shared" si="184"/>
        <v/>
      </c>
      <c r="AE326" s="275" t="str">
        <f t="shared" si="185"/>
        <v/>
      </c>
      <c r="AF326" s="275" t="str">
        <f t="shared" si="186"/>
        <v/>
      </c>
      <c r="AG326" s="275" t="str">
        <f t="shared" si="187"/>
        <v/>
      </c>
      <c r="AH326" s="275" t="str">
        <f t="shared" si="188"/>
        <v/>
      </c>
      <c r="AI326" s="275" t="str">
        <f t="shared" si="189"/>
        <v/>
      </c>
      <c r="AJ326" s="275" t="str">
        <f t="shared" si="190"/>
        <v/>
      </c>
      <c r="AK326" s="275">
        <v>200</v>
      </c>
      <c r="AL326" s="277">
        <f t="shared" ca="1" si="178"/>
        <v>0</v>
      </c>
      <c r="AM326" s="277">
        <f t="shared" ca="1" si="179"/>
        <v>0</v>
      </c>
      <c r="AN326" s="277" t="str">
        <f ca="1">IF(AND(Tabla7[[#This Row],[UltLec]]&lt;&gt;0,Tabla7[[#This Row],[PenLect]]&lt;&gt;0),(AM326-AL326)*Tabla7[[#This Row],[RT]],"N/A")</f>
        <v>N/A</v>
      </c>
      <c r="AO326" s="393" t="s">
        <v>1160</v>
      </c>
      <c r="AP326" s="393" t="s">
        <v>1075</v>
      </c>
      <c r="AQ326" s="393" t="s">
        <v>1074</v>
      </c>
      <c r="AR326" s="275">
        <f t="shared" si="180"/>
        <v>0</v>
      </c>
      <c r="AT326" s="2" t="e">
        <f t="shared" ca="1" si="193"/>
        <v>#VALUE!</v>
      </c>
    </row>
    <row r="327" spans="1:46" ht="18" hidden="1" customHeight="1" x14ac:dyDescent="0.25">
      <c r="A327" s="409" t="s">
        <v>1080</v>
      </c>
      <c r="B327" s="273"/>
      <c r="C327" s="379" t="s">
        <v>706</v>
      </c>
      <c r="D327" s="376" t="s">
        <v>86</v>
      </c>
      <c r="E327" s="377">
        <v>132</v>
      </c>
      <c r="F327" s="275" t="s">
        <v>1186</v>
      </c>
      <c r="G327" s="275" t="s">
        <v>832</v>
      </c>
      <c r="H327" s="275" t="s">
        <v>1460</v>
      </c>
      <c r="I327" s="275" t="s">
        <v>1461</v>
      </c>
      <c r="J327" s="277"/>
      <c r="K327" s="277"/>
      <c r="L327" s="277"/>
      <c r="M327" s="277"/>
      <c r="N327" s="277"/>
      <c r="O327" s="277"/>
      <c r="P327" s="347"/>
      <c r="Q327" s="277"/>
      <c r="R327" s="277"/>
      <c r="S327" s="277"/>
      <c r="T327" s="277"/>
      <c r="U327" s="277"/>
      <c r="V327" s="277"/>
      <c r="W327" s="275"/>
      <c r="X327" s="275"/>
      <c r="Y327" s="275" t="str">
        <f t="shared" si="173"/>
        <v/>
      </c>
      <c r="Z327" s="275" t="str">
        <f t="shared" si="174"/>
        <v/>
      </c>
      <c r="AA327" s="275" t="str">
        <f t="shared" si="191"/>
        <v/>
      </c>
      <c r="AB327" s="275" t="str">
        <f t="shared" si="192"/>
        <v/>
      </c>
      <c r="AC327" s="275" t="str">
        <f t="shared" si="183"/>
        <v/>
      </c>
      <c r="AD327" s="275" t="str">
        <f t="shared" si="184"/>
        <v/>
      </c>
      <c r="AE327" s="275" t="str">
        <f t="shared" si="185"/>
        <v/>
      </c>
      <c r="AF327" s="275" t="str">
        <f t="shared" si="186"/>
        <v/>
      </c>
      <c r="AG327" s="275" t="str">
        <f t="shared" si="187"/>
        <v/>
      </c>
      <c r="AH327" s="275" t="str">
        <f t="shared" si="188"/>
        <v/>
      </c>
      <c r="AI327" s="275" t="str">
        <f t="shared" si="189"/>
        <v/>
      </c>
      <c r="AJ327" s="275" t="str">
        <f t="shared" si="190"/>
        <v/>
      </c>
      <c r="AK327" s="275">
        <v>1</v>
      </c>
      <c r="AL327" s="277">
        <f t="shared" ca="1" si="178"/>
        <v>0</v>
      </c>
      <c r="AM327" s="277">
        <f t="shared" ca="1" si="179"/>
        <v>0</v>
      </c>
      <c r="AN327" s="277" t="str">
        <f ca="1">IF(AND(Tabla7[[#This Row],[UltLec]]&lt;&gt;0,Tabla7[[#This Row],[PenLect]]&lt;&gt;0),(AM327-AL327)*Tabla7[[#This Row],[RT]],"N/A")</f>
        <v>N/A</v>
      </c>
      <c r="AO327" s="393" t="s">
        <v>1160</v>
      </c>
      <c r="AP327" s="393" t="s">
        <v>1075</v>
      </c>
      <c r="AQ327" s="393" t="s">
        <v>1074</v>
      </c>
      <c r="AR327" s="275">
        <f t="shared" si="180"/>
        <v>0</v>
      </c>
      <c r="AT327" s="2" t="e">
        <f t="shared" ca="1" si="193"/>
        <v>#VALUE!</v>
      </c>
    </row>
    <row r="328" spans="1:46" ht="18" customHeight="1" x14ac:dyDescent="0.25">
      <c r="A328" s="378" t="s">
        <v>19</v>
      </c>
      <c r="B328" s="262">
        <v>4450</v>
      </c>
      <c r="C328" s="266" t="s">
        <v>87</v>
      </c>
      <c r="D328" s="262" t="s">
        <v>86</v>
      </c>
      <c r="E328" s="235">
        <v>39742</v>
      </c>
      <c r="F328" s="371" t="s">
        <v>88</v>
      </c>
      <c r="G328" s="371" t="s">
        <v>89</v>
      </c>
      <c r="H328" s="371" t="s">
        <v>693</v>
      </c>
      <c r="I328" s="371"/>
      <c r="J328" s="341">
        <v>9723740</v>
      </c>
      <c r="K328" s="341">
        <v>9786840</v>
      </c>
      <c r="L328" s="341"/>
      <c r="M328" s="341"/>
      <c r="N328" s="341"/>
      <c r="O328" s="341"/>
      <c r="P328" s="341"/>
      <c r="Q328" s="341"/>
      <c r="R328" s="341"/>
      <c r="S328" s="341"/>
      <c r="T328" s="341"/>
      <c r="U328" s="341"/>
      <c r="V328" s="341"/>
      <c r="W328" s="371"/>
      <c r="X328" s="371"/>
      <c r="Y328" s="371">
        <f t="shared" si="173"/>
        <v>63100</v>
      </c>
      <c r="Z328" s="341" t="str">
        <f t="shared" si="174"/>
        <v/>
      </c>
      <c r="AA328" s="341" t="str">
        <f t="shared" si="191"/>
        <v/>
      </c>
      <c r="AB328" s="341" t="str">
        <f t="shared" si="192"/>
        <v/>
      </c>
      <c r="AC328" s="341" t="str">
        <f t="shared" si="183"/>
        <v/>
      </c>
      <c r="AD328" s="341" t="str">
        <f t="shared" si="184"/>
        <v/>
      </c>
      <c r="AE328" s="341" t="str">
        <f t="shared" si="185"/>
        <v/>
      </c>
      <c r="AF328" s="341" t="str">
        <f t="shared" si="186"/>
        <v/>
      </c>
      <c r="AG328" s="341" t="str">
        <f t="shared" si="187"/>
        <v/>
      </c>
      <c r="AH328" s="341" t="str">
        <f t="shared" si="188"/>
        <v/>
      </c>
      <c r="AI328" s="341" t="str">
        <f t="shared" si="189"/>
        <v/>
      </c>
      <c r="AJ328" s="341" t="str">
        <f t="shared" si="190"/>
        <v/>
      </c>
      <c r="AK328" s="371">
        <v>1</v>
      </c>
      <c r="AL328" s="341">
        <f t="shared" ca="1" si="178"/>
        <v>0</v>
      </c>
      <c r="AM328" s="341">
        <f t="shared" ca="1" si="179"/>
        <v>0</v>
      </c>
      <c r="AN328" s="341" t="str">
        <f ca="1">IF(AND(Tabla7[[#This Row],[UltLec]]&lt;&gt;0,Tabla7[[#This Row],[PenLect]]&lt;&gt;0),(AM328-AL328)*Tabla7[[#This Row],[RT]],"N/A")</f>
        <v>N/A</v>
      </c>
      <c r="AO328" s="389" t="s">
        <v>813</v>
      </c>
      <c r="AP328" s="389" t="s">
        <v>1075</v>
      </c>
      <c r="AQ328" s="389" t="s">
        <v>1074</v>
      </c>
      <c r="AR328" s="371">
        <f t="shared" si="180"/>
        <v>0</v>
      </c>
      <c r="AT328" s="2" t="e">
        <f t="shared" ca="1" si="193"/>
        <v>#VALUE!</v>
      </c>
    </row>
    <row r="329" spans="1:46" ht="18" customHeight="1" x14ac:dyDescent="0.25">
      <c r="A329" s="407" t="s">
        <v>19</v>
      </c>
      <c r="B329" s="54"/>
      <c r="C329" s="420" t="s">
        <v>1201</v>
      </c>
      <c r="D329" s="374" t="s">
        <v>90</v>
      </c>
      <c r="E329" s="375">
        <v>39196</v>
      </c>
      <c r="F329" s="2" t="s">
        <v>145</v>
      </c>
      <c r="G329" s="2" t="s">
        <v>92</v>
      </c>
      <c r="H329" s="2" t="s">
        <v>1696</v>
      </c>
      <c r="I329" s="2" t="s">
        <v>93</v>
      </c>
      <c r="J329" s="290">
        <v>253311</v>
      </c>
      <c r="K329" s="260">
        <v>254573</v>
      </c>
      <c r="L329" s="260"/>
      <c r="O329" s="260"/>
      <c r="P329" s="308"/>
      <c r="Q329" s="260"/>
      <c r="R329" s="260"/>
      <c r="S329" s="260"/>
      <c r="U329" s="260"/>
      <c r="V329" s="290"/>
      <c r="W329" s="2"/>
      <c r="X329" s="2"/>
      <c r="Y329" s="2">
        <f t="shared" si="173"/>
        <v>1262</v>
      </c>
      <c r="Z329" s="2" t="str">
        <f t="shared" si="174"/>
        <v/>
      </c>
      <c r="AA329" s="2" t="str">
        <f t="shared" si="191"/>
        <v/>
      </c>
      <c r="AB329" s="2" t="str">
        <f t="shared" si="192"/>
        <v/>
      </c>
      <c r="AC329" s="2" t="str">
        <f t="shared" si="183"/>
        <v/>
      </c>
      <c r="AD329" s="2" t="str">
        <f t="shared" si="184"/>
        <v/>
      </c>
      <c r="AE329" s="2" t="str">
        <f t="shared" si="185"/>
        <v/>
      </c>
      <c r="AF329" s="2" t="str">
        <f t="shared" si="186"/>
        <v/>
      </c>
      <c r="AG329" s="2" t="str">
        <f t="shared" si="187"/>
        <v/>
      </c>
      <c r="AH329" s="2" t="str">
        <f t="shared" si="188"/>
        <v/>
      </c>
      <c r="AI329" s="2" t="str">
        <f t="shared" si="189"/>
        <v/>
      </c>
      <c r="AJ329" s="2" t="str">
        <f t="shared" si="190"/>
        <v/>
      </c>
      <c r="AK329" s="2">
        <v>1</v>
      </c>
      <c r="AL329" s="260">
        <f t="shared" ca="1" si="178"/>
        <v>0</v>
      </c>
      <c r="AM329" s="260">
        <f t="shared" ca="1" si="179"/>
        <v>0</v>
      </c>
      <c r="AN329" s="260" t="str">
        <f ca="1">IF(AND(Tabla7[[#This Row],[UltLec]]&lt;&gt;0,Tabla7[[#This Row],[PenLect]]&lt;&gt;0),(AM329-AL329)*Tabla7[[#This Row],[RT]],"N/A")</f>
        <v>N/A</v>
      </c>
      <c r="AO329" s="380" t="s">
        <v>813</v>
      </c>
      <c r="AP329" s="380" t="s">
        <v>1075</v>
      </c>
      <c r="AQ329" s="380" t="s">
        <v>1074</v>
      </c>
      <c r="AR329" s="2">
        <f t="shared" si="180"/>
        <v>0</v>
      </c>
      <c r="AT329" s="2" t="e">
        <f t="shared" ca="1" si="193"/>
        <v>#VALUE!</v>
      </c>
    </row>
    <row r="330" spans="1:46" ht="18" customHeight="1" x14ac:dyDescent="0.25">
      <c r="A330" s="291" t="s">
        <v>19</v>
      </c>
      <c r="B330" s="54">
        <v>1083</v>
      </c>
      <c r="C330" s="239" t="s">
        <v>1109</v>
      </c>
      <c r="D330" s="54" t="s">
        <v>90</v>
      </c>
      <c r="E330" s="232">
        <v>39054</v>
      </c>
      <c r="F330" s="2" t="s">
        <v>102</v>
      </c>
      <c r="G330" s="2" t="s">
        <v>934</v>
      </c>
      <c r="H330" s="2"/>
      <c r="I330" s="2"/>
      <c r="J330" s="290">
        <v>6811</v>
      </c>
      <c r="K330" s="260">
        <v>6896</v>
      </c>
      <c r="L330" s="260"/>
      <c r="O330" s="260"/>
      <c r="P330" s="308"/>
      <c r="Q330" s="260"/>
      <c r="R330" s="260"/>
      <c r="S330" s="260"/>
      <c r="U330" s="260"/>
      <c r="V330" s="290"/>
      <c r="W330" s="2"/>
      <c r="X330" s="2"/>
      <c r="Y330" s="2">
        <f t="shared" si="173"/>
        <v>85</v>
      </c>
      <c r="Z330" s="2" t="str">
        <f t="shared" si="174"/>
        <v/>
      </c>
      <c r="AA330" s="2" t="str">
        <f t="shared" si="191"/>
        <v/>
      </c>
      <c r="AB330" s="2" t="str">
        <f t="shared" si="192"/>
        <v/>
      </c>
      <c r="AC330" s="2" t="str">
        <f t="shared" si="183"/>
        <v/>
      </c>
      <c r="AD330" s="2" t="str">
        <f t="shared" si="184"/>
        <v/>
      </c>
      <c r="AE330" s="2" t="str">
        <f t="shared" si="185"/>
        <v/>
      </c>
      <c r="AF330" s="2" t="str">
        <f t="shared" si="186"/>
        <v/>
      </c>
      <c r="AG330" s="2" t="str">
        <f t="shared" si="187"/>
        <v/>
      </c>
      <c r="AH330" s="2" t="str">
        <f t="shared" si="188"/>
        <v/>
      </c>
      <c r="AI330" s="2" t="str">
        <f t="shared" si="189"/>
        <v/>
      </c>
      <c r="AJ330" s="2" t="str">
        <f t="shared" si="190"/>
        <v/>
      </c>
      <c r="AK330" s="2">
        <v>1</v>
      </c>
      <c r="AL330" s="260">
        <f t="shared" ca="1" si="178"/>
        <v>0</v>
      </c>
      <c r="AM330" s="260">
        <f t="shared" ca="1" si="179"/>
        <v>0</v>
      </c>
      <c r="AN330" s="260" t="str">
        <f ca="1">IF(AND(Tabla7[[#This Row],[UltLec]]&lt;&gt;0,Tabla7[[#This Row],[PenLect]]&lt;&gt;0),(AM330-AL330)*Tabla7[[#This Row],[RT]],"N/A")</f>
        <v>N/A</v>
      </c>
      <c r="AO330" s="380" t="s">
        <v>813</v>
      </c>
      <c r="AP330" s="380" t="s">
        <v>1076</v>
      </c>
      <c r="AQ330" s="380" t="s">
        <v>1074</v>
      </c>
      <c r="AR330" s="2">
        <f t="shared" si="180"/>
        <v>0</v>
      </c>
      <c r="AT330" s="2" t="e">
        <f t="shared" ca="1" si="193"/>
        <v>#VALUE!</v>
      </c>
    </row>
    <row r="331" spans="1:46" ht="18" customHeight="1" x14ac:dyDescent="0.25">
      <c r="A331" s="407" t="s">
        <v>19</v>
      </c>
      <c r="B331" s="54"/>
      <c r="C331" s="420" t="s">
        <v>1110</v>
      </c>
      <c r="D331" s="374" t="s">
        <v>90</v>
      </c>
      <c r="E331" s="375">
        <v>39057</v>
      </c>
      <c r="F331" s="2" t="s">
        <v>105</v>
      </c>
      <c r="G331" s="2" t="s">
        <v>938</v>
      </c>
      <c r="H331" s="2"/>
      <c r="I331" s="2"/>
      <c r="J331" s="260">
        <v>5523</v>
      </c>
      <c r="K331" s="260">
        <v>5802</v>
      </c>
      <c r="L331" s="260"/>
      <c r="O331" s="260"/>
      <c r="P331" s="308"/>
      <c r="Q331" s="260"/>
      <c r="R331" s="260"/>
      <c r="S331" s="260"/>
      <c r="U331" s="260"/>
      <c r="V331" s="260"/>
      <c r="W331" s="2"/>
      <c r="X331" s="2"/>
      <c r="Y331" s="2">
        <f t="shared" si="173"/>
        <v>279</v>
      </c>
      <c r="Z331" s="2" t="str">
        <f t="shared" si="174"/>
        <v/>
      </c>
      <c r="AA331" s="2" t="str">
        <f t="shared" si="191"/>
        <v/>
      </c>
      <c r="AB331" s="2" t="str">
        <f t="shared" si="192"/>
        <v/>
      </c>
      <c r="AC331" s="2" t="str">
        <f t="shared" si="183"/>
        <v/>
      </c>
      <c r="AD331" s="2" t="str">
        <f t="shared" si="184"/>
        <v/>
      </c>
      <c r="AE331" s="2" t="str">
        <f t="shared" si="185"/>
        <v/>
      </c>
      <c r="AF331" s="2" t="str">
        <f t="shared" si="186"/>
        <v/>
      </c>
      <c r="AG331" s="2" t="str">
        <f t="shared" si="187"/>
        <v/>
      </c>
      <c r="AH331" s="2" t="str">
        <f t="shared" si="188"/>
        <v/>
      </c>
      <c r="AI331" s="2" t="str">
        <f t="shared" si="189"/>
        <v/>
      </c>
      <c r="AJ331" s="2" t="str">
        <f t="shared" si="190"/>
        <v/>
      </c>
      <c r="AK331" s="2">
        <v>1</v>
      </c>
      <c r="AL331" s="260">
        <f t="shared" ca="1" si="178"/>
        <v>0</v>
      </c>
      <c r="AM331" s="260">
        <f t="shared" ca="1" si="179"/>
        <v>0</v>
      </c>
      <c r="AN331" s="260" t="str">
        <f ca="1">IF(AND(Tabla7[[#This Row],[UltLec]]&lt;&gt;0,Tabla7[[#This Row],[PenLect]]&lt;&gt;0),(AM331-AL331)*Tabla7[[#This Row],[RT]],"N/A")</f>
        <v>N/A</v>
      </c>
      <c r="AO331" s="380" t="s">
        <v>813</v>
      </c>
      <c r="AP331" s="380" t="s">
        <v>1076</v>
      </c>
      <c r="AQ331" s="380" t="s">
        <v>1074</v>
      </c>
      <c r="AR331" s="2">
        <f t="shared" si="180"/>
        <v>0</v>
      </c>
      <c r="AT331" s="2" t="e">
        <f t="shared" ca="1" si="193"/>
        <v>#VALUE!</v>
      </c>
    </row>
    <row r="332" spans="1:46" ht="18" hidden="1" customHeight="1" x14ac:dyDescent="0.25">
      <c r="A332" s="406" t="s">
        <v>1080</v>
      </c>
      <c r="B332" s="273">
        <v>4219</v>
      </c>
      <c r="C332" s="276" t="s">
        <v>1111</v>
      </c>
      <c r="D332" s="273" t="s">
        <v>90</v>
      </c>
      <c r="E332" s="274">
        <v>39715</v>
      </c>
      <c r="F332" s="434" t="s">
        <v>98</v>
      </c>
      <c r="G332" s="434" t="s">
        <v>936</v>
      </c>
      <c r="H332" s="434"/>
      <c r="I332" s="434" t="s">
        <v>1511</v>
      </c>
      <c r="J332" s="434"/>
      <c r="K332" s="434"/>
      <c r="L332" s="434"/>
      <c r="M332" s="434"/>
      <c r="N332" s="434"/>
      <c r="O332" s="434"/>
      <c r="P332" s="434"/>
      <c r="Q332" s="434"/>
      <c r="R332" s="434"/>
      <c r="S332" s="434"/>
      <c r="T332" s="434"/>
      <c r="U332" s="434"/>
      <c r="V332" s="434"/>
      <c r="W332" s="434"/>
      <c r="X332" s="434"/>
      <c r="Y332" s="434" t="str">
        <f t="shared" si="173"/>
        <v/>
      </c>
      <c r="Z332" s="434" t="str">
        <f t="shared" si="174"/>
        <v/>
      </c>
      <c r="AA332" s="434" t="str">
        <f t="shared" si="191"/>
        <v/>
      </c>
      <c r="AB332" s="434" t="str">
        <f t="shared" si="192"/>
        <v/>
      </c>
      <c r="AC332" s="434" t="str">
        <f t="shared" si="183"/>
        <v/>
      </c>
      <c r="AD332" s="434" t="str">
        <f t="shared" si="184"/>
        <v/>
      </c>
      <c r="AE332" s="434" t="str">
        <f t="shared" si="185"/>
        <v/>
      </c>
      <c r="AF332" s="434" t="str">
        <f t="shared" si="186"/>
        <v/>
      </c>
      <c r="AG332" s="434" t="str">
        <f t="shared" si="187"/>
        <v/>
      </c>
      <c r="AH332" s="434" t="str">
        <f t="shared" si="188"/>
        <v/>
      </c>
      <c r="AI332" s="434" t="str">
        <f t="shared" si="189"/>
        <v/>
      </c>
      <c r="AJ332" s="434" t="str">
        <f t="shared" si="190"/>
        <v/>
      </c>
      <c r="AK332" s="434">
        <v>1</v>
      </c>
      <c r="AL332" s="434">
        <f t="shared" ca="1" si="178"/>
        <v>0</v>
      </c>
      <c r="AM332" s="434">
        <f t="shared" ca="1" si="179"/>
        <v>0</v>
      </c>
      <c r="AN332" s="434" t="str">
        <f ca="1">IF(AND(Tabla7[[#This Row],[UltLec]]&lt;&gt;0,Tabla7[[#This Row],[PenLect]]&lt;&gt;0),(AM332-AL332)*Tabla7[[#This Row],[RT]],"N/A")</f>
        <v>N/A</v>
      </c>
      <c r="AO332" s="434" t="s">
        <v>1160</v>
      </c>
      <c r="AP332" s="434" t="s">
        <v>1076</v>
      </c>
      <c r="AQ332" s="434" t="s">
        <v>1074</v>
      </c>
      <c r="AR332" s="434">
        <f t="shared" si="180"/>
        <v>0</v>
      </c>
      <c r="AT332" s="2" t="e">
        <f t="shared" ca="1" si="193"/>
        <v>#VALUE!</v>
      </c>
    </row>
    <row r="333" spans="1:46" ht="18" customHeight="1" x14ac:dyDescent="0.25">
      <c r="A333" s="405" t="s">
        <v>19</v>
      </c>
      <c r="B333" s="54"/>
      <c r="C333" s="239" t="s">
        <v>1112</v>
      </c>
      <c r="D333" s="54" t="s">
        <v>90</v>
      </c>
      <c r="E333" s="232">
        <v>140</v>
      </c>
      <c r="F333" s="2" t="s">
        <v>836</v>
      </c>
      <c r="G333" s="2" t="s">
        <v>907</v>
      </c>
      <c r="H333" s="2" t="s">
        <v>99</v>
      </c>
      <c r="I333" s="2"/>
      <c r="J333" s="290">
        <v>1564</v>
      </c>
      <c r="K333" s="260">
        <v>1854</v>
      </c>
      <c r="L333" s="260"/>
      <c r="O333" s="260"/>
      <c r="P333" s="308"/>
      <c r="Q333" s="260"/>
      <c r="R333" s="260"/>
      <c r="S333" s="260"/>
      <c r="U333" s="260"/>
      <c r="V333" s="290"/>
      <c r="W333" s="2"/>
      <c r="X333" s="2"/>
      <c r="Y333" s="2">
        <f t="shared" si="173"/>
        <v>290</v>
      </c>
      <c r="Z333" s="2" t="str">
        <f t="shared" si="174"/>
        <v/>
      </c>
      <c r="AA333" s="2" t="str">
        <f t="shared" si="191"/>
        <v/>
      </c>
      <c r="AB333" s="2" t="str">
        <f t="shared" si="192"/>
        <v/>
      </c>
      <c r="AC333" s="2" t="str">
        <f t="shared" si="183"/>
        <v/>
      </c>
      <c r="AD333" s="2" t="str">
        <f t="shared" si="184"/>
        <v/>
      </c>
      <c r="AE333" s="2" t="str">
        <f t="shared" si="185"/>
        <v/>
      </c>
      <c r="AF333" s="2" t="str">
        <f t="shared" si="186"/>
        <v/>
      </c>
      <c r="AG333" s="2" t="str">
        <f t="shared" si="187"/>
        <v/>
      </c>
      <c r="AH333" s="2" t="str">
        <f t="shared" si="188"/>
        <v/>
      </c>
      <c r="AI333" s="2" t="str">
        <f t="shared" si="189"/>
        <v/>
      </c>
      <c r="AJ333" s="2" t="str">
        <f t="shared" si="190"/>
        <v/>
      </c>
      <c r="AK333" s="2">
        <v>1</v>
      </c>
      <c r="AL333" s="260">
        <f t="shared" ca="1" si="178"/>
        <v>0</v>
      </c>
      <c r="AM333" s="260">
        <f t="shared" ca="1" si="179"/>
        <v>0</v>
      </c>
      <c r="AN333" s="260" t="str">
        <f ca="1">IF(AND(Tabla7[[#This Row],[UltLec]]&lt;&gt;0,Tabla7[[#This Row],[PenLect]]&lt;&gt;0),(AM333-AL333)*Tabla7[[#This Row],[RT]],"N/A")</f>
        <v>N/A</v>
      </c>
      <c r="AO333" s="380" t="s">
        <v>813</v>
      </c>
      <c r="AP333" s="380" t="s">
        <v>1076</v>
      </c>
      <c r="AQ333" s="380" t="s">
        <v>1074</v>
      </c>
      <c r="AR333" s="2">
        <f t="shared" si="180"/>
        <v>0</v>
      </c>
      <c r="AT333" s="2" t="e">
        <f t="shared" ca="1" si="193"/>
        <v>#VALUE!</v>
      </c>
    </row>
    <row r="334" spans="1:46" ht="18" hidden="1" customHeight="1" x14ac:dyDescent="0.25">
      <c r="A334" s="406" t="s">
        <v>1080</v>
      </c>
      <c r="B334" s="273">
        <v>1485</v>
      </c>
      <c r="C334" s="276" t="s">
        <v>1113</v>
      </c>
      <c r="D334" s="273" t="s">
        <v>90</v>
      </c>
      <c r="E334" s="274">
        <v>39245</v>
      </c>
      <c r="F334" s="434" t="s">
        <v>98</v>
      </c>
      <c r="G334" s="434" t="s">
        <v>939</v>
      </c>
      <c r="H334" s="434"/>
      <c r="I334" s="434" t="s">
        <v>1511</v>
      </c>
      <c r="J334" s="434"/>
      <c r="K334" s="434"/>
      <c r="L334" s="434"/>
      <c r="M334" s="434"/>
      <c r="N334" s="434"/>
      <c r="O334" s="434"/>
      <c r="P334" s="434"/>
      <c r="Q334" s="434"/>
      <c r="R334" s="434"/>
      <c r="S334" s="434"/>
      <c r="T334" s="434"/>
      <c r="U334" s="434"/>
      <c r="V334" s="434"/>
      <c r="W334" s="434"/>
      <c r="X334" s="434"/>
      <c r="Y334" s="434" t="str">
        <f t="shared" si="173"/>
        <v/>
      </c>
      <c r="Z334" s="434" t="str">
        <f t="shared" si="174"/>
        <v/>
      </c>
      <c r="AA334" s="434" t="str">
        <f t="shared" si="191"/>
        <v/>
      </c>
      <c r="AB334" s="434" t="str">
        <f t="shared" si="192"/>
        <v/>
      </c>
      <c r="AC334" s="434" t="str">
        <f t="shared" si="183"/>
        <v/>
      </c>
      <c r="AD334" s="434" t="str">
        <f t="shared" si="184"/>
        <v/>
      </c>
      <c r="AE334" s="434" t="str">
        <f t="shared" si="185"/>
        <v/>
      </c>
      <c r="AF334" s="434" t="str">
        <f t="shared" si="186"/>
        <v/>
      </c>
      <c r="AG334" s="434" t="str">
        <f t="shared" si="187"/>
        <v/>
      </c>
      <c r="AH334" s="434" t="str">
        <f t="shared" si="188"/>
        <v/>
      </c>
      <c r="AI334" s="434" t="str">
        <f t="shared" si="189"/>
        <v/>
      </c>
      <c r="AJ334" s="434" t="str">
        <f t="shared" si="190"/>
        <v/>
      </c>
      <c r="AK334" s="434">
        <v>1</v>
      </c>
      <c r="AL334" s="434">
        <f t="shared" ca="1" si="178"/>
        <v>0</v>
      </c>
      <c r="AM334" s="434">
        <f t="shared" ca="1" si="179"/>
        <v>0</v>
      </c>
      <c r="AN334" s="434" t="str">
        <f ca="1">IF(AND(Tabla7[[#This Row],[UltLec]]&lt;&gt;0,Tabla7[[#This Row],[PenLect]]&lt;&gt;0),(AM334-AL334)*Tabla7[[#This Row],[RT]],"N/A")</f>
        <v>N/A</v>
      </c>
      <c r="AO334" s="434" t="s">
        <v>1160</v>
      </c>
      <c r="AP334" s="434" t="s">
        <v>1076</v>
      </c>
      <c r="AQ334" s="434" t="s">
        <v>1074</v>
      </c>
      <c r="AR334" s="434">
        <f t="shared" si="180"/>
        <v>0</v>
      </c>
      <c r="AT334" s="2" t="e">
        <f t="shared" ca="1" si="193"/>
        <v>#VALUE!</v>
      </c>
    </row>
    <row r="335" spans="1:46" ht="18" hidden="1" customHeight="1" x14ac:dyDescent="0.25">
      <c r="A335" s="418" t="s">
        <v>1080</v>
      </c>
      <c r="B335" s="273">
        <v>4096</v>
      </c>
      <c r="C335" s="367" t="s">
        <v>1114</v>
      </c>
      <c r="D335" s="273" t="s">
        <v>90</v>
      </c>
      <c r="E335" s="274">
        <v>39695</v>
      </c>
      <c r="F335" s="275" t="s">
        <v>94</v>
      </c>
      <c r="G335" s="275" t="s">
        <v>940</v>
      </c>
      <c r="H335" s="275"/>
      <c r="I335" s="275" t="s">
        <v>1429</v>
      </c>
      <c r="J335" s="277"/>
      <c r="K335" s="277"/>
      <c r="L335" s="277"/>
      <c r="M335" s="277"/>
      <c r="N335" s="277"/>
      <c r="O335" s="277"/>
      <c r="P335" s="347"/>
      <c r="Q335" s="277"/>
      <c r="R335" s="277"/>
      <c r="S335" s="277"/>
      <c r="T335" s="277"/>
      <c r="U335" s="277"/>
      <c r="V335" s="277"/>
      <c r="W335" s="275"/>
      <c r="X335" s="275"/>
      <c r="Y335" s="275" t="str">
        <f t="shared" ref="Y335:Y398" si="194">IF(OR(ISBLANK(K335),ISBLANK(J335)),"",IF(AND(K335&gt;=J335,K335-J335&lt;=K335),(K335-J335)*$AK335,"!!!!"))</f>
        <v/>
      </c>
      <c r="Z335" s="275" t="str">
        <f t="shared" ref="Z335:Z398" si="195">IF(OR(ISBLANK(L335),ISBLANK(K335)),"",IF(AND(L335&gt;=K335,L335-K335&lt;=L335),(L335-K335)*$AK335,"!!!!"))</f>
        <v/>
      </c>
      <c r="AA335" s="275" t="str">
        <f t="shared" si="191"/>
        <v/>
      </c>
      <c r="AB335" s="275" t="str">
        <f t="shared" si="192"/>
        <v/>
      </c>
      <c r="AC335" s="275" t="str">
        <f t="shared" si="183"/>
        <v/>
      </c>
      <c r="AD335" s="275" t="str">
        <f t="shared" si="184"/>
        <v/>
      </c>
      <c r="AE335" s="275" t="str">
        <f t="shared" si="185"/>
        <v/>
      </c>
      <c r="AF335" s="275" t="str">
        <f t="shared" si="186"/>
        <v/>
      </c>
      <c r="AG335" s="275" t="str">
        <f t="shared" si="187"/>
        <v/>
      </c>
      <c r="AH335" s="275" t="str">
        <f t="shared" si="188"/>
        <v/>
      </c>
      <c r="AI335" s="275" t="str">
        <f t="shared" si="189"/>
        <v/>
      </c>
      <c r="AJ335" s="275" t="str">
        <f t="shared" si="190"/>
        <v/>
      </c>
      <c r="AK335" s="275">
        <v>1</v>
      </c>
      <c r="AL335" s="277">
        <f t="shared" ca="1" si="178"/>
        <v>0</v>
      </c>
      <c r="AM335" s="277">
        <f t="shared" ca="1" si="179"/>
        <v>0</v>
      </c>
      <c r="AN335" s="277" t="str">
        <f ca="1">IF(AND(Tabla7[[#This Row],[UltLec]]&lt;&gt;0,Tabla7[[#This Row],[PenLect]]&lt;&gt;0),(AM335-AL335)*Tabla7[[#This Row],[RT]],"N/A")</f>
        <v>N/A</v>
      </c>
      <c r="AO335" s="393" t="s">
        <v>1160</v>
      </c>
      <c r="AP335" s="393" t="s">
        <v>1076</v>
      </c>
      <c r="AQ335" s="393" t="s">
        <v>1074</v>
      </c>
      <c r="AR335" s="275">
        <f t="shared" si="180"/>
        <v>0</v>
      </c>
      <c r="AT335" s="2" t="e">
        <f t="shared" ca="1" si="193"/>
        <v>#VALUE!</v>
      </c>
    </row>
    <row r="336" spans="1:46" ht="18" customHeight="1" x14ac:dyDescent="0.25">
      <c r="A336" s="407" t="s">
        <v>19</v>
      </c>
      <c r="B336" s="54"/>
      <c r="C336" s="420" t="s">
        <v>1119</v>
      </c>
      <c r="D336" s="374" t="s">
        <v>90</v>
      </c>
      <c r="E336" s="232">
        <v>140</v>
      </c>
      <c r="F336" s="2" t="s">
        <v>653</v>
      </c>
      <c r="G336" s="2" t="s">
        <v>913</v>
      </c>
      <c r="H336" s="2"/>
      <c r="I336" s="2"/>
      <c r="J336" s="290">
        <v>17370</v>
      </c>
      <c r="K336" s="260">
        <v>17668</v>
      </c>
      <c r="L336" s="260"/>
      <c r="O336" s="260"/>
      <c r="P336" s="308"/>
      <c r="Q336" s="260"/>
      <c r="R336" s="260"/>
      <c r="S336" s="260"/>
      <c r="U336" s="260"/>
      <c r="V336" s="290"/>
      <c r="W336" s="2"/>
      <c r="X336" s="2"/>
      <c r="Y336" s="2">
        <f t="shared" si="194"/>
        <v>298</v>
      </c>
      <c r="Z336" s="2" t="str">
        <f t="shared" si="195"/>
        <v/>
      </c>
      <c r="AA336" s="2" t="str">
        <f t="shared" si="191"/>
        <v/>
      </c>
      <c r="AB336" s="2" t="str">
        <f t="shared" si="192"/>
        <v/>
      </c>
      <c r="AC336" s="2" t="str">
        <f t="shared" si="183"/>
        <v/>
      </c>
      <c r="AD336" s="2" t="str">
        <f t="shared" si="184"/>
        <v/>
      </c>
      <c r="AE336" s="2" t="str">
        <f t="shared" si="185"/>
        <v/>
      </c>
      <c r="AF336" s="2" t="str">
        <f t="shared" si="186"/>
        <v/>
      </c>
      <c r="AG336" s="2" t="str">
        <f t="shared" si="187"/>
        <v/>
      </c>
      <c r="AH336" s="2" t="str">
        <f t="shared" si="188"/>
        <v/>
      </c>
      <c r="AI336" s="2" t="str">
        <f t="shared" si="189"/>
        <v/>
      </c>
      <c r="AJ336" s="2" t="str">
        <f t="shared" si="190"/>
        <v/>
      </c>
      <c r="AK336" s="2">
        <v>1</v>
      </c>
      <c r="AL336" s="260">
        <f t="shared" ca="1" si="178"/>
        <v>0</v>
      </c>
      <c r="AM336" s="260">
        <f t="shared" ca="1" si="179"/>
        <v>0</v>
      </c>
      <c r="AN336" s="260" t="str">
        <f ca="1">IF(AND(Tabla7[[#This Row],[UltLec]]&lt;&gt;0,Tabla7[[#This Row],[PenLect]]&lt;&gt;0),(AM336-AL336)*Tabla7[[#This Row],[RT]],"N/A")</f>
        <v>N/A</v>
      </c>
      <c r="AO336" s="380" t="s">
        <v>813</v>
      </c>
      <c r="AP336" s="380" t="s">
        <v>1076</v>
      </c>
      <c r="AQ336" s="380" t="s">
        <v>1074</v>
      </c>
      <c r="AR336" s="2">
        <f t="shared" si="180"/>
        <v>0</v>
      </c>
      <c r="AT336" s="2" t="e">
        <f t="shared" ca="1" si="193"/>
        <v>#VALUE!</v>
      </c>
    </row>
    <row r="337" spans="1:46" ht="18" customHeight="1" x14ac:dyDescent="0.25">
      <c r="A337" s="291" t="s">
        <v>19</v>
      </c>
      <c r="B337" s="54"/>
      <c r="C337" s="239" t="s">
        <v>1115</v>
      </c>
      <c r="D337" s="54" t="s">
        <v>90</v>
      </c>
      <c r="E337" s="232">
        <v>131</v>
      </c>
      <c r="F337" s="2" t="s">
        <v>965</v>
      </c>
      <c r="G337" s="2" t="s">
        <v>909</v>
      </c>
      <c r="H337" s="2"/>
      <c r="I337" s="2"/>
      <c r="J337" s="290">
        <v>319553</v>
      </c>
      <c r="K337" s="260">
        <v>330291</v>
      </c>
      <c r="L337" s="260"/>
      <c r="O337" s="260"/>
      <c r="P337" s="308"/>
      <c r="Q337" s="260"/>
      <c r="R337" s="260"/>
      <c r="S337" s="260"/>
      <c r="U337" s="260"/>
      <c r="V337" s="290"/>
      <c r="W337" s="2"/>
      <c r="X337" s="2"/>
      <c r="Y337" s="2">
        <f t="shared" si="194"/>
        <v>10738</v>
      </c>
      <c r="Z337" s="2" t="str">
        <f t="shared" si="195"/>
        <v/>
      </c>
      <c r="AA337" s="2" t="str">
        <f t="shared" si="191"/>
        <v/>
      </c>
      <c r="AB337" s="2" t="str">
        <f t="shared" si="192"/>
        <v/>
      </c>
      <c r="AC337" s="2" t="str">
        <f t="shared" si="183"/>
        <v/>
      </c>
      <c r="AD337" s="2" t="str">
        <f t="shared" si="184"/>
        <v/>
      </c>
      <c r="AE337" s="2" t="str">
        <f t="shared" si="185"/>
        <v/>
      </c>
      <c r="AF337" s="2" t="str">
        <f t="shared" si="186"/>
        <v/>
      </c>
      <c r="AG337" s="2" t="str">
        <f t="shared" si="187"/>
        <v/>
      </c>
      <c r="AH337" s="2" t="str">
        <f t="shared" si="188"/>
        <v/>
      </c>
      <c r="AI337" s="2" t="str">
        <f t="shared" si="189"/>
        <v/>
      </c>
      <c r="AJ337" s="2" t="str">
        <f t="shared" si="190"/>
        <v/>
      </c>
      <c r="AK337" s="2">
        <v>1</v>
      </c>
      <c r="AL337" s="260">
        <f t="shared" ca="1" si="178"/>
        <v>0</v>
      </c>
      <c r="AM337" s="260">
        <f t="shared" ca="1" si="179"/>
        <v>0</v>
      </c>
      <c r="AN337" s="260" t="str">
        <f ca="1">IF(AND(Tabla7[[#This Row],[UltLec]]&lt;&gt;0,Tabla7[[#This Row],[PenLect]]&lt;&gt;0),(AM337-AL337)*Tabla7[[#This Row],[RT]],"N/A")</f>
        <v>N/A</v>
      </c>
      <c r="AO337" s="380" t="s">
        <v>813</v>
      </c>
      <c r="AP337" s="380" t="s">
        <v>1076</v>
      </c>
      <c r="AQ337" s="380" t="s">
        <v>1074</v>
      </c>
      <c r="AR337" s="2">
        <f t="shared" si="180"/>
        <v>0</v>
      </c>
      <c r="AT337" s="2" t="e">
        <f t="shared" ca="1" si="193"/>
        <v>#VALUE!</v>
      </c>
    </row>
    <row r="338" spans="1:46" ht="18" customHeight="1" x14ac:dyDescent="0.25">
      <c r="A338" s="291" t="s">
        <v>19</v>
      </c>
      <c r="B338" s="54"/>
      <c r="C338" s="239" t="s">
        <v>1116</v>
      </c>
      <c r="D338" s="54" t="s">
        <v>90</v>
      </c>
      <c r="E338" s="232">
        <v>39022</v>
      </c>
      <c r="F338" s="2" t="s">
        <v>97</v>
      </c>
      <c r="G338" s="2" t="s">
        <v>941</v>
      </c>
      <c r="H338" s="2"/>
      <c r="I338" s="2"/>
      <c r="J338" s="290">
        <v>12462</v>
      </c>
      <c r="K338" s="260">
        <v>12696</v>
      </c>
      <c r="L338" s="260"/>
      <c r="O338" s="260"/>
      <c r="P338" s="308"/>
      <c r="Q338" s="308"/>
      <c r="R338" s="260"/>
      <c r="S338" s="260"/>
      <c r="U338" s="260"/>
      <c r="V338" s="290"/>
      <c r="W338" s="2"/>
      <c r="X338" s="2"/>
      <c r="Y338" s="2">
        <f t="shared" si="194"/>
        <v>234</v>
      </c>
      <c r="Z338" s="2" t="str">
        <f t="shared" si="195"/>
        <v/>
      </c>
      <c r="AA338" s="2" t="str">
        <f t="shared" si="191"/>
        <v/>
      </c>
      <c r="AB338" s="2" t="str">
        <f t="shared" si="192"/>
        <v/>
      </c>
      <c r="AC338" s="2" t="str">
        <f t="shared" si="183"/>
        <v/>
      </c>
      <c r="AD338" s="2" t="str">
        <f t="shared" si="184"/>
        <v/>
      </c>
      <c r="AE338" s="2" t="str">
        <f t="shared" si="185"/>
        <v/>
      </c>
      <c r="AF338" s="2" t="str">
        <f t="shared" si="186"/>
        <v/>
      </c>
      <c r="AG338" s="2" t="str">
        <f t="shared" si="187"/>
        <v/>
      </c>
      <c r="AH338" s="2" t="str">
        <f t="shared" si="188"/>
        <v/>
      </c>
      <c r="AI338" s="2" t="str">
        <f t="shared" si="189"/>
        <v/>
      </c>
      <c r="AJ338" s="2" t="str">
        <f t="shared" si="190"/>
        <v/>
      </c>
      <c r="AK338" s="2">
        <v>1</v>
      </c>
      <c r="AL338" s="260">
        <f t="shared" ca="1" si="178"/>
        <v>0</v>
      </c>
      <c r="AM338" s="260">
        <f t="shared" ca="1" si="179"/>
        <v>0</v>
      </c>
      <c r="AN338" s="260" t="str">
        <f ca="1">IF(AND(Tabla7[[#This Row],[UltLec]]&lt;&gt;0,Tabla7[[#This Row],[PenLect]]&lt;&gt;0),(AM338-AL338)*Tabla7[[#This Row],[RT]],"N/A")</f>
        <v>N/A</v>
      </c>
      <c r="AO338" s="380" t="s">
        <v>813</v>
      </c>
      <c r="AP338" s="380" t="s">
        <v>1076</v>
      </c>
      <c r="AQ338" s="380" t="s">
        <v>1074</v>
      </c>
      <c r="AR338" s="2">
        <f t="shared" si="180"/>
        <v>0</v>
      </c>
      <c r="AT338" s="2" t="e">
        <f t="shared" ca="1" si="193"/>
        <v>#VALUE!</v>
      </c>
    </row>
    <row r="339" spans="1:46" ht="18" hidden="1" customHeight="1" x14ac:dyDescent="0.25">
      <c r="A339" s="418" t="s">
        <v>1080</v>
      </c>
      <c r="B339" s="273">
        <v>4086</v>
      </c>
      <c r="C339" s="367" t="s">
        <v>1117</v>
      </c>
      <c r="D339" s="273" t="s">
        <v>90</v>
      </c>
      <c r="E339" s="274">
        <v>39436</v>
      </c>
      <c r="F339" s="275" t="s">
        <v>95</v>
      </c>
      <c r="G339" s="275" t="s">
        <v>910</v>
      </c>
      <c r="H339" s="275" t="s">
        <v>96</v>
      </c>
      <c r="I339" s="275"/>
      <c r="J339" s="277"/>
      <c r="K339" s="277"/>
      <c r="L339" s="277"/>
      <c r="M339" s="277"/>
      <c r="N339" s="277"/>
      <c r="O339" s="277"/>
      <c r="P339" s="277"/>
      <c r="Q339" s="277"/>
      <c r="R339" s="277"/>
      <c r="S339" s="277"/>
      <c r="T339" s="277"/>
      <c r="U339" s="277"/>
      <c r="V339" s="277"/>
      <c r="W339" s="277"/>
      <c r="X339" s="275"/>
      <c r="Y339" s="275" t="str">
        <f t="shared" si="194"/>
        <v/>
      </c>
      <c r="Z339" s="275" t="str">
        <f t="shared" si="195"/>
        <v/>
      </c>
      <c r="AA339" s="275" t="str">
        <f t="shared" si="191"/>
        <v/>
      </c>
      <c r="AB339" s="275" t="str">
        <f t="shared" si="192"/>
        <v/>
      </c>
      <c r="AC339" s="275" t="str">
        <f t="shared" si="183"/>
        <v/>
      </c>
      <c r="AD339" s="275" t="str">
        <f t="shared" si="184"/>
        <v/>
      </c>
      <c r="AE339" s="275" t="str">
        <f t="shared" si="185"/>
        <v/>
      </c>
      <c r="AF339" s="275" t="str">
        <f t="shared" si="186"/>
        <v/>
      </c>
      <c r="AG339" s="275" t="str">
        <f t="shared" si="187"/>
        <v/>
      </c>
      <c r="AH339" s="275" t="str">
        <f t="shared" si="188"/>
        <v/>
      </c>
      <c r="AI339" s="275" t="str">
        <f t="shared" si="189"/>
        <v/>
      </c>
      <c r="AJ339" s="275" t="str">
        <f t="shared" si="190"/>
        <v/>
      </c>
      <c r="AK339" s="275">
        <v>1</v>
      </c>
      <c r="AL339" s="277">
        <f t="shared" ca="1" si="178"/>
        <v>0</v>
      </c>
      <c r="AM339" s="277">
        <f t="shared" ca="1" si="179"/>
        <v>0</v>
      </c>
      <c r="AN339" s="277" t="str">
        <f ca="1">IF(AND(Tabla7[[#This Row],[UltLec]]&lt;&gt;0,Tabla7[[#This Row],[PenLect]]&lt;&gt;0),(AM339-AL339)*Tabla7[[#This Row],[RT]],"N/A")</f>
        <v>N/A</v>
      </c>
      <c r="AO339" s="393" t="s">
        <v>1160</v>
      </c>
      <c r="AP339" s="393" t="s">
        <v>1076</v>
      </c>
      <c r="AQ339" s="393" t="s">
        <v>1074</v>
      </c>
      <c r="AR339" s="275">
        <f t="shared" si="180"/>
        <v>0</v>
      </c>
      <c r="AT339" s="2" t="e">
        <f t="shared" ca="1" si="193"/>
        <v>#VALUE!</v>
      </c>
    </row>
    <row r="340" spans="1:46" ht="18" hidden="1" customHeight="1" x14ac:dyDescent="0.25">
      <c r="A340" s="418" t="s">
        <v>1080</v>
      </c>
      <c r="B340" s="273"/>
      <c r="C340" s="367" t="s">
        <v>1390</v>
      </c>
      <c r="D340" s="273" t="s">
        <v>90</v>
      </c>
      <c r="E340" s="274">
        <v>39699</v>
      </c>
      <c r="F340" s="275" t="s">
        <v>1391</v>
      </c>
      <c r="G340" s="275" t="s">
        <v>1392</v>
      </c>
      <c r="H340" s="275" t="s">
        <v>1393</v>
      </c>
      <c r="I340" s="275" t="s">
        <v>1405</v>
      </c>
      <c r="J340" s="277"/>
      <c r="K340" s="277"/>
      <c r="L340" s="277"/>
      <c r="M340" s="277"/>
      <c r="N340" s="277"/>
      <c r="O340" s="277"/>
      <c r="P340" s="347"/>
      <c r="Q340" s="277"/>
      <c r="R340" s="277"/>
      <c r="S340" s="277"/>
      <c r="T340" s="277"/>
      <c r="U340" s="277"/>
      <c r="V340" s="277"/>
      <c r="W340" s="275"/>
      <c r="X340" s="275"/>
      <c r="Y340" s="275" t="str">
        <f t="shared" si="194"/>
        <v/>
      </c>
      <c r="Z340" s="275" t="str">
        <f t="shared" si="195"/>
        <v/>
      </c>
      <c r="AA340" s="275" t="str">
        <f>IF(OR(ISBLANK(#REF!),ISBLANK(L340)),"",IF(AND(#REF!&gt;=L340,#REF!-L340&lt;=#REF!),(#REF!-L340)*$AK340,"!!!!"))</f>
        <v/>
      </c>
      <c r="AB340" s="275" t="str">
        <f>IF(OR(ISBLANK(N340),ISBLANK(#REF!)),"",IF(AND(N340&gt;=#REF!,N340-#REF!&lt;=N340),(N340-#REF!)*$AK340,"!!!!"))</f>
        <v/>
      </c>
      <c r="AC340" s="275" t="str">
        <f t="shared" si="183"/>
        <v/>
      </c>
      <c r="AD340" s="275" t="str">
        <f t="shared" si="184"/>
        <v/>
      </c>
      <c r="AE340" s="275" t="str">
        <f t="shared" si="185"/>
        <v/>
      </c>
      <c r="AF340" s="275" t="str">
        <f t="shared" si="186"/>
        <v/>
      </c>
      <c r="AG340" s="275" t="str">
        <f t="shared" si="187"/>
        <v/>
      </c>
      <c r="AH340" s="275" t="str">
        <f t="shared" si="188"/>
        <v/>
      </c>
      <c r="AI340" s="275" t="str">
        <f t="shared" si="189"/>
        <v/>
      </c>
      <c r="AJ340" s="275" t="str">
        <f t="shared" si="190"/>
        <v/>
      </c>
      <c r="AK340" s="275">
        <v>1</v>
      </c>
      <c r="AL340" s="277">
        <f t="shared" ca="1" si="178"/>
        <v>0</v>
      </c>
      <c r="AM340" s="277">
        <f t="shared" ca="1" si="179"/>
        <v>0</v>
      </c>
      <c r="AN340" s="277" t="str">
        <f ca="1">IF(AND(Tabla7[[#This Row],[UltLec]]&lt;&gt;0,Tabla7[[#This Row],[PenLect]]&lt;&gt;0),(AM340-AL340)*Tabla7[[#This Row],[RT]],"N/A")</f>
        <v>N/A</v>
      </c>
      <c r="AO340" s="393" t="s">
        <v>1160</v>
      </c>
      <c r="AP340" s="393" t="s">
        <v>1075</v>
      </c>
      <c r="AQ340" s="393" t="s">
        <v>1074</v>
      </c>
      <c r="AR340" s="275">
        <f t="shared" si="180"/>
        <v>0</v>
      </c>
      <c r="AT340" s="2" t="e">
        <f t="shared" ca="1" si="193"/>
        <v>#VALUE!</v>
      </c>
    </row>
    <row r="341" spans="1:46" ht="18" customHeight="1" x14ac:dyDescent="0.25">
      <c r="A341" s="407" t="s">
        <v>19</v>
      </c>
      <c r="B341" s="54"/>
      <c r="C341" s="420" t="s">
        <v>1107</v>
      </c>
      <c r="D341" s="374" t="s">
        <v>90</v>
      </c>
      <c r="E341" s="375">
        <v>39650</v>
      </c>
      <c r="F341" s="2" t="s">
        <v>100</v>
      </c>
      <c r="G341" s="2" t="s">
        <v>933</v>
      </c>
      <c r="H341" s="2"/>
      <c r="I341" s="2"/>
      <c r="J341" s="260">
        <v>428609</v>
      </c>
      <c r="K341" s="260">
        <v>434990</v>
      </c>
      <c r="L341" s="260"/>
      <c r="O341" s="260"/>
      <c r="P341" s="260"/>
      <c r="Q341" s="260"/>
      <c r="R341" s="260"/>
      <c r="S341" s="260"/>
      <c r="U341" s="260"/>
      <c r="V341" s="260"/>
      <c r="W341" s="2"/>
      <c r="X341" s="2"/>
      <c r="Y341" s="2">
        <f t="shared" si="194"/>
        <v>6381</v>
      </c>
      <c r="Z341" s="2" t="str">
        <f t="shared" si="195"/>
        <v/>
      </c>
      <c r="AA341" s="2" t="str">
        <f t="shared" ref="AA341:AA351" si="196">IF(OR(ISBLANK(M341),ISBLANK(L341)),"",IF(AND(M341&gt;=L341,M341-L341&lt;=M341),(M341-L341)*$AK341,"!!!!"))</f>
        <v/>
      </c>
      <c r="AB341" s="2" t="str">
        <f t="shared" ref="AB341:AB351" si="197">IF(OR(ISBLANK(N341),ISBLANK(M341)),"",IF(AND(N341&gt;=M341,N341-M341&lt;=N341),(N341-M341)*$AK341,"!!!!"))</f>
        <v/>
      </c>
      <c r="AC341" s="2" t="str">
        <f t="shared" si="183"/>
        <v/>
      </c>
      <c r="AD341" s="2" t="str">
        <f t="shared" si="184"/>
        <v/>
      </c>
      <c r="AE341" s="2" t="str">
        <f t="shared" si="185"/>
        <v/>
      </c>
      <c r="AF341" s="2" t="str">
        <f t="shared" si="186"/>
        <v/>
      </c>
      <c r="AG341" s="2" t="str">
        <f t="shared" si="187"/>
        <v/>
      </c>
      <c r="AH341" s="2" t="str">
        <f t="shared" si="188"/>
        <v/>
      </c>
      <c r="AI341" s="2" t="str">
        <f t="shared" si="189"/>
        <v/>
      </c>
      <c r="AJ341" s="2" t="str">
        <f t="shared" si="190"/>
        <v/>
      </c>
      <c r="AK341" s="2">
        <v>1</v>
      </c>
      <c r="AL341" s="260">
        <f t="shared" ca="1" si="178"/>
        <v>0</v>
      </c>
      <c r="AM341" s="260">
        <f t="shared" ca="1" si="179"/>
        <v>0</v>
      </c>
      <c r="AN341" s="260" t="str">
        <f ca="1">IF(AND(Tabla7[[#This Row],[UltLec]]&lt;&gt;0,Tabla7[[#This Row],[PenLect]]&lt;&gt;0),(AM341-AL341)*Tabla7[[#This Row],[RT]],"N/A")</f>
        <v>N/A</v>
      </c>
      <c r="AO341" s="380" t="s">
        <v>813</v>
      </c>
      <c r="AP341" s="380" t="s">
        <v>1076</v>
      </c>
      <c r="AQ341" s="380" t="s">
        <v>1074</v>
      </c>
      <c r="AR341" s="2">
        <f t="shared" si="180"/>
        <v>0</v>
      </c>
      <c r="AT341" s="2" t="e">
        <f t="shared" ca="1" si="193"/>
        <v>#VALUE!</v>
      </c>
    </row>
    <row r="342" spans="1:46" ht="18" customHeight="1" x14ac:dyDescent="0.25">
      <c r="A342" s="291" t="s">
        <v>19</v>
      </c>
      <c r="B342" s="54"/>
      <c r="C342" s="239" t="s">
        <v>1108</v>
      </c>
      <c r="D342" s="54" t="s">
        <v>90</v>
      </c>
      <c r="E342" s="232">
        <v>39044</v>
      </c>
      <c r="F342" s="2" t="s">
        <v>651</v>
      </c>
      <c r="G342" s="2" t="s">
        <v>937</v>
      </c>
      <c r="H342" s="2" t="s">
        <v>1145</v>
      </c>
      <c r="I342" s="2" t="s">
        <v>424</v>
      </c>
      <c r="J342" s="260">
        <v>85458</v>
      </c>
      <c r="K342" s="260">
        <v>86696</v>
      </c>
      <c r="L342" s="260"/>
      <c r="O342" s="260"/>
      <c r="P342" s="260"/>
      <c r="Q342" s="260"/>
      <c r="R342" s="260"/>
      <c r="S342" s="260"/>
      <c r="U342" s="260"/>
      <c r="V342" s="260"/>
      <c r="W342" s="2"/>
      <c r="X342" s="2"/>
      <c r="Y342" s="2">
        <f t="shared" si="194"/>
        <v>1238</v>
      </c>
      <c r="Z342" s="2" t="str">
        <f t="shared" si="195"/>
        <v/>
      </c>
      <c r="AA342" s="2" t="str">
        <f t="shared" si="196"/>
        <v/>
      </c>
      <c r="AB342" s="2" t="str">
        <f t="shared" si="197"/>
        <v/>
      </c>
      <c r="AC342" s="2" t="str">
        <f t="shared" si="183"/>
        <v/>
      </c>
      <c r="AD342" s="2" t="str">
        <f t="shared" si="184"/>
        <v/>
      </c>
      <c r="AE342" s="2" t="str">
        <f t="shared" si="185"/>
        <v/>
      </c>
      <c r="AF342" s="2" t="str">
        <f t="shared" si="186"/>
        <v/>
      </c>
      <c r="AG342" s="2" t="str">
        <f t="shared" si="187"/>
        <v/>
      </c>
      <c r="AH342" s="2" t="str">
        <f t="shared" si="188"/>
        <v/>
      </c>
      <c r="AI342" s="2" t="str">
        <f t="shared" si="189"/>
        <v/>
      </c>
      <c r="AJ342" s="2" t="str">
        <f t="shared" si="190"/>
        <v/>
      </c>
      <c r="AK342" s="2">
        <v>1</v>
      </c>
      <c r="AL342" s="260">
        <f t="shared" ca="1" si="178"/>
        <v>0</v>
      </c>
      <c r="AM342" s="260">
        <f t="shared" ca="1" si="179"/>
        <v>0</v>
      </c>
      <c r="AN342" s="260" t="str">
        <f ca="1">IF(AND(Tabla7[[#This Row],[UltLec]]&lt;&gt;0,Tabla7[[#This Row],[PenLect]]&lt;&gt;0),(AM342-AL342)*Tabla7[[#This Row],[RT]],"N/A")</f>
        <v>N/A</v>
      </c>
      <c r="AO342" s="380" t="s">
        <v>813</v>
      </c>
      <c r="AP342" s="380" t="s">
        <v>1076</v>
      </c>
      <c r="AQ342" s="380" t="s">
        <v>1074</v>
      </c>
      <c r="AR342" s="2">
        <f t="shared" si="180"/>
        <v>0</v>
      </c>
      <c r="AT342" s="2" t="e">
        <f t="shared" ca="1" si="193"/>
        <v>#VALUE!</v>
      </c>
    </row>
    <row r="343" spans="1:46" ht="18" hidden="1" customHeight="1" x14ac:dyDescent="0.25">
      <c r="A343" s="418" t="s">
        <v>1080</v>
      </c>
      <c r="B343" s="273"/>
      <c r="C343" s="276" t="s">
        <v>1106</v>
      </c>
      <c r="D343" s="273" t="s">
        <v>90</v>
      </c>
      <c r="E343" s="274">
        <v>39338</v>
      </c>
      <c r="F343" s="393" t="s">
        <v>103</v>
      </c>
      <c r="G343" s="393" t="s">
        <v>935</v>
      </c>
      <c r="H343" s="393" t="s">
        <v>65</v>
      </c>
      <c r="I343" s="393" t="s">
        <v>1455</v>
      </c>
      <c r="J343" s="393"/>
      <c r="K343" s="393"/>
      <c r="L343" s="393"/>
      <c r="M343" s="393"/>
      <c r="N343" s="393"/>
      <c r="O343" s="393"/>
      <c r="P343" s="393"/>
      <c r="Q343" s="393"/>
      <c r="R343" s="393"/>
      <c r="S343" s="393"/>
      <c r="T343" s="393"/>
      <c r="U343" s="393"/>
      <c r="V343" s="393"/>
      <c r="W343" s="393"/>
      <c r="X343" s="393"/>
      <c r="Y343" s="393" t="str">
        <f t="shared" si="194"/>
        <v/>
      </c>
      <c r="Z343" s="393" t="str">
        <f t="shared" si="195"/>
        <v/>
      </c>
      <c r="AA343" s="393" t="str">
        <f t="shared" si="196"/>
        <v/>
      </c>
      <c r="AB343" s="393" t="str">
        <f t="shared" si="197"/>
        <v/>
      </c>
      <c r="AC343" s="393" t="str">
        <f t="shared" si="183"/>
        <v/>
      </c>
      <c r="AD343" s="393" t="str">
        <f t="shared" si="184"/>
        <v/>
      </c>
      <c r="AE343" s="393" t="str">
        <f t="shared" si="185"/>
        <v/>
      </c>
      <c r="AF343" s="393" t="str">
        <f t="shared" si="186"/>
        <v/>
      </c>
      <c r="AG343" s="393" t="str">
        <f t="shared" si="187"/>
        <v/>
      </c>
      <c r="AH343" s="393" t="str">
        <f t="shared" si="188"/>
        <v/>
      </c>
      <c r="AI343" s="393" t="str">
        <f t="shared" si="189"/>
        <v/>
      </c>
      <c r="AJ343" s="393" t="str">
        <f t="shared" si="190"/>
        <v/>
      </c>
      <c r="AK343" s="393">
        <v>1</v>
      </c>
      <c r="AL343" s="393">
        <f t="shared" ca="1" si="178"/>
        <v>0</v>
      </c>
      <c r="AM343" s="394">
        <f t="shared" ca="1" si="179"/>
        <v>0</v>
      </c>
      <c r="AN343" s="393" t="str">
        <f ca="1">IF(AND(Tabla7[[#This Row],[UltLec]]&lt;&gt;0,Tabla7[[#This Row],[PenLect]]&lt;&gt;0),(AM343-AL343)*Tabla7[[#This Row],[RT]],"N/A")</f>
        <v>N/A</v>
      </c>
      <c r="AO343" s="393" t="s">
        <v>1160</v>
      </c>
      <c r="AP343" s="393" t="s">
        <v>1076</v>
      </c>
      <c r="AQ343" s="393" t="s">
        <v>1074</v>
      </c>
      <c r="AR343" s="393">
        <f t="shared" si="180"/>
        <v>0</v>
      </c>
      <c r="AT343" s="2" t="e">
        <f t="shared" ca="1" si="193"/>
        <v>#VALUE!</v>
      </c>
    </row>
    <row r="344" spans="1:46" ht="18" hidden="1" customHeight="1" x14ac:dyDescent="0.25">
      <c r="A344" s="418" t="s">
        <v>1080</v>
      </c>
      <c r="B344" s="273">
        <v>1088</v>
      </c>
      <c r="C344" s="367" t="s">
        <v>1162</v>
      </c>
      <c r="D344" s="273" t="s">
        <v>90</v>
      </c>
      <c r="E344" s="274">
        <v>39154</v>
      </c>
      <c r="F344" s="275" t="s">
        <v>974</v>
      </c>
      <c r="G344" s="275" t="s">
        <v>101</v>
      </c>
      <c r="H344" s="275" t="s">
        <v>652</v>
      </c>
      <c r="I344" s="275" t="s">
        <v>104</v>
      </c>
      <c r="J344" s="311"/>
      <c r="K344" s="275"/>
      <c r="L344" s="275"/>
      <c r="M344" s="275"/>
      <c r="N344" s="275"/>
      <c r="O344" s="275"/>
      <c r="P344" s="275"/>
      <c r="Q344" s="275"/>
      <c r="R344" s="275"/>
      <c r="S344" s="275"/>
      <c r="T344" s="275"/>
      <c r="U344" s="311"/>
      <c r="V344" s="311"/>
      <c r="W344" s="275"/>
      <c r="X344" s="275"/>
      <c r="Y344" s="275" t="str">
        <f t="shared" si="194"/>
        <v/>
      </c>
      <c r="Z344" s="275" t="str">
        <f t="shared" si="195"/>
        <v/>
      </c>
      <c r="AA344" s="275" t="str">
        <f t="shared" si="196"/>
        <v/>
      </c>
      <c r="AB344" s="275" t="str">
        <f t="shared" si="197"/>
        <v/>
      </c>
      <c r="AC344" s="275" t="str">
        <f t="shared" si="183"/>
        <v/>
      </c>
      <c r="AD344" s="275" t="str">
        <f t="shared" si="184"/>
        <v/>
      </c>
      <c r="AE344" s="275" t="str">
        <f t="shared" si="185"/>
        <v/>
      </c>
      <c r="AF344" s="275" t="str">
        <f t="shared" si="186"/>
        <v/>
      </c>
      <c r="AG344" s="275" t="str">
        <f t="shared" si="187"/>
        <v/>
      </c>
      <c r="AH344" s="275" t="str">
        <f t="shared" si="188"/>
        <v/>
      </c>
      <c r="AI344" s="275" t="str">
        <f t="shared" si="189"/>
        <v/>
      </c>
      <c r="AJ344" s="275" t="str">
        <f t="shared" si="190"/>
        <v/>
      </c>
      <c r="AK344" s="275">
        <v>1</v>
      </c>
      <c r="AL344" s="277">
        <f t="shared" ca="1" si="178"/>
        <v>0</v>
      </c>
      <c r="AM344" s="277">
        <f t="shared" ca="1" si="179"/>
        <v>0</v>
      </c>
      <c r="AN344" s="277">
        <v>0</v>
      </c>
      <c r="AO344" s="393" t="s">
        <v>1160</v>
      </c>
      <c r="AP344" s="393" t="s">
        <v>1076</v>
      </c>
      <c r="AQ344" s="393" t="s">
        <v>1074</v>
      </c>
      <c r="AR344" s="275">
        <f t="shared" si="180"/>
        <v>0</v>
      </c>
      <c r="AT344" s="2" t="e">
        <f t="shared" ca="1" si="193"/>
        <v>#VALUE!</v>
      </c>
    </row>
    <row r="345" spans="1:46" ht="18" customHeight="1" x14ac:dyDescent="0.25">
      <c r="A345" s="477" t="s">
        <v>19</v>
      </c>
      <c r="B345" s="474">
        <v>2040</v>
      </c>
      <c r="C345" s="239">
        <v>502036281</v>
      </c>
      <c r="D345" s="54" t="s">
        <v>106</v>
      </c>
      <c r="E345" s="232">
        <v>39706</v>
      </c>
      <c r="F345" s="2" t="s">
        <v>1626</v>
      </c>
      <c r="G345" s="2" t="s">
        <v>101</v>
      </c>
      <c r="H345" s="2" t="s">
        <v>1627</v>
      </c>
      <c r="I345" s="2"/>
      <c r="J345" s="260">
        <v>7092</v>
      </c>
      <c r="K345" s="260">
        <v>8293</v>
      </c>
      <c r="L345" s="260"/>
      <c r="O345" s="260"/>
      <c r="P345" s="260"/>
      <c r="Q345" s="260"/>
      <c r="R345" s="260"/>
      <c r="S345" s="260"/>
      <c r="U345" s="260"/>
      <c r="V345" s="260"/>
      <c r="W345" s="2"/>
      <c r="X345" s="2"/>
      <c r="Y345" s="2">
        <f t="shared" si="194"/>
        <v>1201</v>
      </c>
      <c r="Z345" s="2" t="str">
        <f t="shared" si="195"/>
        <v/>
      </c>
      <c r="AA345" s="2" t="str">
        <f t="shared" si="196"/>
        <v/>
      </c>
      <c r="AB345" s="2" t="str">
        <f t="shared" si="197"/>
        <v/>
      </c>
      <c r="AC345" s="2" t="str">
        <f t="shared" si="183"/>
        <v/>
      </c>
      <c r="AD345" s="2" t="str">
        <f t="shared" si="184"/>
        <v/>
      </c>
      <c r="AE345" s="2" t="str">
        <f t="shared" si="185"/>
        <v/>
      </c>
      <c r="AF345" s="2" t="str">
        <f t="shared" si="186"/>
        <v/>
      </c>
      <c r="AG345" s="2" t="str">
        <f t="shared" si="187"/>
        <v/>
      </c>
      <c r="AH345" s="2" t="str">
        <f t="shared" si="188"/>
        <v/>
      </c>
      <c r="AI345" s="2" t="str">
        <f t="shared" si="189"/>
        <v/>
      </c>
      <c r="AJ345" s="2" t="str">
        <f t="shared" si="190"/>
        <v/>
      </c>
      <c r="AK345" s="2">
        <v>1</v>
      </c>
      <c r="AL345" s="260">
        <f t="shared" ca="1" si="178"/>
        <v>0</v>
      </c>
      <c r="AM345" s="260">
        <f t="shared" ca="1" si="179"/>
        <v>0</v>
      </c>
      <c r="AN345" s="260" t="str">
        <f ca="1">IF(AND(Tabla7[[#This Row],[UltLec]]&lt;&gt;0,Tabla7[[#This Row],[PenLect]]&lt;&gt;0),(AM345-AL345)*Tabla7[[#This Row],[RT]],"N/A")</f>
        <v>N/A</v>
      </c>
      <c r="AO345" s="380" t="s">
        <v>813</v>
      </c>
      <c r="AP345" s="380" t="s">
        <v>1075</v>
      </c>
      <c r="AQ345" s="380" t="s">
        <v>1074</v>
      </c>
      <c r="AR345" s="2">
        <f t="shared" si="180"/>
        <v>0</v>
      </c>
      <c r="AT345" s="2" t="e">
        <f t="shared" ca="1" si="193"/>
        <v>#VALUE!</v>
      </c>
    </row>
    <row r="346" spans="1:46" ht="18" customHeight="1" x14ac:dyDescent="0.25">
      <c r="A346" s="291" t="s">
        <v>19</v>
      </c>
      <c r="B346" s="54">
        <v>1916</v>
      </c>
      <c r="C346" s="368" t="s">
        <v>1450</v>
      </c>
      <c r="D346" s="54" t="s">
        <v>106</v>
      </c>
      <c r="E346" s="232">
        <v>39169</v>
      </c>
      <c r="F346" s="2" t="s">
        <v>1449</v>
      </c>
      <c r="G346" s="2" t="s">
        <v>904</v>
      </c>
      <c r="H346" s="415" t="s">
        <v>1451</v>
      </c>
      <c r="I346" s="2" t="s">
        <v>1453</v>
      </c>
      <c r="J346" s="416">
        <v>10</v>
      </c>
      <c r="K346" s="416">
        <v>10</v>
      </c>
      <c r="L346" s="416"/>
      <c r="M346" s="416"/>
      <c r="N346" s="416"/>
      <c r="O346" s="416"/>
      <c r="P346" s="417"/>
      <c r="Q346" s="416"/>
      <c r="R346" s="416"/>
      <c r="S346" s="416"/>
      <c r="T346" s="416"/>
      <c r="U346" s="416"/>
      <c r="V346" s="416"/>
      <c r="W346" s="416"/>
      <c r="X346" s="415"/>
      <c r="Y346" s="415">
        <f t="shared" si="194"/>
        <v>0</v>
      </c>
      <c r="Z346" s="415" t="str">
        <f t="shared" si="195"/>
        <v/>
      </c>
      <c r="AA346" s="415" t="str">
        <f t="shared" si="196"/>
        <v/>
      </c>
      <c r="AB346" s="415" t="str">
        <f t="shared" si="197"/>
        <v/>
      </c>
      <c r="AC346" s="415" t="str">
        <f t="shared" si="183"/>
        <v/>
      </c>
      <c r="AD346" s="415" t="str">
        <f t="shared" si="184"/>
        <v/>
      </c>
      <c r="AE346" s="415" t="str">
        <f t="shared" si="185"/>
        <v/>
      </c>
      <c r="AF346" s="415" t="str">
        <f t="shared" si="186"/>
        <v/>
      </c>
      <c r="AG346" s="415" t="str">
        <f t="shared" si="187"/>
        <v/>
      </c>
      <c r="AH346" s="415" t="str">
        <f t="shared" si="188"/>
        <v/>
      </c>
      <c r="AI346" s="415" t="str">
        <f t="shared" si="189"/>
        <v/>
      </c>
      <c r="AJ346" s="415" t="str">
        <f t="shared" si="190"/>
        <v/>
      </c>
      <c r="AK346" s="415">
        <v>1</v>
      </c>
      <c r="AL346" s="416">
        <f t="shared" ca="1" si="178"/>
        <v>0</v>
      </c>
      <c r="AM346" s="416">
        <f t="shared" ca="1" si="179"/>
        <v>0</v>
      </c>
      <c r="AN346" s="416" t="str">
        <f ca="1">IF(AND(Tabla7[[#This Row],[UltLec]]&lt;&gt;0,Tabla7[[#This Row],[PenLect]]&lt;&gt;0),(AM346-AL346)*Tabla7[[#This Row],[RT]],"N/A")</f>
        <v>N/A</v>
      </c>
      <c r="AO346" s="380" t="s">
        <v>813</v>
      </c>
      <c r="AP346" s="380" t="s">
        <v>1075</v>
      </c>
      <c r="AQ346" s="380" t="s">
        <v>1074</v>
      </c>
      <c r="AR346" s="2">
        <f t="shared" si="180"/>
        <v>0</v>
      </c>
      <c r="AT346" s="2" t="e">
        <f t="shared" ca="1" si="193"/>
        <v>#VALUE!</v>
      </c>
    </row>
    <row r="347" spans="1:46" ht="18" hidden="1" customHeight="1" x14ac:dyDescent="0.25">
      <c r="A347" s="418" t="s">
        <v>1080</v>
      </c>
      <c r="B347" s="273">
        <v>712</v>
      </c>
      <c r="C347" s="367" t="s">
        <v>108</v>
      </c>
      <c r="D347" s="273" t="s">
        <v>106</v>
      </c>
      <c r="E347" s="274">
        <v>39655</v>
      </c>
      <c r="F347" s="275" t="s">
        <v>109</v>
      </c>
      <c r="G347" s="275" t="s">
        <v>904</v>
      </c>
      <c r="H347" s="275" t="s">
        <v>693</v>
      </c>
      <c r="I347" s="275" t="s">
        <v>1146</v>
      </c>
      <c r="J347" s="275"/>
      <c r="K347" s="275"/>
      <c r="L347" s="275"/>
      <c r="M347" s="275"/>
      <c r="N347" s="275"/>
      <c r="O347" s="275"/>
      <c r="P347" s="275"/>
      <c r="Q347" s="275"/>
      <c r="R347" s="275"/>
      <c r="S347" s="275"/>
      <c r="T347" s="275"/>
      <c r="U347" s="275"/>
      <c r="V347" s="275"/>
      <c r="W347" s="275"/>
      <c r="X347" s="275"/>
      <c r="Y347" s="275" t="str">
        <f t="shared" si="194"/>
        <v/>
      </c>
      <c r="Z347" s="275" t="str">
        <f t="shared" si="195"/>
        <v/>
      </c>
      <c r="AA347" s="275" t="str">
        <f t="shared" si="196"/>
        <v/>
      </c>
      <c r="AB347" s="275" t="str">
        <f t="shared" si="197"/>
        <v/>
      </c>
      <c r="AC347" s="275" t="str">
        <f t="shared" si="183"/>
        <v/>
      </c>
      <c r="AD347" s="275" t="str">
        <f t="shared" si="184"/>
        <v/>
      </c>
      <c r="AE347" s="275" t="str">
        <f t="shared" si="185"/>
        <v/>
      </c>
      <c r="AF347" s="275" t="str">
        <f t="shared" si="186"/>
        <v/>
      </c>
      <c r="AG347" s="275" t="str">
        <f t="shared" si="187"/>
        <v/>
      </c>
      <c r="AH347" s="275" t="str">
        <f t="shared" si="188"/>
        <v/>
      </c>
      <c r="AI347" s="275" t="str">
        <f t="shared" si="189"/>
        <v/>
      </c>
      <c r="AJ347" s="275" t="str">
        <f t="shared" si="190"/>
        <v/>
      </c>
      <c r="AK347" s="275">
        <v>1</v>
      </c>
      <c r="AL347" s="277">
        <f t="shared" ca="1" si="178"/>
        <v>0</v>
      </c>
      <c r="AM347" s="277">
        <f t="shared" ca="1" si="179"/>
        <v>0</v>
      </c>
      <c r="AN347" s="277" t="str">
        <f ca="1">IF(AND(Tabla7[[#This Row],[UltLec]]&lt;&gt;0,Tabla7[[#This Row],[PenLect]]&lt;&gt;0),(AM347-AL347)*Tabla7[[#This Row],[RT]],"N/A")</f>
        <v>N/A</v>
      </c>
      <c r="AO347" s="393" t="s">
        <v>1160</v>
      </c>
      <c r="AP347" s="393" t="s">
        <v>1075</v>
      </c>
      <c r="AQ347" s="393" t="s">
        <v>1074</v>
      </c>
      <c r="AR347" s="275">
        <f t="shared" si="180"/>
        <v>0</v>
      </c>
      <c r="AT347" s="2" t="e">
        <f t="shared" ca="1" si="193"/>
        <v>#VALUE!</v>
      </c>
    </row>
    <row r="348" spans="1:46" ht="18" hidden="1" customHeight="1" x14ac:dyDescent="0.25">
      <c r="A348" s="406" t="s">
        <v>1080</v>
      </c>
      <c r="B348" s="273">
        <v>5100</v>
      </c>
      <c r="C348" s="367" t="s">
        <v>107</v>
      </c>
      <c r="D348" s="273" t="s">
        <v>106</v>
      </c>
      <c r="E348" s="274">
        <v>39754</v>
      </c>
      <c r="F348" s="501" t="s">
        <v>1374</v>
      </c>
      <c r="G348" s="275" t="s">
        <v>911</v>
      </c>
      <c r="H348" s="275" t="s">
        <v>1617</v>
      </c>
      <c r="I348" s="275" t="s">
        <v>1373</v>
      </c>
      <c r="J348" s="275"/>
      <c r="K348" s="275"/>
      <c r="L348" s="275"/>
      <c r="M348" s="275"/>
      <c r="N348" s="275"/>
      <c r="O348" s="275"/>
      <c r="P348" s="275"/>
      <c r="Q348" s="275"/>
      <c r="R348" s="275"/>
      <c r="S348" s="275"/>
      <c r="T348" s="275"/>
      <c r="U348" s="275"/>
      <c r="V348" s="275"/>
      <c r="W348" s="275"/>
      <c r="X348" s="275"/>
      <c r="Y348" s="275" t="str">
        <f t="shared" si="194"/>
        <v/>
      </c>
      <c r="Z348" s="275" t="str">
        <f t="shared" si="195"/>
        <v/>
      </c>
      <c r="AA348" s="275" t="str">
        <f t="shared" si="196"/>
        <v/>
      </c>
      <c r="AB348" s="275" t="str">
        <f t="shared" si="197"/>
        <v/>
      </c>
      <c r="AC348" s="275" t="str">
        <f t="shared" si="183"/>
        <v/>
      </c>
      <c r="AD348" s="275" t="str">
        <f t="shared" si="184"/>
        <v/>
      </c>
      <c r="AE348" s="275" t="str">
        <f t="shared" si="185"/>
        <v/>
      </c>
      <c r="AF348" s="275" t="str">
        <f t="shared" si="186"/>
        <v/>
      </c>
      <c r="AG348" s="275" t="str">
        <f t="shared" si="187"/>
        <v/>
      </c>
      <c r="AH348" s="275" t="str">
        <f t="shared" si="188"/>
        <v/>
      </c>
      <c r="AI348" s="275" t="str">
        <f t="shared" si="189"/>
        <v/>
      </c>
      <c r="AJ348" s="275" t="str">
        <f t="shared" si="190"/>
        <v/>
      </c>
      <c r="AK348" s="275">
        <v>1</v>
      </c>
      <c r="AL348" s="275">
        <f t="shared" ca="1" si="178"/>
        <v>0</v>
      </c>
      <c r="AM348" s="275">
        <f t="shared" ca="1" si="179"/>
        <v>0</v>
      </c>
      <c r="AN348" s="275" t="str">
        <f ca="1">IF(AND(Tabla7[[#This Row],[UltLec]]&lt;&gt;0,Tabla7[[#This Row],[PenLect]]&lt;&gt;0),(AM348-AL348)*Tabla7[[#This Row],[RT]],"N/A")</f>
        <v>N/A</v>
      </c>
      <c r="AO348" s="275" t="s">
        <v>1160</v>
      </c>
      <c r="AP348" s="275" t="s">
        <v>1075</v>
      </c>
      <c r="AQ348" s="275" t="s">
        <v>1074</v>
      </c>
      <c r="AR348" s="275">
        <f t="shared" si="180"/>
        <v>0</v>
      </c>
      <c r="AT348" s="2" t="e">
        <f t="shared" ca="1" si="193"/>
        <v>#VALUE!</v>
      </c>
    </row>
    <row r="349" spans="1:46" ht="18" customHeight="1" x14ac:dyDescent="0.25">
      <c r="A349" s="291" t="s">
        <v>19</v>
      </c>
      <c r="B349" s="54"/>
      <c r="C349" s="239" t="s">
        <v>114</v>
      </c>
      <c r="D349" s="54" t="s">
        <v>106</v>
      </c>
      <c r="E349" s="232">
        <v>39021</v>
      </c>
      <c r="F349" s="2" t="s">
        <v>97</v>
      </c>
      <c r="G349" s="2" t="s">
        <v>912</v>
      </c>
      <c r="H349" s="2"/>
      <c r="I349" s="2"/>
      <c r="J349" s="260">
        <v>64566</v>
      </c>
      <c r="K349" s="260">
        <v>64765</v>
      </c>
      <c r="L349" s="260"/>
      <c r="O349" s="260"/>
      <c r="P349" s="260"/>
      <c r="Q349" s="260"/>
      <c r="R349" s="260"/>
      <c r="S349" s="260"/>
      <c r="U349" s="260"/>
      <c r="V349" s="260"/>
      <c r="W349" s="2"/>
      <c r="X349" s="2"/>
      <c r="Y349" s="2">
        <f t="shared" si="194"/>
        <v>199</v>
      </c>
      <c r="Z349" s="2" t="str">
        <f t="shared" si="195"/>
        <v/>
      </c>
      <c r="AA349" s="2" t="str">
        <f t="shared" si="196"/>
        <v/>
      </c>
      <c r="AB349" s="2" t="str">
        <f t="shared" si="197"/>
        <v/>
      </c>
      <c r="AC349" s="2" t="str">
        <f t="shared" si="183"/>
        <v/>
      </c>
      <c r="AD349" s="2" t="str">
        <f t="shared" si="184"/>
        <v/>
      </c>
      <c r="AE349" s="2" t="str">
        <f t="shared" si="185"/>
        <v/>
      </c>
      <c r="AF349" s="2" t="str">
        <f t="shared" si="186"/>
        <v/>
      </c>
      <c r="AG349" s="2" t="str">
        <f t="shared" si="187"/>
        <v/>
      </c>
      <c r="AH349" s="2" t="str">
        <f t="shared" si="188"/>
        <v/>
      </c>
      <c r="AI349" s="2" t="str">
        <f t="shared" si="189"/>
        <v/>
      </c>
      <c r="AJ349" s="2" t="str">
        <f t="shared" si="190"/>
        <v/>
      </c>
      <c r="AK349" s="2">
        <v>1</v>
      </c>
      <c r="AL349" s="260">
        <f t="shared" ca="1" si="178"/>
        <v>0</v>
      </c>
      <c r="AM349" s="260">
        <f t="shared" ca="1" si="179"/>
        <v>0</v>
      </c>
      <c r="AN349" s="260" t="str">
        <f ca="1">IF(AND(Tabla7[[#This Row],[UltLec]]&lt;&gt;0,Tabla7[[#This Row],[PenLect]]&lt;&gt;0),(AM349-AL349)*Tabla7[[#This Row],[RT]],"N/A")</f>
        <v>N/A</v>
      </c>
      <c r="AO349" s="380" t="s">
        <v>813</v>
      </c>
      <c r="AP349" s="380" t="s">
        <v>1075</v>
      </c>
      <c r="AQ349" s="380" t="s">
        <v>1074</v>
      </c>
      <c r="AR349" s="2">
        <f t="shared" si="180"/>
        <v>0</v>
      </c>
      <c r="AT349" s="2" t="e">
        <f t="shared" ca="1" si="193"/>
        <v>#VALUE!</v>
      </c>
    </row>
    <row r="350" spans="1:46" ht="18" customHeight="1" x14ac:dyDescent="0.25">
      <c r="A350" s="291" t="s">
        <v>19</v>
      </c>
      <c r="B350" s="54"/>
      <c r="C350" s="239" t="s">
        <v>115</v>
      </c>
      <c r="D350" s="54" t="s">
        <v>106</v>
      </c>
      <c r="E350" s="232">
        <v>132</v>
      </c>
      <c r="F350" s="2" t="s">
        <v>830</v>
      </c>
      <c r="G350" s="2" t="s">
        <v>905</v>
      </c>
      <c r="H350" s="2" t="s">
        <v>116</v>
      </c>
      <c r="I350" s="2"/>
      <c r="J350" s="260">
        <v>299193</v>
      </c>
      <c r="K350" s="260">
        <v>299193</v>
      </c>
      <c r="L350" s="260"/>
      <c r="O350" s="260"/>
      <c r="P350" s="260"/>
      <c r="Q350" s="260"/>
      <c r="R350" s="260"/>
      <c r="S350" s="260"/>
      <c r="U350" s="260"/>
      <c r="V350" s="260"/>
      <c r="W350" s="2"/>
      <c r="X350" s="2"/>
      <c r="Y350" s="2">
        <f t="shared" si="194"/>
        <v>0</v>
      </c>
      <c r="Z350" s="2" t="str">
        <f t="shared" si="195"/>
        <v/>
      </c>
      <c r="AA350" s="2" t="str">
        <f t="shared" si="196"/>
        <v/>
      </c>
      <c r="AB350" s="2" t="str">
        <f t="shared" si="197"/>
        <v/>
      </c>
      <c r="AC350" s="2" t="str">
        <f t="shared" si="183"/>
        <v/>
      </c>
      <c r="AD350" s="2" t="str">
        <f t="shared" si="184"/>
        <v/>
      </c>
      <c r="AE350" s="2" t="str">
        <f t="shared" si="185"/>
        <v/>
      </c>
      <c r="AF350" s="2" t="str">
        <f t="shared" si="186"/>
        <v/>
      </c>
      <c r="AG350" s="2" t="str">
        <f t="shared" si="187"/>
        <v/>
      </c>
      <c r="AH350" s="2" t="str">
        <f t="shared" si="188"/>
        <v/>
      </c>
      <c r="AI350" s="2" t="str">
        <f t="shared" si="189"/>
        <v/>
      </c>
      <c r="AJ350" s="2" t="str">
        <f t="shared" si="190"/>
        <v/>
      </c>
      <c r="AK350" s="2">
        <v>1</v>
      </c>
      <c r="AL350" s="260">
        <f t="shared" ca="1" si="178"/>
        <v>0</v>
      </c>
      <c r="AM350" s="260">
        <f t="shared" ca="1" si="179"/>
        <v>0</v>
      </c>
      <c r="AN350" s="260" t="str">
        <f ca="1">IF(AND(Tabla7[[#This Row],[UltLec]]&lt;&gt;0,Tabla7[[#This Row],[PenLect]]&lt;&gt;0),(AM350-AL350)*Tabla7[[#This Row],[RT]],"N/A")</f>
        <v>N/A</v>
      </c>
      <c r="AO350" s="380" t="s">
        <v>813</v>
      </c>
      <c r="AP350" s="380" t="s">
        <v>1075</v>
      </c>
      <c r="AQ350" s="380" t="s">
        <v>1074</v>
      </c>
      <c r="AR350" s="2">
        <f t="shared" si="180"/>
        <v>0</v>
      </c>
      <c r="AT350" s="2" t="e">
        <f t="shared" ca="1" si="193"/>
        <v>#VALUE!</v>
      </c>
    </row>
    <row r="351" spans="1:46" ht="18" hidden="1" customHeight="1" x14ac:dyDescent="0.25">
      <c r="A351" s="461" t="s">
        <v>1080</v>
      </c>
      <c r="B351" s="366">
        <v>522</v>
      </c>
      <c r="C351" s="367" t="s">
        <v>112</v>
      </c>
      <c r="D351" s="272" t="s">
        <v>106</v>
      </c>
      <c r="E351" s="286">
        <v>39637</v>
      </c>
      <c r="F351" s="400" t="s">
        <v>113</v>
      </c>
      <c r="G351" s="400" t="s">
        <v>906</v>
      </c>
      <c r="H351" s="400"/>
      <c r="I351" s="400" t="s">
        <v>1323</v>
      </c>
      <c r="J351" s="277"/>
      <c r="K351" s="277"/>
      <c r="L351" s="277"/>
      <c r="M351" s="277"/>
      <c r="N351" s="277"/>
      <c r="O351" s="277"/>
      <c r="P351" s="277"/>
      <c r="Q351" s="277"/>
      <c r="R351" s="277"/>
      <c r="S351" s="277"/>
      <c r="T351" s="277"/>
      <c r="U351" s="277"/>
      <c r="V351" s="277"/>
      <c r="W351" s="277"/>
      <c r="X351" s="277"/>
      <c r="Y351" s="277" t="str">
        <f t="shared" si="194"/>
        <v/>
      </c>
      <c r="Z351" s="277" t="str">
        <f t="shared" si="195"/>
        <v/>
      </c>
      <c r="AA351" s="277" t="str">
        <f t="shared" si="196"/>
        <v/>
      </c>
      <c r="AB351" s="277" t="str">
        <f t="shared" si="197"/>
        <v/>
      </c>
      <c r="AC351" s="277" t="str">
        <f t="shared" si="183"/>
        <v/>
      </c>
      <c r="AD351" s="277" t="str">
        <f t="shared" si="184"/>
        <v/>
      </c>
      <c r="AE351" s="277" t="str">
        <f t="shared" si="185"/>
        <v/>
      </c>
      <c r="AF351" s="277" t="str">
        <f t="shared" si="186"/>
        <v/>
      </c>
      <c r="AG351" s="277" t="str">
        <f t="shared" si="187"/>
        <v/>
      </c>
      <c r="AH351" s="277" t="str">
        <f t="shared" si="188"/>
        <v/>
      </c>
      <c r="AI351" s="277" t="str">
        <f t="shared" si="189"/>
        <v/>
      </c>
      <c r="AJ351" s="277" t="str">
        <f t="shared" si="190"/>
        <v/>
      </c>
      <c r="AK351" s="277">
        <v>1</v>
      </c>
      <c r="AL351" s="277">
        <f t="shared" ca="1" si="178"/>
        <v>0</v>
      </c>
      <c r="AM351" s="277">
        <f t="shared" ca="1" si="179"/>
        <v>0</v>
      </c>
      <c r="AN351" s="277" t="str">
        <f ca="1">IF(AND(Tabla7[[#This Row],[UltLec]]&lt;&gt;0,Tabla7[[#This Row],[PenLect]]&lt;&gt;0),(AM351-AL351)*Tabla7[[#This Row],[RT]],"N/A")</f>
        <v>N/A</v>
      </c>
      <c r="AO351" s="277" t="s">
        <v>1160</v>
      </c>
      <c r="AP351" s="277" t="s">
        <v>1075</v>
      </c>
      <c r="AQ351" s="277" t="s">
        <v>1077</v>
      </c>
      <c r="AR351" s="277">
        <f t="shared" si="180"/>
        <v>0</v>
      </c>
      <c r="AT351" s="2" t="e">
        <f t="shared" ca="1" si="193"/>
        <v>#VALUE!</v>
      </c>
    </row>
    <row r="352" spans="1:46" ht="18" customHeight="1" x14ac:dyDescent="0.25">
      <c r="A352" s="492" t="s">
        <v>19</v>
      </c>
      <c r="B352" s="459"/>
      <c r="C352" s="239" t="s">
        <v>110</v>
      </c>
      <c r="D352" s="54" t="s">
        <v>106</v>
      </c>
      <c r="E352" s="232">
        <v>140</v>
      </c>
      <c r="F352" s="2" t="s">
        <v>1583</v>
      </c>
      <c r="G352" s="2" t="s">
        <v>903</v>
      </c>
      <c r="H352" s="2" t="s">
        <v>1584</v>
      </c>
      <c r="I352" s="2"/>
      <c r="J352" s="260">
        <v>30728</v>
      </c>
      <c r="K352" s="260">
        <v>30740</v>
      </c>
      <c r="L352" s="260"/>
      <c r="O352" s="260"/>
      <c r="P352" s="308"/>
      <c r="Q352" s="260"/>
      <c r="R352" s="260"/>
      <c r="S352" s="260"/>
      <c r="U352" s="260"/>
      <c r="V352" s="260"/>
      <c r="W352" s="2"/>
      <c r="X352" s="2"/>
      <c r="Y352" s="2">
        <f t="shared" si="194"/>
        <v>12</v>
      </c>
      <c r="Z352" s="2" t="str">
        <f t="shared" si="195"/>
        <v/>
      </c>
      <c r="AA352" s="2" t="str">
        <f>IF(OR(ISBLANK(#REF!),ISBLANK(L352)),"",IF(AND(#REF!&gt;=L352,#REF!-L352&lt;=#REF!),(#REF!-L352)*$AK352,"!!!!"))</f>
        <v/>
      </c>
      <c r="AB352" s="2" t="str">
        <f>IF(OR(ISBLANK(#REF!),ISBLANK(M352)),"",IF(AND(#REF!&gt;=M352,#REF!-M352&lt;=#REF!),(#REF!-M352)*$AK352,"!!!!"))</f>
        <v/>
      </c>
      <c r="AC352" s="2" t="str">
        <f t="shared" si="183"/>
        <v/>
      </c>
      <c r="AD352" s="2" t="str">
        <f t="shared" si="184"/>
        <v/>
      </c>
      <c r="AE352" s="2" t="str">
        <f t="shared" si="185"/>
        <v/>
      </c>
      <c r="AF352" s="2" t="str">
        <f t="shared" si="186"/>
        <v/>
      </c>
      <c r="AG352" s="2" t="str">
        <f t="shared" si="187"/>
        <v/>
      </c>
      <c r="AH352" s="2" t="str">
        <f t="shared" si="188"/>
        <v/>
      </c>
      <c r="AI352" s="2" t="str">
        <f t="shared" si="189"/>
        <v/>
      </c>
      <c r="AJ352" s="2" t="str">
        <f t="shared" si="190"/>
        <v/>
      </c>
      <c r="AK352" s="2">
        <v>1</v>
      </c>
      <c r="AL352" s="260">
        <f t="shared" ca="1" si="178"/>
        <v>0</v>
      </c>
      <c r="AM352" s="260">
        <f t="shared" ca="1" si="179"/>
        <v>0</v>
      </c>
      <c r="AN352" s="260" t="str">
        <f ca="1">IF(AND(Tabla7[[#This Row],[UltLec]]&lt;&gt;0,Tabla7[[#This Row],[PenLect]]&lt;&gt;0),(AM352-AL352)*Tabla7[[#This Row],[RT]],"N/A")</f>
        <v>N/A</v>
      </c>
      <c r="AO352" s="260" t="s">
        <v>813</v>
      </c>
      <c r="AP352" s="380" t="s">
        <v>1075</v>
      </c>
      <c r="AQ352" s="380" t="s">
        <v>1435</v>
      </c>
      <c r="AR352" s="380">
        <f t="shared" si="180"/>
        <v>0</v>
      </c>
      <c r="AT352" s="2" t="e">
        <f t="shared" ca="1" si="193"/>
        <v>#VALUE!</v>
      </c>
    </row>
    <row r="353" spans="1:46" ht="18" hidden="1" customHeight="1" x14ac:dyDescent="0.25">
      <c r="A353" s="461" t="s">
        <v>1080</v>
      </c>
      <c r="B353" s="366">
        <v>5481</v>
      </c>
      <c r="C353" s="367" t="s">
        <v>110</v>
      </c>
      <c r="D353" s="272" t="s">
        <v>106</v>
      </c>
      <c r="E353" s="286">
        <v>39774</v>
      </c>
      <c r="F353" s="400" t="s">
        <v>111</v>
      </c>
      <c r="G353" s="400" t="s">
        <v>903</v>
      </c>
      <c r="H353" s="400" t="s">
        <v>1323</v>
      </c>
      <c r="I353" s="400" t="s">
        <v>1323</v>
      </c>
      <c r="J353" s="277"/>
      <c r="K353" s="277"/>
      <c r="L353" s="277"/>
      <c r="M353" s="277"/>
      <c r="N353" s="277"/>
      <c r="O353" s="277"/>
      <c r="P353" s="277"/>
      <c r="Q353" s="277"/>
      <c r="R353" s="277"/>
      <c r="S353" s="277"/>
      <c r="T353" s="277"/>
      <c r="U353" s="277"/>
      <c r="V353" s="277"/>
      <c r="W353" s="277"/>
      <c r="X353" s="277"/>
      <c r="Y353" s="277" t="str">
        <f t="shared" si="194"/>
        <v/>
      </c>
      <c r="Z353" s="277" t="str">
        <f t="shared" si="195"/>
        <v/>
      </c>
      <c r="AA353" s="277" t="str">
        <f t="shared" ref="AA353:AA384" si="198">IF(OR(ISBLANK(M353),ISBLANK(L353)),"",IF(AND(M353&gt;=L353,M353-L353&lt;=M353),(M353-L353)*$AK353,"!!!!"))</f>
        <v/>
      </c>
      <c r="AB353" s="277" t="str">
        <f t="shared" ref="AB353:AB384" si="199">IF(OR(ISBLANK(N353),ISBLANK(M353)),"",IF(AND(N353&gt;=M353,N353-M353&lt;=N353),(N353-M353)*$AK353,"!!!!"))</f>
        <v/>
      </c>
      <c r="AC353" s="277" t="str">
        <f t="shared" si="183"/>
        <v/>
      </c>
      <c r="AD353" s="277" t="str">
        <f t="shared" si="184"/>
        <v/>
      </c>
      <c r="AE353" s="277" t="str">
        <f t="shared" si="185"/>
        <v/>
      </c>
      <c r="AF353" s="277" t="str">
        <f t="shared" si="186"/>
        <v/>
      </c>
      <c r="AG353" s="277" t="str">
        <f t="shared" si="187"/>
        <v/>
      </c>
      <c r="AH353" s="277" t="str">
        <f t="shared" si="188"/>
        <v/>
      </c>
      <c r="AI353" s="277" t="str">
        <f t="shared" si="189"/>
        <v/>
      </c>
      <c r="AJ353" s="277" t="str">
        <f t="shared" si="190"/>
        <v/>
      </c>
      <c r="AK353" s="277">
        <v>1</v>
      </c>
      <c r="AL353" s="277">
        <f t="shared" ca="1" si="178"/>
        <v>0</v>
      </c>
      <c r="AM353" s="277">
        <f t="shared" ca="1" si="179"/>
        <v>0</v>
      </c>
      <c r="AN353" s="277" t="str">
        <f ca="1">IF(AND(Tabla7[[#This Row],[UltLec]]&lt;&gt;0,Tabla7[[#This Row],[PenLect]]&lt;&gt;0),(AM353-AL353)*Tabla7[[#This Row],[RT]],"N/A")</f>
        <v>N/A</v>
      </c>
      <c r="AO353" s="277" t="s">
        <v>1160</v>
      </c>
      <c r="AP353" s="277" t="s">
        <v>1075</v>
      </c>
      <c r="AQ353" s="277" t="s">
        <v>1077</v>
      </c>
      <c r="AR353" s="277">
        <f t="shared" si="180"/>
        <v>0</v>
      </c>
      <c r="AT353" s="2" t="e">
        <f t="shared" ca="1" si="193"/>
        <v>#VALUE!</v>
      </c>
    </row>
    <row r="354" spans="1:46" ht="18" hidden="1" customHeight="1" x14ac:dyDescent="0.25">
      <c r="A354" s="475" t="s">
        <v>1080</v>
      </c>
      <c r="B354" s="273" t="s">
        <v>117</v>
      </c>
      <c r="C354" s="379" t="s">
        <v>118</v>
      </c>
      <c r="D354" s="372" t="s">
        <v>106</v>
      </c>
      <c r="E354" s="286">
        <v>39137</v>
      </c>
      <c r="F354" s="400" t="s">
        <v>23</v>
      </c>
      <c r="G354" s="400" t="s">
        <v>908</v>
      </c>
      <c r="H354" s="400" t="s">
        <v>960</v>
      </c>
      <c r="I354" s="400"/>
      <c r="J354" s="277"/>
      <c r="K354" s="277"/>
      <c r="L354" s="277"/>
      <c r="M354" s="277"/>
      <c r="N354" s="277"/>
      <c r="O354" s="277"/>
      <c r="P354" s="277"/>
      <c r="Q354" s="277"/>
      <c r="R354" s="277"/>
      <c r="S354" s="277"/>
      <c r="T354" s="277"/>
      <c r="U354" s="277"/>
      <c r="V354" s="277"/>
      <c r="W354" s="275"/>
      <c r="X354" s="275"/>
      <c r="Y354" s="275" t="str">
        <f t="shared" si="194"/>
        <v/>
      </c>
      <c r="Z354" s="275" t="str">
        <f t="shared" si="195"/>
        <v/>
      </c>
      <c r="AA354" s="275" t="str">
        <f t="shared" si="198"/>
        <v/>
      </c>
      <c r="AB354" s="275" t="str">
        <f t="shared" si="199"/>
        <v/>
      </c>
      <c r="AC354" s="275" t="str">
        <f t="shared" si="183"/>
        <v/>
      </c>
      <c r="AD354" s="275" t="str">
        <f t="shared" si="184"/>
        <v/>
      </c>
      <c r="AE354" s="275" t="str">
        <f t="shared" si="185"/>
        <v/>
      </c>
      <c r="AF354" s="275" t="str">
        <f t="shared" si="186"/>
        <v/>
      </c>
      <c r="AG354" s="275" t="str">
        <f t="shared" si="187"/>
        <v/>
      </c>
      <c r="AH354" s="275" t="str">
        <f t="shared" si="188"/>
        <v/>
      </c>
      <c r="AI354" s="275" t="str">
        <f t="shared" si="189"/>
        <v/>
      </c>
      <c r="AJ354" s="275" t="str">
        <f t="shared" si="190"/>
        <v/>
      </c>
      <c r="AK354" s="275">
        <v>1</v>
      </c>
      <c r="AL354" s="277">
        <f t="shared" ca="1" si="178"/>
        <v>0</v>
      </c>
      <c r="AM354" s="277">
        <f t="shared" ca="1" si="179"/>
        <v>0</v>
      </c>
      <c r="AN354" s="277" t="str">
        <f ca="1">IF(AND(Tabla7[[#This Row],[UltLec]]&lt;&gt;0,Tabla7[[#This Row],[PenLect]]&lt;&gt;0),(AM354-AL354)*Tabla7[[#This Row],[RT]],"N/A")</f>
        <v>N/A</v>
      </c>
      <c r="AO354" s="393" t="s">
        <v>1160</v>
      </c>
      <c r="AP354" s="393" t="s">
        <v>1075</v>
      </c>
      <c r="AQ354" s="393" t="s">
        <v>1074</v>
      </c>
      <c r="AR354" s="275">
        <f t="shared" si="180"/>
        <v>0</v>
      </c>
      <c r="AT354" s="2" t="e">
        <f t="shared" ca="1" si="193"/>
        <v>#VALUE!</v>
      </c>
    </row>
    <row r="355" spans="1:46" ht="18" customHeight="1" x14ac:dyDescent="0.25">
      <c r="A355" s="486" t="s">
        <v>19</v>
      </c>
      <c r="B355" s="203"/>
      <c r="C355" s="420" t="s">
        <v>1187</v>
      </c>
      <c r="D355" s="374" t="s">
        <v>106</v>
      </c>
      <c r="E355" s="232">
        <v>141</v>
      </c>
      <c r="F355" s="2" t="s">
        <v>762</v>
      </c>
      <c r="G355" s="2" t="s">
        <v>763</v>
      </c>
      <c r="H355" s="2"/>
      <c r="I355" s="2"/>
      <c r="J355" s="260">
        <v>10509</v>
      </c>
      <c r="K355" s="260">
        <v>10509</v>
      </c>
      <c r="L355" s="260"/>
      <c r="O355" s="260"/>
      <c r="P355" s="260"/>
      <c r="Q355" s="260"/>
      <c r="R355" s="260"/>
      <c r="S355" s="260"/>
      <c r="U355" s="260"/>
      <c r="V355" s="260"/>
      <c r="W355" s="2"/>
      <c r="X355" s="2"/>
      <c r="Y355" s="2">
        <f t="shared" si="194"/>
        <v>0</v>
      </c>
      <c r="Z355" s="2" t="str">
        <f t="shared" si="195"/>
        <v/>
      </c>
      <c r="AA355" s="2" t="str">
        <f t="shared" si="198"/>
        <v/>
      </c>
      <c r="AB355" s="2" t="str">
        <f t="shared" si="199"/>
        <v/>
      </c>
      <c r="AC355" s="2" t="str">
        <f t="shared" si="183"/>
        <v/>
      </c>
      <c r="AD355" s="2" t="str">
        <f t="shared" si="184"/>
        <v/>
      </c>
      <c r="AE355" s="2" t="str">
        <f t="shared" si="185"/>
        <v/>
      </c>
      <c r="AF355" s="2" t="str">
        <f t="shared" si="186"/>
        <v/>
      </c>
      <c r="AG355" s="2" t="str">
        <f t="shared" si="187"/>
        <v/>
      </c>
      <c r="AH355" s="2" t="str">
        <f t="shared" si="188"/>
        <v/>
      </c>
      <c r="AI355" s="2" t="str">
        <f t="shared" si="189"/>
        <v/>
      </c>
      <c r="AJ355" s="2" t="str">
        <f t="shared" si="190"/>
        <v/>
      </c>
      <c r="AK355" s="2">
        <v>1</v>
      </c>
      <c r="AL355" s="260">
        <f t="shared" ca="1" si="178"/>
        <v>0</v>
      </c>
      <c r="AM355" s="260">
        <f t="shared" ca="1" si="179"/>
        <v>0</v>
      </c>
      <c r="AN355" s="260" t="str">
        <f ca="1">IF(AND(Tabla7[[#This Row],[UltLec]]&lt;&gt;0,Tabla7[[#This Row],[PenLect]]&lt;&gt;0),(AM355-AL355)*Tabla7[[#This Row],[RT]],"N/A")</f>
        <v>N/A</v>
      </c>
      <c r="AO355" s="380" t="s">
        <v>813</v>
      </c>
      <c r="AP355" s="380" t="s">
        <v>1076</v>
      </c>
      <c r="AQ355" s="380" t="s">
        <v>771</v>
      </c>
      <c r="AR355" s="2">
        <f t="shared" si="180"/>
        <v>0</v>
      </c>
      <c r="AT355" s="2" t="e">
        <f t="shared" ca="1" si="193"/>
        <v>#VALUE!</v>
      </c>
    </row>
    <row r="356" spans="1:46" ht="18" customHeight="1" x14ac:dyDescent="0.25">
      <c r="A356" s="291" t="s">
        <v>19</v>
      </c>
      <c r="B356" s="54"/>
      <c r="C356" s="239" t="s">
        <v>1359</v>
      </c>
      <c r="D356" s="54" t="s">
        <v>892</v>
      </c>
      <c r="E356" s="232">
        <v>140</v>
      </c>
      <c r="F356" s="2" t="s">
        <v>893</v>
      </c>
      <c r="G356" s="2" t="s">
        <v>63</v>
      </c>
      <c r="H356" s="2" t="s">
        <v>1360</v>
      </c>
      <c r="I356" s="2"/>
      <c r="J356" s="260">
        <v>75788</v>
      </c>
      <c r="K356" s="260">
        <v>77954</v>
      </c>
      <c r="L356" s="260"/>
      <c r="O356" s="260"/>
      <c r="P356" s="260"/>
      <c r="Q356" s="260"/>
      <c r="R356" s="260"/>
      <c r="S356" s="260"/>
      <c r="U356" s="260"/>
      <c r="V356" s="260"/>
      <c r="W356" s="2"/>
      <c r="X356" s="2"/>
      <c r="Y356" s="2">
        <f t="shared" si="194"/>
        <v>2166</v>
      </c>
      <c r="Z356" s="2" t="str">
        <f t="shared" si="195"/>
        <v/>
      </c>
      <c r="AA356" s="2" t="str">
        <f t="shared" si="198"/>
        <v/>
      </c>
      <c r="AB356" s="2" t="str">
        <f t="shared" si="199"/>
        <v/>
      </c>
      <c r="AC356" s="2" t="str">
        <f t="shared" si="183"/>
        <v/>
      </c>
      <c r="AD356" s="2" t="str">
        <f t="shared" si="184"/>
        <v/>
      </c>
      <c r="AE356" s="2" t="str">
        <f t="shared" si="185"/>
        <v/>
      </c>
      <c r="AF356" s="2" t="str">
        <f t="shared" si="186"/>
        <v/>
      </c>
      <c r="AG356" s="2" t="str">
        <f t="shared" si="187"/>
        <v/>
      </c>
      <c r="AH356" s="2" t="str">
        <f t="shared" si="188"/>
        <v/>
      </c>
      <c r="AI356" s="2" t="str">
        <f t="shared" si="189"/>
        <v/>
      </c>
      <c r="AJ356" s="2" t="str">
        <f t="shared" si="190"/>
        <v/>
      </c>
      <c r="AK356" s="2">
        <v>1</v>
      </c>
      <c r="AL356" s="260">
        <f t="shared" ca="1" si="178"/>
        <v>0</v>
      </c>
      <c r="AM356" s="260">
        <f t="shared" ca="1" si="179"/>
        <v>0</v>
      </c>
      <c r="AN356" s="260" t="str">
        <f ca="1">IF(AND(Tabla7[[#This Row],[UltLec]]&lt;&gt;0,Tabla7[[#This Row],[PenLect]]&lt;&gt;0),(AM356-AL356)*Tabla7[[#This Row],[RT]],"N/A")</f>
        <v>N/A</v>
      </c>
      <c r="AO356" s="380" t="s">
        <v>813</v>
      </c>
      <c r="AP356" s="380" t="s">
        <v>1075</v>
      </c>
      <c r="AQ356" s="380" t="s">
        <v>1074</v>
      </c>
      <c r="AR356" s="2">
        <f t="shared" si="180"/>
        <v>0</v>
      </c>
      <c r="AT356" s="2" t="e">
        <f t="shared" ca="1" si="193"/>
        <v>#VALUE!</v>
      </c>
    </row>
    <row r="357" spans="1:46" ht="18" hidden="1" customHeight="1" x14ac:dyDescent="0.25">
      <c r="A357" s="418" t="s">
        <v>1080</v>
      </c>
      <c r="B357" s="273"/>
      <c r="C357" s="367" t="s">
        <v>1179</v>
      </c>
      <c r="D357" s="273" t="s">
        <v>892</v>
      </c>
      <c r="E357" s="274">
        <v>140</v>
      </c>
      <c r="F357" s="275" t="s">
        <v>893</v>
      </c>
      <c r="G357" s="275" t="s">
        <v>63</v>
      </c>
      <c r="H357" s="275"/>
      <c r="I357" s="275">
        <v>504907</v>
      </c>
      <c r="J357" s="277"/>
      <c r="K357" s="277"/>
      <c r="L357" s="277"/>
      <c r="M357" s="277"/>
      <c r="N357" s="277"/>
      <c r="O357" s="277"/>
      <c r="P357" s="277"/>
      <c r="Q357" s="275"/>
      <c r="R357" s="277"/>
      <c r="S357" s="277"/>
      <c r="T357" s="277"/>
      <c r="U357" s="277"/>
      <c r="V357" s="277"/>
      <c r="W357" s="275"/>
      <c r="X357" s="275"/>
      <c r="Y357" s="275" t="str">
        <f t="shared" si="194"/>
        <v/>
      </c>
      <c r="Z357" s="275" t="str">
        <f t="shared" si="195"/>
        <v/>
      </c>
      <c r="AA357" s="275" t="str">
        <f t="shared" si="198"/>
        <v/>
      </c>
      <c r="AB357" s="275" t="str">
        <f t="shared" si="199"/>
        <v/>
      </c>
      <c r="AC357" s="275" t="str">
        <f t="shared" si="183"/>
        <v/>
      </c>
      <c r="AD357" s="275" t="str">
        <f t="shared" si="184"/>
        <v/>
      </c>
      <c r="AE357" s="275" t="str">
        <f t="shared" si="185"/>
        <v/>
      </c>
      <c r="AF357" s="275" t="str">
        <f t="shared" si="186"/>
        <v/>
      </c>
      <c r="AG357" s="275" t="str">
        <f t="shared" si="187"/>
        <v/>
      </c>
      <c r="AH357" s="275" t="str">
        <f t="shared" si="188"/>
        <v/>
      </c>
      <c r="AI357" s="275" t="str">
        <f t="shared" si="189"/>
        <v/>
      </c>
      <c r="AJ357" s="275" t="str">
        <f t="shared" si="190"/>
        <v/>
      </c>
      <c r="AK357" s="275">
        <v>1</v>
      </c>
      <c r="AL357" s="277">
        <f t="shared" ca="1" si="178"/>
        <v>0</v>
      </c>
      <c r="AM357" s="277">
        <f t="shared" ca="1" si="179"/>
        <v>0</v>
      </c>
      <c r="AN357" s="277" t="str">
        <f ca="1">IF(AND(Tabla7[[#This Row],[UltLec]]&lt;&gt;0,Tabla7[[#This Row],[PenLect]]&lt;&gt;0),(AM357-AL357)*Tabla7[[#This Row],[RT]],"N/A")</f>
        <v>N/A</v>
      </c>
      <c r="AO357" s="393" t="s">
        <v>1160</v>
      </c>
      <c r="AP357" s="393" t="s">
        <v>1075</v>
      </c>
      <c r="AQ357" s="393" t="s">
        <v>1074</v>
      </c>
      <c r="AR357" s="275">
        <f t="shared" si="180"/>
        <v>0</v>
      </c>
      <c r="AT357" s="2" t="e">
        <f t="shared" ca="1" si="193"/>
        <v>#VALUE!</v>
      </c>
    </row>
    <row r="358" spans="1:46" ht="18" customHeight="1" x14ac:dyDescent="0.25">
      <c r="A358" s="291" t="s">
        <v>19</v>
      </c>
      <c r="B358" s="54"/>
      <c r="C358" s="239" t="s">
        <v>1200</v>
      </c>
      <c r="D358" s="54" t="s">
        <v>120</v>
      </c>
      <c r="E358" s="232">
        <v>39323</v>
      </c>
      <c r="F358" s="2" t="s">
        <v>122</v>
      </c>
      <c r="G358" s="2" t="s">
        <v>134</v>
      </c>
      <c r="H358" s="2"/>
      <c r="I358" s="2"/>
      <c r="J358" s="260">
        <v>181191</v>
      </c>
      <c r="K358" s="260">
        <v>181861</v>
      </c>
      <c r="L358" s="260"/>
      <c r="O358" s="260"/>
      <c r="P358" s="260"/>
      <c r="Q358" s="260"/>
      <c r="R358" s="260"/>
      <c r="S358" s="260"/>
      <c r="U358" s="260"/>
      <c r="V358" s="260"/>
      <c r="W358" s="2"/>
      <c r="X358" s="2"/>
      <c r="Y358" s="2">
        <f t="shared" si="194"/>
        <v>670</v>
      </c>
      <c r="Z358" s="2" t="str">
        <f t="shared" si="195"/>
        <v/>
      </c>
      <c r="AA358" s="2" t="str">
        <f t="shared" si="198"/>
        <v/>
      </c>
      <c r="AB358" s="2" t="str">
        <f t="shared" si="199"/>
        <v/>
      </c>
      <c r="AC358" s="2" t="str">
        <f t="shared" si="183"/>
        <v/>
      </c>
      <c r="AD358" s="2" t="str">
        <f t="shared" si="184"/>
        <v/>
      </c>
      <c r="AE358" s="2" t="str">
        <f t="shared" si="185"/>
        <v/>
      </c>
      <c r="AF358" s="2" t="str">
        <f t="shared" si="186"/>
        <v/>
      </c>
      <c r="AG358" s="2" t="str">
        <f t="shared" si="187"/>
        <v/>
      </c>
      <c r="AH358" s="2" t="str">
        <f t="shared" si="188"/>
        <v/>
      </c>
      <c r="AI358" s="2" t="str">
        <f t="shared" si="189"/>
        <v/>
      </c>
      <c r="AJ358" s="2" t="str">
        <f t="shared" si="190"/>
        <v/>
      </c>
      <c r="AK358" s="2">
        <v>1</v>
      </c>
      <c r="AL358" s="260">
        <f t="shared" ca="1" si="178"/>
        <v>0</v>
      </c>
      <c r="AM358" s="260">
        <f t="shared" ca="1" si="179"/>
        <v>0</v>
      </c>
      <c r="AN358" s="260" t="str">
        <f ca="1">IF(AND(Tabla7[[#This Row],[UltLec]]&lt;&gt;0,Tabla7[[#This Row],[PenLect]]&lt;&gt;0),(AM358-AL358)*Tabla7[[#This Row],[RT]],"N/A")</f>
        <v>N/A</v>
      </c>
      <c r="AO358" s="380" t="s">
        <v>813</v>
      </c>
      <c r="AP358" s="380" t="s">
        <v>1075</v>
      </c>
      <c r="AQ358" s="380" t="s">
        <v>1074</v>
      </c>
      <c r="AR358" s="2">
        <f t="shared" si="180"/>
        <v>0</v>
      </c>
      <c r="AT358" s="2" t="e">
        <f t="shared" ca="1" si="193"/>
        <v>#VALUE!</v>
      </c>
    </row>
    <row r="359" spans="1:46" ht="18" hidden="1" customHeight="1" x14ac:dyDescent="0.25">
      <c r="A359" s="418" t="s">
        <v>1080</v>
      </c>
      <c r="B359" s="273"/>
      <c r="C359" s="367" t="s">
        <v>130</v>
      </c>
      <c r="D359" s="273" t="s">
        <v>120</v>
      </c>
      <c r="E359" s="274">
        <v>39383</v>
      </c>
      <c r="F359" s="275" t="s">
        <v>131</v>
      </c>
      <c r="G359" s="275" t="s">
        <v>132</v>
      </c>
      <c r="H359" s="275" t="s">
        <v>133</v>
      </c>
      <c r="I359" s="275" t="s">
        <v>1616</v>
      </c>
      <c r="J359" s="277"/>
      <c r="K359" s="277"/>
      <c r="L359" s="277"/>
      <c r="M359" s="277"/>
      <c r="N359" s="277"/>
      <c r="O359" s="277"/>
      <c r="P359" s="277"/>
      <c r="Q359" s="277"/>
      <c r="R359" s="277"/>
      <c r="S359" s="277"/>
      <c r="T359" s="277"/>
      <c r="U359" s="277"/>
      <c r="V359" s="277"/>
      <c r="W359" s="277"/>
      <c r="X359" s="277"/>
      <c r="Y359" s="277" t="str">
        <f t="shared" si="194"/>
        <v/>
      </c>
      <c r="Z359" s="277" t="str">
        <f t="shared" si="195"/>
        <v/>
      </c>
      <c r="AA359" s="277" t="str">
        <f t="shared" si="198"/>
        <v/>
      </c>
      <c r="AB359" s="277" t="str">
        <f t="shared" si="199"/>
        <v/>
      </c>
      <c r="AC359" s="277" t="str">
        <f t="shared" si="183"/>
        <v/>
      </c>
      <c r="AD359" s="277" t="str">
        <f t="shared" si="184"/>
        <v/>
      </c>
      <c r="AE359" s="277" t="str">
        <f t="shared" si="185"/>
        <v/>
      </c>
      <c r="AF359" s="277" t="str">
        <f t="shared" si="186"/>
        <v/>
      </c>
      <c r="AG359" s="277" t="str">
        <f t="shared" si="187"/>
        <v/>
      </c>
      <c r="AH359" s="277" t="str">
        <f t="shared" si="188"/>
        <v/>
      </c>
      <c r="AI359" s="277" t="str">
        <f t="shared" si="189"/>
        <v/>
      </c>
      <c r="AJ359" s="277" t="str">
        <f t="shared" si="190"/>
        <v/>
      </c>
      <c r="AK359" s="277">
        <v>1</v>
      </c>
      <c r="AL359" s="277">
        <f t="shared" ref="AL359:AL422" ca="1" si="200">IF(DAY(TODAY())&lt;16,INDEX(J359:X359,1,MONTH(TODAY())-1),INDEX(J359:X359,1,MONTH(TODAY())))</f>
        <v>0</v>
      </c>
      <c r="AM359" s="277">
        <f t="shared" ref="AM359:AM422" ca="1" si="201">IF(DAY(TODAY())&lt;16,INDEX(J359:X359,1,MONTH(TODAY())),INDEX(J359:X359,1,MONTH(TODAY())+1))</f>
        <v>0</v>
      </c>
      <c r="AN359" s="277" t="str">
        <f ca="1">IF(AND(Tabla7[[#This Row],[UltLec]]&lt;&gt;0,Tabla7[[#This Row],[PenLect]]&lt;&gt;0),(AM359-AL359)*Tabla7[[#This Row],[RT]],"N/A")</f>
        <v>N/A</v>
      </c>
      <c r="AO359" s="277" t="s">
        <v>1160</v>
      </c>
      <c r="AP359" s="277" t="s">
        <v>1075</v>
      </c>
      <c r="AQ359" s="277" t="s">
        <v>1074</v>
      </c>
      <c r="AR359" s="277">
        <f t="shared" ref="AR359:AR422" si="202">COUNTIF(Y359:AJ359,"!!!!")</f>
        <v>0</v>
      </c>
      <c r="AT359" s="2" t="e">
        <f t="shared" ca="1" si="193"/>
        <v>#VALUE!</v>
      </c>
    </row>
    <row r="360" spans="1:46" ht="18" hidden="1" customHeight="1" x14ac:dyDescent="0.25">
      <c r="A360" s="418" t="s">
        <v>1080</v>
      </c>
      <c r="B360" s="273">
        <v>33039</v>
      </c>
      <c r="C360" s="418" t="s">
        <v>126</v>
      </c>
      <c r="D360" s="418" t="s">
        <v>120</v>
      </c>
      <c r="E360" s="274">
        <v>39151</v>
      </c>
      <c r="F360" s="275" t="s">
        <v>127</v>
      </c>
      <c r="G360" s="275" t="s">
        <v>914</v>
      </c>
      <c r="H360" s="275" t="s">
        <v>1666</v>
      </c>
      <c r="I360" s="275"/>
      <c r="J360" s="275"/>
      <c r="K360" s="275"/>
      <c r="L360" s="275"/>
      <c r="M360" s="275"/>
      <c r="N360" s="275"/>
      <c r="O360" s="275"/>
      <c r="P360" s="275"/>
      <c r="Q360" s="275"/>
      <c r="R360" s="275"/>
      <c r="S360" s="275"/>
      <c r="T360" s="275"/>
      <c r="U360" s="275"/>
      <c r="V360" s="275"/>
      <c r="W360" s="275"/>
      <c r="X360" s="275"/>
      <c r="Y360" s="275" t="str">
        <f t="shared" si="194"/>
        <v/>
      </c>
      <c r="Z360" s="275" t="str">
        <f t="shared" si="195"/>
        <v/>
      </c>
      <c r="AA360" s="275" t="str">
        <f t="shared" si="198"/>
        <v/>
      </c>
      <c r="AB360" s="275" t="str">
        <f t="shared" si="199"/>
        <v/>
      </c>
      <c r="AC360" s="275" t="str">
        <f t="shared" si="183"/>
        <v/>
      </c>
      <c r="AD360" s="275" t="str">
        <f t="shared" si="184"/>
        <v/>
      </c>
      <c r="AE360" s="275" t="str">
        <f t="shared" si="185"/>
        <v/>
      </c>
      <c r="AF360" s="275" t="str">
        <f t="shared" si="186"/>
        <v/>
      </c>
      <c r="AG360" s="275" t="str">
        <f t="shared" si="187"/>
        <v/>
      </c>
      <c r="AH360" s="275" t="str">
        <f t="shared" si="188"/>
        <v/>
      </c>
      <c r="AI360" s="275" t="str">
        <f t="shared" si="189"/>
        <v/>
      </c>
      <c r="AJ360" s="275" t="str">
        <f t="shared" si="190"/>
        <v/>
      </c>
      <c r="AK360" s="275">
        <v>1</v>
      </c>
      <c r="AL360" s="275">
        <f t="shared" ca="1" si="200"/>
        <v>0</v>
      </c>
      <c r="AM360" s="275">
        <f t="shared" ca="1" si="201"/>
        <v>0</v>
      </c>
      <c r="AN360" s="275" t="str">
        <f ca="1">IF(AND(Tabla7[[#This Row],[UltLec]]&lt;&gt;0,Tabla7[[#This Row],[PenLect]]&lt;&gt;0),(AM360-AL360)*Tabla7[[#This Row],[RT]],"N/A")</f>
        <v>N/A</v>
      </c>
      <c r="AO360" s="275" t="s">
        <v>1160</v>
      </c>
      <c r="AP360" s="275" t="s">
        <v>1075</v>
      </c>
      <c r="AQ360" s="275" t="s">
        <v>1074</v>
      </c>
      <c r="AR360" s="275">
        <f t="shared" si="202"/>
        <v>0</v>
      </c>
      <c r="AT360" s="2" t="e">
        <f t="shared" ca="1" si="193"/>
        <v>#VALUE!</v>
      </c>
    </row>
    <row r="361" spans="1:46" ht="18" customHeight="1" x14ac:dyDescent="0.25">
      <c r="A361" s="419" t="s">
        <v>19</v>
      </c>
      <c r="B361" s="262">
        <v>1084</v>
      </c>
      <c r="C361" s="423" t="s">
        <v>121</v>
      </c>
      <c r="D361" s="421" t="s">
        <v>120</v>
      </c>
      <c r="E361" s="451">
        <v>39150</v>
      </c>
      <c r="F361" s="371" t="s">
        <v>122</v>
      </c>
      <c r="G361" s="371" t="s">
        <v>916</v>
      </c>
      <c r="H361" s="371"/>
      <c r="I361" s="371"/>
      <c r="J361" s="341">
        <v>1155235</v>
      </c>
      <c r="K361" s="341">
        <v>1162261</v>
      </c>
      <c r="L361" s="341"/>
      <c r="M361" s="341"/>
      <c r="N361" s="341"/>
      <c r="O361" s="341"/>
      <c r="P361" s="341"/>
      <c r="Q361" s="341"/>
      <c r="R361" s="341"/>
      <c r="S361" s="341"/>
      <c r="T361" s="341"/>
      <c r="U361" s="341"/>
      <c r="V361" s="341"/>
      <c r="W361" s="341"/>
      <c r="X361" s="341"/>
      <c r="Y361" s="341">
        <f t="shared" si="194"/>
        <v>7026</v>
      </c>
      <c r="Z361" s="341" t="str">
        <f t="shared" si="195"/>
        <v/>
      </c>
      <c r="AA361" s="341" t="str">
        <f t="shared" si="198"/>
        <v/>
      </c>
      <c r="AB361" s="341" t="str">
        <f t="shared" si="199"/>
        <v/>
      </c>
      <c r="AC361" s="341" t="str">
        <f t="shared" si="183"/>
        <v/>
      </c>
      <c r="AD361" s="341" t="str">
        <f t="shared" si="184"/>
        <v/>
      </c>
      <c r="AE361" s="341" t="str">
        <f t="shared" si="185"/>
        <v/>
      </c>
      <c r="AF361" s="341" t="str">
        <f t="shared" si="186"/>
        <v/>
      </c>
      <c r="AG361" s="341" t="str">
        <f t="shared" si="187"/>
        <v/>
      </c>
      <c r="AH361" s="341" t="str">
        <f t="shared" si="188"/>
        <v/>
      </c>
      <c r="AI361" s="341" t="str">
        <f t="shared" si="189"/>
        <v/>
      </c>
      <c r="AJ361" s="341" t="str">
        <f t="shared" si="190"/>
        <v/>
      </c>
      <c r="AK361" s="341">
        <v>1</v>
      </c>
      <c r="AL361" s="341">
        <f t="shared" ca="1" si="200"/>
        <v>0</v>
      </c>
      <c r="AM361" s="341">
        <f t="shared" ca="1" si="201"/>
        <v>0</v>
      </c>
      <c r="AN361" s="341" t="str">
        <f ca="1">IF(AND(Tabla7[[#This Row],[UltLec]]&lt;&gt;0,Tabla7[[#This Row],[PenLect]]&lt;&gt;0),(AM361-AL361)*Tabla7[[#This Row],[RT]],"N/A")</f>
        <v>N/A</v>
      </c>
      <c r="AO361" s="389" t="s">
        <v>813</v>
      </c>
      <c r="AP361" s="389" t="s">
        <v>1075</v>
      </c>
      <c r="AQ361" s="389" t="s">
        <v>1074</v>
      </c>
      <c r="AR361" s="371">
        <f t="shared" si="202"/>
        <v>0</v>
      </c>
      <c r="AT361" s="2" t="e">
        <f t="shared" ca="1" si="193"/>
        <v>#VALUE!</v>
      </c>
    </row>
    <row r="362" spans="1:46" ht="18" customHeight="1" x14ac:dyDescent="0.25">
      <c r="A362" s="405" t="s">
        <v>19</v>
      </c>
      <c r="B362" s="54"/>
      <c r="C362" s="239" t="s">
        <v>124</v>
      </c>
      <c r="D362" s="54" t="s">
        <v>120</v>
      </c>
      <c r="E362" s="232">
        <v>150</v>
      </c>
      <c r="F362" s="2" t="s">
        <v>21</v>
      </c>
      <c r="G362" s="2" t="s">
        <v>915</v>
      </c>
      <c r="H362" s="2" t="s">
        <v>125</v>
      </c>
      <c r="I362" s="2"/>
      <c r="J362" s="260">
        <v>509227</v>
      </c>
      <c r="K362" s="260">
        <v>513345</v>
      </c>
      <c r="L362" s="260"/>
      <c r="O362" s="260"/>
      <c r="P362" s="260"/>
      <c r="Q362" s="260"/>
      <c r="R362" s="260"/>
      <c r="S362" s="260"/>
      <c r="U362" s="260"/>
      <c r="V362" s="260"/>
      <c r="W362" s="2"/>
      <c r="X362" s="2"/>
      <c r="Y362" s="2">
        <f t="shared" si="194"/>
        <v>4118</v>
      </c>
      <c r="Z362" s="2" t="str">
        <f t="shared" si="195"/>
        <v/>
      </c>
      <c r="AA362" s="2" t="str">
        <f t="shared" si="198"/>
        <v/>
      </c>
      <c r="AB362" s="2" t="str">
        <f t="shared" si="199"/>
        <v/>
      </c>
      <c r="AC362" s="2" t="str">
        <f t="shared" si="183"/>
        <v/>
      </c>
      <c r="AD362" s="2" t="str">
        <f t="shared" si="184"/>
        <v/>
      </c>
      <c r="AE362" s="2" t="str">
        <f t="shared" si="185"/>
        <v/>
      </c>
      <c r="AF362" s="2" t="str">
        <f t="shared" si="186"/>
        <v/>
      </c>
      <c r="AG362" s="2" t="str">
        <f t="shared" si="187"/>
        <v/>
      </c>
      <c r="AH362" s="2" t="str">
        <f t="shared" si="188"/>
        <v/>
      </c>
      <c r="AI362" s="2" t="str">
        <f t="shared" si="189"/>
        <v/>
      </c>
      <c r="AJ362" s="2" t="str">
        <f t="shared" si="190"/>
        <v/>
      </c>
      <c r="AK362" s="2">
        <v>1</v>
      </c>
      <c r="AL362" s="260">
        <f t="shared" ca="1" si="200"/>
        <v>0</v>
      </c>
      <c r="AM362" s="260">
        <f t="shared" ca="1" si="201"/>
        <v>0</v>
      </c>
      <c r="AN362" s="260" t="str">
        <f ca="1">IF(AND(Tabla7[[#This Row],[UltLec]]&lt;&gt;0,Tabla7[[#This Row],[PenLect]]&lt;&gt;0),(AM362-AL362)*Tabla7[[#This Row],[RT]],"N/A")</f>
        <v>N/A</v>
      </c>
      <c r="AO362" s="380" t="s">
        <v>813</v>
      </c>
      <c r="AP362" s="380" t="s">
        <v>1075</v>
      </c>
      <c r="AQ362" s="380" t="s">
        <v>1074</v>
      </c>
      <c r="AR362" s="2">
        <f t="shared" si="202"/>
        <v>0</v>
      </c>
      <c r="AT362" s="2" t="e">
        <f t="shared" ca="1" si="193"/>
        <v>#VALUE!</v>
      </c>
    </row>
    <row r="363" spans="1:46" ht="18" customHeight="1" x14ac:dyDescent="0.25">
      <c r="A363" s="405" t="s">
        <v>19</v>
      </c>
      <c r="B363" s="54"/>
      <c r="C363" s="239" t="s">
        <v>128</v>
      </c>
      <c r="D363" s="54" t="s">
        <v>120</v>
      </c>
      <c r="E363" s="232">
        <v>122</v>
      </c>
      <c r="F363" s="2" t="s">
        <v>129</v>
      </c>
      <c r="G363" s="2" t="s">
        <v>38</v>
      </c>
      <c r="H363" s="2" t="s">
        <v>129</v>
      </c>
      <c r="I363" s="2"/>
      <c r="J363" s="260">
        <v>612109</v>
      </c>
      <c r="K363" s="260">
        <v>612109</v>
      </c>
      <c r="L363" s="260"/>
      <c r="O363" s="260"/>
      <c r="P363" s="260"/>
      <c r="Q363" s="260"/>
      <c r="R363" s="260"/>
      <c r="S363" s="260"/>
      <c r="U363" s="260"/>
      <c r="V363" s="260"/>
      <c r="W363" s="2"/>
      <c r="X363" s="2"/>
      <c r="Y363" s="2">
        <f t="shared" si="194"/>
        <v>0</v>
      </c>
      <c r="Z363" s="2" t="str">
        <f t="shared" si="195"/>
        <v/>
      </c>
      <c r="AA363" s="2" t="str">
        <f t="shared" si="198"/>
        <v/>
      </c>
      <c r="AB363" s="2" t="str">
        <f t="shared" si="199"/>
        <v/>
      </c>
      <c r="AC363" s="2" t="str">
        <f t="shared" si="183"/>
        <v/>
      </c>
      <c r="AD363" s="2" t="str">
        <f t="shared" si="184"/>
        <v/>
      </c>
      <c r="AE363" s="2" t="str">
        <f t="shared" si="185"/>
        <v/>
      </c>
      <c r="AF363" s="2" t="str">
        <f t="shared" si="186"/>
        <v/>
      </c>
      <c r="AG363" s="2" t="str">
        <f t="shared" si="187"/>
        <v/>
      </c>
      <c r="AH363" s="2" t="str">
        <f t="shared" si="188"/>
        <v/>
      </c>
      <c r="AI363" s="2" t="str">
        <f t="shared" si="189"/>
        <v/>
      </c>
      <c r="AJ363" s="2" t="str">
        <f t="shared" si="190"/>
        <v/>
      </c>
      <c r="AK363" s="2">
        <v>1</v>
      </c>
      <c r="AL363" s="260">
        <f t="shared" ca="1" si="200"/>
        <v>0</v>
      </c>
      <c r="AM363" s="260">
        <f t="shared" ca="1" si="201"/>
        <v>0</v>
      </c>
      <c r="AN363" s="260" t="str">
        <f ca="1">IF(AND(Tabla7[[#This Row],[UltLec]]&lt;&gt;0,Tabla7[[#This Row],[PenLect]]&lt;&gt;0),(AM363-AL363)*Tabla7[[#This Row],[RT]],"N/A")</f>
        <v>N/A</v>
      </c>
      <c r="AO363" s="380" t="s">
        <v>813</v>
      </c>
      <c r="AP363" s="380" t="s">
        <v>1075</v>
      </c>
      <c r="AQ363" s="380" t="s">
        <v>1074</v>
      </c>
      <c r="AR363" s="2">
        <f t="shared" si="202"/>
        <v>0</v>
      </c>
      <c r="AT363" s="2" t="e">
        <f t="shared" ca="1" si="193"/>
        <v>#VALUE!</v>
      </c>
    </row>
    <row r="364" spans="1:46" ht="18" customHeight="1" x14ac:dyDescent="0.25">
      <c r="A364" s="405" t="s">
        <v>698</v>
      </c>
      <c r="B364" s="54"/>
      <c r="C364" s="239" t="s">
        <v>707</v>
      </c>
      <c r="D364" s="54" t="s">
        <v>120</v>
      </c>
      <c r="E364" s="232">
        <v>1</v>
      </c>
      <c r="F364" s="2" t="s">
        <v>708</v>
      </c>
      <c r="G364" s="2" t="s">
        <v>63</v>
      </c>
      <c r="H364" s="2"/>
      <c r="I364" s="2"/>
      <c r="J364" s="260">
        <v>2423693</v>
      </c>
      <c r="K364" s="260">
        <v>2438574</v>
      </c>
      <c r="L364" s="260"/>
      <c r="O364" s="260"/>
      <c r="P364" s="260"/>
      <c r="Q364" s="260"/>
      <c r="R364" s="260"/>
      <c r="S364" s="260"/>
      <c r="U364" s="260"/>
      <c r="V364" s="260"/>
      <c r="W364" s="2"/>
      <c r="X364" s="2"/>
      <c r="Y364" s="2">
        <f t="shared" si="194"/>
        <v>14881</v>
      </c>
      <c r="Z364" s="2" t="str">
        <f t="shared" si="195"/>
        <v/>
      </c>
      <c r="AA364" s="2" t="str">
        <f t="shared" si="198"/>
        <v/>
      </c>
      <c r="AB364" s="2" t="str">
        <f t="shared" si="199"/>
        <v/>
      </c>
      <c r="AC364" s="2" t="str">
        <f t="shared" si="183"/>
        <v/>
      </c>
      <c r="AD364" s="2" t="str">
        <f t="shared" si="184"/>
        <v/>
      </c>
      <c r="AE364" s="2" t="str">
        <f t="shared" si="185"/>
        <v/>
      </c>
      <c r="AF364" s="2" t="str">
        <f t="shared" si="186"/>
        <v/>
      </c>
      <c r="AG364" s="2" t="str">
        <f t="shared" si="187"/>
        <v/>
      </c>
      <c r="AH364" s="2" t="str">
        <f t="shared" si="188"/>
        <v/>
      </c>
      <c r="AI364" s="2" t="str">
        <f t="shared" si="189"/>
        <v/>
      </c>
      <c r="AJ364" s="2" t="str">
        <f t="shared" si="190"/>
        <v/>
      </c>
      <c r="AK364" s="2">
        <v>1</v>
      </c>
      <c r="AL364" s="260">
        <f t="shared" ca="1" si="200"/>
        <v>0</v>
      </c>
      <c r="AM364" s="260">
        <f t="shared" ca="1" si="201"/>
        <v>0</v>
      </c>
      <c r="AN364" s="260" t="str">
        <f ca="1">IF(AND(Tabla7[[#This Row],[UltLec]]&lt;&gt;0,Tabla7[[#This Row],[PenLect]]&lt;&gt;0),(AM364-AL364)*Tabla7[[#This Row],[RT]],"N/A")</f>
        <v>N/A</v>
      </c>
      <c r="AO364" s="380" t="s">
        <v>813</v>
      </c>
      <c r="AP364" s="380" t="s">
        <v>1076</v>
      </c>
      <c r="AQ364" s="380" t="s">
        <v>771</v>
      </c>
      <c r="AR364" s="2">
        <f t="shared" si="202"/>
        <v>0</v>
      </c>
      <c r="AT364" s="2" t="e">
        <f t="shared" ca="1" si="193"/>
        <v>#VALUE!</v>
      </c>
    </row>
    <row r="365" spans="1:46" ht="18" customHeight="1" x14ac:dyDescent="0.25">
      <c r="A365" s="405" t="s">
        <v>19</v>
      </c>
      <c r="B365" s="54">
        <v>1943</v>
      </c>
      <c r="C365" s="239" t="s">
        <v>1469</v>
      </c>
      <c r="D365" s="54" t="s">
        <v>135</v>
      </c>
      <c r="E365" s="232">
        <v>39746</v>
      </c>
      <c r="F365" s="2" t="s">
        <v>195</v>
      </c>
      <c r="G365" s="2" t="s">
        <v>1491</v>
      </c>
      <c r="H365" s="2" t="s">
        <v>1470</v>
      </c>
      <c r="I365" s="2" t="s">
        <v>1471</v>
      </c>
      <c r="J365" s="260">
        <v>14499</v>
      </c>
      <c r="K365" s="260">
        <v>15117</v>
      </c>
      <c r="L365" s="260"/>
      <c r="O365" s="260"/>
      <c r="P365" s="260"/>
      <c r="Q365" s="260"/>
      <c r="R365" s="260"/>
      <c r="S365" s="260"/>
      <c r="U365" s="260"/>
      <c r="V365" s="260"/>
      <c r="W365" s="2"/>
      <c r="X365" s="2"/>
      <c r="Y365" s="2">
        <f t="shared" si="194"/>
        <v>618</v>
      </c>
      <c r="Z365" s="2" t="str">
        <f t="shared" si="195"/>
        <v/>
      </c>
      <c r="AA365" s="2" t="str">
        <f t="shared" si="198"/>
        <v/>
      </c>
      <c r="AB365" s="2" t="str">
        <f t="shared" si="199"/>
        <v/>
      </c>
      <c r="AC365" s="2" t="str">
        <f t="shared" si="183"/>
        <v/>
      </c>
      <c r="AD365" s="2" t="str">
        <f t="shared" si="184"/>
        <v/>
      </c>
      <c r="AE365" s="2" t="str">
        <f t="shared" si="185"/>
        <v/>
      </c>
      <c r="AF365" s="2" t="str">
        <f t="shared" si="186"/>
        <v/>
      </c>
      <c r="AG365" s="2" t="str">
        <f t="shared" si="187"/>
        <v/>
      </c>
      <c r="AH365" s="2" t="str">
        <f t="shared" si="188"/>
        <v/>
      </c>
      <c r="AI365" s="2" t="str">
        <f t="shared" si="189"/>
        <v/>
      </c>
      <c r="AJ365" s="2" t="str">
        <f t="shared" si="190"/>
        <v/>
      </c>
      <c r="AK365" s="2">
        <v>1</v>
      </c>
      <c r="AL365" s="260">
        <f t="shared" ca="1" si="200"/>
        <v>0</v>
      </c>
      <c r="AM365" s="260">
        <f t="shared" ca="1" si="201"/>
        <v>0</v>
      </c>
      <c r="AN365" s="260" t="str">
        <f ca="1">IF(AND(Tabla7[[#This Row],[UltLec]]&lt;&gt;0,Tabla7[[#This Row],[PenLect]]&lt;&gt;0),(AM365-AL365)*Tabla7[[#This Row],[RT]],"N/A")</f>
        <v>N/A</v>
      </c>
      <c r="AO365" s="380" t="s">
        <v>813</v>
      </c>
      <c r="AP365" s="380" t="s">
        <v>1075</v>
      </c>
      <c r="AQ365" s="380" t="s">
        <v>1074</v>
      </c>
      <c r="AR365" s="2">
        <f t="shared" si="202"/>
        <v>0</v>
      </c>
      <c r="AT365" s="2" t="e">
        <f t="shared" ca="1" si="193"/>
        <v>#VALUE!</v>
      </c>
    </row>
    <row r="366" spans="1:46" ht="18" customHeight="1" x14ac:dyDescent="0.25">
      <c r="A366" s="405" t="s">
        <v>19</v>
      </c>
      <c r="B366" s="54">
        <v>9140</v>
      </c>
      <c r="C366" s="239" t="s">
        <v>1536</v>
      </c>
      <c r="D366" s="54" t="s">
        <v>135</v>
      </c>
      <c r="E366" s="232">
        <v>39730</v>
      </c>
      <c r="F366" s="2" t="s">
        <v>1535</v>
      </c>
      <c r="G366" s="299" t="s">
        <v>1537</v>
      </c>
      <c r="H366" s="299"/>
      <c r="I366" s="2" t="s">
        <v>1550</v>
      </c>
      <c r="J366" s="260">
        <v>22576</v>
      </c>
      <c r="K366" s="260">
        <v>24362</v>
      </c>
      <c r="L366" s="260"/>
      <c r="O366" s="260"/>
      <c r="P366" s="260"/>
      <c r="Q366" s="260"/>
      <c r="R366" s="260"/>
      <c r="S366" s="260"/>
      <c r="U366" s="260"/>
      <c r="V366" s="260"/>
      <c r="W366" s="2"/>
      <c r="X366" s="2"/>
      <c r="Y366" s="2">
        <f t="shared" si="194"/>
        <v>1786</v>
      </c>
      <c r="Z366" s="2" t="str">
        <f t="shared" si="195"/>
        <v/>
      </c>
      <c r="AA366" s="2" t="str">
        <f t="shared" si="198"/>
        <v/>
      </c>
      <c r="AB366" s="2" t="str">
        <f t="shared" si="199"/>
        <v/>
      </c>
      <c r="AC366" s="2" t="str">
        <f t="shared" si="183"/>
        <v/>
      </c>
      <c r="AD366" s="2" t="str">
        <f t="shared" si="184"/>
        <v/>
      </c>
      <c r="AE366" s="2" t="str">
        <f t="shared" si="185"/>
        <v/>
      </c>
      <c r="AF366" s="2" t="str">
        <f t="shared" si="186"/>
        <v/>
      </c>
      <c r="AG366" s="2" t="str">
        <f t="shared" si="187"/>
        <v/>
      </c>
      <c r="AH366" s="2" t="str">
        <f t="shared" si="188"/>
        <v/>
      </c>
      <c r="AI366" s="2" t="str">
        <f t="shared" si="189"/>
        <v/>
      </c>
      <c r="AJ366" s="2" t="str">
        <f t="shared" si="190"/>
        <v/>
      </c>
      <c r="AK366" s="2">
        <v>1</v>
      </c>
      <c r="AL366" s="260">
        <f t="shared" ca="1" si="200"/>
        <v>0</v>
      </c>
      <c r="AM366" s="260">
        <f t="shared" ca="1" si="201"/>
        <v>0</v>
      </c>
      <c r="AN366" s="260" t="str">
        <f ca="1">IF(AND(Tabla7[[#This Row],[UltLec]]&lt;&gt;0,Tabla7[[#This Row],[PenLect]]&lt;&gt;0),(AM366-AL366)*Tabla7[[#This Row],[RT]],"N/A")</f>
        <v>N/A</v>
      </c>
      <c r="AO366" s="380" t="s">
        <v>813</v>
      </c>
      <c r="AP366" s="380" t="s">
        <v>1075</v>
      </c>
      <c r="AQ366" s="380" t="s">
        <v>1074</v>
      </c>
      <c r="AR366" s="2">
        <f t="shared" si="202"/>
        <v>0</v>
      </c>
      <c r="AT366" s="2" t="e">
        <f t="shared" ca="1" si="193"/>
        <v>#VALUE!</v>
      </c>
    </row>
    <row r="367" spans="1:46" ht="18" customHeight="1" x14ac:dyDescent="0.25">
      <c r="A367" s="405" t="s">
        <v>19</v>
      </c>
      <c r="B367" s="54">
        <v>1478</v>
      </c>
      <c r="C367" s="239" t="s">
        <v>1199</v>
      </c>
      <c r="D367" s="54" t="s">
        <v>135</v>
      </c>
      <c r="E367" s="232">
        <v>39525</v>
      </c>
      <c r="F367" s="2" t="s">
        <v>702</v>
      </c>
      <c r="G367" s="2" t="s">
        <v>703</v>
      </c>
      <c r="H367" s="2"/>
      <c r="I367" s="2" t="s">
        <v>705</v>
      </c>
      <c r="J367" s="260">
        <v>423149</v>
      </c>
      <c r="K367" s="260">
        <v>431769</v>
      </c>
      <c r="L367" s="260"/>
      <c r="O367" s="260"/>
      <c r="P367" s="260"/>
      <c r="Q367" s="260"/>
      <c r="R367" s="260"/>
      <c r="S367" s="260"/>
      <c r="U367" s="260"/>
      <c r="V367" s="260"/>
      <c r="W367" s="2"/>
      <c r="X367" s="2"/>
      <c r="Y367" s="2">
        <f t="shared" si="194"/>
        <v>8620</v>
      </c>
      <c r="Z367" s="2" t="str">
        <f t="shared" si="195"/>
        <v/>
      </c>
      <c r="AA367" s="2" t="str">
        <f t="shared" si="198"/>
        <v/>
      </c>
      <c r="AB367" s="2" t="str">
        <f t="shared" si="199"/>
        <v/>
      </c>
      <c r="AC367" s="2" t="str">
        <f t="shared" si="183"/>
        <v/>
      </c>
      <c r="AD367" s="2" t="str">
        <f t="shared" si="184"/>
        <v/>
      </c>
      <c r="AE367" s="2" t="str">
        <f t="shared" si="185"/>
        <v/>
      </c>
      <c r="AF367" s="2" t="str">
        <f t="shared" si="186"/>
        <v/>
      </c>
      <c r="AG367" s="2" t="str">
        <f t="shared" si="187"/>
        <v/>
      </c>
      <c r="AH367" s="2" t="str">
        <f t="shared" si="188"/>
        <v/>
      </c>
      <c r="AI367" s="2" t="str">
        <f t="shared" si="189"/>
        <v/>
      </c>
      <c r="AJ367" s="2" t="str">
        <f t="shared" si="190"/>
        <v/>
      </c>
      <c r="AK367" s="2">
        <v>1</v>
      </c>
      <c r="AL367" s="260">
        <f t="shared" ca="1" si="200"/>
        <v>0</v>
      </c>
      <c r="AM367" s="260">
        <f t="shared" ca="1" si="201"/>
        <v>0</v>
      </c>
      <c r="AN367" s="260" t="str">
        <f ca="1">IF(AND(Tabla7[[#This Row],[UltLec]]&lt;&gt;0,Tabla7[[#This Row],[PenLect]]&lt;&gt;0),(AM367-AL367)*Tabla7[[#This Row],[RT]],"N/A")</f>
        <v>N/A</v>
      </c>
      <c r="AO367" s="380" t="s">
        <v>813</v>
      </c>
      <c r="AP367" s="380" t="s">
        <v>1075</v>
      </c>
      <c r="AQ367" s="380" t="s">
        <v>1074</v>
      </c>
      <c r="AR367" s="2">
        <f t="shared" si="202"/>
        <v>0</v>
      </c>
      <c r="AT367" s="2" t="e">
        <f t="shared" ca="1" si="193"/>
        <v>#VALUE!</v>
      </c>
    </row>
    <row r="368" spans="1:46" ht="18" customHeight="1" x14ac:dyDescent="0.25">
      <c r="A368" s="291" t="s">
        <v>19</v>
      </c>
      <c r="B368" s="54"/>
      <c r="C368" s="239" t="s">
        <v>1118</v>
      </c>
      <c r="D368" s="54" t="s">
        <v>135</v>
      </c>
      <c r="E368" s="232">
        <v>132</v>
      </c>
      <c r="F368" s="2" t="s">
        <v>831</v>
      </c>
      <c r="G368" s="2" t="s">
        <v>686</v>
      </c>
      <c r="H368" s="2" t="s">
        <v>687</v>
      </c>
      <c r="I368" s="2" t="s">
        <v>688</v>
      </c>
      <c r="J368" s="260">
        <v>1531835</v>
      </c>
      <c r="K368" s="260">
        <v>1552835</v>
      </c>
      <c r="L368" s="260"/>
      <c r="O368" s="260"/>
      <c r="P368" s="260"/>
      <c r="Q368" s="260"/>
      <c r="R368" s="260"/>
      <c r="S368" s="260"/>
      <c r="U368" s="260"/>
      <c r="V368" s="260"/>
      <c r="W368" s="2"/>
      <c r="X368" s="2"/>
      <c r="Y368" s="2">
        <f t="shared" si="194"/>
        <v>21000</v>
      </c>
      <c r="Z368" s="2" t="str">
        <f t="shared" si="195"/>
        <v/>
      </c>
      <c r="AA368" s="2" t="str">
        <f t="shared" si="198"/>
        <v/>
      </c>
      <c r="AB368" s="2" t="str">
        <f t="shared" si="199"/>
        <v/>
      </c>
      <c r="AC368" s="2" t="str">
        <f t="shared" si="183"/>
        <v/>
      </c>
      <c r="AD368" s="2" t="str">
        <f t="shared" si="184"/>
        <v/>
      </c>
      <c r="AE368" s="2" t="str">
        <f t="shared" si="185"/>
        <v/>
      </c>
      <c r="AF368" s="2" t="str">
        <f t="shared" si="186"/>
        <v/>
      </c>
      <c r="AG368" s="2" t="str">
        <f t="shared" si="187"/>
        <v/>
      </c>
      <c r="AH368" s="2" t="str">
        <f t="shared" si="188"/>
        <v/>
      </c>
      <c r="AI368" s="2" t="str">
        <f t="shared" si="189"/>
        <v/>
      </c>
      <c r="AJ368" s="2" t="str">
        <f t="shared" si="190"/>
        <v/>
      </c>
      <c r="AK368" s="2">
        <v>1</v>
      </c>
      <c r="AL368" s="260">
        <f t="shared" ca="1" si="200"/>
        <v>0</v>
      </c>
      <c r="AM368" s="260">
        <f t="shared" ca="1" si="201"/>
        <v>0</v>
      </c>
      <c r="AN368" s="260" t="str">
        <f ca="1">IF(AND(Tabla7[[#This Row],[UltLec]]&lt;&gt;0,Tabla7[[#This Row],[PenLect]]&lt;&gt;0),(AM368-AL368)*Tabla7[[#This Row],[RT]],"N/A")</f>
        <v>N/A</v>
      </c>
      <c r="AO368" s="380" t="s">
        <v>813</v>
      </c>
      <c r="AP368" s="380" t="s">
        <v>1075</v>
      </c>
      <c r="AQ368" s="380" t="s">
        <v>1074</v>
      </c>
      <c r="AR368" s="2">
        <f t="shared" si="202"/>
        <v>0</v>
      </c>
      <c r="AT368" s="2" t="e">
        <f t="shared" ca="1" si="193"/>
        <v>#VALUE!</v>
      </c>
    </row>
    <row r="369" spans="1:46" ht="18" customHeight="1" x14ac:dyDescent="0.25">
      <c r="A369" s="291" t="s">
        <v>19</v>
      </c>
      <c r="B369" s="54"/>
      <c r="C369" s="239" t="s">
        <v>1330</v>
      </c>
      <c r="D369" s="54" t="s">
        <v>135</v>
      </c>
      <c r="E369" s="232">
        <v>39411</v>
      </c>
      <c r="F369" s="2" t="s">
        <v>1067</v>
      </c>
      <c r="G369" s="2" t="s">
        <v>683</v>
      </c>
      <c r="H369" s="2" t="s">
        <v>1335</v>
      </c>
      <c r="I369" s="2" t="s">
        <v>1299</v>
      </c>
      <c r="J369" s="260">
        <v>154547</v>
      </c>
      <c r="K369" s="260">
        <v>159462</v>
      </c>
      <c r="L369" s="260"/>
      <c r="O369" s="260"/>
      <c r="P369" s="308"/>
      <c r="Q369" s="260"/>
      <c r="R369" s="260"/>
      <c r="S369" s="260"/>
      <c r="U369" s="260"/>
      <c r="V369" s="260"/>
      <c r="W369" s="2"/>
      <c r="X369" s="2"/>
      <c r="Y369" s="2">
        <f t="shared" si="194"/>
        <v>4915</v>
      </c>
      <c r="Z369" s="2" t="str">
        <f t="shared" si="195"/>
        <v/>
      </c>
      <c r="AA369" s="2" t="str">
        <f t="shared" si="198"/>
        <v/>
      </c>
      <c r="AB369" s="2" t="str">
        <f t="shared" si="199"/>
        <v/>
      </c>
      <c r="AC369" s="2" t="str">
        <f t="shared" si="183"/>
        <v/>
      </c>
      <c r="AD369" s="2" t="str">
        <f t="shared" si="184"/>
        <v/>
      </c>
      <c r="AE369" s="2" t="str">
        <f t="shared" si="185"/>
        <v/>
      </c>
      <c r="AF369" s="2" t="str">
        <f t="shared" si="186"/>
        <v/>
      </c>
      <c r="AG369" s="2" t="str">
        <f t="shared" si="187"/>
        <v/>
      </c>
      <c r="AH369" s="2" t="str">
        <f t="shared" si="188"/>
        <v/>
      </c>
      <c r="AI369" s="2" t="str">
        <f t="shared" si="189"/>
        <v/>
      </c>
      <c r="AJ369" s="2" t="str">
        <f t="shared" si="190"/>
        <v/>
      </c>
      <c r="AK369" s="2">
        <v>1</v>
      </c>
      <c r="AL369" s="260">
        <f t="shared" ca="1" si="200"/>
        <v>0</v>
      </c>
      <c r="AM369" s="260">
        <f t="shared" ca="1" si="201"/>
        <v>0</v>
      </c>
      <c r="AN369" s="260" t="str">
        <f ca="1">IF(AND(Tabla7[[#This Row],[UltLec]]&lt;&gt;0,Tabla7[[#This Row],[PenLect]]&lt;&gt;0),(AM369-AL369)*Tabla7[[#This Row],[RT]],"N/A")</f>
        <v>N/A</v>
      </c>
      <c r="AO369" s="380" t="s">
        <v>813</v>
      </c>
      <c r="AP369" s="380" t="s">
        <v>1075</v>
      </c>
      <c r="AQ369" s="380" t="s">
        <v>1074</v>
      </c>
      <c r="AR369" s="2">
        <f t="shared" si="202"/>
        <v>0</v>
      </c>
      <c r="AT369" s="2" t="e">
        <f t="shared" ca="1" si="193"/>
        <v>#VALUE!</v>
      </c>
    </row>
    <row r="370" spans="1:46" ht="18" customHeight="1" x14ac:dyDescent="0.25">
      <c r="A370" s="291" t="s">
        <v>19</v>
      </c>
      <c r="B370" s="54"/>
      <c r="C370" s="239" t="s">
        <v>1452</v>
      </c>
      <c r="D370" s="54" t="s">
        <v>135</v>
      </c>
      <c r="E370" s="232">
        <v>39247</v>
      </c>
      <c r="F370" s="299" t="s">
        <v>1400</v>
      </c>
      <c r="G370" s="2" t="s">
        <v>683</v>
      </c>
      <c r="H370" s="2" t="s">
        <v>1401</v>
      </c>
      <c r="I370" s="2"/>
      <c r="J370" s="260">
        <v>10588</v>
      </c>
      <c r="K370" s="260">
        <v>11153</v>
      </c>
      <c r="L370" s="260"/>
      <c r="O370" s="260"/>
      <c r="P370" s="308"/>
      <c r="Q370" s="260"/>
      <c r="R370" s="260"/>
      <c r="S370" s="260"/>
      <c r="U370" s="260"/>
      <c r="V370" s="260"/>
      <c r="W370" s="2"/>
      <c r="X370" s="2"/>
      <c r="Y370" s="2">
        <f t="shared" si="194"/>
        <v>565</v>
      </c>
      <c r="Z370" s="2" t="str">
        <f t="shared" si="195"/>
        <v/>
      </c>
      <c r="AA370" s="2" t="str">
        <f t="shared" si="198"/>
        <v/>
      </c>
      <c r="AB370" s="2" t="str">
        <f t="shared" si="199"/>
        <v/>
      </c>
      <c r="AC370" s="2" t="str">
        <f t="shared" si="183"/>
        <v/>
      </c>
      <c r="AD370" s="2" t="str">
        <f t="shared" si="184"/>
        <v/>
      </c>
      <c r="AE370" s="2" t="str">
        <f t="shared" si="185"/>
        <v/>
      </c>
      <c r="AF370" s="2" t="str">
        <f t="shared" si="186"/>
        <v/>
      </c>
      <c r="AG370" s="2" t="str">
        <f t="shared" si="187"/>
        <v/>
      </c>
      <c r="AH370" s="2" t="str">
        <f t="shared" si="188"/>
        <v/>
      </c>
      <c r="AI370" s="2" t="str">
        <f t="shared" si="189"/>
        <v/>
      </c>
      <c r="AJ370" s="2" t="str">
        <f t="shared" si="190"/>
        <v/>
      </c>
      <c r="AK370" s="2">
        <v>1</v>
      </c>
      <c r="AL370" s="260">
        <f t="shared" ca="1" si="200"/>
        <v>0</v>
      </c>
      <c r="AM370" s="260">
        <f t="shared" ca="1" si="201"/>
        <v>0</v>
      </c>
      <c r="AN370" s="260" t="str">
        <f ca="1">IF(AND(Tabla7[[#This Row],[UltLec]]&lt;&gt;0,Tabla7[[#This Row],[PenLect]]&lt;&gt;0),(AM370-AL370)*Tabla7[[#This Row],[RT]],"N/A")</f>
        <v>N/A</v>
      </c>
      <c r="AO370" s="380" t="s">
        <v>813</v>
      </c>
      <c r="AP370" s="380" t="s">
        <v>1075</v>
      </c>
      <c r="AQ370" s="380" t="s">
        <v>1077</v>
      </c>
      <c r="AR370" s="2">
        <f t="shared" si="202"/>
        <v>0</v>
      </c>
      <c r="AT370" s="2" t="e">
        <f t="shared" ca="1" si="193"/>
        <v>#VALUE!</v>
      </c>
    </row>
    <row r="371" spans="1:46" ht="18" customHeight="1" x14ac:dyDescent="0.25">
      <c r="A371" s="407" t="s">
        <v>19</v>
      </c>
      <c r="B371" s="54"/>
      <c r="C371" s="420" t="s">
        <v>141</v>
      </c>
      <c r="D371" s="374" t="s">
        <v>135</v>
      </c>
      <c r="E371" s="232">
        <v>150</v>
      </c>
      <c r="F371" s="2" t="s">
        <v>21</v>
      </c>
      <c r="G371" s="2" t="s">
        <v>683</v>
      </c>
      <c r="H371" s="2" t="s">
        <v>684</v>
      </c>
      <c r="I371" s="2"/>
      <c r="J371" s="260">
        <v>51115</v>
      </c>
      <c r="K371" s="260">
        <v>53548</v>
      </c>
      <c r="L371" s="260"/>
      <c r="O371" s="260"/>
      <c r="P371" s="260"/>
      <c r="Q371" s="260"/>
      <c r="R371" s="260"/>
      <c r="S371" s="260"/>
      <c r="U371" s="260"/>
      <c r="V371" s="260"/>
      <c r="W371" s="2"/>
      <c r="X371" s="2"/>
      <c r="Y371" s="2">
        <f t="shared" si="194"/>
        <v>2433</v>
      </c>
      <c r="Z371" s="2" t="str">
        <f t="shared" si="195"/>
        <v/>
      </c>
      <c r="AA371" s="2" t="str">
        <f t="shared" si="198"/>
        <v/>
      </c>
      <c r="AB371" s="2" t="str">
        <f t="shared" si="199"/>
        <v/>
      </c>
      <c r="AC371" s="2" t="str">
        <f t="shared" ref="AC371:AC434" si="203">IF(OR(ISBLANK(O371),ISBLANK(N371)),"",IF(AND(O371&gt;=N371,O371-N371&lt;=O371),(O371-N371)*$AK371,"!!!!"))</f>
        <v/>
      </c>
      <c r="AD371" s="2" t="str">
        <f t="shared" ref="AD371:AD434" si="204">IF(OR(ISBLANK(P371),ISBLANK(O371)),"",IF(AND(P371&gt;=O371,P371-O371&lt;=P371),(P371-O371)*$AK371,"!!!!"))</f>
        <v/>
      </c>
      <c r="AE371" s="2" t="str">
        <f t="shared" ref="AE371:AE434" si="205">IF(OR(ISBLANK(Q371),ISBLANK(P371)),"",IF(AND(Q371&gt;=P371,Q371-P371&lt;=Q371),(Q371-P371)*$AK371,"!!!!"))</f>
        <v/>
      </c>
      <c r="AF371" s="2" t="str">
        <f t="shared" ref="AF371:AF434" si="206">IF(OR(ISBLANK(R371),ISBLANK(Q371)),"",IF(AND(R371&gt;=Q371,R371-Q371&lt;=R371),(R371-Q371)*$AK371,"!!!!"))</f>
        <v/>
      </c>
      <c r="AG371" s="2" t="str">
        <f t="shared" ref="AG371:AG434" si="207">IF(OR(ISBLANK(S371),ISBLANK(R371)),"",IF(AND(S371&gt;=R371,S371-R371&lt;=S371),(S371-R371)*$AK371,"!!!!"))</f>
        <v/>
      </c>
      <c r="AH371" s="2" t="str">
        <f t="shared" ref="AH371:AH434" si="208">IF(OR(ISBLANK(T371),ISBLANK(S371)),"",IF(AND(T371&gt;=S371,T371-S371&lt;=T371),(T371-S371)*$AK371,"!!!!"))</f>
        <v/>
      </c>
      <c r="AI371" s="2" t="str">
        <f t="shared" ref="AI371:AI434" si="209">IF(OR(ISBLANK(U371),ISBLANK(T371)),"",IF(AND(U371&gt;=T371,U371-T371&lt;=U371),(U371-T371)*$AK371,"!!!!"))</f>
        <v/>
      </c>
      <c r="AJ371" s="2" t="str">
        <f t="shared" ref="AJ371:AJ434" si="210">IF(OR(ISBLANK(V371),ISBLANK(U371)),"",IF(AND(V371&gt;=U371,V371-U371&lt;=V371),(V371-U371)*$AK371,"!!!!"))</f>
        <v/>
      </c>
      <c r="AK371" s="2">
        <v>1</v>
      </c>
      <c r="AL371" s="260">
        <f t="shared" ca="1" si="200"/>
        <v>0</v>
      </c>
      <c r="AM371" s="260">
        <f t="shared" ca="1" si="201"/>
        <v>0</v>
      </c>
      <c r="AN371" s="260" t="str">
        <f ca="1">IF(AND(Tabla7[[#This Row],[UltLec]]&lt;&gt;0,Tabla7[[#This Row],[PenLect]]&lt;&gt;0),(AM371-AL371)*Tabla7[[#This Row],[RT]],"N/A")</f>
        <v>N/A</v>
      </c>
      <c r="AO371" s="380" t="s">
        <v>813</v>
      </c>
      <c r="AP371" s="380" t="s">
        <v>1075</v>
      </c>
      <c r="AQ371" s="380" t="s">
        <v>1074</v>
      </c>
      <c r="AR371" s="2">
        <f t="shared" si="202"/>
        <v>0</v>
      </c>
      <c r="AT371" s="2" t="e">
        <f t="shared" ca="1" si="193"/>
        <v>#VALUE!</v>
      </c>
    </row>
    <row r="372" spans="1:46" ht="18" customHeight="1" x14ac:dyDescent="0.25">
      <c r="A372" s="405" t="s">
        <v>19</v>
      </c>
      <c r="B372" s="54"/>
      <c r="C372" s="239" t="s">
        <v>140</v>
      </c>
      <c r="D372" s="54" t="s">
        <v>135</v>
      </c>
      <c r="E372" s="232">
        <v>39577</v>
      </c>
      <c r="F372" s="2" t="s">
        <v>1067</v>
      </c>
      <c r="G372" s="2" t="s">
        <v>683</v>
      </c>
      <c r="H372" s="2" t="s">
        <v>684</v>
      </c>
      <c r="I372" s="386" t="s">
        <v>1068</v>
      </c>
      <c r="J372" s="260">
        <v>66647</v>
      </c>
      <c r="K372" s="260">
        <v>67879</v>
      </c>
      <c r="L372" s="260"/>
      <c r="O372" s="260"/>
      <c r="P372" s="260"/>
      <c r="Q372" s="260"/>
      <c r="R372" s="260"/>
      <c r="S372" s="260"/>
      <c r="U372" s="260"/>
      <c r="V372" s="260"/>
      <c r="W372" s="2"/>
      <c r="X372" s="2"/>
      <c r="Y372" s="2">
        <f t="shared" si="194"/>
        <v>1232</v>
      </c>
      <c r="Z372" s="2" t="str">
        <f t="shared" si="195"/>
        <v/>
      </c>
      <c r="AA372" s="2" t="str">
        <f t="shared" si="198"/>
        <v/>
      </c>
      <c r="AB372" s="2" t="str">
        <f t="shared" si="199"/>
        <v/>
      </c>
      <c r="AC372" s="2" t="str">
        <f t="shared" si="203"/>
        <v/>
      </c>
      <c r="AD372" s="2" t="str">
        <f t="shared" si="204"/>
        <v/>
      </c>
      <c r="AE372" s="2" t="str">
        <f t="shared" si="205"/>
        <v/>
      </c>
      <c r="AF372" s="2" t="str">
        <f t="shared" si="206"/>
        <v/>
      </c>
      <c r="AG372" s="2" t="str">
        <f t="shared" si="207"/>
        <v/>
      </c>
      <c r="AH372" s="2" t="str">
        <f t="shared" si="208"/>
        <v/>
      </c>
      <c r="AI372" s="2" t="str">
        <f t="shared" si="209"/>
        <v/>
      </c>
      <c r="AJ372" s="2" t="str">
        <f t="shared" si="210"/>
        <v/>
      </c>
      <c r="AK372" s="2">
        <v>1</v>
      </c>
      <c r="AL372" s="260">
        <f t="shared" ca="1" si="200"/>
        <v>0</v>
      </c>
      <c r="AM372" s="260">
        <f t="shared" ca="1" si="201"/>
        <v>0</v>
      </c>
      <c r="AN372" s="260" t="str">
        <f ca="1">IF(AND(Tabla7[[#This Row],[UltLec]]&lt;&gt;0,Tabla7[[#This Row],[PenLect]]&lt;&gt;0),(AM372-AL372)*Tabla7[[#This Row],[RT]],"N/A")</f>
        <v>N/A</v>
      </c>
      <c r="AO372" s="380" t="s">
        <v>813</v>
      </c>
      <c r="AP372" s="380" t="s">
        <v>1075</v>
      </c>
      <c r="AQ372" s="380" t="s">
        <v>1074</v>
      </c>
      <c r="AR372" s="2">
        <f t="shared" si="202"/>
        <v>0</v>
      </c>
      <c r="AT372" s="2" t="e">
        <f t="shared" ca="1" si="193"/>
        <v>#VALUE!</v>
      </c>
    </row>
    <row r="373" spans="1:46" ht="18" customHeight="1" x14ac:dyDescent="0.25">
      <c r="A373" s="405" t="s">
        <v>19</v>
      </c>
      <c r="B373" s="54">
        <v>1394</v>
      </c>
      <c r="C373" s="239" t="s">
        <v>138</v>
      </c>
      <c r="D373" s="54" t="s">
        <v>135</v>
      </c>
      <c r="E373" s="232">
        <v>39185</v>
      </c>
      <c r="F373" s="2" t="s">
        <v>425</v>
      </c>
      <c r="G373" s="2" t="s">
        <v>123</v>
      </c>
      <c r="H373" s="2" t="s">
        <v>426</v>
      </c>
      <c r="I373" s="2" t="s">
        <v>427</v>
      </c>
      <c r="J373" s="260">
        <v>316189</v>
      </c>
      <c r="K373" s="260">
        <v>321842</v>
      </c>
      <c r="L373" s="260"/>
      <c r="O373" s="260"/>
      <c r="P373" s="260"/>
      <c r="Q373" s="260"/>
      <c r="R373" s="260"/>
      <c r="S373" s="260"/>
      <c r="U373" s="260"/>
      <c r="V373" s="260"/>
      <c r="W373" s="2"/>
      <c r="X373" s="2"/>
      <c r="Y373" s="2">
        <f t="shared" si="194"/>
        <v>5653</v>
      </c>
      <c r="Z373" s="2" t="str">
        <f t="shared" si="195"/>
        <v/>
      </c>
      <c r="AA373" s="2" t="str">
        <f t="shared" si="198"/>
        <v/>
      </c>
      <c r="AB373" s="2" t="str">
        <f t="shared" si="199"/>
        <v/>
      </c>
      <c r="AC373" s="2" t="str">
        <f t="shared" si="203"/>
        <v/>
      </c>
      <c r="AD373" s="2" t="str">
        <f t="shared" si="204"/>
        <v/>
      </c>
      <c r="AE373" s="2" t="str">
        <f t="shared" si="205"/>
        <v/>
      </c>
      <c r="AF373" s="2" t="str">
        <f t="shared" si="206"/>
        <v/>
      </c>
      <c r="AG373" s="2" t="str">
        <f t="shared" si="207"/>
        <v/>
      </c>
      <c r="AH373" s="2" t="str">
        <f t="shared" si="208"/>
        <v/>
      </c>
      <c r="AI373" s="2" t="str">
        <f t="shared" si="209"/>
        <v/>
      </c>
      <c r="AJ373" s="2" t="str">
        <f t="shared" si="210"/>
        <v/>
      </c>
      <c r="AK373" s="2">
        <v>1</v>
      </c>
      <c r="AL373" s="260">
        <f t="shared" ca="1" si="200"/>
        <v>0</v>
      </c>
      <c r="AM373" s="260">
        <f t="shared" ca="1" si="201"/>
        <v>0</v>
      </c>
      <c r="AN373" s="260" t="str">
        <f ca="1">IF(AND(Tabla7[[#This Row],[UltLec]]&lt;&gt;0,Tabla7[[#This Row],[PenLect]]&lt;&gt;0),(AM373-AL373)*Tabla7[[#This Row],[RT]],"N/A")</f>
        <v>N/A</v>
      </c>
      <c r="AO373" s="380" t="s">
        <v>813</v>
      </c>
      <c r="AP373" s="380" t="s">
        <v>1075</v>
      </c>
      <c r="AQ373" s="380" t="s">
        <v>1074</v>
      </c>
      <c r="AR373" s="2">
        <f t="shared" si="202"/>
        <v>0</v>
      </c>
      <c r="AT373" s="2" t="e">
        <f t="shared" ca="1" si="193"/>
        <v>#VALUE!</v>
      </c>
    </row>
    <row r="374" spans="1:46" ht="18" hidden="1" customHeight="1" x14ac:dyDescent="0.25">
      <c r="A374" s="418" t="s">
        <v>1080</v>
      </c>
      <c r="B374" s="273"/>
      <c r="C374" s="367" t="s">
        <v>136</v>
      </c>
      <c r="D374" s="273" t="s">
        <v>135</v>
      </c>
      <c r="E374" s="274">
        <v>30000</v>
      </c>
      <c r="F374" s="275" t="s">
        <v>137</v>
      </c>
      <c r="G374" s="275" t="s">
        <v>689</v>
      </c>
      <c r="H374" s="275"/>
      <c r="I374" s="275" t="s">
        <v>690</v>
      </c>
      <c r="J374" s="275"/>
      <c r="K374" s="275"/>
      <c r="L374" s="275"/>
      <c r="M374" s="275"/>
      <c r="N374" s="275"/>
      <c r="O374" s="275"/>
      <c r="P374" s="275"/>
      <c r="Q374" s="275"/>
      <c r="R374" s="275"/>
      <c r="S374" s="275"/>
      <c r="T374" s="275"/>
      <c r="U374" s="275"/>
      <c r="V374" s="275"/>
      <c r="W374" s="275"/>
      <c r="X374" s="275"/>
      <c r="Y374" s="275" t="str">
        <f t="shared" si="194"/>
        <v/>
      </c>
      <c r="Z374" s="275" t="str">
        <f t="shared" si="195"/>
        <v/>
      </c>
      <c r="AA374" s="275" t="str">
        <f t="shared" si="198"/>
        <v/>
      </c>
      <c r="AB374" s="275" t="str">
        <f t="shared" si="199"/>
        <v/>
      </c>
      <c r="AC374" s="275" t="str">
        <f t="shared" si="203"/>
        <v/>
      </c>
      <c r="AD374" s="275" t="str">
        <f t="shared" si="204"/>
        <v/>
      </c>
      <c r="AE374" s="275" t="str">
        <f t="shared" si="205"/>
        <v/>
      </c>
      <c r="AF374" s="275" t="str">
        <f t="shared" si="206"/>
        <v/>
      </c>
      <c r="AG374" s="275" t="str">
        <f t="shared" si="207"/>
        <v/>
      </c>
      <c r="AH374" s="275" t="str">
        <f t="shared" si="208"/>
        <v/>
      </c>
      <c r="AI374" s="275" t="str">
        <f t="shared" si="209"/>
        <v/>
      </c>
      <c r="AJ374" s="275" t="str">
        <f t="shared" si="210"/>
        <v/>
      </c>
      <c r="AK374" s="275">
        <v>1</v>
      </c>
      <c r="AL374" s="277">
        <f t="shared" ca="1" si="200"/>
        <v>0</v>
      </c>
      <c r="AM374" s="277">
        <f t="shared" ca="1" si="201"/>
        <v>0</v>
      </c>
      <c r="AN374" s="277" t="str">
        <f ca="1">IF(AND(Tabla7[[#This Row],[UltLec]]&lt;&gt;0,Tabla7[[#This Row],[PenLect]]&lt;&gt;0),(AM374-AL374)*Tabla7[[#This Row],[RT]],"N/A")</f>
        <v>N/A</v>
      </c>
      <c r="AO374" s="393" t="s">
        <v>1160</v>
      </c>
      <c r="AP374" s="393" t="s">
        <v>1075</v>
      </c>
      <c r="AQ374" s="393" t="s">
        <v>1074</v>
      </c>
      <c r="AR374" s="275">
        <f t="shared" si="202"/>
        <v>0</v>
      </c>
      <c r="AT374" s="2" t="e">
        <f t="shared" ca="1" si="193"/>
        <v>#VALUE!</v>
      </c>
    </row>
    <row r="375" spans="1:46" ht="18" customHeight="1" x14ac:dyDescent="0.25">
      <c r="A375" s="291" t="s">
        <v>698</v>
      </c>
      <c r="B375" s="54"/>
      <c r="C375" s="239" t="s">
        <v>709</v>
      </c>
      <c r="D375" s="54" t="s">
        <v>135</v>
      </c>
      <c r="E375" s="232">
        <v>1</v>
      </c>
      <c r="F375" s="2" t="s">
        <v>846</v>
      </c>
      <c r="G375" s="2" t="s">
        <v>63</v>
      </c>
      <c r="H375" s="2"/>
      <c r="I375" s="2"/>
      <c r="J375" s="260">
        <v>4240420</v>
      </c>
      <c r="K375" s="260">
        <v>4293688</v>
      </c>
      <c r="L375" s="260"/>
      <c r="O375" s="260"/>
      <c r="P375" s="260"/>
      <c r="Q375" s="260"/>
      <c r="R375" s="260"/>
      <c r="S375" s="260"/>
      <c r="U375" s="260"/>
      <c r="V375" s="260"/>
      <c r="W375" s="2"/>
      <c r="X375" s="2"/>
      <c r="Y375" s="2">
        <f t="shared" si="194"/>
        <v>53268</v>
      </c>
      <c r="Z375" s="2" t="str">
        <f t="shared" si="195"/>
        <v/>
      </c>
      <c r="AA375" s="2" t="str">
        <f t="shared" si="198"/>
        <v/>
      </c>
      <c r="AB375" s="2" t="str">
        <f t="shared" si="199"/>
        <v/>
      </c>
      <c r="AC375" s="2" t="str">
        <f t="shared" si="203"/>
        <v/>
      </c>
      <c r="AD375" s="2" t="str">
        <f t="shared" si="204"/>
        <v/>
      </c>
      <c r="AE375" s="2" t="str">
        <f t="shared" si="205"/>
        <v/>
      </c>
      <c r="AF375" s="2" t="str">
        <f t="shared" si="206"/>
        <v/>
      </c>
      <c r="AG375" s="2" t="str">
        <f t="shared" si="207"/>
        <v/>
      </c>
      <c r="AH375" s="2" t="str">
        <f t="shared" si="208"/>
        <v/>
      </c>
      <c r="AI375" s="2" t="str">
        <f t="shared" si="209"/>
        <v/>
      </c>
      <c r="AJ375" s="2" t="str">
        <f t="shared" si="210"/>
        <v/>
      </c>
      <c r="AK375" s="2">
        <v>1</v>
      </c>
      <c r="AL375" s="260">
        <f t="shared" ca="1" si="200"/>
        <v>0</v>
      </c>
      <c r="AM375" s="260">
        <f t="shared" ca="1" si="201"/>
        <v>0</v>
      </c>
      <c r="AN375" s="260" t="str">
        <f ca="1">IF(AND(Tabla7[[#This Row],[UltLec]]&lt;&gt;0,Tabla7[[#This Row],[PenLect]]&lt;&gt;0),(AM375-AL375)*Tabla7[[#This Row],[RT]],"N/A")</f>
        <v>N/A</v>
      </c>
      <c r="AO375" s="380" t="s">
        <v>813</v>
      </c>
      <c r="AP375" s="380" t="s">
        <v>1076</v>
      </c>
      <c r="AQ375" s="380" t="s">
        <v>771</v>
      </c>
      <c r="AR375" s="2">
        <f t="shared" si="202"/>
        <v>0</v>
      </c>
      <c r="AT375" s="2" t="e">
        <f t="shared" ca="1" si="193"/>
        <v>#VALUE!</v>
      </c>
    </row>
    <row r="376" spans="1:46" ht="18" customHeight="1" x14ac:dyDescent="0.25">
      <c r="A376" s="291" t="s">
        <v>19</v>
      </c>
      <c r="B376" s="54" t="s">
        <v>654</v>
      </c>
      <c r="C376" s="239" t="s">
        <v>655</v>
      </c>
      <c r="D376" s="54" t="s">
        <v>135</v>
      </c>
      <c r="E376" s="232">
        <v>39574</v>
      </c>
      <c r="F376" s="2" t="s">
        <v>425</v>
      </c>
      <c r="G376" s="2" t="s">
        <v>685</v>
      </c>
      <c r="H376" s="2"/>
      <c r="I376" s="2"/>
      <c r="J376" s="260">
        <v>1880</v>
      </c>
      <c r="K376" s="260">
        <v>1880</v>
      </c>
      <c r="L376" s="260"/>
      <c r="O376" s="260"/>
      <c r="P376" s="260"/>
      <c r="Q376" s="260"/>
      <c r="R376" s="260"/>
      <c r="S376" s="260"/>
      <c r="U376" s="260"/>
      <c r="V376" s="260"/>
      <c r="W376" s="2"/>
      <c r="X376" s="2"/>
      <c r="Y376" s="2">
        <f t="shared" si="194"/>
        <v>0</v>
      </c>
      <c r="Z376" s="2" t="str">
        <f t="shared" si="195"/>
        <v/>
      </c>
      <c r="AA376" s="2" t="str">
        <f t="shared" si="198"/>
        <v/>
      </c>
      <c r="AB376" s="2" t="str">
        <f t="shared" si="199"/>
        <v/>
      </c>
      <c r="AC376" s="2" t="str">
        <f t="shared" si="203"/>
        <v/>
      </c>
      <c r="AD376" s="2" t="str">
        <f t="shared" si="204"/>
        <v/>
      </c>
      <c r="AE376" s="2" t="str">
        <f t="shared" si="205"/>
        <v/>
      </c>
      <c r="AF376" s="2" t="str">
        <f t="shared" si="206"/>
        <v/>
      </c>
      <c r="AG376" s="2" t="str">
        <f t="shared" si="207"/>
        <v/>
      </c>
      <c r="AH376" s="2" t="str">
        <f t="shared" si="208"/>
        <v/>
      </c>
      <c r="AI376" s="2" t="str">
        <f t="shared" si="209"/>
        <v/>
      </c>
      <c r="AJ376" s="2" t="str">
        <f t="shared" si="210"/>
        <v/>
      </c>
      <c r="AK376" s="2">
        <v>1</v>
      </c>
      <c r="AL376" s="260">
        <f t="shared" ca="1" si="200"/>
        <v>0</v>
      </c>
      <c r="AM376" s="260">
        <f t="shared" ca="1" si="201"/>
        <v>0</v>
      </c>
      <c r="AN376" s="260" t="str">
        <f ca="1">IF(AND(Tabla7[[#This Row],[UltLec]]&lt;&gt;0,Tabla7[[#This Row],[PenLect]]&lt;&gt;0),(AM376-AL376)*Tabla7[[#This Row],[RT]],"N/A")</f>
        <v>N/A</v>
      </c>
      <c r="AO376" s="380" t="s">
        <v>813</v>
      </c>
      <c r="AP376" s="380" t="s">
        <v>1075</v>
      </c>
      <c r="AQ376" s="380" t="s">
        <v>1074</v>
      </c>
      <c r="AR376" s="2">
        <f t="shared" si="202"/>
        <v>0</v>
      </c>
      <c r="AT376" s="2" t="e">
        <f t="shared" ca="1" si="193"/>
        <v>#VALUE!</v>
      </c>
    </row>
    <row r="377" spans="1:46" ht="18" customHeight="1" x14ac:dyDescent="0.25">
      <c r="A377" s="405" t="s">
        <v>19</v>
      </c>
      <c r="B377" s="54" t="s">
        <v>654</v>
      </c>
      <c r="C377" s="239" t="s">
        <v>657</v>
      </c>
      <c r="D377" s="54" t="s">
        <v>135</v>
      </c>
      <c r="E377" s="232">
        <v>39290</v>
      </c>
      <c r="F377" s="2" t="s">
        <v>425</v>
      </c>
      <c r="G377" s="2" t="s">
        <v>685</v>
      </c>
      <c r="H377" s="2"/>
      <c r="I377" s="2" t="s">
        <v>656</v>
      </c>
      <c r="J377" s="260">
        <v>9693</v>
      </c>
      <c r="K377" s="260">
        <v>9693</v>
      </c>
      <c r="L377" s="260"/>
      <c r="O377" s="260"/>
      <c r="P377" s="260"/>
      <c r="Q377" s="260"/>
      <c r="R377" s="260"/>
      <c r="S377" s="260"/>
      <c r="U377" s="260"/>
      <c r="V377" s="260"/>
      <c r="W377" s="2"/>
      <c r="X377" s="2"/>
      <c r="Y377" s="2">
        <f t="shared" si="194"/>
        <v>0</v>
      </c>
      <c r="Z377" s="2" t="str">
        <f t="shared" si="195"/>
        <v/>
      </c>
      <c r="AA377" s="2" t="str">
        <f t="shared" si="198"/>
        <v/>
      </c>
      <c r="AB377" s="2" t="str">
        <f t="shared" si="199"/>
        <v/>
      </c>
      <c r="AC377" s="2" t="str">
        <f t="shared" si="203"/>
        <v/>
      </c>
      <c r="AD377" s="2" t="str">
        <f t="shared" si="204"/>
        <v/>
      </c>
      <c r="AE377" s="2" t="str">
        <f t="shared" si="205"/>
        <v/>
      </c>
      <c r="AF377" s="2" t="str">
        <f t="shared" si="206"/>
        <v/>
      </c>
      <c r="AG377" s="2" t="str">
        <f t="shared" si="207"/>
        <v/>
      </c>
      <c r="AH377" s="2" t="str">
        <f t="shared" si="208"/>
        <v/>
      </c>
      <c r="AI377" s="2" t="str">
        <f t="shared" si="209"/>
        <v/>
      </c>
      <c r="AJ377" s="2" t="str">
        <f t="shared" si="210"/>
        <v/>
      </c>
      <c r="AK377" s="2">
        <v>1</v>
      </c>
      <c r="AL377" s="260">
        <f t="shared" ca="1" si="200"/>
        <v>0</v>
      </c>
      <c r="AM377" s="260">
        <f t="shared" ca="1" si="201"/>
        <v>0</v>
      </c>
      <c r="AN377" s="260" t="str">
        <f ca="1">IF(AND(Tabla7[[#This Row],[UltLec]]&lt;&gt;0,Tabla7[[#This Row],[PenLect]]&lt;&gt;0),(AM377-AL377)*Tabla7[[#This Row],[RT]],"N/A")</f>
        <v>N/A</v>
      </c>
      <c r="AO377" s="380" t="s">
        <v>813</v>
      </c>
      <c r="AP377" s="380" t="s">
        <v>1075</v>
      </c>
      <c r="AQ377" s="380" t="s">
        <v>1074</v>
      </c>
      <c r="AR377" s="2">
        <f t="shared" si="202"/>
        <v>0</v>
      </c>
      <c r="AT377" s="2" t="e">
        <f t="shared" ca="1" si="193"/>
        <v>#VALUE!</v>
      </c>
    </row>
    <row r="378" spans="1:46" ht="18" customHeight="1" x14ac:dyDescent="0.25">
      <c r="A378" s="405" t="s">
        <v>19</v>
      </c>
      <c r="B378" s="54">
        <v>1358</v>
      </c>
      <c r="C378" s="239" t="s">
        <v>1143</v>
      </c>
      <c r="D378" s="54" t="s">
        <v>142</v>
      </c>
      <c r="E378" s="232">
        <v>39011</v>
      </c>
      <c r="F378" s="2" t="s">
        <v>428</v>
      </c>
      <c r="G378" s="2" t="s">
        <v>38</v>
      </c>
      <c r="H378" s="2" t="s">
        <v>429</v>
      </c>
      <c r="I378" s="2" t="s">
        <v>430</v>
      </c>
      <c r="J378" s="260">
        <v>12068</v>
      </c>
      <c r="K378" s="260">
        <v>12202</v>
      </c>
      <c r="L378" s="260"/>
      <c r="O378" s="260"/>
      <c r="P378" s="260"/>
      <c r="Q378" s="260"/>
      <c r="R378" s="260"/>
      <c r="S378" s="260"/>
      <c r="U378" s="260"/>
      <c r="V378" s="260"/>
      <c r="W378" s="2"/>
      <c r="X378" s="2"/>
      <c r="Y378" s="2">
        <f t="shared" si="194"/>
        <v>134</v>
      </c>
      <c r="Z378" s="2" t="str">
        <f t="shared" si="195"/>
        <v/>
      </c>
      <c r="AA378" s="2" t="str">
        <f t="shared" si="198"/>
        <v/>
      </c>
      <c r="AB378" s="2" t="str">
        <f t="shared" si="199"/>
        <v/>
      </c>
      <c r="AC378" s="2" t="str">
        <f t="shared" si="203"/>
        <v/>
      </c>
      <c r="AD378" s="2" t="str">
        <f t="shared" si="204"/>
        <v/>
      </c>
      <c r="AE378" s="2" t="str">
        <f t="shared" si="205"/>
        <v/>
      </c>
      <c r="AF378" s="2" t="str">
        <f t="shared" si="206"/>
        <v/>
      </c>
      <c r="AG378" s="2" t="str">
        <f t="shared" si="207"/>
        <v/>
      </c>
      <c r="AH378" s="2" t="str">
        <f t="shared" si="208"/>
        <v/>
      </c>
      <c r="AI378" s="2" t="str">
        <f t="shared" si="209"/>
        <v/>
      </c>
      <c r="AJ378" s="2" t="str">
        <f t="shared" si="210"/>
        <v/>
      </c>
      <c r="AK378" s="2">
        <v>1</v>
      </c>
      <c r="AL378" s="260">
        <f t="shared" ca="1" si="200"/>
        <v>0</v>
      </c>
      <c r="AM378" s="260">
        <f t="shared" ca="1" si="201"/>
        <v>0</v>
      </c>
      <c r="AN378" s="260" t="str">
        <f ca="1">IF(AND(Tabla7[[#This Row],[UltLec]]&lt;&gt;0,Tabla7[[#This Row],[PenLect]]&lt;&gt;0),(AM378-AL378)*Tabla7[[#This Row],[RT]],"N/A")</f>
        <v>N/A</v>
      </c>
      <c r="AO378" s="380" t="s">
        <v>813</v>
      </c>
      <c r="AP378" s="380" t="s">
        <v>1075</v>
      </c>
      <c r="AQ378" s="380" t="s">
        <v>1074</v>
      </c>
      <c r="AR378" s="2">
        <f t="shared" si="202"/>
        <v>0</v>
      </c>
      <c r="AT378" s="2" t="e">
        <f t="shared" ca="1" si="193"/>
        <v>#VALUE!</v>
      </c>
    </row>
    <row r="379" spans="1:46" ht="18" customHeight="1" x14ac:dyDescent="0.25">
      <c r="A379" s="291" t="s">
        <v>19</v>
      </c>
      <c r="B379" s="54"/>
      <c r="C379" s="239" t="s">
        <v>1207</v>
      </c>
      <c r="D379" s="54" t="s">
        <v>142</v>
      </c>
      <c r="E379" s="232">
        <v>39645</v>
      </c>
      <c r="F379" s="2" t="s">
        <v>1219</v>
      </c>
      <c r="G379" s="2" t="s">
        <v>1239</v>
      </c>
      <c r="H379" s="2" t="s">
        <v>1209</v>
      </c>
      <c r="I379" s="2"/>
      <c r="J379" s="260">
        <v>578700</v>
      </c>
      <c r="K379" s="260">
        <v>595795</v>
      </c>
      <c r="L379" s="260"/>
      <c r="O379" s="260"/>
      <c r="P379" s="308"/>
      <c r="Q379" s="260"/>
      <c r="R379" s="260"/>
      <c r="S379" s="260"/>
      <c r="U379" s="260"/>
      <c r="V379" s="260"/>
      <c r="W379" s="2"/>
      <c r="X379" s="2"/>
      <c r="Y379" s="2">
        <f t="shared" si="194"/>
        <v>17095</v>
      </c>
      <c r="Z379" s="2" t="str">
        <f t="shared" si="195"/>
        <v/>
      </c>
      <c r="AA379" s="2" t="str">
        <f t="shared" si="198"/>
        <v/>
      </c>
      <c r="AB379" s="2" t="str">
        <f t="shared" si="199"/>
        <v/>
      </c>
      <c r="AC379" s="2" t="str">
        <f t="shared" si="203"/>
        <v/>
      </c>
      <c r="AD379" s="2" t="str">
        <f t="shared" si="204"/>
        <v/>
      </c>
      <c r="AE379" s="2" t="str">
        <f t="shared" si="205"/>
        <v/>
      </c>
      <c r="AF379" s="2" t="str">
        <f t="shared" si="206"/>
        <v/>
      </c>
      <c r="AG379" s="2" t="str">
        <f t="shared" si="207"/>
        <v/>
      </c>
      <c r="AH379" s="2" t="str">
        <f t="shared" si="208"/>
        <v/>
      </c>
      <c r="AI379" s="2" t="str">
        <f t="shared" si="209"/>
        <v/>
      </c>
      <c r="AJ379" s="2" t="str">
        <f t="shared" si="210"/>
        <v/>
      </c>
      <c r="AK379" s="2">
        <v>1</v>
      </c>
      <c r="AL379" s="260">
        <f t="shared" ca="1" si="200"/>
        <v>0</v>
      </c>
      <c r="AM379" s="260">
        <f t="shared" ca="1" si="201"/>
        <v>0</v>
      </c>
      <c r="AN379" s="260" t="str">
        <f ca="1">IF(AND(Tabla7[[#This Row],[UltLec]]&lt;&gt;0,Tabla7[[#This Row],[PenLect]]&lt;&gt;0),(AM379-AL379)*Tabla7[[#This Row],[RT]],"N/A")</f>
        <v>N/A</v>
      </c>
      <c r="AO379" s="380" t="s">
        <v>813</v>
      </c>
      <c r="AP379" s="380" t="s">
        <v>1076</v>
      </c>
      <c r="AQ379" s="380" t="s">
        <v>1074</v>
      </c>
      <c r="AR379" s="2">
        <f t="shared" si="202"/>
        <v>0</v>
      </c>
      <c r="AT379" s="2" t="e">
        <f t="shared" ca="1" si="193"/>
        <v>#VALUE!</v>
      </c>
    </row>
    <row r="380" spans="1:46" ht="18" customHeight="1" x14ac:dyDescent="0.25">
      <c r="A380" s="291" t="s">
        <v>19</v>
      </c>
      <c r="B380" s="54"/>
      <c r="C380" s="239" t="s">
        <v>1210</v>
      </c>
      <c r="D380" s="54" t="s">
        <v>142</v>
      </c>
      <c r="E380" s="232">
        <v>132</v>
      </c>
      <c r="F380" s="2" t="s">
        <v>1318</v>
      </c>
      <c r="G380" s="2" t="s">
        <v>1239</v>
      </c>
      <c r="H380" s="2"/>
      <c r="I380" s="2"/>
      <c r="J380" s="260">
        <v>103000</v>
      </c>
      <c r="K380" s="260">
        <v>106984</v>
      </c>
      <c r="L380" s="260"/>
      <c r="O380" s="260"/>
      <c r="P380" s="308"/>
      <c r="Q380" s="260"/>
      <c r="R380" s="260"/>
      <c r="S380" s="260"/>
      <c r="U380" s="260"/>
      <c r="V380" s="260"/>
      <c r="W380" s="2"/>
      <c r="X380" s="2"/>
      <c r="Y380" s="2">
        <f t="shared" si="194"/>
        <v>3984</v>
      </c>
      <c r="Z380" s="2" t="str">
        <f t="shared" si="195"/>
        <v/>
      </c>
      <c r="AA380" s="2" t="str">
        <f t="shared" si="198"/>
        <v/>
      </c>
      <c r="AB380" s="2" t="str">
        <f t="shared" si="199"/>
        <v/>
      </c>
      <c r="AC380" s="2" t="str">
        <f t="shared" si="203"/>
        <v/>
      </c>
      <c r="AD380" s="2" t="str">
        <f t="shared" si="204"/>
        <v/>
      </c>
      <c r="AE380" s="2" t="str">
        <f t="shared" si="205"/>
        <v/>
      </c>
      <c r="AF380" s="2" t="str">
        <f t="shared" si="206"/>
        <v/>
      </c>
      <c r="AG380" s="2" t="str">
        <f t="shared" si="207"/>
        <v/>
      </c>
      <c r="AH380" s="2" t="str">
        <f t="shared" si="208"/>
        <v/>
      </c>
      <c r="AI380" s="2" t="str">
        <f t="shared" si="209"/>
        <v/>
      </c>
      <c r="AJ380" s="2" t="str">
        <f t="shared" si="210"/>
        <v/>
      </c>
      <c r="AK380" s="2">
        <v>1</v>
      </c>
      <c r="AL380" s="260">
        <f t="shared" ca="1" si="200"/>
        <v>0</v>
      </c>
      <c r="AM380" s="260">
        <f t="shared" ca="1" si="201"/>
        <v>0</v>
      </c>
      <c r="AN380" s="260" t="str">
        <f ca="1">IF(AND(Tabla7[[#This Row],[UltLec]]&lt;&gt;0,Tabla7[[#This Row],[PenLect]]&lt;&gt;0),(AM380-AL380)*Tabla7[[#This Row],[RT]],"N/A")</f>
        <v>N/A</v>
      </c>
      <c r="AO380" s="380" t="s">
        <v>813</v>
      </c>
      <c r="AP380" s="380" t="s">
        <v>1076</v>
      </c>
      <c r="AQ380" s="380" t="s">
        <v>1074</v>
      </c>
      <c r="AR380" s="2">
        <f t="shared" si="202"/>
        <v>0</v>
      </c>
      <c r="AT380" s="2" t="e">
        <f t="shared" ca="1" si="193"/>
        <v>#VALUE!</v>
      </c>
    </row>
    <row r="381" spans="1:46" ht="18" hidden="1" customHeight="1" x14ac:dyDescent="0.25">
      <c r="A381" s="409" t="s">
        <v>1080</v>
      </c>
      <c r="B381" s="273" t="s">
        <v>143</v>
      </c>
      <c r="C381" s="379" t="s">
        <v>144</v>
      </c>
      <c r="D381" s="376" t="s">
        <v>142</v>
      </c>
      <c r="E381" s="377">
        <v>0</v>
      </c>
      <c r="F381" s="275" t="s">
        <v>145</v>
      </c>
      <c r="G381" s="275" t="s">
        <v>38</v>
      </c>
      <c r="H381" s="275" t="s">
        <v>146</v>
      </c>
      <c r="I381" s="275" t="s">
        <v>1069</v>
      </c>
      <c r="J381" s="277"/>
      <c r="K381" s="277"/>
      <c r="L381" s="277"/>
      <c r="M381" s="277"/>
      <c r="N381" s="277"/>
      <c r="O381" s="277"/>
      <c r="P381" s="277"/>
      <c r="Q381" s="277"/>
      <c r="R381" s="277"/>
      <c r="S381" s="277"/>
      <c r="T381" s="277"/>
      <c r="U381" s="277"/>
      <c r="V381" s="277"/>
      <c r="W381" s="277"/>
      <c r="X381" s="275"/>
      <c r="Y381" s="275" t="str">
        <f t="shared" si="194"/>
        <v/>
      </c>
      <c r="Z381" s="275" t="str">
        <f t="shared" si="195"/>
        <v/>
      </c>
      <c r="AA381" s="275" t="str">
        <f t="shared" si="198"/>
        <v/>
      </c>
      <c r="AB381" s="275" t="str">
        <f t="shared" si="199"/>
        <v/>
      </c>
      <c r="AC381" s="275" t="str">
        <f t="shared" si="203"/>
        <v/>
      </c>
      <c r="AD381" s="275" t="str">
        <f t="shared" si="204"/>
        <v/>
      </c>
      <c r="AE381" s="275" t="str">
        <f t="shared" si="205"/>
        <v/>
      </c>
      <c r="AF381" s="275" t="str">
        <f t="shared" si="206"/>
        <v/>
      </c>
      <c r="AG381" s="275" t="str">
        <f t="shared" si="207"/>
        <v/>
      </c>
      <c r="AH381" s="275" t="str">
        <f t="shared" si="208"/>
        <v/>
      </c>
      <c r="AI381" s="275" t="str">
        <f t="shared" si="209"/>
        <v/>
      </c>
      <c r="AJ381" s="275" t="str">
        <f t="shared" si="210"/>
        <v/>
      </c>
      <c r="AK381" s="275">
        <v>1</v>
      </c>
      <c r="AL381" s="277">
        <f t="shared" ca="1" si="200"/>
        <v>0</v>
      </c>
      <c r="AM381" s="277">
        <f t="shared" ca="1" si="201"/>
        <v>0</v>
      </c>
      <c r="AN381" s="277" t="str">
        <f ca="1">IF(AND(Tabla7[[#This Row],[UltLec]]&lt;&gt;0,Tabla7[[#This Row],[PenLect]]&lt;&gt;0),(AM381-AL381)*Tabla7[[#This Row],[RT]],"N/A")</f>
        <v>N/A</v>
      </c>
      <c r="AO381" s="393" t="s">
        <v>1160</v>
      </c>
      <c r="AP381" s="393" t="s">
        <v>1075</v>
      </c>
      <c r="AQ381" s="393" t="s">
        <v>1074</v>
      </c>
      <c r="AR381" s="275">
        <f t="shared" si="202"/>
        <v>0</v>
      </c>
      <c r="AT381" s="2" t="e">
        <f t="shared" ca="1" si="193"/>
        <v>#VALUE!</v>
      </c>
    </row>
    <row r="382" spans="1:46" ht="18" customHeight="1" x14ac:dyDescent="0.25">
      <c r="A382" s="405" t="s">
        <v>19</v>
      </c>
      <c r="B382" s="54"/>
      <c r="C382" s="239" t="s">
        <v>1134</v>
      </c>
      <c r="D382" s="54" t="s">
        <v>142</v>
      </c>
      <c r="E382" s="232">
        <v>141</v>
      </c>
      <c r="F382" s="2" t="s">
        <v>756</v>
      </c>
      <c r="G382" s="2" t="s">
        <v>757</v>
      </c>
      <c r="H382" s="2"/>
      <c r="I382" s="2"/>
      <c r="J382" s="260">
        <v>11685</v>
      </c>
      <c r="K382" s="260">
        <v>11685</v>
      </c>
      <c r="L382" s="260"/>
      <c r="O382" s="260"/>
      <c r="P382" s="260"/>
      <c r="Q382" s="260"/>
      <c r="R382" s="260"/>
      <c r="S382" s="260"/>
      <c r="U382" s="260"/>
      <c r="V382" s="260"/>
      <c r="W382" s="2"/>
      <c r="X382" s="2"/>
      <c r="Y382" s="2">
        <f t="shared" si="194"/>
        <v>0</v>
      </c>
      <c r="Z382" s="2" t="str">
        <f t="shared" si="195"/>
        <v/>
      </c>
      <c r="AA382" s="2" t="str">
        <f t="shared" si="198"/>
        <v/>
      </c>
      <c r="AB382" s="2" t="str">
        <f t="shared" si="199"/>
        <v/>
      </c>
      <c r="AC382" s="2" t="str">
        <f t="shared" si="203"/>
        <v/>
      </c>
      <c r="AD382" s="2" t="str">
        <f t="shared" si="204"/>
        <v/>
      </c>
      <c r="AE382" s="2" t="str">
        <f t="shared" si="205"/>
        <v/>
      </c>
      <c r="AF382" s="2" t="str">
        <f t="shared" si="206"/>
        <v/>
      </c>
      <c r="AG382" s="2" t="str">
        <f t="shared" si="207"/>
        <v/>
      </c>
      <c r="AH382" s="2" t="str">
        <f t="shared" si="208"/>
        <v/>
      </c>
      <c r="AI382" s="2" t="str">
        <f t="shared" si="209"/>
        <v/>
      </c>
      <c r="AJ382" s="2" t="str">
        <f t="shared" si="210"/>
        <v/>
      </c>
      <c r="AK382" s="2">
        <v>1</v>
      </c>
      <c r="AL382" s="260">
        <f t="shared" ca="1" si="200"/>
        <v>0</v>
      </c>
      <c r="AM382" s="260">
        <f t="shared" ca="1" si="201"/>
        <v>0</v>
      </c>
      <c r="AN382" s="260" t="str">
        <f ca="1">IF(AND(Tabla7[[#This Row],[UltLec]]&lt;&gt;0,Tabla7[[#This Row],[PenLect]]&lt;&gt;0),(AM382-AL382)*Tabla7[[#This Row],[RT]],"N/A")</f>
        <v>N/A</v>
      </c>
      <c r="AO382" s="380" t="s">
        <v>813</v>
      </c>
      <c r="AP382" s="380" t="s">
        <v>1076</v>
      </c>
      <c r="AQ382" s="380" t="s">
        <v>771</v>
      </c>
      <c r="AR382" s="2">
        <f t="shared" si="202"/>
        <v>0</v>
      </c>
      <c r="AT382" s="2" t="e">
        <f t="shared" ca="1" si="193"/>
        <v>#VALUE!</v>
      </c>
    </row>
    <row r="383" spans="1:46" ht="18" customHeight="1" x14ac:dyDescent="0.25">
      <c r="A383" s="405" t="s">
        <v>19</v>
      </c>
      <c r="B383" s="54"/>
      <c r="C383" s="239" t="s">
        <v>1211</v>
      </c>
      <c r="D383" s="54" t="s">
        <v>147</v>
      </c>
      <c r="E383" s="232">
        <v>132</v>
      </c>
      <c r="F383" s="2" t="s">
        <v>1318</v>
      </c>
      <c r="G383" s="2" t="s">
        <v>1239</v>
      </c>
      <c r="H383" s="2"/>
      <c r="I383" s="2"/>
      <c r="J383" s="260">
        <v>99100</v>
      </c>
      <c r="K383" s="260">
        <v>102844</v>
      </c>
      <c r="L383" s="260"/>
      <c r="O383" s="260"/>
      <c r="P383" s="308"/>
      <c r="Q383" s="260"/>
      <c r="R383" s="260"/>
      <c r="S383" s="260"/>
      <c r="U383" s="260"/>
      <c r="V383" s="260"/>
      <c r="W383" s="2"/>
      <c r="X383" s="2"/>
      <c r="Y383" s="2">
        <f t="shared" si="194"/>
        <v>3744</v>
      </c>
      <c r="Z383" s="2" t="str">
        <f t="shared" si="195"/>
        <v/>
      </c>
      <c r="AA383" s="2" t="str">
        <f t="shared" si="198"/>
        <v/>
      </c>
      <c r="AB383" s="2" t="str">
        <f t="shared" si="199"/>
        <v/>
      </c>
      <c r="AC383" s="2" t="str">
        <f t="shared" si="203"/>
        <v/>
      </c>
      <c r="AD383" s="2" t="str">
        <f t="shared" si="204"/>
        <v/>
      </c>
      <c r="AE383" s="2" t="str">
        <f t="shared" si="205"/>
        <v/>
      </c>
      <c r="AF383" s="2" t="str">
        <f t="shared" si="206"/>
        <v/>
      </c>
      <c r="AG383" s="2" t="str">
        <f t="shared" si="207"/>
        <v/>
      </c>
      <c r="AH383" s="2" t="str">
        <f t="shared" si="208"/>
        <v/>
      </c>
      <c r="AI383" s="2" t="str">
        <f t="shared" si="209"/>
        <v/>
      </c>
      <c r="AJ383" s="2" t="str">
        <f t="shared" si="210"/>
        <v/>
      </c>
      <c r="AK383" s="2">
        <v>1</v>
      </c>
      <c r="AL383" s="260">
        <f t="shared" ca="1" si="200"/>
        <v>0</v>
      </c>
      <c r="AM383" s="260">
        <f t="shared" ca="1" si="201"/>
        <v>0</v>
      </c>
      <c r="AN383" s="260" t="str">
        <f ca="1">IF(AND(Tabla7[[#This Row],[UltLec]]&lt;&gt;0,Tabla7[[#This Row],[PenLect]]&lt;&gt;0),(AM383-AL383)*Tabla7[[#This Row],[RT]],"N/A")</f>
        <v>N/A</v>
      </c>
      <c r="AO383" s="380" t="s">
        <v>813</v>
      </c>
      <c r="AP383" s="380" t="s">
        <v>1076</v>
      </c>
      <c r="AQ383" s="380" t="s">
        <v>1074</v>
      </c>
      <c r="AR383" s="2">
        <f t="shared" si="202"/>
        <v>0</v>
      </c>
      <c r="AT383" s="2" t="e">
        <f t="shared" ca="1" si="193"/>
        <v>#VALUE!</v>
      </c>
    </row>
    <row r="384" spans="1:46" ht="18" customHeight="1" x14ac:dyDescent="0.25">
      <c r="A384" s="291" t="s">
        <v>19</v>
      </c>
      <c r="B384" s="54"/>
      <c r="C384" s="239" t="s">
        <v>1208</v>
      </c>
      <c r="D384" s="54" t="s">
        <v>147</v>
      </c>
      <c r="E384" s="232">
        <v>39666</v>
      </c>
      <c r="F384" s="2" t="s">
        <v>1219</v>
      </c>
      <c r="G384" s="2" t="s">
        <v>1239</v>
      </c>
      <c r="H384" s="2" t="s">
        <v>1209</v>
      </c>
      <c r="I384" s="2"/>
      <c r="J384" s="260">
        <v>528020</v>
      </c>
      <c r="K384" s="260">
        <v>529952</v>
      </c>
      <c r="L384" s="260"/>
      <c r="O384" s="260"/>
      <c r="P384" s="308"/>
      <c r="Q384" s="260"/>
      <c r="R384" s="260"/>
      <c r="S384" s="260"/>
      <c r="U384" s="260"/>
      <c r="V384" s="260"/>
      <c r="W384" s="2"/>
      <c r="X384" s="2"/>
      <c r="Y384" s="2">
        <f t="shared" si="194"/>
        <v>1932</v>
      </c>
      <c r="Z384" s="2" t="str">
        <f t="shared" si="195"/>
        <v/>
      </c>
      <c r="AA384" s="2" t="str">
        <f t="shared" si="198"/>
        <v/>
      </c>
      <c r="AB384" s="2" t="str">
        <f t="shared" si="199"/>
        <v/>
      </c>
      <c r="AC384" s="2" t="str">
        <f t="shared" si="203"/>
        <v/>
      </c>
      <c r="AD384" s="2" t="str">
        <f t="shared" si="204"/>
        <v/>
      </c>
      <c r="AE384" s="2" t="str">
        <f t="shared" si="205"/>
        <v/>
      </c>
      <c r="AF384" s="2" t="str">
        <f t="shared" si="206"/>
        <v/>
      </c>
      <c r="AG384" s="2" t="str">
        <f t="shared" si="207"/>
        <v/>
      </c>
      <c r="AH384" s="2" t="str">
        <f t="shared" si="208"/>
        <v/>
      </c>
      <c r="AI384" s="2" t="str">
        <f t="shared" si="209"/>
        <v/>
      </c>
      <c r="AJ384" s="2" t="str">
        <f t="shared" si="210"/>
        <v/>
      </c>
      <c r="AK384" s="2">
        <v>1</v>
      </c>
      <c r="AL384" s="260">
        <f t="shared" ca="1" si="200"/>
        <v>0</v>
      </c>
      <c r="AM384" s="260">
        <f t="shared" ca="1" si="201"/>
        <v>0</v>
      </c>
      <c r="AN384" s="260" t="str">
        <f ca="1">IF(AND(Tabla7[[#This Row],[UltLec]]&lt;&gt;0,Tabla7[[#This Row],[PenLect]]&lt;&gt;0),(AM384-AL384)*Tabla7[[#This Row],[RT]],"N/A")</f>
        <v>N/A</v>
      </c>
      <c r="AO384" s="380" t="s">
        <v>813</v>
      </c>
      <c r="AP384" s="380" t="s">
        <v>1076</v>
      </c>
      <c r="AQ384" s="380" t="s">
        <v>1074</v>
      </c>
      <c r="AR384" s="2">
        <f t="shared" si="202"/>
        <v>0</v>
      </c>
      <c r="AT384" s="2" t="e">
        <f t="shared" ca="1" si="193"/>
        <v>#VALUE!</v>
      </c>
    </row>
    <row r="385" spans="1:46" ht="18" customHeight="1" x14ac:dyDescent="0.25">
      <c r="A385" s="407" t="s">
        <v>19</v>
      </c>
      <c r="B385" s="54">
        <v>1703</v>
      </c>
      <c r="C385" s="420" t="s">
        <v>1294</v>
      </c>
      <c r="D385" s="374" t="s">
        <v>147</v>
      </c>
      <c r="E385" s="232">
        <v>39664</v>
      </c>
      <c r="F385" s="2" t="s">
        <v>145</v>
      </c>
      <c r="G385" s="2" t="s">
        <v>1298</v>
      </c>
      <c r="H385" s="2" t="s">
        <v>1297</v>
      </c>
      <c r="I385" s="2" t="s">
        <v>1296</v>
      </c>
      <c r="J385" s="260">
        <v>154819</v>
      </c>
      <c r="K385" s="260">
        <v>160024</v>
      </c>
      <c r="L385" s="260"/>
      <c r="O385" s="260"/>
      <c r="P385" s="260"/>
      <c r="Q385" s="260"/>
      <c r="R385" s="260"/>
      <c r="S385" s="260"/>
      <c r="U385" s="260"/>
      <c r="V385" s="260"/>
      <c r="W385" s="2"/>
      <c r="X385" s="2"/>
      <c r="Y385" s="2">
        <f t="shared" si="194"/>
        <v>5205</v>
      </c>
      <c r="Z385" s="2" t="str">
        <f t="shared" si="195"/>
        <v/>
      </c>
      <c r="AA385" s="2" t="str">
        <f t="shared" ref="AA385:AA416" si="211">IF(OR(ISBLANK(M385),ISBLANK(L385)),"",IF(AND(M385&gt;=L385,M385-L385&lt;=M385),(M385-L385)*$AK385,"!!!!"))</f>
        <v/>
      </c>
      <c r="AB385" s="2" t="str">
        <f t="shared" ref="AB385:AB416" si="212">IF(OR(ISBLANK(N385),ISBLANK(M385)),"",IF(AND(N385&gt;=M385,N385-M385&lt;=N385),(N385-M385)*$AK385,"!!!!"))</f>
        <v/>
      </c>
      <c r="AC385" s="2" t="str">
        <f t="shared" si="203"/>
        <v/>
      </c>
      <c r="AD385" s="2" t="str">
        <f t="shared" si="204"/>
        <v/>
      </c>
      <c r="AE385" s="2" t="str">
        <f t="shared" si="205"/>
        <v/>
      </c>
      <c r="AF385" s="2" t="str">
        <f t="shared" si="206"/>
        <v/>
      </c>
      <c r="AG385" s="2" t="str">
        <f t="shared" si="207"/>
        <v/>
      </c>
      <c r="AH385" s="2" t="str">
        <f t="shared" si="208"/>
        <v/>
      </c>
      <c r="AI385" s="2" t="str">
        <f t="shared" si="209"/>
        <v/>
      </c>
      <c r="AJ385" s="2" t="str">
        <f t="shared" si="210"/>
        <v/>
      </c>
      <c r="AK385" s="2">
        <v>1</v>
      </c>
      <c r="AL385" s="260">
        <f t="shared" ca="1" si="200"/>
        <v>0</v>
      </c>
      <c r="AM385" s="260">
        <f t="shared" ca="1" si="201"/>
        <v>0</v>
      </c>
      <c r="AN385" s="260" t="str">
        <f ca="1">IF(AND(Tabla7[[#This Row],[UltLec]]&lt;&gt;0,Tabla7[[#This Row],[PenLect]]&lt;&gt;0),(AM385-AL385)*Tabla7[[#This Row],[RT]],"N/A")</f>
        <v>N/A</v>
      </c>
      <c r="AO385" s="380" t="s">
        <v>813</v>
      </c>
      <c r="AP385" s="380" t="s">
        <v>1075</v>
      </c>
      <c r="AQ385" s="380" t="s">
        <v>1074</v>
      </c>
      <c r="AR385" s="2">
        <f t="shared" si="202"/>
        <v>0</v>
      </c>
      <c r="AT385" s="2" t="e">
        <f t="shared" ca="1" si="193"/>
        <v>#VALUE!</v>
      </c>
    </row>
    <row r="386" spans="1:46" ht="18" hidden="1" customHeight="1" x14ac:dyDescent="0.25">
      <c r="A386" s="418" t="s">
        <v>1080</v>
      </c>
      <c r="B386" s="273" t="s">
        <v>148</v>
      </c>
      <c r="C386" s="367" t="s">
        <v>149</v>
      </c>
      <c r="D386" s="273" t="s">
        <v>147</v>
      </c>
      <c r="E386" s="274">
        <v>39041</v>
      </c>
      <c r="F386" s="275" t="s">
        <v>145</v>
      </c>
      <c r="G386" s="275" t="s">
        <v>38</v>
      </c>
      <c r="H386" s="275" t="s">
        <v>150</v>
      </c>
      <c r="I386" s="275" t="s">
        <v>1223</v>
      </c>
      <c r="J386" s="275"/>
      <c r="K386" s="277"/>
      <c r="L386" s="277"/>
      <c r="M386" s="277"/>
      <c r="N386" s="277"/>
      <c r="O386" s="277"/>
      <c r="P386" s="277"/>
      <c r="Q386" s="277"/>
      <c r="R386" s="277"/>
      <c r="S386" s="277"/>
      <c r="T386" s="277"/>
      <c r="U386" s="275"/>
      <c r="V386" s="275"/>
      <c r="W386" s="275"/>
      <c r="X386" s="275"/>
      <c r="Y386" s="275" t="str">
        <f t="shared" si="194"/>
        <v/>
      </c>
      <c r="Z386" s="275" t="str">
        <f t="shared" si="195"/>
        <v/>
      </c>
      <c r="AA386" s="275" t="str">
        <f t="shared" si="211"/>
        <v/>
      </c>
      <c r="AB386" s="275" t="str">
        <f t="shared" si="212"/>
        <v/>
      </c>
      <c r="AC386" s="275" t="str">
        <f t="shared" si="203"/>
        <v/>
      </c>
      <c r="AD386" s="275" t="str">
        <f t="shared" si="204"/>
        <v/>
      </c>
      <c r="AE386" s="275" t="str">
        <f t="shared" si="205"/>
        <v/>
      </c>
      <c r="AF386" s="275" t="str">
        <f t="shared" si="206"/>
        <v/>
      </c>
      <c r="AG386" s="275" t="str">
        <f t="shared" si="207"/>
        <v/>
      </c>
      <c r="AH386" s="275" t="str">
        <f t="shared" si="208"/>
        <v/>
      </c>
      <c r="AI386" s="275" t="str">
        <f t="shared" si="209"/>
        <v/>
      </c>
      <c r="AJ386" s="275" t="str">
        <f t="shared" si="210"/>
        <v/>
      </c>
      <c r="AK386" s="275">
        <v>1</v>
      </c>
      <c r="AL386" s="277">
        <f t="shared" ca="1" si="200"/>
        <v>0</v>
      </c>
      <c r="AM386" s="277">
        <f t="shared" ca="1" si="201"/>
        <v>0</v>
      </c>
      <c r="AN386" s="277" t="str">
        <f ca="1">IF(AND(Tabla7[[#This Row],[UltLec]]&lt;&gt;0,Tabla7[[#This Row],[PenLect]]&lt;&gt;0),(AM386-AL386)*Tabla7[[#This Row],[RT]],"N/A")</f>
        <v>N/A</v>
      </c>
      <c r="AO386" s="393" t="s">
        <v>1160</v>
      </c>
      <c r="AP386" s="393" t="s">
        <v>1075</v>
      </c>
      <c r="AQ386" s="393" t="s">
        <v>1074</v>
      </c>
      <c r="AR386" s="275">
        <f t="shared" si="202"/>
        <v>0</v>
      </c>
      <c r="AT386" s="2" t="e">
        <f t="shared" ca="1" si="193"/>
        <v>#VALUE!</v>
      </c>
    </row>
    <row r="387" spans="1:46" ht="18" customHeight="1" x14ac:dyDescent="0.25">
      <c r="A387" s="291" t="s">
        <v>19</v>
      </c>
      <c r="B387" s="54">
        <v>1725</v>
      </c>
      <c r="C387" s="239" t="s">
        <v>1336</v>
      </c>
      <c r="D387" s="54" t="s">
        <v>147</v>
      </c>
      <c r="E387" s="232">
        <v>39644</v>
      </c>
      <c r="F387" s="2" t="s">
        <v>1337</v>
      </c>
      <c r="G387" s="2" t="s">
        <v>1298</v>
      </c>
      <c r="H387" s="2" t="s">
        <v>1338</v>
      </c>
      <c r="I387" s="2" t="s">
        <v>1339</v>
      </c>
      <c r="J387" s="260">
        <v>548574</v>
      </c>
      <c r="K387" s="260">
        <v>553715</v>
      </c>
      <c r="L387" s="260"/>
      <c r="O387" s="260"/>
      <c r="P387" s="260"/>
      <c r="Q387" s="260"/>
      <c r="R387" s="260"/>
      <c r="S387" s="260"/>
      <c r="U387" s="260"/>
      <c r="V387" s="260"/>
      <c r="W387" s="2"/>
      <c r="X387" s="2"/>
      <c r="Y387" s="2">
        <f t="shared" si="194"/>
        <v>5141</v>
      </c>
      <c r="Z387" s="2" t="str">
        <f t="shared" si="195"/>
        <v/>
      </c>
      <c r="AA387" s="2" t="str">
        <f t="shared" si="211"/>
        <v/>
      </c>
      <c r="AB387" s="2" t="str">
        <f t="shared" si="212"/>
        <v/>
      </c>
      <c r="AC387" s="2" t="str">
        <f t="shared" si="203"/>
        <v/>
      </c>
      <c r="AD387" s="2" t="str">
        <f t="shared" si="204"/>
        <v/>
      </c>
      <c r="AE387" s="2" t="str">
        <f t="shared" si="205"/>
        <v/>
      </c>
      <c r="AF387" s="2" t="str">
        <f t="shared" si="206"/>
        <v/>
      </c>
      <c r="AG387" s="2" t="str">
        <f t="shared" si="207"/>
        <v/>
      </c>
      <c r="AH387" s="2" t="str">
        <f t="shared" si="208"/>
        <v/>
      </c>
      <c r="AI387" s="2" t="str">
        <f t="shared" si="209"/>
        <v/>
      </c>
      <c r="AJ387" s="2" t="str">
        <f t="shared" si="210"/>
        <v/>
      </c>
      <c r="AK387" s="2">
        <v>1</v>
      </c>
      <c r="AL387" s="260">
        <f t="shared" ca="1" si="200"/>
        <v>0</v>
      </c>
      <c r="AM387" s="260">
        <f t="shared" ca="1" si="201"/>
        <v>0</v>
      </c>
      <c r="AN387" s="260" t="str">
        <f ca="1">IF(AND(Tabla7[[#This Row],[UltLec]]&lt;&gt;0,Tabla7[[#This Row],[PenLect]]&lt;&gt;0),(AM387-AL387)*Tabla7[[#This Row],[RT]],"N/A")</f>
        <v>N/A</v>
      </c>
      <c r="AO387" s="380" t="s">
        <v>813</v>
      </c>
      <c r="AP387" s="380" t="s">
        <v>1075</v>
      </c>
      <c r="AQ387" s="380" t="s">
        <v>1074</v>
      </c>
      <c r="AR387" s="2">
        <f t="shared" si="202"/>
        <v>0</v>
      </c>
      <c r="AT387" s="2" t="e">
        <f t="shared" ca="1" si="193"/>
        <v>#VALUE!</v>
      </c>
    </row>
    <row r="388" spans="1:46" ht="18" customHeight="1" x14ac:dyDescent="0.25">
      <c r="A388" s="291" t="s">
        <v>19</v>
      </c>
      <c r="B388" s="54"/>
      <c r="C388" s="239" t="s">
        <v>153</v>
      </c>
      <c r="D388" s="54" t="s">
        <v>151</v>
      </c>
      <c r="E388" s="232">
        <v>140</v>
      </c>
      <c r="F388" s="2" t="s">
        <v>154</v>
      </c>
      <c r="G388" s="2" t="s">
        <v>934</v>
      </c>
      <c r="H388" s="2"/>
      <c r="I388" s="2"/>
      <c r="J388" s="260">
        <v>13373</v>
      </c>
      <c r="K388" s="260">
        <v>13560</v>
      </c>
      <c r="L388" s="260"/>
      <c r="O388" s="260"/>
      <c r="P388" s="260"/>
      <c r="Q388" s="260"/>
      <c r="R388" s="260"/>
      <c r="S388" s="260"/>
      <c r="U388" s="260"/>
      <c r="V388" s="260"/>
      <c r="W388" s="2"/>
      <c r="X388" s="2"/>
      <c r="Y388" s="2">
        <f t="shared" si="194"/>
        <v>187</v>
      </c>
      <c r="Z388" s="2" t="str">
        <f t="shared" si="195"/>
        <v/>
      </c>
      <c r="AA388" s="2" t="str">
        <f t="shared" si="211"/>
        <v/>
      </c>
      <c r="AB388" s="2" t="str">
        <f t="shared" si="212"/>
        <v/>
      </c>
      <c r="AC388" s="2" t="str">
        <f t="shared" si="203"/>
        <v/>
      </c>
      <c r="AD388" s="2" t="str">
        <f t="shared" si="204"/>
        <v/>
      </c>
      <c r="AE388" s="2" t="str">
        <f t="shared" si="205"/>
        <v/>
      </c>
      <c r="AF388" s="2" t="str">
        <f t="shared" si="206"/>
        <v/>
      </c>
      <c r="AG388" s="2" t="str">
        <f t="shared" si="207"/>
        <v/>
      </c>
      <c r="AH388" s="2" t="str">
        <f t="shared" si="208"/>
        <v/>
      </c>
      <c r="AI388" s="2" t="str">
        <f t="shared" si="209"/>
        <v/>
      </c>
      <c r="AJ388" s="2" t="str">
        <f t="shared" si="210"/>
        <v/>
      </c>
      <c r="AK388" s="2">
        <v>1</v>
      </c>
      <c r="AL388" s="260">
        <f t="shared" ca="1" si="200"/>
        <v>0</v>
      </c>
      <c r="AM388" s="260">
        <f t="shared" ca="1" si="201"/>
        <v>0</v>
      </c>
      <c r="AN388" s="260" t="str">
        <f ca="1">IF(AND(Tabla7[[#This Row],[UltLec]]&lt;&gt;0,Tabla7[[#This Row],[PenLect]]&lt;&gt;0),(AM388-AL388)*Tabla7[[#This Row],[RT]],"N/A")</f>
        <v>N/A</v>
      </c>
      <c r="AO388" s="380" t="s">
        <v>813</v>
      </c>
      <c r="AP388" s="380" t="s">
        <v>1076</v>
      </c>
      <c r="AQ388" s="380" t="s">
        <v>1074</v>
      </c>
      <c r="AR388" s="2">
        <f t="shared" si="202"/>
        <v>0</v>
      </c>
      <c r="AT388" s="2" t="e">
        <f t="shared" ca="1" si="193"/>
        <v>#VALUE!</v>
      </c>
    </row>
    <row r="389" spans="1:46" ht="18" customHeight="1" x14ac:dyDescent="0.25">
      <c r="A389" s="291" t="s">
        <v>19</v>
      </c>
      <c r="B389" s="54"/>
      <c r="C389" s="239" t="s">
        <v>157</v>
      </c>
      <c r="D389" s="54" t="s">
        <v>151</v>
      </c>
      <c r="E389" s="232">
        <v>140</v>
      </c>
      <c r="F389" s="2" t="s">
        <v>704</v>
      </c>
      <c r="G389" s="2" t="s">
        <v>936</v>
      </c>
      <c r="H389" s="2"/>
      <c r="I389" s="2"/>
      <c r="J389" s="260">
        <v>39002</v>
      </c>
      <c r="K389" s="260">
        <v>39435</v>
      </c>
      <c r="L389" s="260"/>
      <c r="O389" s="260"/>
      <c r="P389" s="260"/>
      <c r="Q389" s="260"/>
      <c r="R389" s="260"/>
      <c r="S389" s="260"/>
      <c r="U389" s="260"/>
      <c r="V389" s="260"/>
      <c r="W389" s="2"/>
      <c r="X389" s="2"/>
      <c r="Y389" s="2">
        <f t="shared" si="194"/>
        <v>433</v>
      </c>
      <c r="Z389" s="2" t="str">
        <f t="shared" si="195"/>
        <v/>
      </c>
      <c r="AA389" s="2" t="str">
        <f t="shared" si="211"/>
        <v/>
      </c>
      <c r="AB389" s="2" t="str">
        <f t="shared" si="212"/>
        <v/>
      </c>
      <c r="AC389" s="2" t="str">
        <f t="shared" si="203"/>
        <v/>
      </c>
      <c r="AD389" s="2" t="str">
        <f t="shared" si="204"/>
        <v/>
      </c>
      <c r="AE389" s="2" t="str">
        <f t="shared" si="205"/>
        <v/>
      </c>
      <c r="AF389" s="2" t="str">
        <f t="shared" si="206"/>
        <v/>
      </c>
      <c r="AG389" s="2" t="str">
        <f t="shared" si="207"/>
        <v/>
      </c>
      <c r="AH389" s="2" t="str">
        <f t="shared" si="208"/>
        <v/>
      </c>
      <c r="AI389" s="2" t="str">
        <f t="shared" si="209"/>
        <v/>
      </c>
      <c r="AJ389" s="2" t="str">
        <f t="shared" si="210"/>
        <v/>
      </c>
      <c r="AK389" s="2">
        <v>1</v>
      </c>
      <c r="AL389" s="260">
        <f t="shared" ca="1" si="200"/>
        <v>0</v>
      </c>
      <c r="AM389" s="260">
        <f t="shared" ca="1" si="201"/>
        <v>0</v>
      </c>
      <c r="AN389" s="260" t="str">
        <f ca="1">IF(AND(Tabla7[[#This Row],[UltLec]]&lt;&gt;0,Tabla7[[#This Row],[PenLect]]&lt;&gt;0),(AM389-AL389)*Tabla7[[#This Row],[RT]],"N/A")</f>
        <v>N/A</v>
      </c>
      <c r="AO389" s="380" t="s">
        <v>813</v>
      </c>
      <c r="AP389" s="380" t="s">
        <v>1076</v>
      </c>
      <c r="AQ389" s="380" t="s">
        <v>1074</v>
      </c>
      <c r="AR389" s="2">
        <f t="shared" si="202"/>
        <v>0</v>
      </c>
      <c r="AT389" s="2" t="e">
        <f t="shared" ref="AT389:AT452" ca="1" si="213">IF(IF(DAY(TODAY())&gt;15,INDEX($Y389:$AJ389,1,MONTH(TODAY())-1),INDEX($Y389:$AJ389,1,MONTH(TODAY())-2))=0,"0",IF(DAY(TODAY())&gt;15,INDEX($Y389:$AJ389,1,MONTH(TODAY())),INDEX($Y389:$AJ389,1,MONTH(TODAY())-1))/IF(DAY(TODAY())&gt;15,INDEX($Y389:$AJ389,1,MONTH(TODAY())-1),INDEX($Y389:$AJ389,1,MONTH(TODAY())-2)))</f>
        <v>#VALUE!</v>
      </c>
    </row>
    <row r="390" spans="1:46" ht="18" hidden="1" customHeight="1" x14ac:dyDescent="0.25">
      <c r="A390" s="418" t="s">
        <v>1080</v>
      </c>
      <c r="B390" s="273"/>
      <c r="C390" s="367" t="s">
        <v>167</v>
      </c>
      <c r="D390" s="273" t="s">
        <v>151</v>
      </c>
      <c r="E390" s="274">
        <v>39104</v>
      </c>
      <c r="F390" s="275" t="s">
        <v>168</v>
      </c>
      <c r="G390" s="275" t="s">
        <v>101</v>
      </c>
      <c r="H390" s="275"/>
      <c r="I390" s="275" t="s">
        <v>716</v>
      </c>
      <c r="J390" s="275"/>
      <c r="K390" s="275"/>
      <c r="L390" s="275"/>
      <c r="M390" s="275"/>
      <c r="N390" s="275"/>
      <c r="O390" s="275"/>
      <c r="P390" s="275"/>
      <c r="Q390" s="275"/>
      <c r="R390" s="275"/>
      <c r="S390" s="275"/>
      <c r="T390" s="275"/>
      <c r="U390" s="275"/>
      <c r="V390" s="275"/>
      <c r="W390" s="275"/>
      <c r="X390" s="275"/>
      <c r="Y390" s="275" t="str">
        <f t="shared" si="194"/>
        <v/>
      </c>
      <c r="Z390" s="275" t="str">
        <f t="shared" si="195"/>
        <v/>
      </c>
      <c r="AA390" s="275" t="str">
        <f t="shared" si="211"/>
        <v/>
      </c>
      <c r="AB390" s="275" t="str">
        <f t="shared" si="212"/>
        <v/>
      </c>
      <c r="AC390" s="275" t="str">
        <f t="shared" si="203"/>
        <v/>
      </c>
      <c r="AD390" s="275" t="str">
        <f t="shared" si="204"/>
        <v/>
      </c>
      <c r="AE390" s="275" t="str">
        <f t="shared" si="205"/>
        <v/>
      </c>
      <c r="AF390" s="275" t="str">
        <f t="shared" si="206"/>
        <v/>
      </c>
      <c r="AG390" s="275" t="str">
        <f t="shared" si="207"/>
        <v/>
      </c>
      <c r="AH390" s="275" t="str">
        <f t="shared" si="208"/>
        <v/>
      </c>
      <c r="AI390" s="275" t="str">
        <f t="shared" si="209"/>
        <v/>
      </c>
      <c r="AJ390" s="275" t="str">
        <f t="shared" si="210"/>
        <v/>
      </c>
      <c r="AK390" s="275">
        <v>1</v>
      </c>
      <c r="AL390" s="277">
        <f t="shared" ca="1" si="200"/>
        <v>0</v>
      </c>
      <c r="AM390" s="277">
        <f t="shared" ca="1" si="201"/>
        <v>0</v>
      </c>
      <c r="AN390" s="277" t="str">
        <f ca="1">IF(AND(Tabla7[[#This Row],[UltLec]]&lt;&gt;0,Tabla7[[#This Row],[PenLect]]&lt;&gt;0),(AM390-AL390)*Tabla7[[#This Row],[RT]],"N/A")</f>
        <v>N/A</v>
      </c>
      <c r="AO390" s="393" t="s">
        <v>1160</v>
      </c>
      <c r="AP390" s="393" t="s">
        <v>1076</v>
      </c>
      <c r="AQ390" s="393" t="s">
        <v>1074</v>
      </c>
      <c r="AR390" s="275">
        <f t="shared" si="202"/>
        <v>0</v>
      </c>
      <c r="AT390" s="2" t="e">
        <f t="shared" ca="1" si="213"/>
        <v>#VALUE!</v>
      </c>
    </row>
    <row r="391" spans="1:46" ht="18" hidden="1" customHeight="1" x14ac:dyDescent="0.25">
      <c r="A391" s="418" t="s">
        <v>1080</v>
      </c>
      <c r="B391" s="54">
        <v>4369</v>
      </c>
      <c r="C391" s="367" t="s">
        <v>165</v>
      </c>
      <c r="D391" s="273" t="s">
        <v>151</v>
      </c>
      <c r="E391" s="274">
        <v>39725</v>
      </c>
      <c r="F391" s="275" t="s">
        <v>166</v>
      </c>
      <c r="G391" s="275" t="s">
        <v>964</v>
      </c>
      <c r="H391" s="275" t="s">
        <v>1683</v>
      </c>
      <c r="I391" s="275"/>
      <c r="J391" s="275"/>
      <c r="K391" s="275"/>
      <c r="L391" s="275"/>
      <c r="M391" s="275"/>
      <c r="N391" s="275"/>
      <c r="O391" s="275"/>
      <c r="P391" s="275"/>
      <c r="Q391" s="275"/>
      <c r="R391" s="275"/>
      <c r="S391" s="275"/>
      <c r="T391" s="275"/>
      <c r="U391" s="275"/>
      <c r="V391" s="275"/>
      <c r="W391" s="275"/>
      <c r="X391" s="275"/>
      <c r="Y391" s="275" t="str">
        <f t="shared" si="194"/>
        <v/>
      </c>
      <c r="Z391" s="275" t="str">
        <f t="shared" si="195"/>
        <v/>
      </c>
      <c r="AA391" s="275" t="str">
        <f t="shared" si="211"/>
        <v/>
      </c>
      <c r="AB391" s="275" t="str">
        <f t="shared" si="212"/>
        <v/>
      </c>
      <c r="AC391" s="275" t="str">
        <f t="shared" si="203"/>
        <v/>
      </c>
      <c r="AD391" s="275" t="str">
        <f t="shared" si="204"/>
        <v/>
      </c>
      <c r="AE391" s="275" t="str">
        <f t="shared" si="205"/>
        <v/>
      </c>
      <c r="AF391" s="275" t="str">
        <f t="shared" si="206"/>
        <v/>
      </c>
      <c r="AG391" s="275" t="str">
        <f t="shared" si="207"/>
        <v/>
      </c>
      <c r="AH391" s="275" t="str">
        <f t="shared" si="208"/>
        <v/>
      </c>
      <c r="AI391" s="275" t="str">
        <f t="shared" si="209"/>
        <v/>
      </c>
      <c r="AJ391" s="275" t="str">
        <f t="shared" si="210"/>
        <v/>
      </c>
      <c r="AK391" s="275">
        <v>1</v>
      </c>
      <c r="AL391" s="275">
        <f t="shared" ca="1" si="200"/>
        <v>0</v>
      </c>
      <c r="AM391" s="275">
        <f t="shared" ca="1" si="201"/>
        <v>0</v>
      </c>
      <c r="AN391" s="275" t="str">
        <f ca="1">IF(AND(Tabla7[[#This Row],[UltLec]]&lt;&gt;0,Tabla7[[#This Row],[PenLect]]&lt;&gt;0),(AM391-AL391)*Tabla7[[#This Row],[RT]],"N/A")</f>
        <v>N/A</v>
      </c>
      <c r="AO391" s="275" t="s">
        <v>1160</v>
      </c>
      <c r="AP391" s="275" t="s">
        <v>1076</v>
      </c>
      <c r="AQ391" s="275" t="s">
        <v>1074</v>
      </c>
      <c r="AR391" s="275">
        <f t="shared" si="202"/>
        <v>0</v>
      </c>
      <c r="AT391" s="2" t="e">
        <f t="shared" ca="1" si="213"/>
        <v>#VALUE!</v>
      </c>
    </row>
    <row r="392" spans="1:46" ht="18" customHeight="1" x14ac:dyDescent="0.25">
      <c r="A392" s="291" t="s">
        <v>19</v>
      </c>
      <c r="B392" s="54">
        <v>4369</v>
      </c>
      <c r="C392" s="239" t="s">
        <v>165</v>
      </c>
      <c r="D392" s="54" t="s">
        <v>151</v>
      </c>
      <c r="E392" s="232">
        <v>39725</v>
      </c>
      <c r="F392" s="2" t="s">
        <v>1680</v>
      </c>
      <c r="G392" s="2" t="s">
        <v>964</v>
      </c>
      <c r="H392" s="2" t="s">
        <v>1684</v>
      </c>
      <c r="I392" s="2"/>
      <c r="J392" s="260">
        <v>820369</v>
      </c>
      <c r="K392" s="260">
        <v>827554</v>
      </c>
      <c r="L392" s="260"/>
      <c r="O392" s="260"/>
      <c r="P392" s="260"/>
      <c r="Q392" s="260"/>
      <c r="R392" s="260"/>
      <c r="S392" s="260"/>
      <c r="U392" s="260"/>
      <c r="V392" s="260"/>
      <c r="W392" s="2"/>
      <c r="X392" s="2"/>
      <c r="Y392" s="2">
        <f t="shared" si="194"/>
        <v>7185</v>
      </c>
      <c r="Z392" s="2" t="str">
        <f t="shared" si="195"/>
        <v/>
      </c>
      <c r="AA392" s="2" t="str">
        <f t="shared" si="211"/>
        <v/>
      </c>
      <c r="AB392" s="2" t="str">
        <f t="shared" si="212"/>
        <v/>
      </c>
      <c r="AC392" s="2" t="str">
        <f t="shared" si="203"/>
        <v/>
      </c>
      <c r="AD392" s="2" t="str">
        <f t="shared" si="204"/>
        <v/>
      </c>
      <c r="AE392" s="2" t="str">
        <f t="shared" si="205"/>
        <v/>
      </c>
      <c r="AF392" s="2" t="str">
        <f t="shared" si="206"/>
        <v/>
      </c>
      <c r="AG392" s="2" t="str">
        <f t="shared" si="207"/>
        <v/>
      </c>
      <c r="AH392" s="2" t="str">
        <f t="shared" si="208"/>
        <v/>
      </c>
      <c r="AI392" s="2" t="str">
        <f t="shared" si="209"/>
        <v/>
      </c>
      <c r="AJ392" s="2" t="str">
        <f t="shared" si="210"/>
        <v/>
      </c>
      <c r="AK392" s="2">
        <v>1</v>
      </c>
      <c r="AL392" s="260">
        <f t="shared" ca="1" si="200"/>
        <v>0</v>
      </c>
      <c r="AM392" s="260">
        <f t="shared" ca="1" si="201"/>
        <v>0</v>
      </c>
      <c r="AN392" s="260" t="str">
        <f ca="1">IF(AND(Tabla7[[#This Row],[UltLec]]&lt;&gt;0,Tabla7[[#This Row],[PenLect]]&lt;&gt;0),(AM392-AL392)*Tabla7[[#This Row],[RT]],"N/A")</f>
        <v>N/A</v>
      </c>
      <c r="AO392" s="380" t="s">
        <v>813</v>
      </c>
      <c r="AP392" s="380" t="s">
        <v>1076</v>
      </c>
      <c r="AQ392" s="380" t="s">
        <v>1074</v>
      </c>
      <c r="AR392" s="2">
        <f t="shared" si="202"/>
        <v>0</v>
      </c>
      <c r="AT392" s="2" t="e">
        <f t="shared" ca="1" si="213"/>
        <v>#VALUE!</v>
      </c>
    </row>
    <row r="393" spans="1:46" ht="18" hidden="1" customHeight="1" x14ac:dyDescent="0.25">
      <c r="A393" s="418" t="s">
        <v>1080</v>
      </c>
      <c r="B393" s="273">
        <v>32608</v>
      </c>
      <c r="C393" s="367" t="s">
        <v>170</v>
      </c>
      <c r="D393" s="273" t="s">
        <v>151</v>
      </c>
      <c r="E393" s="274">
        <v>39007</v>
      </c>
      <c r="F393" s="275" t="s">
        <v>171</v>
      </c>
      <c r="G393" s="275" t="s">
        <v>101</v>
      </c>
      <c r="H393" s="275"/>
      <c r="I393" s="275" t="s">
        <v>715</v>
      </c>
      <c r="J393" s="275"/>
      <c r="K393" s="275"/>
      <c r="L393" s="275"/>
      <c r="M393" s="275"/>
      <c r="N393" s="275"/>
      <c r="O393" s="275"/>
      <c r="P393" s="275"/>
      <c r="Q393" s="275"/>
      <c r="R393" s="275"/>
      <c r="S393" s="275"/>
      <c r="T393" s="275"/>
      <c r="U393" s="275"/>
      <c r="V393" s="275"/>
      <c r="W393" s="275"/>
      <c r="X393" s="275"/>
      <c r="Y393" s="275" t="str">
        <f t="shared" si="194"/>
        <v/>
      </c>
      <c r="Z393" s="275" t="str">
        <f t="shared" si="195"/>
        <v/>
      </c>
      <c r="AA393" s="275" t="str">
        <f t="shared" si="211"/>
        <v/>
      </c>
      <c r="AB393" s="275" t="str">
        <f t="shared" si="212"/>
        <v/>
      </c>
      <c r="AC393" s="275" t="str">
        <f t="shared" si="203"/>
        <v/>
      </c>
      <c r="AD393" s="275" t="str">
        <f t="shared" si="204"/>
        <v/>
      </c>
      <c r="AE393" s="275" t="str">
        <f t="shared" si="205"/>
        <v/>
      </c>
      <c r="AF393" s="275" t="str">
        <f t="shared" si="206"/>
        <v/>
      </c>
      <c r="AG393" s="275" t="str">
        <f t="shared" si="207"/>
        <v/>
      </c>
      <c r="AH393" s="275" t="str">
        <f t="shared" si="208"/>
        <v/>
      </c>
      <c r="AI393" s="275" t="str">
        <f t="shared" si="209"/>
        <v/>
      </c>
      <c r="AJ393" s="275" t="str">
        <f t="shared" si="210"/>
        <v/>
      </c>
      <c r="AK393" s="275">
        <v>1</v>
      </c>
      <c r="AL393" s="277">
        <f t="shared" ca="1" si="200"/>
        <v>0</v>
      </c>
      <c r="AM393" s="277">
        <f t="shared" ca="1" si="201"/>
        <v>0</v>
      </c>
      <c r="AN393" s="277" t="str">
        <f ca="1">IF(AND(Tabla7[[#This Row],[UltLec]]&lt;&gt;0,Tabla7[[#This Row],[PenLect]]&lt;&gt;0),(AM393-AL393)*Tabla7[[#This Row],[RT]],"N/A")</f>
        <v>N/A</v>
      </c>
      <c r="AO393" s="393" t="s">
        <v>1160</v>
      </c>
      <c r="AP393" s="393" t="s">
        <v>1076</v>
      </c>
      <c r="AQ393" s="393" t="s">
        <v>1074</v>
      </c>
      <c r="AR393" s="275">
        <f t="shared" si="202"/>
        <v>0</v>
      </c>
      <c r="AT393" s="2" t="e">
        <f t="shared" ca="1" si="213"/>
        <v>#VALUE!</v>
      </c>
    </row>
    <row r="394" spans="1:46" ht="18" customHeight="1" x14ac:dyDescent="0.25">
      <c r="A394" s="291" t="s">
        <v>19</v>
      </c>
      <c r="B394" s="54"/>
      <c r="C394" s="239" t="s">
        <v>155</v>
      </c>
      <c r="D394" s="54" t="s">
        <v>151</v>
      </c>
      <c r="E394" s="232">
        <v>140</v>
      </c>
      <c r="F394" s="2" t="s">
        <v>156</v>
      </c>
      <c r="G394" s="2" t="s">
        <v>935</v>
      </c>
      <c r="H394" s="2"/>
      <c r="I394" s="2"/>
      <c r="J394" s="260">
        <v>6179</v>
      </c>
      <c r="K394" s="260">
        <v>6252</v>
      </c>
      <c r="L394" s="260"/>
      <c r="O394" s="260"/>
      <c r="P394" s="260"/>
      <c r="Q394" s="260"/>
      <c r="R394" s="260"/>
      <c r="S394" s="260"/>
      <c r="U394" s="260"/>
      <c r="V394" s="260"/>
      <c r="W394" s="2"/>
      <c r="X394" s="2"/>
      <c r="Y394" s="2">
        <f t="shared" si="194"/>
        <v>73</v>
      </c>
      <c r="Z394" s="2" t="str">
        <f t="shared" si="195"/>
        <v/>
      </c>
      <c r="AA394" s="2" t="str">
        <f t="shared" si="211"/>
        <v/>
      </c>
      <c r="AB394" s="2" t="str">
        <f t="shared" si="212"/>
        <v/>
      </c>
      <c r="AC394" s="2" t="str">
        <f t="shared" si="203"/>
        <v/>
      </c>
      <c r="AD394" s="2" t="str">
        <f t="shared" si="204"/>
        <v/>
      </c>
      <c r="AE394" s="2" t="str">
        <f t="shared" si="205"/>
        <v/>
      </c>
      <c r="AF394" s="2" t="str">
        <f t="shared" si="206"/>
        <v/>
      </c>
      <c r="AG394" s="2" t="str">
        <f t="shared" si="207"/>
        <v/>
      </c>
      <c r="AH394" s="2" t="str">
        <f t="shared" si="208"/>
        <v/>
      </c>
      <c r="AI394" s="2" t="str">
        <f t="shared" si="209"/>
        <v/>
      </c>
      <c r="AJ394" s="2" t="str">
        <f t="shared" si="210"/>
        <v/>
      </c>
      <c r="AK394" s="2">
        <v>1</v>
      </c>
      <c r="AL394" s="260">
        <f t="shared" ca="1" si="200"/>
        <v>0</v>
      </c>
      <c r="AM394" s="260">
        <f t="shared" ca="1" si="201"/>
        <v>0</v>
      </c>
      <c r="AN394" s="260" t="str">
        <f ca="1">IF(AND(Tabla7[[#This Row],[UltLec]]&lt;&gt;0,Tabla7[[#This Row],[PenLect]]&lt;&gt;0),(AM394-AL394)*Tabla7[[#This Row],[RT]],"N/A")</f>
        <v>N/A</v>
      </c>
      <c r="AO394" s="380" t="s">
        <v>813</v>
      </c>
      <c r="AP394" s="380" t="s">
        <v>1076</v>
      </c>
      <c r="AQ394" s="380" t="s">
        <v>1074</v>
      </c>
      <c r="AR394" s="2">
        <f t="shared" si="202"/>
        <v>0</v>
      </c>
      <c r="AT394" s="2" t="e">
        <f t="shared" ca="1" si="213"/>
        <v>#VALUE!</v>
      </c>
    </row>
    <row r="395" spans="1:46" ht="18" customHeight="1" x14ac:dyDescent="0.25">
      <c r="A395" s="291" t="s">
        <v>19</v>
      </c>
      <c r="B395" s="54">
        <v>1314</v>
      </c>
      <c r="C395" s="239" t="s">
        <v>1089</v>
      </c>
      <c r="D395" s="54" t="s">
        <v>151</v>
      </c>
      <c r="E395" s="232">
        <v>39194</v>
      </c>
      <c r="F395" s="2" t="s">
        <v>803</v>
      </c>
      <c r="G395" s="2" t="s">
        <v>913</v>
      </c>
      <c r="H395" s="2" t="s">
        <v>814</v>
      </c>
      <c r="I395" s="2"/>
      <c r="J395" s="260">
        <v>511</v>
      </c>
      <c r="K395" s="260">
        <v>511</v>
      </c>
      <c r="L395" s="260"/>
      <c r="O395" s="260"/>
      <c r="P395" s="260"/>
      <c r="Q395" s="260"/>
      <c r="R395" s="260"/>
      <c r="S395" s="260"/>
      <c r="U395" s="260"/>
      <c r="V395" s="260"/>
      <c r="W395" s="2"/>
      <c r="X395" s="2"/>
      <c r="Y395" s="2">
        <f t="shared" si="194"/>
        <v>0</v>
      </c>
      <c r="Z395" s="2" t="str">
        <f t="shared" si="195"/>
        <v/>
      </c>
      <c r="AA395" s="2" t="str">
        <f t="shared" si="211"/>
        <v/>
      </c>
      <c r="AB395" s="2" t="str">
        <f t="shared" si="212"/>
        <v/>
      </c>
      <c r="AC395" s="2" t="str">
        <f t="shared" si="203"/>
        <v/>
      </c>
      <c r="AD395" s="2" t="str">
        <f t="shared" si="204"/>
        <v/>
      </c>
      <c r="AE395" s="2" t="str">
        <f t="shared" si="205"/>
        <v/>
      </c>
      <c r="AF395" s="2" t="str">
        <f t="shared" si="206"/>
        <v/>
      </c>
      <c r="AG395" s="2" t="str">
        <f t="shared" si="207"/>
        <v/>
      </c>
      <c r="AH395" s="2" t="str">
        <f t="shared" si="208"/>
        <v/>
      </c>
      <c r="AI395" s="2" t="str">
        <f t="shared" si="209"/>
        <v/>
      </c>
      <c r="AJ395" s="2" t="str">
        <f t="shared" si="210"/>
        <v/>
      </c>
      <c r="AK395" s="2">
        <v>1</v>
      </c>
      <c r="AL395" s="260">
        <f t="shared" ca="1" si="200"/>
        <v>0</v>
      </c>
      <c r="AM395" s="260">
        <f t="shared" ca="1" si="201"/>
        <v>0</v>
      </c>
      <c r="AN395" s="260" t="str">
        <f ca="1">IF(AND(Tabla7[[#This Row],[UltLec]]&lt;&gt;0,Tabla7[[#This Row],[PenLect]]&lt;&gt;0),(AM395-AL395)*Tabla7[[#This Row],[RT]],"N/A")</f>
        <v>N/A</v>
      </c>
      <c r="AO395" s="380" t="s">
        <v>813</v>
      </c>
      <c r="AP395" s="380" t="s">
        <v>1076</v>
      </c>
      <c r="AQ395" s="380" t="s">
        <v>1074</v>
      </c>
      <c r="AR395" s="2">
        <f t="shared" si="202"/>
        <v>0</v>
      </c>
      <c r="AT395" s="2" t="e">
        <f t="shared" ca="1" si="213"/>
        <v>#VALUE!</v>
      </c>
    </row>
    <row r="396" spans="1:46" ht="18" customHeight="1" x14ac:dyDescent="0.25">
      <c r="A396" s="291" t="s">
        <v>19</v>
      </c>
      <c r="B396" s="54">
        <v>5097</v>
      </c>
      <c r="C396" s="239" t="s">
        <v>1090</v>
      </c>
      <c r="D396" s="54" t="s">
        <v>151</v>
      </c>
      <c r="E396" s="232">
        <v>39757</v>
      </c>
      <c r="F396" s="2" t="s">
        <v>1437</v>
      </c>
      <c r="G396" s="2" t="s">
        <v>907</v>
      </c>
      <c r="H396" s="2" t="s">
        <v>1436</v>
      </c>
      <c r="I396" s="2"/>
      <c r="J396" s="260">
        <v>278262</v>
      </c>
      <c r="K396" s="260">
        <v>282162</v>
      </c>
      <c r="L396" s="260"/>
      <c r="O396" s="260"/>
      <c r="P396" s="260"/>
      <c r="Q396" s="260"/>
      <c r="R396" s="260"/>
      <c r="S396" s="260"/>
      <c r="U396" s="260"/>
      <c r="V396" s="260"/>
      <c r="W396" s="2"/>
      <c r="X396" s="2"/>
      <c r="Y396" s="2">
        <f t="shared" si="194"/>
        <v>3900</v>
      </c>
      <c r="Z396" s="2" t="str">
        <f t="shared" si="195"/>
        <v/>
      </c>
      <c r="AA396" s="2" t="str">
        <f t="shared" si="211"/>
        <v/>
      </c>
      <c r="AB396" s="2" t="str">
        <f t="shared" si="212"/>
        <v/>
      </c>
      <c r="AC396" s="2" t="str">
        <f t="shared" si="203"/>
        <v/>
      </c>
      <c r="AD396" s="2" t="str">
        <f t="shared" si="204"/>
        <v/>
      </c>
      <c r="AE396" s="2" t="str">
        <f t="shared" si="205"/>
        <v/>
      </c>
      <c r="AF396" s="2" t="str">
        <f t="shared" si="206"/>
        <v/>
      </c>
      <c r="AG396" s="2" t="str">
        <f t="shared" si="207"/>
        <v/>
      </c>
      <c r="AH396" s="2" t="str">
        <f t="shared" si="208"/>
        <v/>
      </c>
      <c r="AI396" s="2" t="str">
        <f t="shared" si="209"/>
        <v/>
      </c>
      <c r="AJ396" s="2" t="str">
        <f t="shared" si="210"/>
        <v/>
      </c>
      <c r="AK396" s="2">
        <v>1</v>
      </c>
      <c r="AL396" s="260">
        <f t="shared" ca="1" si="200"/>
        <v>0</v>
      </c>
      <c r="AM396" s="260">
        <f t="shared" ca="1" si="201"/>
        <v>0</v>
      </c>
      <c r="AN396" s="260" t="str">
        <f ca="1">IF(AND(Tabla7[[#This Row],[UltLec]]&lt;&gt;0,Tabla7[[#This Row],[PenLect]]&lt;&gt;0),(AM396-AL396)*Tabla7[[#This Row],[RT]],"N/A")</f>
        <v>N/A</v>
      </c>
      <c r="AO396" s="380" t="s">
        <v>813</v>
      </c>
      <c r="AP396" s="380" t="s">
        <v>1076</v>
      </c>
      <c r="AQ396" s="380" t="s">
        <v>1074</v>
      </c>
      <c r="AR396" s="2">
        <f t="shared" si="202"/>
        <v>0</v>
      </c>
      <c r="AT396" s="2" t="e">
        <f t="shared" ca="1" si="213"/>
        <v>#VALUE!</v>
      </c>
    </row>
    <row r="397" spans="1:46" ht="18" hidden="1" customHeight="1" x14ac:dyDescent="0.25">
      <c r="A397" s="418" t="s">
        <v>1080</v>
      </c>
      <c r="B397" s="273">
        <v>42051</v>
      </c>
      <c r="C397" s="367" t="s">
        <v>172</v>
      </c>
      <c r="D397" s="273" t="s">
        <v>151</v>
      </c>
      <c r="E397" s="274">
        <v>39605</v>
      </c>
      <c r="F397" s="275" t="s">
        <v>173</v>
      </c>
      <c r="G397" s="275" t="s">
        <v>909</v>
      </c>
      <c r="H397" s="275"/>
      <c r="I397" s="275" t="s">
        <v>1012</v>
      </c>
      <c r="J397" s="275"/>
      <c r="K397" s="275"/>
      <c r="L397" s="275"/>
      <c r="M397" s="275"/>
      <c r="N397" s="275"/>
      <c r="O397" s="275"/>
      <c r="P397" s="275"/>
      <c r="Q397" s="275"/>
      <c r="R397" s="275"/>
      <c r="S397" s="275"/>
      <c r="T397" s="275"/>
      <c r="U397" s="275"/>
      <c r="V397" s="275"/>
      <c r="W397" s="275"/>
      <c r="X397" s="275"/>
      <c r="Y397" s="275" t="str">
        <f t="shared" si="194"/>
        <v/>
      </c>
      <c r="Z397" s="275" t="str">
        <f t="shared" si="195"/>
        <v/>
      </c>
      <c r="AA397" s="275" t="str">
        <f t="shared" si="211"/>
        <v/>
      </c>
      <c r="AB397" s="275" t="str">
        <f t="shared" si="212"/>
        <v/>
      </c>
      <c r="AC397" s="275" t="str">
        <f t="shared" si="203"/>
        <v/>
      </c>
      <c r="AD397" s="275" t="str">
        <f t="shared" si="204"/>
        <v/>
      </c>
      <c r="AE397" s="275" t="str">
        <f t="shared" si="205"/>
        <v/>
      </c>
      <c r="AF397" s="275" t="str">
        <f t="shared" si="206"/>
        <v/>
      </c>
      <c r="AG397" s="275" t="str">
        <f t="shared" si="207"/>
        <v/>
      </c>
      <c r="AH397" s="275" t="str">
        <f t="shared" si="208"/>
        <v/>
      </c>
      <c r="AI397" s="275" t="str">
        <f t="shared" si="209"/>
        <v/>
      </c>
      <c r="AJ397" s="275" t="str">
        <f t="shared" si="210"/>
        <v/>
      </c>
      <c r="AK397" s="275">
        <v>1</v>
      </c>
      <c r="AL397" s="277">
        <f t="shared" ca="1" si="200"/>
        <v>0</v>
      </c>
      <c r="AM397" s="277">
        <f t="shared" ca="1" si="201"/>
        <v>0</v>
      </c>
      <c r="AN397" s="277" t="str">
        <f ca="1">IF(AND(Tabla7[[#This Row],[UltLec]]&lt;&gt;0,Tabla7[[#This Row],[PenLect]]&lt;&gt;0),(AM397-AL397)*Tabla7[[#This Row],[RT]],"N/A")</f>
        <v>N/A</v>
      </c>
      <c r="AO397" s="393" t="s">
        <v>1160</v>
      </c>
      <c r="AP397" s="393" t="s">
        <v>1075</v>
      </c>
      <c r="AQ397" s="393" t="s">
        <v>1074</v>
      </c>
      <c r="AR397" s="275">
        <f t="shared" si="202"/>
        <v>0</v>
      </c>
      <c r="AT397" s="2" t="e">
        <f t="shared" ca="1" si="213"/>
        <v>#VALUE!</v>
      </c>
    </row>
    <row r="398" spans="1:46" ht="18" hidden="1" customHeight="1" x14ac:dyDescent="0.25">
      <c r="A398" s="409" t="s">
        <v>1080</v>
      </c>
      <c r="B398" s="273"/>
      <c r="C398" s="379" t="s">
        <v>169</v>
      </c>
      <c r="D398" s="376" t="s">
        <v>151</v>
      </c>
      <c r="E398" s="377">
        <v>39108</v>
      </c>
      <c r="F398" s="275" t="s">
        <v>131</v>
      </c>
      <c r="G398" s="275" t="s">
        <v>101</v>
      </c>
      <c r="H398" s="275"/>
      <c r="I398" s="275" t="s">
        <v>715</v>
      </c>
      <c r="J398" s="275"/>
      <c r="K398" s="275"/>
      <c r="L398" s="275"/>
      <c r="M398" s="275"/>
      <c r="N398" s="275"/>
      <c r="O398" s="275"/>
      <c r="P398" s="275"/>
      <c r="Q398" s="275"/>
      <c r="R398" s="275"/>
      <c r="S398" s="275"/>
      <c r="T398" s="275"/>
      <c r="U398" s="275"/>
      <c r="V398" s="275"/>
      <c r="W398" s="275"/>
      <c r="X398" s="275"/>
      <c r="Y398" s="275" t="str">
        <f t="shared" si="194"/>
        <v/>
      </c>
      <c r="Z398" s="275" t="str">
        <f t="shared" si="195"/>
        <v/>
      </c>
      <c r="AA398" s="275" t="str">
        <f t="shared" si="211"/>
        <v/>
      </c>
      <c r="AB398" s="275" t="str">
        <f t="shared" si="212"/>
        <v/>
      </c>
      <c r="AC398" s="275" t="str">
        <f t="shared" si="203"/>
        <v/>
      </c>
      <c r="AD398" s="275" t="str">
        <f t="shared" si="204"/>
        <v/>
      </c>
      <c r="AE398" s="275" t="str">
        <f t="shared" si="205"/>
        <v/>
      </c>
      <c r="AF398" s="275" t="str">
        <f t="shared" si="206"/>
        <v/>
      </c>
      <c r="AG398" s="275" t="str">
        <f t="shared" si="207"/>
        <v/>
      </c>
      <c r="AH398" s="275" t="str">
        <f t="shared" si="208"/>
        <v/>
      </c>
      <c r="AI398" s="275" t="str">
        <f t="shared" si="209"/>
        <v/>
      </c>
      <c r="AJ398" s="275" t="str">
        <f t="shared" si="210"/>
        <v/>
      </c>
      <c r="AK398" s="275">
        <v>1</v>
      </c>
      <c r="AL398" s="277">
        <f t="shared" ca="1" si="200"/>
        <v>0</v>
      </c>
      <c r="AM398" s="277">
        <f t="shared" ca="1" si="201"/>
        <v>0</v>
      </c>
      <c r="AN398" s="277" t="str">
        <f ca="1">IF(AND(Tabla7[[#This Row],[UltLec]]&lt;&gt;0,Tabla7[[#This Row],[PenLect]]&lt;&gt;0),(AM398-AL398)*Tabla7[[#This Row],[RT]],"N/A")</f>
        <v>N/A</v>
      </c>
      <c r="AO398" s="393" t="s">
        <v>1160</v>
      </c>
      <c r="AP398" s="393" t="s">
        <v>1076</v>
      </c>
      <c r="AQ398" s="393" t="s">
        <v>1074</v>
      </c>
      <c r="AR398" s="275">
        <f t="shared" si="202"/>
        <v>0</v>
      </c>
      <c r="AT398" s="2" t="e">
        <f t="shared" ca="1" si="213"/>
        <v>#VALUE!</v>
      </c>
    </row>
    <row r="399" spans="1:46" ht="18" customHeight="1" x14ac:dyDescent="0.25">
      <c r="A399" s="291" t="s">
        <v>19</v>
      </c>
      <c r="B399" s="54">
        <v>962</v>
      </c>
      <c r="C399" s="239" t="s">
        <v>163</v>
      </c>
      <c r="D399" s="54" t="s">
        <v>151</v>
      </c>
      <c r="E399" s="232">
        <v>39657</v>
      </c>
      <c r="F399" s="2" t="s">
        <v>164</v>
      </c>
      <c r="G399" s="2" t="s">
        <v>1428</v>
      </c>
      <c r="H399" s="2"/>
      <c r="I399" s="2"/>
      <c r="J399" s="260">
        <v>73587</v>
      </c>
      <c r="K399" s="260">
        <v>74737</v>
      </c>
      <c r="L399" s="260"/>
      <c r="O399" s="260"/>
      <c r="P399" s="260"/>
      <c r="Q399" s="260"/>
      <c r="R399" s="260"/>
      <c r="S399" s="260"/>
      <c r="U399" s="260"/>
      <c r="V399" s="260"/>
      <c r="W399" s="2"/>
      <c r="X399" s="2"/>
      <c r="Y399" s="2">
        <f t="shared" ref="Y399:Y462" si="214">IF(OR(ISBLANK(K399),ISBLANK(J399)),"",IF(AND(K399&gt;=J399,K399-J399&lt;=K399),(K399-J399)*$AK399,"!!!!"))</f>
        <v>1150</v>
      </c>
      <c r="Z399" s="2" t="str">
        <f t="shared" ref="Z399:Z462" si="215">IF(OR(ISBLANK(L399),ISBLANK(K399)),"",IF(AND(L399&gt;=K399,L399-K399&lt;=L399),(L399-K399)*$AK399,"!!!!"))</f>
        <v/>
      </c>
      <c r="AA399" s="2" t="str">
        <f t="shared" si="211"/>
        <v/>
      </c>
      <c r="AB399" s="2" t="str">
        <f t="shared" si="212"/>
        <v/>
      </c>
      <c r="AC399" s="2" t="str">
        <f t="shared" si="203"/>
        <v/>
      </c>
      <c r="AD399" s="2" t="str">
        <f t="shared" si="204"/>
        <v/>
      </c>
      <c r="AE399" s="2" t="str">
        <f t="shared" si="205"/>
        <v/>
      </c>
      <c r="AF399" s="2" t="str">
        <f t="shared" si="206"/>
        <v/>
      </c>
      <c r="AG399" s="2" t="str">
        <f t="shared" si="207"/>
        <v/>
      </c>
      <c r="AH399" s="2" t="str">
        <f t="shared" si="208"/>
        <v/>
      </c>
      <c r="AI399" s="2" t="str">
        <f t="shared" si="209"/>
        <v/>
      </c>
      <c r="AJ399" s="2" t="str">
        <f t="shared" si="210"/>
        <v/>
      </c>
      <c r="AK399" s="2">
        <v>1</v>
      </c>
      <c r="AL399" s="260">
        <f t="shared" ca="1" si="200"/>
        <v>0</v>
      </c>
      <c r="AM399" s="260">
        <f t="shared" ca="1" si="201"/>
        <v>0</v>
      </c>
      <c r="AN399" s="260" t="str">
        <f ca="1">IF(AND(Tabla7[[#This Row],[UltLec]]&lt;&gt;0,Tabla7[[#This Row],[PenLect]]&lt;&gt;0),(AM399-AL399)*Tabla7[[#This Row],[RT]],"N/A")</f>
        <v>N/A</v>
      </c>
      <c r="AO399" s="380" t="s">
        <v>813</v>
      </c>
      <c r="AP399" s="380" t="s">
        <v>1076</v>
      </c>
      <c r="AQ399" s="380" t="s">
        <v>1074</v>
      </c>
      <c r="AR399" s="2">
        <f t="shared" si="202"/>
        <v>0</v>
      </c>
      <c r="AT399" s="2" t="e">
        <f t="shared" ca="1" si="213"/>
        <v>#VALUE!</v>
      </c>
    </row>
    <row r="400" spans="1:46" ht="18" customHeight="1" x14ac:dyDescent="0.25">
      <c r="A400" s="407" t="s">
        <v>19</v>
      </c>
      <c r="B400" s="54"/>
      <c r="C400" s="420" t="s">
        <v>160</v>
      </c>
      <c r="D400" s="374" t="s">
        <v>151</v>
      </c>
      <c r="E400" s="375">
        <v>131</v>
      </c>
      <c r="F400" s="2" t="s">
        <v>440</v>
      </c>
      <c r="G400" s="2" t="s">
        <v>938</v>
      </c>
      <c r="H400" s="2"/>
      <c r="I400" s="2"/>
      <c r="J400" s="260">
        <v>392624</v>
      </c>
      <c r="K400" s="260">
        <v>395689</v>
      </c>
      <c r="L400" s="260"/>
      <c r="O400" s="260"/>
      <c r="P400" s="260"/>
      <c r="Q400" s="260"/>
      <c r="R400" s="260"/>
      <c r="S400" s="260"/>
      <c r="U400" s="260"/>
      <c r="V400" s="260"/>
      <c r="W400" s="2"/>
      <c r="X400" s="2"/>
      <c r="Y400" s="2">
        <f t="shared" si="214"/>
        <v>3065</v>
      </c>
      <c r="Z400" s="2" t="str">
        <f t="shared" si="215"/>
        <v/>
      </c>
      <c r="AA400" s="2" t="str">
        <f t="shared" si="211"/>
        <v/>
      </c>
      <c r="AB400" s="2" t="str">
        <f t="shared" si="212"/>
        <v/>
      </c>
      <c r="AC400" s="2" t="str">
        <f t="shared" si="203"/>
        <v/>
      </c>
      <c r="AD400" s="2" t="str">
        <f t="shared" si="204"/>
        <v/>
      </c>
      <c r="AE400" s="2" t="str">
        <f t="shared" si="205"/>
        <v/>
      </c>
      <c r="AF400" s="2" t="str">
        <f t="shared" si="206"/>
        <v/>
      </c>
      <c r="AG400" s="2" t="str">
        <f t="shared" si="207"/>
        <v/>
      </c>
      <c r="AH400" s="2" t="str">
        <f t="shared" si="208"/>
        <v/>
      </c>
      <c r="AI400" s="2" t="str">
        <f t="shared" si="209"/>
        <v/>
      </c>
      <c r="AJ400" s="2" t="str">
        <f t="shared" si="210"/>
        <v/>
      </c>
      <c r="AK400" s="2">
        <v>1</v>
      </c>
      <c r="AL400" s="260">
        <f t="shared" ca="1" si="200"/>
        <v>0</v>
      </c>
      <c r="AM400" s="260">
        <f t="shared" ca="1" si="201"/>
        <v>0</v>
      </c>
      <c r="AN400" s="260" t="str">
        <f ca="1">IF(AND(Tabla7[[#This Row],[UltLec]]&lt;&gt;0,Tabla7[[#This Row],[PenLect]]&lt;&gt;0),(AM400-AL400)*Tabla7[[#This Row],[RT]],"N/A")</f>
        <v>N/A</v>
      </c>
      <c r="AO400" s="380" t="s">
        <v>813</v>
      </c>
      <c r="AP400" s="380" t="s">
        <v>1076</v>
      </c>
      <c r="AQ400" s="380" t="s">
        <v>1074</v>
      </c>
      <c r="AR400" s="2">
        <f t="shared" si="202"/>
        <v>0</v>
      </c>
      <c r="AT400" s="2" t="e">
        <f t="shared" ca="1" si="213"/>
        <v>#VALUE!</v>
      </c>
    </row>
    <row r="401" spans="1:46" ht="18" hidden="1" customHeight="1" x14ac:dyDescent="0.25">
      <c r="A401" s="406" t="s">
        <v>1080</v>
      </c>
      <c r="B401" s="273"/>
      <c r="C401" s="367" t="s">
        <v>158</v>
      </c>
      <c r="D401" s="273" t="s">
        <v>151</v>
      </c>
      <c r="E401" s="274">
        <v>132</v>
      </c>
      <c r="F401" s="275" t="s">
        <v>159</v>
      </c>
      <c r="G401" s="275" t="s">
        <v>937</v>
      </c>
      <c r="H401" s="275" t="s">
        <v>1019</v>
      </c>
      <c r="I401" s="275" t="s">
        <v>1585</v>
      </c>
      <c r="J401" s="277"/>
      <c r="K401" s="277"/>
      <c r="L401" s="277"/>
      <c r="M401" s="277"/>
      <c r="N401" s="277"/>
      <c r="O401" s="277"/>
      <c r="P401" s="277"/>
      <c r="Q401" s="277"/>
      <c r="R401" s="277"/>
      <c r="S401" s="277"/>
      <c r="T401" s="277"/>
      <c r="U401" s="277"/>
      <c r="V401" s="277"/>
      <c r="W401" s="277"/>
      <c r="X401" s="277"/>
      <c r="Y401" s="277" t="str">
        <f t="shared" si="214"/>
        <v/>
      </c>
      <c r="Z401" s="277" t="str">
        <f t="shared" si="215"/>
        <v/>
      </c>
      <c r="AA401" s="277" t="str">
        <f t="shared" si="211"/>
        <v/>
      </c>
      <c r="AB401" s="277" t="str">
        <f t="shared" si="212"/>
        <v/>
      </c>
      <c r="AC401" s="277" t="str">
        <f t="shared" si="203"/>
        <v/>
      </c>
      <c r="AD401" s="277" t="str">
        <f t="shared" si="204"/>
        <v/>
      </c>
      <c r="AE401" s="277" t="str">
        <f t="shared" si="205"/>
        <v/>
      </c>
      <c r="AF401" s="277" t="str">
        <f t="shared" si="206"/>
        <v/>
      </c>
      <c r="AG401" s="277" t="str">
        <f t="shared" si="207"/>
        <v/>
      </c>
      <c r="AH401" s="277" t="str">
        <f t="shared" si="208"/>
        <v/>
      </c>
      <c r="AI401" s="277" t="str">
        <f t="shared" si="209"/>
        <v/>
      </c>
      <c r="AJ401" s="277" t="str">
        <f t="shared" si="210"/>
        <v/>
      </c>
      <c r="AK401" s="277">
        <v>1</v>
      </c>
      <c r="AL401" s="277">
        <f t="shared" ca="1" si="200"/>
        <v>0</v>
      </c>
      <c r="AM401" s="277">
        <f t="shared" ca="1" si="201"/>
        <v>0</v>
      </c>
      <c r="AN401" s="277" t="str">
        <f ca="1">IF(AND(Tabla7[[#This Row],[UltLec]]&lt;&gt;0,Tabla7[[#This Row],[PenLect]]&lt;&gt;0),(AM401-AL401)*Tabla7[[#This Row],[RT]],"N/A")</f>
        <v>N/A</v>
      </c>
      <c r="AO401" s="277" t="s">
        <v>1160</v>
      </c>
      <c r="AP401" s="277" t="s">
        <v>1076</v>
      </c>
      <c r="AQ401" s="277" t="s">
        <v>1074</v>
      </c>
      <c r="AR401" s="277">
        <f t="shared" si="202"/>
        <v>0</v>
      </c>
      <c r="AT401" s="2" t="e">
        <f t="shared" ca="1" si="213"/>
        <v>#VALUE!</v>
      </c>
    </row>
    <row r="402" spans="1:46" ht="18" customHeight="1" x14ac:dyDescent="0.25">
      <c r="A402" s="405" t="s">
        <v>19</v>
      </c>
      <c r="B402" s="54">
        <v>509</v>
      </c>
      <c r="C402" s="239" t="s">
        <v>414</v>
      </c>
      <c r="D402" s="54" t="s">
        <v>151</v>
      </c>
      <c r="E402" s="232">
        <v>39259</v>
      </c>
      <c r="F402" s="2" t="s">
        <v>1374</v>
      </c>
      <c r="G402" s="2" t="s">
        <v>933</v>
      </c>
      <c r="H402" s="2"/>
      <c r="I402" s="2" t="s">
        <v>431</v>
      </c>
      <c r="J402" s="260">
        <v>878320</v>
      </c>
      <c r="K402" s="260">
        <v>899138</v>
      </c>
      <c r="L402" s="260"/>
      <c r="O402" s="260"/>
      <c r="P402" s="260"/>
      <c r="Q402" s="260"/>
      <c r="R402" s="260"/>
      <c r="S402" s="260"/>
      <c r="U402" s="260"/>
      <c r="V402" s="260"/>
      <c r="W402" s="2"/>
      <c r="X402" s="2"/>
      <c r="Y402" s="2">
        <f t="shared" si="214"/>
        <v>20818</v>
      </c>
      <c r="Z402" s="2" t="str">
        <f t="shared" si="215"/>
        <v/>
      </c>
      <c r="AA402" s="2" t="str">
        <f t="shared" si="211"/>
        <v/>
      </c>
      <c r="AB402" s="2" t="str">
        <f t="shared" si="212"/>
        <v/>
      </c>
      <c r="AC402" s="2" t="str">
        <f t="shared" si="203"/>
        <v/>
      </c>
      <c r="AD402" s="2" t="str">
        <f t="shared" si="204"/>
        <v/>
      </c>
      <c r="AE402" s="2" t="str">
        <f t="shared" si="205"/>
        <v/>
      </c>
      <c r="AF402" s="2" t="str">
        <f t="shared" si="206"/>
        <v/>
      </c>
      <c r="AG402" s="2" t="str">
        <f t="shared" si="207"/>
        <v/>
      </c>
      <c r="AH402" s="2" t="str">
        <f t="shared" si="208"/>
        <v/>
      </c>
      <c r="AI402" s="2" t="str">
        <f t="shared" si="209"/>
        <v/>
      </c>
      <c r="AJ402" s="2" t="str">
        <f t="shared" si="210"/>
        <v/>
      </c>
      <c r="AK402" s="2">
        <v>1</v>
      </c>
      <c r="AL402" s="260">
        <f t="shared" ca="1" si="200"/>
        <v>0</v>
      </c>
      <c r="AM402" s="260">
        <f t="shared" ca="1" si="201"/>
        <v>0</v>
      </c>
      <c r="AN402" s="260" t="str">
        <f ca="1">IF(AND(Tabla7[[#This Row],[UltLec]]&lt;&gt;0,Tabla7[[#This Row],[PenLect]]&lt;&gt;0),(AM402-AL402)*Tabla7[[#This Row],[RT]],"N/A")</f>
        <v>N/A</v>
      </c>
      <c r="AO402" s="380" t="s">
        <v>813</v>
      </c>
      <c r="AP402" s="380" t="s">
        <v>1076</v>
      </c>
      <c r="AQ402" s="380" t="s">
        <v>1074</v>
      </c>
      <c r="AR402" s="2">
        <f t="shared" si="202"/>
        <v>0</v>
      </c>
      <c r="AT402" s="2" t="e">
        <f t="shared" ca="1" si="213"/>
        <v>#VALUE!</v>
      </c>
    </row>
    <row r="403" spans="1:46" ht="18" hidden="1" customHeight="1" x14ac:dyDescent="0.25">
      <c r="A403" s="406" t="s">
        <v>1080</v>
      </c>
      <c r="B403" s="273">
        <v>509</v>
      </c>
      <c r="C403" s="367" t="s">
        <v>152</v>
      </c>
      <c r="D403" s="273" t="s">
        <v>151</v>
      </c>
      <c r="E403" s="274">
        <v>39259</v>
      </c>
      <c r="F403" s="275" t="s">
        <v>23</v>
      </c>
      <c r="G403" s="275" t="s">
        <v>101</v>
      </c>
      <c r="H403" s="275" t="s">
        <v>453</v>
      </c>
      <c r="I403" s="275" t="s">
        <v>454</v>
      </c>
      <c r="J403" s="275"/>
      <c r="K403" s="275"/>
      <c r="L403" s="275"/>
      <c r="M403" s="275"/>
      <c r="N403" s="275"/>
      <c r="O403" s="275"/>
      <c r="P403" s="275"/>
      <c r="Q403" s="275"/>
      <c r="R403" s="275"/>
      <c r="S403" s="275"/>
      <c r="T403" s="275"/>
      <c r="U403" s="275"/>
      <c r="V403" s="275"/>
      <c r="W403" s="275"/>
      <c r="X403" s="275"/>
      <c r="Y403" s="275" t="str">
        <f t="shared" si="214"/>
        <v/>
      </c>
      <c r="Z403" s="275" t="str">
        <f t="shared" si="215"/>
        <v/>
      </c>
      <c r="AA403" s="275" t="str">
        <f t="shared" si="211"/>
        <v/>
      </c>
      <c r="AB403" s="275" t="str">
        <f t="shared" si="212"/>
        <v/>
      </c>
      <c r="AC403" s="275" t="str">
        <f t="shared" si="203"/>
        <v/>
      </c>
      <c r="AD403" s="275" t="str">
        <f t="shared" si="204"/>
        <v/>
      </c>
      <c r="AE403" s="275" t="str">
        <f t="shared" si="205"/>
        <v/>
      </c>
      <c r="AF403" s="275" t="str">
        <f t="shared" si="206"/>
        <v/>
      </c>
      <c r="AG403" s="275" t="str">
        <f t="shared" si="207"/>
        <v/>
      </c>
      <c r="AH403" s="275" t="str">
        <f t="shared" si="208"/>
        <v/>
      </c>
      <c r="AI403" s="275" t="str">
        <f t="shared" si="209"/>
        <v/>
      </c>
      <c r="AJ403" s="275" t="str">
        <f t="shared" si="210"/>
        <v/>
      </c>
      <c r="AK403" s="275">
        <v>1</v>
      </c>
      <c r="AL403" s="277">
        <f t="shared" ca="1" si="200"/>
        <v>0</v>
      </c>
      <c r="AM403" s="277">
        <f t="shared" ca="1" si="201"/>
        <v>0</v>
      </c>
      <c r="AN403" s="277" t="str">
        <f ca="1">IF(AND(Tabla7[[#This Row],[UltLec]]&lt;&gt;0,Tabla7[[#This Row],[PenLect]]&lt;&gt;0),(AM403-AL403)*Tabla7[[#This Row],[RT]],"N/A")</f>
        <v>N/A</v>
      </c>
      <c r="AO403" s="393" t="s">
        <v>1160</v>
      </c>
      <c r="AP403" s="393" t="s">
        <v>1076</v>
      </c>
      <c r="AQ403" s="393" t="s">
        <v>1074</v>
      </c>
      <c r="AR403" s="275">
        <f t="shared" si="202"/>
        <v>0</v>
      </c>
      <c r="AT403" s="2" t="e">
        <f t="shared" ca="1" si="213"/>
        <v>#VALUE!</v>
      </c>
    </row>
    <row r="404" spans="1:46" ht="18" customHeight="1" x14ac:dyDescent="0.25">
      <c r="A404" s="405" t="s">
        <v>19</v>
      </c>
      <c r="B404" s="54"/>
      <c r="C404" s="239" t="s">
        <v>162</v>
      </c>
      <c r="D404" s="54" t="s">
        <v>151</v>
      </c>
      <c r="E404" s="232">
        <v>142</v>
      </c>
      <c r="F404" s="2" t="s">
        <v>838</v>
      </c>
      <c r="G404" s="2" t="s">
        <v>939</v>
      </c>
      <c r="H404" s="2"/>
      <c r="I404" s="2"/>
      <c r="J404" s="260">
        <v>131319</v>
      </c>
      <c r="K404" s="290">
        <v>133689</v>
      </c>
      <c r="L404" s="260"/>
      <c r="O404" s="260"/>
      <c r="P404" s="260"/>
      <c r="Q404" s="260"/>
      <c r="R404" s="260"/>
      <c r="S404" s="260"/>
      <c r="U404" s="260"/>
      <c r="V404" s="260"/>
      <c r="W404" s="2"/>
      <c r="X404" s="2"/>
      <c r="Y404" s="2">
        <f t="shared" si="214"/>
        <v>2370</v>
      </c>
      <c r="Z404" s="2" t="str">
        <f t="shared" si="215"/>
        <v/>
      </c>
      <c r="AA404" s="2" t="str">
        <f t="shared" si="211"/>
        <v/>
      </c>
      <c r="AB404" s="2" t="str">
        <f t="shared" si="212"/>
        <v/>
      </c>
      <c r="AC404" s="2" t="str">
        <f t="shared" si="203"/>
        <v/>
      </c>
      <c r="AD404" s="2" t="str">
        <f t="shared" si="204"/>
        <v/>
      </c>
      <c r="AE404" s="2" t="str">
        <f t="shared" si="205"/>
        <v/>
      </c>
      <c r="AF404" s="2" t="str">
        <f t="shared" si="206"/>
        <v/>
      </c>
      <c r="AG404" s="2" t="str">
        <f t="shared" si="207"/>
        <v/>
      </c>
      <c r="AH404" s="2" t="str">
        <f t="shared" si="208"/>
        <v/>
      </c>
      <c r="AI404" s="2" t="str">
        <f t="shared" si="209"/>
        <v/>
      </c>
      <c r="AJ404" s="2" t="str">
        <f t="shared" si="210"/>
        <v/>
      </c>
      <c r="AK404" s="2">
        <v>1</v>
      </c>
      <c r="AL404" s="260">
        <f t="shared" ca="1" si="200"/>
        <v>0</v>
      </c>
      <c r="AM404" s="260">
        <f t="shared" ca="1" si="201"/>
        <v>0</v>
      </c>
      <c r="AN404" s="260" t="str">
        <f ca="1">IF(AND(Tabla7[[#This Row],[UltLec]]&lt;&gt;0,Tabla7[[#This Row],[PenLect]]&lt;&gt;0),(AM404-AL404)*Tabla7[[#This Row],[RT]],"N/A")</f>
        <v>N/A</v>
      </c>
      <c r="AO404" s="380" t="s">
        <v>813</v>
      </c>
      <c r="AP404" s="380" t="s">
        <v>1076</v>
      </c>
      <c r="AQ404" s="380" t="s">
        <v>1074</v>
      </c>
      <c r="AR404" s="2">
        <f t="shared" si="202"/>
        <v>0</v>
      </c>
      <c r="AT404" s="2" t="e">
        <f t="shared" ca="1" si="213"/>
        <v>#VALUE!</v>
      </c>
    </row>
    <row r="405" spans="1:46" ht="18" customHeight="1" x14ac:dyDescent="0.25">
      <c r="A405" s="291" t="s">
        <v>697</v>
      </c>
      <c r="B405" s="54"/>
      <c r="C405" s="239" t="s">
        <v>1135</v>
      </c>
      <c r="D405" s="54" t="s">
        <v>151</v>
      </c>
      <c r="E405" s="232">
        <v>1</v>
      </c>
      <c r="F405" s="2" t="s">
        <v>838</v>
      </c>
      <c r="G405" s="2" t="s">
        <v>772</v>
      </c>
      <c r="H405" s="2"/>
      <c r="I405" s="2"/>
      <c r="J405" s="260">
        <v>117581</v>
      </c>
      <c r="K405" s="260">
        <v>119328</v>
      </c>
      <c r="L405" s="260"/>
      <c r="O405" s="260"/>
      <c r="P405" s="260"/>
      <c r="Q405" s="260"/>
      <c r="R405" s="260"/>
      <c r="S405" s="260"/>
      <c r="U405" s="260"/>
      <c r="V405" s="260"/>
      <c r="W405" s="2"/>
      <c r="X405" s="2"/>
      <c r="Y405" s="2">
        <f t="shared" si="214"/>
        <v>1747</v>
      </c>
      <c r="Z405" s="2" t="str">
        <f t="shared" si="215"/>
        <v/>
      </c>
      <c r="AA405" s="2" t="str">
        <f t="shared" si="211"/>
        <v/>
      </c>
      <c r="AB405" s="2" t="str">
        <f t="shared" si="212"/>
        <v/>
      </c>
      <c r="AC405" s="2" t="str">
        <f t="shared" si="203"/>
        <v/>
      </c>
      <c r="AD405" s="2" t="str">
        <f t="shared" si="204"/>
        <v/>
      </c>
      <c r="AE405" s="2" t="str">
        <f t="shared" si="205"/>
        <v/>
      </c>
      <c r="AF405" s="2" t="str">
        <f t="shared" si="206"/>
        <v/>
      </c>
      <c r="AG405" s="2" t="str">
        <f t="shared" si="207"/>
        <v/>
      </c>
      <c r="AH405" s="2" t="str">
        <f t="shared" si="208"/>
        <v/>
      </c>
      <c r="AI405" s="2" t="str">
        <f t="shared" si="209"/>
        <v/>
      </c>
      <c r="AJ405" s="2" t="str">
        <f t="shared" si="210"/>
        <v/>
      </c>
      <c r="AK405" s="2">
        <v>1</v>
      </c>
      <c r="AL405" s="260">
        <f t="shared" ca="1" si="200"/>
        <v>0</v>
      </c>
      <c r="AM405" s="260">
        <f t="shared" ca="1" si="201"/>
        <v>0</v>
      </c>
      <c r="AN405" s="260" t="str">
        <f ca="1">IF(AND(Tabla7[[#This Row],[UltLec]]&lt;&gt;0,Tabla7[[#This Row],[PenLect]]&lt;&gt;0),(AM405-AL405)*Tabla7[[#This Row],[RT]],"N/A")</f>
        <v>N/A</v>
      </c>
      <c r="AO405" s="380" t="s">
        <v>813</v>
      </c>
      <c r="AP405" s="380" t="s">
        <v>1076</v>
      </c>
      <c r="AQ405" s="380" t="s">
        <v>771</v>
      </c>
      <c r="AR405" s="2">
        <f t="shared" si="202"/>
        <v>0</v>
      </c>
      <c r="AT405" s="2" t="e">
        <f t="shared" ca="1" si="213"/>
        <v>#VALUE!</v>
      </c>
    </row>
    <row r="406" spans="1:46" ht="18" customHeight="1" x14ac:dyDescent="0.25">
      <c r="A406" s="407" t="s">
        <v>19</v>
      </c>
      <c r="B406" s="54">
        <v>1912</v>
      </c>
      <c r="C406" s="420" t="s">
        <v>1463</v>
      </c>
      <c r="D406" s="374" t="s">
        <v>151</v>
      </c>
      <c r="E406" s="375">
        <v>39583</v>
      </c>
      <c r="F406" s="2" t="s">
        <v>1462</v>
      </c>
      <c r="G406" s="2" t="s">
        <v>1428</v>
      </c>
      <c r="H406" s="2" t="s">
        <v>1464</v>
      </c>
      <c r="I406" s="2" t="s">
        <v>1465</v>
      </c>
      <c r="J406" s="260">
        <v>912</v>
      </c>
      <c r="K406" s="260">
        <v>992</v>
      </c>
      <c r="L406" s="260"/>
      <c r="O406" s="260"/>
      <c r="P406" s="260"/>
      <c r="Q406" s="260"/>
      <c r="R406" s="260"/>
      <c r="S406" s="260"/>
      <c r="U406" s="260"/>
      <c r="V406" s="260"/>
      <c r="W406" s="2"/>
      <c r="X406" s="2"/>
      <c r="Y406" s="2">
        <f t="shared" si="214"/>
        <v>80</v>
      </c>
      <c r="Z406" s="2" t="str">
        <f t="shared" si="215"/>
        <v/>
      </c>
      <c r="AA406" s="2" t="str">
        <f t="shared" si="211"/>
        <v/>
      </c>
      <c r="AB406" s="2" t="str">
        <f t="shared" si="212"/>
        <v/>
      </c>
      <c r="AC406" s="2" t="str">
        <f t="shared" si="203"/>
        <v/>
      </c>
      <c r="AD406" s="2" t="str">
        <f t="shared" si="204"/>
        <v/>
      </c>
      <c r="AE406" s="2" t="str">
        <f t="shared" si="205"/>
        <v/>
      </c>
      <c r="AF406" s="2" t="str">
        <f t="shared" si="206"/>
        <v/>
      </c>
      <c r="AG406" s="2" t="str">
        <f t="shared" si="207"/>
        <v/>
      </c>
      <c r="AH406" s="2" t="str">
        <f t="shared" si="208"/>
        <v/>
      </c>
      <c r="AI406" s="2" t="str">
        <f t="shared" si="209"/>
        <v/>
      </c>
      <c r="AJ406" s="2" t="str">
        <f t="shared" si="210"/>
        <v/>
      </c>
      <c r="AK406" s="2">
        <v>1</v>
      </c>
      <c r="AL406" s="260">
        <f t="shared" ca="1" si="200"/>
        <v>0</v>
      </c>
      <c r="AM406" s="260">
        <f t="shared" ca="1" si="201"/>
        <v>0</v>
      </c>
      <c r="AN406" s="260" t="str">
        <f ca="1">IF(AND(Tabla7[[#This Row],[UltLec]]&lt;&gt;0,Tabla7[[#This Row],[PenLect]]&lt;&gt;0),(AM406-AL406)*Tabla7[[#This Row],[RT]],"N/A")</f>
        <v>N/A</v>
      </c>
      <c r="AO406" s="380" t="s">
        <v>813</v>
      </c>
      <c r="AP406" s="380" t="s">
        <v>1075</v>
      </c>
      <c r="AQ406" s="380" t="s">
        <v>1074</v>
      </c>
      <c r="AR406" s="2">
        <f t="shared" si="202"/>
        <v>0</v>
      </c>
      <c r="AT406" s="2" t="e">
        <f t="shared" ca="1" si="213"/>
        <v>#VALUE!</v>
      </c>
    </row>
    <row r="407" spans="1:46" ht="18" customHeight="1" x14ac:dyDescent="0.25">
      <c r="A407" s="407" t="s">
        <v>19</v>
      </c>
      <c r="B407" s="54"/>
      <c r="C407" s="420" t="s">
        <v>1586</v>
      </c>
      <c r="D407" s="374" t="s">
        <v>151</v>
      </c>
      <c r="E407" s="375">
        <v>132</v>
      </c>
      <c r="F407" s="2" t="s">
        <v>159</v>
      </c>
      <c r="G407" s="2" t="s">
        <v>937</v>
      </c>
      <c r="H407" s="2" t="s">
        <v>1019</v>
      </c>
      <c r="I407" s="2" t="s">
        <v>1587</v>
      </c>
      <c r="J407" s="260">
        <v>21873</v>
      </c>
      <c r="K407" s="260">
        <v>22071</v>
      </c>
      <c r="L407" s="260"/>
      <c r="O407" s="260"/>
      <c r="P407" s="260"/>
      <c r="Q407" s="260"/>
      <c r="R407" s="260"/>
      <c r="S407" s="260"/>
      <c r="U407" s="260"/>
      <c r="V407" s="260"/>
      <c r="W407" s="2"/>
      <c r="X407" s="2"/>
      <c r="Y407" s="2">
        <f t="shared" si="214"/>
        <v>198</v>
      </c>
      <c r="Z407" s="2" t="str">
        <f t="shared" si="215"/>
        <v/>
      </c>
      <c r="AA407" s="2" t="str">
        <f t="shared" si="211"/>
        <v/>
      </c>
      <c r="AB407" s="2" t="str">
        <f t="shared" si="212"/>
        <v/>
      </c>
      <c r="AC407" s="2" t="str">
        <f t="shared" si="203"/>
        <v/>
      </c>
      <c r="AD407" s="2" t="str">
        <f t="shared" si="204"/>
        <v/>
      </c>
      <c r="AE407" s="2" t="str">
        <f t="shared" si="205"/>
        <v/>
      </c>
      <c r="AF407" s="2" t="str">
        <f t="shared" si="206"/>
        <v/>
      </c>
      <c r="AG407" s="2" t="str">
        <f t="shared" si="207"/>
        <v/>
      </c>
      <c r="AH407" s="2" t="str">
        <f t="shared" si="208"/>
        <v/>
      </c>
      <c r="AI407" s="2" t="str">
        <f t="shared" si="209"/>
        <v/>
      </c>
      <c r="AJ407" s="2" t="str">
        <f t="shared" si="210"/>
        <v/>
      </c>
      <c r="AK407" s="2">
        <v>1</v>
      </c>
      <c r="AL407" s="260">
        <f t="shared" ca="1" si="200"/>
        <v>0</v>
      </c>
      <c r="AM407" s="260">
        <f t="shared" ca="1" si="201"/>
        <v>0</v>
      </c>
      <c r="AN407" s="260" t="str">
        <f ca="1">IF(AND(Tabla7[[#This Row],[UltLec]]&lt;&gt;0,Tabla7[[#This Row],[PenLect]]&lt;&gt;0),(AM407-AL407)*Tabla7[[#This Row],[RT]],"N/A")</f>
        <v>N/A</v>
      </c>
      <c r="AO407" s="380" t="s">
        <v>813</v>
      </c>
      <c r="AP407" s="380" t="s">
        <v>1076</v>
      </c>
      <c r="AQ407" s="380" t="s">
        <v>1074</v>
      </c>
      <c r="AR407" s="2">
        <f t="shared" si="202"/>
        <v>0</v>
      </c>
      <c r="AT407" s="2" t="e">
        <f t="shared" ca="1" si="213"/>
        <v>#VALUE!</v>
      </c>
    </row>
    <row r="408" spans="1:46" ht="18" customHeight="1" x14ac:dyDescent="0.25">
      <c r="A408" s="407" t="s">
        <v>19</v>
      </c>
      <c r="B408" s="54"/>
      <c r="C408" s="420" t="s">
        <v>1106</v>
      </c>
      <c r="D408" s="374" t="s">
        <v>174</v>
      </c>
      <c r="E408" s="375">
        <v>39246</v>
      </c>
      <c r="F408" s="2" t="s">
        <v>177</v>
      </c>
      <c r="G408" s="2" t="s">
        <v>101</v>
      </c>
      <c r="H408" s="2"/>
      <c r="I408" s="2" t="s">
        <v>1467</v>
      </c>
      <c r="J408" s="260">
        <v>316063</v>
      </c>
      <c r="K408" s="260">
        <v>332816</v>
      </c>
      <c r="L408" s="260"/>
      <c r="O408" s="260"/>
      <c r="P408" s="260"/>
      <c r="Q408" s="260"/>
      <c r="R408" s="260"/>
      <c r="S408" s="260"/>
      <c r="U408" s="260"/>
      <c r="V408" s="260"/>
      <c r="W408" s="2"/>
      <c r="X408" s="2"/>
      <c r="Y408" s="2">
        <f t="shared" si="214"/>
        <v>16753</v>
      </c>
      <c r="Z408" s="2" t="str">
        <f t="shared" si="215"/>
        <v/>
      </c>
      <c r="AA408" s="2" t="str">
        <f t="shared" si="211"/>
        <v/>
      </c>
      <c r="AB408" s="2" t="str">
        <f t="shared" si="212"/>
        <v/>
      </c>
      <c r="AC408" s="2" t="str">
        <f t="shared" si="203"/>
        <v/>
      </c>
      <c r="AD408" s="2" t="str">
        <f t="shared" si="204"/>
        <v/>
      </c>
      <c r="AE408" s="2" t="str">
        <f t="shared" si="205"/>
        <v/>
      </c>
      <c r="AF408" s="2" t="str">
        <f t="shared" si="206"/>
        <v/>
      </c>
      <c r="AG408" s="2" t="str">
        <f t="shared" si="207"/>
        <v/>
      </c>
      <c r="AH408" s="2" t="str">
        <f t="shared" si="208"/>
        <v/>
      </c>
      <c r="AI408" s="2" t="str">
        <f t="shared" si="209"/>
        <v/>
      </c>
      <c r="AJ408" s="2" t="str">
        <f t="shared" si="210"/>
        <v/>
      </c>
      <c r="AK408" s="2">
        <v>1</v>
      </c>
      <c r="AL408" s="260">
        <f t="shared" ca="1" si="200"/>
        <v>0</v>
      </c>
      <c r="AM408" s="260">
        <f t="shared" ca="1" si="201"/>
        <v>0</v>
      </c>
      <c r="AN408" s="260" t="str">
        <f ca="1">IF(AND(Tabla7[[#This Row],[UltLec]]&lt;&gt;0,Tabla7[[#This Row],[PenLect]]&lt;&gt;0),(AM408-AL408)*Tabla7[[#This Row],[RT]],"N/A")</f>
        <v>N/A</v>
      </c>
      <c r="AO408" s="380" t="s">
        <v>813</v>
      </c>
      <c r="AP408" s="380" t="s">
        <v>1075</v>
      </c>
      <c r="AQ408" s="380" t="s">
        <v>1074</v>
      </c>
      <c r="AR408" s="2">
        <f t="shared" si="202"/>
        <v>0</v>
      </c>
      <c r="AT408" s="2" t="e">
        <f t="shared" ca="1" si="213"/>
        <v>#VALUE!</v>
      </c>
    </row>
    <row r="409" spans="1:46" ht="18" hidden="1" customHeight="1" x14ac:dyDescent="0.25">
      <c r="A409" s="418" t="s">
        <v>1080</v>
      </c>
      <c r="B409" s="273"/>
      <c r="C409" s="276" t="s">
        <v>176</v>
      </c>
      <c r="D409" s="273" t="s">
        <v>174</v>
      </c>
      <c r="E409" s="274">
        <v>39246</v>
      </c>
      <c r="F409" s="275" t="s">
        <v>177</v>
      </c>
      <c r="G409" s="275" t="s">
        <v>101</v>
      </c>
      <c r="H409" s="275" t="s">
        <v>693</v>
      </c>
      <c r="I409" s="275" t="s">
        <v>1466</v>
      </c>
      <c r="J409" s="275"/>
      <c r="K409" s="275"/>
      <c r="L409" s="275"/>
      <c r="M409" s="275"/>
      <c r="N409" s="275"/>
      <c r="O409" s="275"/>
      <c r="P409" s="275"/>
      <c r="Q409" s="275"/>
      <c r="R409" s="275"/>
      <c r="S409" s="275"/>
      <c r="T409" s="275"/>
      <c r="U409" s="275"/>
      <c r="V409" s="275"/>
      <c r="W409" s="275"/>
      <c r="X409" s="275"/>
      <c r="Y409" s="275" t="str">
        <f t="shared" si="214"/>
        <v/>
      </c>
      <c r="Z409" s="275" t="str">
        <f t="shared" si="215"/>
        <v/>
      </c>
      <c r="AA409" s="275" t="str">
        <f t="shared" si="211"/>
        <v/>
      </c>
      <c r="AB409" s="275" t="str">
        <f t="shared" si="212"/>
        <v/>
      </c>
      <c r="AC409" s="275" t="str">
        <f t="shared" si="203"/>
        <v/>
      </c>
      <c r="AD409" s="275" t="str">
        <f t="shared" si="204"/>
        <v/>
      </c>
      <c r="AE409" s="275" t="str">
        <f t="shared" si="205"/>
        <v/>
      </c>
      <c r="AF409" s="275" t="str">
        <f t="shared" si="206"/>
        <v/>
      </c>
      <c r="AG409" s="275" t="str">
        <f t="shared" si="207"/>
        <v/>
      </c>
      <c r="AH409" s="275" t="str">
        <f t="shared" si="208"/>
        <v/>
      </c>
      <c r="AI409" s="275" t="str">
        <f t="shared" si="209"/>
        <v/>
      </c>
      <c r="AJ409" s="275" t="str">
        <f t="shared" si="210"/>
        <v/>
      </c>
      <c r="AK409" s="275">
        <v>1</v>
      </c>
      <c r="AL409" s="275">
        <f t="shared" ca="1" si="200"/>
        <v>0</v>
      </c>
      <c r="AM409" s="275">
        <f t="shared" ca="1" si="201"/>
        <v>0</v>
      </c>
      <c r="AN409" s="275" t="str">
        <f ca="1">IF(AND(Tabla7[[#This Row],[UltLec]]&lt;&gt;0,Tabla7[[#This Row],[PenLect]]&lt;&gt;0),(AM409-AL409)*Tabla7[[#This Row],[RT]],"N/A")</f>
        <v>N/A</v>
      </c>
      <c r="AO409" s="275" t="s">
        <v>1160</v>
      </c>
      <c r="AP409" s="275" t="s">
        <v>1075</v>
      </c>
      <c r="AQ409" s="275" t="s">
        <v>1074</v>
      </c>
      <c r="AR409" s="275">
        <f t="shared" si="202"/>
        <v>0</v>
      </c>
      <c r="AT409" s="2" t="e">
        <f t="shared" ca="1" si="213"/>
        <v>#VALUE!</v>
      </c>
    </row>
    <row r="410" spans="1:46" ht="18.75" customHeight="1" x14ac:dyDescent="0.25">
      <c r="A410" s="291" t="s">
        <v>19</v>
      </c>
      <c r="B410" s="54"/>
      <c r="C410" s="239" t="s">
        <v>178</v>
      </c>
      <c r="D410" s="54" t="s">
        <v>174</v>
      </c>
      <c r="E410" s="232">
        <v>140</v>
      </c>
      <c r="F410" s="2" t="s">
        <v>714</v>
      </c>
      <c r="G410" s="2" t="s">
        <v>179</v>
      </c>
      <c r="H410" s="2"/>
      <c r="I410" s="2"/>
      <c r="J410" s="260">
        <v>277972</v>
      </c>
      <c r="K410" s="260">
        <v>278661</v>
      </c>
      <c r="L410" s="260"/>
      <c r="O410" s="260"/>
      <c r="P410" s="260"/>
      <c r="Q410" s="260"/>
      <c r="R410" s="260"/>
      <c r="S410" s="260"/>
      <c r="U410" s="260"/>
      <c r="V410" s="260"/>
      <c r="W410" s="2"/>
      <c r="X410" s="2"/>
      <c r="Y410" s="2">
        <f t="shared" si="214"/>
        <v>689</v>
      </c>
      <c r="Z410" s="2" t="str">
        <f t="shared" si="215"/>
        <v/>
      </c>
      <c r="AA410" s="2" t="str">
        <f t="shared" si="211"/>
        <v/>
      </c>
      <c r="AB410" s="2" t="str">
        <f t="shared" si="212"/>
        <v/>
      </c>
      <c r="AC410" s="2" t="str">
        <f t="shared" si="203"/>
        <v/>
      </c>
      <c r="AD410" s="2" t="str">
        <f t="shared" si="204"/>
        <v/>
      </c>
      <c r="AE410" s="2" t="str">
        <f t="shared" si="205"/>
        <v/>
      </c>
      <c r="AF410" s="2" t="str">
        <f t="shared" si="206"/>
        <v/>
      </c>
      <c r="AG410" s="2" t="str">
        <f t="shared" si="207"/>
        <v/>
      </c>
      <c r="AH410" s="2" t="str">
        <f t="shared" si="208"/>
        <v/>
      </c>
      <c r="AI410" s="2" t="str">
        <f t="shared" si="209"/>
        <v/>
      </c>
      <c r="AJ410" s="2" t="str">
        <f t="shared" si="210"/>
        <v/>
      </c>
      <c r="AK410" s="2">
        <v>1</v>
      </c>
      <c r="AL410" s="260">
        <f t="shared" ca="1" si="200"/>
        <v>0</v>
      </c>
      <c r="AM410" s="260">
        <f t="shared" ca="1" si="201"/>
        <v>0</v>
      </c>
      <c r="AN410" s="260" t="str">
        <f ca="1">IF(AND(Tabla7[[#This Row],[UltLec]]&lt;&gt;0,Tabla7[[#This Row],[PenLect]]&lt;&gt;0),(AM410-AL410)*Tabla7[[#This Row],[RT]],"N/A")</f>
        <v>N/A</v>
      </c>
      <c r="AO410" s="380" t="s">
        <v>813</v>
      </c>
      <c r="AP410" s="380" t="s">
        <v>1075</v>
      </c>
      <c r="AQ410" s="380" t="s">
        <v>1074</v>
      </c>
      <c r="AR410" s="2">
        <f t="shared" si="202"/>
        <v>0</v>
      </c>
      <c r="AT410" s="2" t="e">
        <f t="shared" ca="1" si="213"/>
        <v>#VALUE!</v>
      </c>
    </row>
    <row r="411" spans="1:46" ht="18" customHeight="1" x14ac:dyDescent="0.25">
      <c r="A411" s="378" t="s">
        <v>19</v>
      </c>
      <c r="B411" s="262">
        <v>40364</v>
      </c>
      <c r="C411" s="266" t="s">
        <v>175</v>
      </c>
      <c r="D411" s="262" t="s">
        <v>174</v>
      </c>
      <c r="E411" s="235">
        <v>39497</v>
      </c>
      <c r="F411" s="371" t="s">
        <v>1677</v>
      </c>
      <c r="G411" s="371" t="s">
        <v>101</v>
      </c>
      <c r="H411" s="371" t="s">
        <v>693</v>
      </c>
      <c r="I411" s="371" t="s">
        <v>1685</v>
      </c>
      <c r="J411" s="341">
        <v>5707185</v>
      </c>
      <c r="K411" s="341">
        <v>5756210</v>
      </c>
      <c r="L411" s="341"/>
      <c r="M411" s="341"/>
      <c r="N411" s="341"/>
      <c r="O411" s="341"/>
      <c r="P411" s="341"/>
      <c r="Q411" s="341"/>
      <c r="R411" s="341"/>
      <c r="S411" s="341"/>
      <c r="T411" s="341"/>
      <c r="U411" s="341"/>
      <c r="V411" s="341"/>
      <c r="W411" s="371"/>
      <c r="X411" s="371"/>
      <c r="Y411" s="371">
        <f t="shared" si="214"/>
        <v>49025</v>
      </c>
      <c r="Z411" s="371" t="str">
        <f t="shared" si="215"/>
        <v/>
      </c>
      <c r="AA411" s="371" t="str">
        <f t="shared" si="211"/>
        <v/>
      </c>
      <c r="AB411" s="371" t="str">
        <f t="shared" si="212"/>
        <v/>
      </c>
      <c r="AC411" s="371" t="str">
        <f t="shared" si="203"/>
        <v/>
      </c>
      <c r="AD411" s="371" t="str">
        <f t="shared" si="204"/>
        <v/>
      </c>
      <c r="AE411" s="371" t="str">
        <f t="shared" si="205"/>
        <v/>
      </c>
      <c r="AF411" s="371" t="str">
        <f t="shared" si="206"/>
        <v/>
      </c>
      <c r="AG411" s="371" t="str">
        <f t="shared" si="207"/>
        <v/>
      </c>
      <c r="AH411" s="371" t="str">
        <f t="shared" si="208"/>
        <v/>
      </c>
      <c r="AI411" s="371" t="str">
        <f t="shared" si="209"/>
        <v/>
      </c>
      <c r="AJ411" s="371" t="str">
        <f t="shared" si="210"/>
        <v/>
      </c>
      <c r="AK411" s="371">
        <v>1</v>
      </c>
      <c r="AL411" s="341">
        <f t="shared" ca="1" si="200"/>
        <v>0</v>
      </c>
      <c r="AM411" s="341">
        <f t="shared" ca="1" si="201"/>
        <v>0</v>
      </c>
      <c r="AN411" s="341" t="str">
        <f ca="1">IF(AND(Tabla7[[#This Row],[UltLec]]&lt;&gt;0,Tabla7[[#This Row],[PenLect]]&lt;&gt;0),(AM411-AL411)*Tabla7[[#This Row],[RT]],"N/A")</f>
        <v>N/A</v>
      </c>
      <c r="AO411" s="389" t="s">
        <v>813</v>
      </c>
      <c r="AP411" s="389" t="s">
        <v>1075</v>
      </c>
      <c r="AQ411" s="389" t="s">
        <v>1074</v>
      </c>
      <c r="AR411" s="371">
        <f t="shared" si="202"/>
        <v>0</v>
      </c>
      <c r="AT411" s="2" t="e">
        <f t="shared" ca="1" si="213"/>
        <v>#VALUE!</v>
      </c>
    </row>
    <row r="412" spans="1:46" ht="18.75" customHeight="1" x14ac:dyDescent="0.25">
      <c r="A412" s="407" t="s">
        <v>19</v>
      </c>
      <c r="B412" s="54"/>
      <c r="C412" s="420" t="s">
        <v>1120</v>
      </c>
      <c r="D412" s="374" t="s">
        <v>174</v>
      </c>
      <c r="E412" s="375">
        <v>131</v>
      </c>
      <c r="F412" s="2" t="s">
        <v>440</v>
      </c>
      <c r="G412" s="2" t="s">
        <v>432</v>
      </c>
      <c r="H412" s="2"/>
      <c r="I412" s="2"/>
      <c r="J412" s="260">
        <v>309277</v>
      </c>
      <c r="K412" s="260">
        <v>310321</v>
      </c>
      <c r="L412" s="260"/>
      <c r="O412" s="260"/>
      <c r="P412" s="260"/>
      <c r="Q412" s="260"/>
      <c r="R412" s="260"/>
      <c r="S412" s="260"/>
      <c r="U412" s="260"/>
      <c r="V412" s="260"/>
      <c r="W412" s="2"/>
      <c r="X412" s="2"/>
      <c r="Y412" s="2">
        <f t="shared" si="214"/>
        <v>1044</v>
      </c>
      <c r="Z412" s="2" t="str">
        <f t="shared" si="215"/>
        <v/>
      </c>
      <c r="AA412" s="2" t="str">
        <f t="shared" si="211"/>
        <v/>
      </c>
      <c r="AB412" s="2" t="str">
        <f t="shared" si="212"/>
        <v/>
      </c>
      <c r="AC412" s="2" t="str">
        <f t="shared" si="203"/>
        <v/>
      </c>
      <c r="AD412" s="2" t="str">
        <f t="shared" si="204"/>
        <v/>
      </c>
      <c r="AE412" s="2" t="str">
        <f t="shared" si="205"/>
        <v/>
      </c>
      <c r="AF412" s="2" t="str">
        <f t="shared" si="206"/>
        <v/>
      </c>
      <c r="AG412" s="2" t="str">
        <f t="shared" si="207"/>
        <v/>
      </c>
      <c r="AH412" s="2" t="str">
        <f t="shared" si="208"/>
        <v/>
      </c>
      <c r="AI412" s="2" t="str">
        <f t="shared" si="209"/>
        <v/>
      </c>
      <c r="AJ412" s="2" t="str">
        <f t="shared" si="210"/>
        <v/>
      </c>
      <c r="AK412" s="2">
        <v>1</v>
      </c>
      <c r="AL412" s="260">
        <f t="shared" ca="1" si="200"/>
        <v>0</v>
      </c>
      <c r="AM412" s="260">
        <f t="shared" ca="1" si="201"/>
        <v>0</v>
      </c>
      <c r="AN412" s="260" t="str">
        <f ca="1">IF(AND(Tabla7[[#This Row],[UltLec]]&lt;&gt;0,Tabla7[[#This Row],[PenLect]]&lt;&gt;0),(AM412-AL412)*Tabla7[[#This Row],[RT]],"N/A")</f>
        <v>N/A</v>
      </c>
      <c r="AO412" s="380" t="s">
        <v>813</v>
      </c>
      <c r="AP412" s="380" t="s">
        <v>1076</v>
      </c>
      <c r="AQ412" s="380" t="s">
        <v>771</v>
      </c>
      <c r="AR412" s="2">
        <f t="shared" si="202"/>
        <v>0</v>
      </c>
      <c r="AT412" s="2" t="e">
        <f t="shared" ca="1" si="213"/>
        <v>#VALUE!</v>
      </c>
    </row>
    <row r="413" spans="1:46" ht="18" customHeight="1" x14ac:dyDescent="0.25">
      <c r="A413" s="378" t="s">
        <v>19</v>
      </c>
      <c r="B413" s="262">
        <v>552</v>
      </c>
      <c r="C413" s="266" t="s">
        <v>181</v>
      </c>
      <c r="D413" s="262" t="s">
        <v>180</v>
      </c>
      <c r="E413" s="235">
        <v>39787</v>
      </c>
      <c r="F413" s="371" t="s">
        <v>182</v>
      </c>
      <c r="G413" s="371" t="s">
        <v>183</v>
      </c>
      <c r="H413" s="371" t="s">
        <v>693</v>
      </c>
      <c r="I413" s="371"/>
      <c r="J413" s="341">
        <v>195481</v>
      </c>
      <c r="K413" s="341">
        <v>196509</v>
      </c>
      <c r="L413" s="341"/>
      <c r="M413" s="341"/>
      <c r="N413" s="341"/>
      <c r="O413" s="341"/>
      <c r="P413" s="341"/>
      <c r="Q413" s="341"/>
      <c r="R413" s="341"/>
      <c r="S413" s="341"/>
      <c r="T413" s="341"/>
      <c r="U413" s="341"/>
      <c r="V413" s="341"/>
      <c r="W413" s="341"/>
      <c r="X413" s="341"/>
      <c r="Y413" s="371">
        <f t="shared" si="214"/>
        <v>1028</v>
      </c>
      <c r="Z413" s="371" t="str">
        <f t="shared" si="215"/>
        <v/>
      </c>
      <c r="AA413" s="371" t="str">
        <f t="shared" si="211"/>
        <v/>
      </c>
      <c r="AB413" s="371" t="str">
        <f t="shared" si="212"/>
        <v/>
      </c>
      <c r="AC413" s="371" t="str">
        <f t="shared" si="203"/>
        <v/>
      </c>
      <c r="AD413" s="371" t="str">
        <f t="shared" si="204"/>
        <v/>
      </c>
      <c r="AE413" s="371" t="str">
        <f t="shared" si="205"/>
        <v/>
      </c>
      <c r="AF413" s="371" t="str">
        <f t="shared" si="206"/>
        <v/>
      </c>
      <c r="AG413" s="371" t="str">
        <f t="shared" si="207"/>
        <v/>
      </c>
      <c r="AH413" s="371" t="str">
        <f t="shared" si="208"/>
        <v/>
      </c>
      <c r="AI413" s="371" t="str">
        <f t="shared" si="209"/>
        <v/>
      </c>
      <c r="AJ413" s="371" t="str">
        <f t="shared" si="210"/>
        <v/>
      </c>
      <c r="AK413" s="371">
        <v>1</v>
      </c>
      <c r="AL413" s="341">
        <f t="shared" ca="1" si="200"/>
        <v>0</v>
      </c>
      <c r="AM413" s="341">
        <f t="shared" ca="1" si="201"/>
        <v>0</v>
      </c>
      <c r="AN413" s="341" t="str">
        <f ca="1">IF(AND(Tabla7[[#This Row],[UltLec]]&lt;&gt;0,Tabla7[[#This Row],[PenLect]]&lt;&gt;0),(AM413-AL413)*Tabla7[[#This Row],[RT]],"N/A")</f>
        <v>N/A</v>
      </c>
      <c r="AO413" s="389" t="s">
        <v>813</v>
      </c>
      <c r="AP413" s="389" t="s">
        <v>1075</v>
      </c>
      <c r="AQ413" s="389" t="s">
        <v>1074</v>
      </c>
      <c r="AR413" s="371">
        <f t="shared" si="202"/>
        <v>0</v>
      </c>
      <c r="AT413" s="2" t="e">
        <f t="shared" ca="1" si="213"/>
        <v>#VALUE!</v>
      </c>
    </row>
    <row r="414" spans="1:46" ht="18" hidden="1" customHeight="1" x14ac:dyDescent="0.25">
      <c r="A414" s="418" t="s">
        <v>1080</v>
      </c>
      <c r="B414" s="273">
        <v>1234</v>
      </c>
      <c r="C414" s="276" t="s">
        <v>185</v>
      </c>
      <c r="D414" s="273" t="s">
        <v>180</v>
      </c>
      <c r="E414" s="274">
        <v>39051</v>
      </c>
      <c r="F414" s="275" t="s">
        <v>186</v>
      </c>
      <c r="G414" s="275" t="s">
        <v>101</v>
      </c>
      <c r="H414" s="275" t="s">
        <v>1618</v>
      </c>
      <c r="I414" s="275"/>
      <c r="J414" s="275"/>
      <c r="K414" s="275"/>
      <c r="L414" s="275"/>
      <c r="M414" s="275"/>
      <c r="N414" s="275"/>
      <c r="O414" s="275"/>
      <c r="P414" s="275"/>
      <c r="Q414" s="275"/>
      <c r="R414" s="275"/>
      <c r="S414" s="275"/>
      <c r="T414" s="275"/>
      <c r="U414" s="275"/>
      <c r="V414" s="275"/>
      <c r="W414" s="275"/>
      <c r="X414" s="275"/>
      <c r="Y414" s="275" t="str">
        <f t="shared" si="214"/>
        <v/>
      </c>
      <c r="Z414" s="275" t="str">
        <f t="shared" si="215"/>
        <v/>
      </c>
      <c r="AA414" s="275" t="str">
        <f t="shared" si="211"/>
        <v/>
      </c>
      <c r="AB414" s="275" t="str">
        <f t="shared" si="212"/>
        <v/>
      </c>
      <c r="AC414" s="275" t="str">
        <f t="shared" si="203"/>
        <v/>
      </c>
      <c r="AD414" s="275" t="str">
        <f t="shared" si="204"/>
        <v/>
      </c>
      <c r="AE414" s="275" t="str">
        <f t="shared" si="205"/>
        <v/>
      </c>
      <c r="AF414" s="275" t="str">
        <f t="shared" si="206"/>
        <v/>
      </c>
      <c r="AG414" s="275" t="str">
        <f t="shared" si="207"/>
        <v/>
      </c>
      <c r="AH414" s="275" t="str">
        <f t="shared" si="208"/>
        <v/>
      </c>
      <c r="AI414" s="275" t="str">
        <f t="shared" si="209"/>
        <v/>
      </c>
      <c r="AJ414" s="275" t="str">
        <f t="shared" si="210"/>
        <v/>
      </c>
      <c r="AK414" s="275">
        <v>1</v>
      </c>
      <c r="AL414" s="275">
        <f t="shared" ca="1" si="200"/>
        <v>0</v>
      </c>
      <c r="AM414" s="275">
        <f t="shared" ca="1" si="201"/>
        <v>0</v>
      </c>
      <c r="AN414" s="275" t="str">
        <f ca="1">IF(AND(Tabla7[[#This Row],[UltLec]]&lt;&gt;0,Tabla7[[#This Row],[PenLect]]&lt;&gt;0),(AM414-AL414)*Tabla7[[#This Row],[RT]],"N/A")</f>
        <v>N/A</v>
      </c>
      <c r="AO414" s="275" t="s">
        <v>1160</v>
      </c>
      <c r="AP414" s="275" t="s">
        <v>1075</v>
      </c>
      <c r="AQ414" s="275" t="s">
        <v>1074</v>
      </c>
      <c r="AR414" s="275">
        <f t="shared" si="202"/>
        <v>0</v>
      </c>
      <c r="AT414" s="2" t="e">
        <f t="shared" ca="1" si="213"/>
        <v>#VALUE!</v>
      </c>
    </row>
    <row r="415" spans="1:46" ht="18" hidden="1" customHeight="1" x14ac:dyDescent="0.25">
      <c r="A415" s="418" t="s">
        <v>1080</v>
      </c>
      <c r="B415" s="273"/>
      <c r="C415" s="276" t="s">
        <v>185</v>
      </c>
      <c r="D415" s="273" t="s">
        <v>180</v>
      </c>
      <c r="E415" s="274">
        <v>39705</v>
      </c>
      <c r="F415" s="275" t="s">
        <v>1630</v>
      </c>
      <c r="G415" s="275" t="s">
        <v>101</v>
      </c>
      <c r="H415" s="275" t="s">
        <v>1631</v>
      </c>
      <c r="I415" s="275" t="s">
        <v>1690</v>
      </c>
      <c r="J415" s="275">
        <v>32310</v>
      </c>
      <c r="K415" s="275"/>
      <c r="L415" s="275"/>
      <c r="M415" s="275"/>
      <c r="N415" s="275"/>
      <c r="O415" s="275"/>
      <c r="P415" s="275"/>
      <c r="Q415" s="275"/>
      <c r="R415" s="275"/>
      <c r="S415" s="275"/>
      <c r="T415" s="275"/>
      <c r="U415" s="275"/>
      <c r="V415" s="275"/>
      <c r="W415" s="275"/>
      <c r="X415" s="275"/>
      <c r="Y415" s="275" t="str">
        <f t="shared" si="214"/>
        <v/>
      </c>
      <c r="Z415" s="275" t="str">
        <f t="shared" si="215"/>
        <v/>
      </c>
      <c r="AA415" s="275" t="str">
        <f t="shared" si="211"/>
        <v/>
      </c>
      <c r="AB415" s="275" t="str">
        <f t="shared" si="212"/>
        <v/>
      </c>
      <c r="AC415" s="275" t="str">
        <f t="shared" si="203"/>
        <v/>
      </c>
      <c r="AD415" s="275" t="str">
        <f t="shared" si="204"/>
        <v/>
      </c>
      <c r="AE415" s="275" t="str">
        <f t="shared" si="205"/>
        <v/>
      </c>
      <c r="AF415" s="275" t="str">
        <f t="shared" si="206"/>
        <v/>
      </c>
      <c r="AG415" s="275" t="str">
        <f t="shared" si="207"/>
        <v/>
      </c>
      <c r="AH415" s="275" t="str">
        <f t="shared" si="208"/>
        <v/>
      </c>
      <c r="AI415" s="275" t="str">
        <f t="shared" si="209"/>
        <v/>
      </c>
      <c r="AJ415" s="275" t="str">
        <f t="shared" si="210"/>
        <v/>
      </c>
      <c r="AK415" s="275">
        <v>1</v>
      </c>
      <c r="AL415" s="275">
        <f t="shared" ca="1" si="200"/>
        <v>0</v>
      </c>
      <c r="AM415" s="275">
        <f t="shared" ca="1" si="201"/>
        <v>0</v>
      </c>
      <c r="AN415" s="275" t="str">
        <f ca="1">IF(AND(Tabla7[[#This Row],[UltLec]]&lt;&gt;0,Tabla7[[#This Row],[PenLect]]&lt;&gt;0),(AM415-AL415)*Tabla7[[#This Row],[RT]],"N/A")</f>
        <v>N/A</v>
      </c>
      <c r="AO415" s="275" t="s">
        <v>1160</v>
      </c>
      <c r="AP415" s="275" t="s">
        <v>1075</v>
      </c>
      <c r="AQ415" s="275" t="s">
        <v>1074</v>
      </c>
      <c r="AR415" s="275">
        <f t="shared" si="202"/>
        <v>0</v>
      </c>
      <c r="AT415" s="2" t="e">
        <f t="shared" ca="1" si="213"/>
        <v>#VALUE!</v>
      </c>
    </row>
    <row r="416" spans="1:46" ht="18" customHeight="1" x14ac:dyDescent="0.25">
      <c r="A416" s="419" t="s">
        <v>19</v>
      </c>
      <c r="B416" s="262"/>
      <c r="C416" s="423" t="s">
        <v>184</v>
      </c>
      <c r="D416" s="421" t="s">
        <v>180</v>
      </c>
      <c r="E416" s="451">
        <v>150</v>
      </c>
      <c r="F416" s="371" t="s">
        <v>842</v>
      </c>
      <c r="G416" s="371" t="s">
        <v>101</v>
      </c>
      <c r="H416" s="371" t="s">
        <v>693</v>
      </c>
      <c r="I416" s="371"/>
      <c r="J416" s="341">
        <v>7153438</v>
      </c>
      <c r="K416" s="341">
        <v>7189414</v>
      </c>
      <c r="L416" s="341"/>
      <c r="M416" s="341"/>
      <c r="N416" s="341"/>
      <c r="O416" s="341"/>
      <c r="P416" s="341"/>
      <c r="Q416" s="341"/>
      <c r="R416" s="341"/>
      <c r="S416" s="341"/>
      <c r="T416" s="341"/>
      <c r="U416" s="341"/>
      <c r="V416" s="341"/>
      <c r="W416" s="371"/>
      <c r="X416" s="371"/>
      <c r="Y416" s="371">
        <f t="shared" si="214"/>
        <v>35976</v>
      </c>
      <c r="Z416" s="371" t="str">
        <f t="shared" si="215"/>
        <v/>
      </c>
      <c r="AA416" s="371" t="str">
        <f t="shared" si="211"/>
        <v/>
      </c>
      <c r="AB416" s="371" t="str">
        <f t="shared" si="212"/>
        <v/>
      </c>
      <c r="AC416" s="371" t="str">
        <f t="shared" si="203"/>
        <v/>
      </c>
      <c r="AD416" s="371" t="str">
        <f t="shared" si="204"/>
        <v/>
      </c>
      <c r="AE416" s="371" t="str">
        <f t="shared" si="205"/>
        <v/>
      </c>
      <c r="AF416" s="371" t="str">
        <f t="shared" si="206"/>
        <v/>
      </c>
      <c r="AG416" s="371" t="str">
        <f t="shared" si="207"/>
        <v/>
      </c>
      <c r="AH416" s="371" t="str">
        <f t="shared" si="208"/>
        <v/>
      </c>
      <c r="AI416" s="371" t="str">
        <f t="shared" si="209"/>
        <v/>
      </c>
      <c r="AJ416" s="371" t="str">
        <f t="shared" si="210"/>
        <v/>
      </c>
      <c r="AK416" s="371">
        <v>1</v>
      </c>
      <c r="AL416" s="341">
        <f t="shared" ca="1" si="200"/>
        <v>0</v>
      </c>
      <c r="AM416" s="341">
        <f t="shared" ca="1" si="201"/>
        <v>0</v>
      </c>
      <c r="AN416" s="341" t="str">
        <f ca="1">IF(AND(Tabla7[[#This Row],[UltLec]]&lt;&gt;0,Tabla7[[#This Row],[PenLect]]&lt;&gt;0),(AM416-AL416)*Tabla7[[#This Row],[RT]],"N/A")</f>
        <v>N/A</v>
      </c>
      <c r="AO416" s="389" t="s">
        <v>813</v>
      </c>
      <c r="AP416" s="389" t="s">
        <v>1075</v>
      </c>
      <c r="AQ416" s="389" t="s">
        <v>1074</v>
      </c>
      <c r="AR416" s="371">
        <f t="shared" si="202"/>
        <v>0</v>
      </c>
      <c r="AT416" s="2" t="e">
        <f t="shared" ca="1" si="213"/>
        <v>#VALUE!</v>
      </c>
    </row>
    <row r="417" spans="1:16384" customFormat="1" ht="18" customHeight="1" x14ac:dyDescent="0.25">
      <c r="A417" s="291" t="s">
        <v>19</v>
      </c>
      <c r="B417" s="54"/>
      <c r="C417" s="239" t="s">
        <v>1188</v>
      </c>
      <c r="D417" s="54" t="s">
        <v>180</v>
      </c>
      <c r="E417" s="232">
        <v>131</v>
      </c>
      <c r="F417" s="2" t="s">
        <v>440</v>
      </c>
      <c r="G417" s="2" t="s">
        <v>432</v>
      </c>
      <c r="H417" s="2"/>
      <c r="I417" s="2"/>
      <c r="J417" s="260">
        <v>954311</v>
      </c>
      <c r="K417" s="260">
        <v>961707</v>
      </c>
      <c r="L417" s="260"/>
      <c r="M417" s="260"/>
      <c r="N417" s="260"/>
      <c r="O417" s="260"/>
      <c r="P417" s="260"/>
      <c r="Q417" s="260"/>
      <c r="R417" s="260"/>
      <c r="S417" s="260"/>
      <c r="T417" s="260"/>
      <c r="U417" s="260"/>
      <c r="V417" s="260"/>
      <c r="W417" s="2"/>
      <c r="X417" s="2"/>
      <c r="Y417" s="2">
        <f t="shared" si="214"/>
        <v>7396</v>
      </c>
      <c r="Z417" s="2" t="str">
        <f t="shared" si="215"/>
        <v/>
      </c>
      <c r="AA417" s="2" t="str">
        <f t="shared" ref="AA417:AA448" si="216">IF(OR(ISBLANK(M417),ISBLANK(L417)),"",IF(AND(M417&gt;=L417,M417-L417&lt;=M417),(M417-L417)*$AK417,"!!!!"))</f>
        <v/>
      </c>
      <c r="AB417" s="2" t="str">
        <f t="shared" ref="AB417:AB448" si="217">IF(OR(ISBLANK(N417),ISBLANK(M417)),"",IF(AND(N417&gt;=M417,N417-M417&lt;=N417),(N417-M417)*$AK417,"!!!!"))</f>
        <v/>
      </c>
      <c r="AC417" s="2" t="str">
        <f t="shared" si="203"/>
        <v/>
      </c>
      <c r="AD417" s="2" t="str">
        <f t="shared" si="204"/>
        <v/>
      </c>
      <c r="AE417" s="2" t="str">
        <f t="shared" si="205"/>
        <v/>
      </c>
      <c r="AF417" s="2" t="str">
        <f t="shared" si="206"/>
        <v/>
      </c>
      <c r="AG417" s="2" t="str">
        <f t="shared" si="207"/>
        <v/>
      </c>
      <c r="AH417" s="2" t="str">
        <f t="shared" si="208"/>
        <v/>
      </c>
      <c r="AI417" s="2" t="str">
        <f t="shared" si="209"/>
        <v/>
      </c>
      <c r="AJ417" s="2" t="str">
        <f t="shared" si="210"/>
        <v/>
      </c>
      <c r="AK417" s="2">
        <v>1</v>
      </c>
      <c r="AL417" s="260">
        <f t="shared" ca="1" si="200"/>
        <v>0</v>
      </c>
      <c r="AM417" s="260">
        <f t="shared" ca="1" si="201"/>
        <v>0</v>
      </c>
      <c r="AN417" s="260" t="str">
        <f ca="1">IF(AND(Tabla7[[#This Row],[UltLec]]&lt;&gt;0,Tabla7[[#This Row],[PenLect]]&lt;&gt;0),(AM417-AL417)*Tabla7[[#This Row],[RT]],"N/A")</f>
        <v>N/A</v>
      </c>
      <c r="AO417" s="380" t="s">
        <v>813</v>
      </c>
      <c r="AP417" s="380" t="s">
        <v>1076</v>
      </c>
      <c r="AQ417" s="380" t="s">
        <v>771</v>
      </c>
      <c r="AR417" s="2">
        <f t="shared" si="202"/>
        <v>0</v>
      </c>
      <c r="AT417" s="2" t="e">
        <f t="shared" ca="1" si="213"/>
        <v>#VALUE!</v>
      </c>
    </row>
    <row r="418" spans="1:16384" customFormat="1" ht="18" customHeight="1" x14ac:dyDescent="0.25">
      <c r="A418" s="291" t="s">
        <v>19</v>
      </c>
      <c r="B418" s="54"/>
      <c r="C418" s="239" t="s">
        <v>1191</v>
      </c>
      <c r="D418" s="54" t="s">
        <v>180</v>
      </c>
      <c r="E418" s="232">
        <v>142</v>
      </c>
      <c r="F418" s="2" t="s">
        <v>776</v>
      </c>
      <c r="G418" s="2" t="s">
        <v>815</v>
      </c>
      <c r="H418" s="2" t="s">
        <v>777</v>
      </c>
      <c r="I418" s="2" t="s">
        <v>774</v>
      </c>
      <c r="J418" s="260">
        <v>86641</v>
      </c>
      <c r="K418" s="260">
        <v>88107</v>
      </c>
      <c r="L418" s="260"/>
      <c r="M418" s="260"/>
      <c r="N418" s="260"/>
      <c r="O418" s="260"/>
      <c r="P418" s="260"/>
      <c r="Q418" s="260"/>
      <c r="R418" s="260"/>
      <c r="S418" s="260"/>
      <c r="T418" s="260"/>
      <c r="U418" s="260"/>
      <c r="V418" s="260"/>
      <c r="W418" s="2"/>
      <c r="X418" s="2"/>
      <c r="Y418" s="2">
        <f t="shared" si="214"/>
        <v>1466</v>
      </c>
      <c r="Z418" s="2" t="str">
        <f t="shared" si="215"/>
        <v/>
      </c>
      <c r="AA418" s="2" t="str">
        <f t="shared" si="216"/>
        <v/>
      </c>
      <c r="AB418" s="2" t="str">
        <f t="shared" si="217"/>
        <v/>
      </c>
      <c r="AC418" s="2" t="str">
        <f t="shared" si="203"/>
        <v/>
      </c>
      <c r="AD418" s="2" t="str">
        <f t="shared" si="204"/>
        <v/>
      </c>
      <c r="AE418" s="2" t="str">
        <f t="shared" si="205"/>
        <v/>
      </c>
      <c r="AF418" s="2" t="str">
        <f t="shared" si="206"/>
        <v/>
      </c>
      <c r="AG418" s="2" t="str">
        <f t="shared" si="207"/>
        <v/>
      </c>
      <c r="AH418" s="2" t="str">
        <f t="shared" si="208"/>
        <v/>
      </c>
      <c r="AI418" s="2" t="str">
        <f t="shared" si="209"/>
        <v/>
      </c>
      <c r="AJ418" s="2" t="str">
        <f t="shared" si="210"/>
        <v/>
      </c>
      <c r="AK418" s="2">
        <v>1</v>
      </c>
      <c r="AL418" s="260">
        <f t="shared" ca="1" si="200"/>
        <v>0</v>
      </c>
      <c r="AM418" s="260">
        <f t="shared" ca="1" si="201"/>
        <v>0</v>
      </c>
      <c r="AN418" s="260" t="str">
        <f ca="1">IF(AND(Tabla7[[#This Row],[UltLec]]&lt;&gt;0,Tabla7[[#This Row],[PenLect]]&lt;&gt;0),(AM418-AL418)*Tabla7[[#This Row],[RT]],"N/A")</f>
        <v>N/A</v>
      </c>
      <c r="AO418" s="380" t="s">
        <v>813</v>
      </c>
      <c r="AP418" s="380" t="s">
        <v>1076</v>
      </c>
      <c r="AQ418" s="380" t="s">
        <v>771</v>
      </c>
      <c r="AR418" s="2">
        <f t="shared" si="202"/>
        <v>0</v>
      </c>
      <c r="AT418" s="2" t="e">
        <f t="shared" ca="1" si="213"/>
        <v>#VALUE!</v>
      </c>
    </row>
    <row r="419" spans="1:16384" customFormat="1" ht="18" hidden="1" customHeight="1" x14ac:dyDescent="0.25">
      <c r="A419" s="409" t="s">
        <v>1080</v>
      </c>
      <c r="B419" s="273"/>
      <c r="C419" s="379">
        <v>90003147</v>
      </c>
      <c r="D419" s="376" t="s">
        <v>187</v>
      </c>
      <c r="E419" s="274">
        <v>30000</v>
      </c>
      <c r="F419" s="275" t="s">
        <v>718</v>
      </c>
      <c r="G419" s="275" t="s">
        <v>719</v>
      </c>
      <c r="H419" s="275"/>
      <c r="I419" s="275" t="s">
        <v>826</v>
      </c>
      <c r="J419" s="275"/>
      <c r="K419" s="275"/>
      <c r="L419" s="275"/>
      <c r="M419" s="275"/>
      <c r="N419" s="275"/>
      <c r="O419" s="275"/>
      <c r="P419" s="275"/>
      <c r="Q419" s="275"/>
      <c r="R419" s="275"/>
      <c r="S419" s="275"/>
      <c r="T419" s="275"/>
      <c r="U419" s="275"/>
      <c r="V419" s="275"/>
      <c r="W419" s="275"/>
      <c r="X419" s="275"/>
      <c r="Y419" s="275" t="str">
        <f t="shared" si="214"/>
        <v/>
      </c>
      <c r="Z419" s="275" t="str">
        <f t="shared" si="215"/>
        <v/>
      </c>
      <c r="AA419" s="275" t="str">
        <f t="shared" si="216"/>
        <v/>
      </c>
      <c r="AB419" s="275" t="str">
        <f t="shared" si="217"/>
        <v/>
      </c>
      <c r="AC419" s="275" t="str">
        <f t="shared" si="203"/>
        <v/>
      </c>
      <c r="AD419" s="275" t="str">
        <f t="shared" si="204"/>
        <v/>
      </c>
      <c r="AE419" s="275" t="str">
        <f t="shared" si="205"/>
        <v/>
      </c>
      <c r="AF419" s="275" t="str">
        <f t="shared" si="206"/>
        <v/>
      </c>
      <c r="AG419" s="275" t="str">
        <f t="shared" si="207"/>
        <v/>
      </c>
      <c r="AH419" s="275" t="str">
        <f t="shared" si="208"/>
        <v/>
      </c>
      <c r="AI419" s="275" t="str">
        <f t="shared" si="209"/>
        <v/>
      </c>
      <c r="AJ419" s="275" t="str">
        <f t="shared" si="210"/>
        <v/>
      </c>
      <c r="AK419" s="275">
        <v>1</v>
      </c>
      <c r="AL419" s="277">
        <f t="shared" ca="1" si="200"/>
        <v>0</v>
      </c>
      <c r="AM419" s="277">
        <f t="shared" ca="1" si="201"/>
        <v>0</v>
      </c>
      <c r="AN419" s="277" t="str">
        <f ca="1">IF(AND(Tabla7[[#This Row],[UltLec]]&lt;&gt;0,Tabla7[[#This Row],[PenLect]]&lt;&gt;0),(AM419-AL419)*Tabla7[[#This Row],[RT]],"N/A")</f>
        <v>N/A</v>
      </c>
      <c r="AO419" s="393" t="s">
        <v>1160</v>
      </c>
      <c r="AP419" s="393" t="s">
        <v>1075</v>
      </c>
      <c r="AQ419" s="393" t="s">
        <v>1074</v>
      </c>
      <c r="AR419" s="275">
        <f t="shared" si="202"/>
        <v>0</v>
      </c>
      <c r="AT419" s="2" t="e">
        <f t="shared" ca="1" si="213"/>
        <v>#VALUE!</v>
      </c>
    </row>
    <row r="420" spans="1:16384" customFormat="1" ht="18" hidden="1" customHeight="1" x14ac:dyDescent="0.25">
      <c r="A420" s="418" t="s">
        <v>1080</v>
      </c>
      <c r="B420" s="273"/>
      <c r="C420" s="367" t="s">
        <v>188</v>
      </c>
      <c r="D420" s="273" t="s">
        <v>187</v>
      </c>
      <c r="E420" s="274">
        <v>39434</v>
      </c>
      <c r="F420" s="275" t="s">
        <v>189</v>
      </c>
      <c r="G420" s="275" t="s">
        <v>903</v>
      </c>
      <c r="H420" s="275" t="s">
        <v>433</v>
      </c>
      <c r="I420" s="275"/>
      <c r="J420" s="275"/>
      <c r="K420" s="277"/>
      <c r="L420" s="275"/>
      <c r="M420" s="277"/>
      <c r="N420" s="277"/>
      <c r="O420" s="277"/>
      <c r="P420" s="277"/>
      <c r="Q420" s="275"/>
      <c r="R420" s="275"/>
      <c r="S420" s="277"/>
      <c r="T420" s="277"/>
      <c r="U420" s="277"/>
      <c r="V420" s="275"/>
      <c r="W420" s="275"/>
      <c r="X420" s="275"/>
      <c r="Y420" s="275" t="str">
        <f t="shared" si="214"/>
        <v/>
      </c>
      <c r="Z420" s="275" t="str">
        <f t="shared" si="215"/>
        <v/>
      </c>
      <c r="AA420" s="275" t="str">
        <f t="shared" si="216"/>
        <v/>
      </c>
      <c r="AB420" s="275" t="str">
        <f t="shared" si="217"/>
        <v/>
      </c>
      <c r="AC420" s="275" t="str">
        <f t="shared" si="203"/>
        <v/>
      </c>
      <c r="AD420" s="275" t="str">
        <f t="shared" si="204"/>
        <v/>
      </c>
      <c r="AE420" s="275" t="str">
        <f t="shared" si="205"/>
        <v/>
      </c>
      <c r="AF420" s="275" t="str">
        <f t="shared" si="206"/>
        <v/>
      </c>
      <c r="AG420" s="275" t="str">
        <f t="shared" si="207"/>
        <v/>
      </c>
      <c r="AH420" s="275" t="str">
        <f t="shared" si="208"/>
        <v/>
      </c>
      <c r="AI420" s="275" t="str">
        <f t="shared" si="209"/>
        <v/>
      </c>
      <c r="AJ420" s="275" t="str">
        <f t="shared" si="210"/>
        <v/>
      </c>
      <c r="AK420" s="275">
        <v>1</v>
      </c>
      <c r="AL420" s="277">
        <f t="shared" ca="1" si="200"/>
        <v>0</v>
      </c>
      <c r="AM420" s="277">
        <f t="shared" ca="1" si="201"/>
        <v>0</v>
      </c>
      <c r="AN420" s="277" t="str">
        <f ca="1">IF(AND(Tabla7[[#This Row],[UltLec]]&lt;&gt;0,Tabla7[[#This Row],[PenLect]]&lt;&gt;0),(AM420-AL420)*Tabla7[[#This Row],[RT]],"N/A")</f>
        <v>N/A</v>
      </c>
      <c r="AO420" s="393" t="s">
        <v>1160</v>
      </c>
      <c r="AP420" s="393" t="s">
        <v>1075</v>
      </c>
      <c r="AQ420" s="393" t="s">
        <v>1074</v>
      </c>
      <c r="AR420" s="275">
        <f t="shared" si="202"/>
        <v>0</v>
      </c>
      <c r="AT420" s="2" t="e">
        <f t="shared" ca="1" si="213"/>
        <v>#VALUE!</v>
      </c>
    </row>
    <row r="421" spans="1:16384" customFormat="1" ht="18" hidden="1" customHeight="1" x14ac:dyDescent="0.25">
      <c r="A421" s="409" t="s">
        <v>1080</v>
      </c>
      <c r="B421" s="273"/>
      <c r="C421" s="379" t="s">
        <v>824</v>
      </c>
      <c r="D421" s="376" t="s">
        <v>187</v>
      </c>
      <c r="E421" s="377">
        <v>140</v>
      </c>
      <c r="F421" s="275" t="s">
        <v>825</v>
      </c>
      <c r="G421" s="275" t="s">
        <v>906</v>
      </c>
      <c r="H421" s="383" t="s">
        <v>1361</v>
      </c>
      <c r="I421" s="275"/>
      <c r="J421" s="277"/>
      <c r="K421" s="277"/>
      <c r="L421" s="277"/>
      <c r="M421" s="277"/>
      <c r="N421" s="277"/>
      <c r="O421" s="277"/>
      <c r="P421" s="277"/>
      <c r="Q421" s="275"/>
      <c r="R421" s="275"/>
      <c r="S421" s="277"/>
      <c r="T421" s="277"/>
      <c r="U421" s="277"/>
      <c r="V421" s="277"/>
      <c r="W421" s="275"/>
      <c r="X421" s="275"/>
      <c r="Y421" s="275" t="str">
        <f t="shared" si="214"/>
        <v/>
      </c>
      <c r="Z421" s="275" t="str">
        <f t="shared" si="215"/>
        <v/>
      </c>
      <c r="AA421" s="275" t="str">
        <f t="shared" si="216"/>
        <v/>
      </c>
      <c r="AB421" s="275" t="str">
        <f t="shared" si="217"/>
        <v/>
      </c>
      <c r="AC421" s="275" t="str">
        <f t="shared" si="203"/>
        <v/>
      </c>
      <c r="AD421" s="275" t="str">
        <f t="shared" si="204"/>
        <v/>
      </c>
      <c r="AE421" s="275" t="str">
        <f t="shared" si="205"/>
        <v/>
      </c>
      <c r="AF421" s="275" t="str">
        <f t="shared" si="206"/>
        <v/>
      </c>
      <c r="AG421" s="275" t="str">
        <f t="shared" si="207"/>
        <v/>
      </c>
      <c r="AH421" s="275" t="str">
        <f t="shared" si="208"/>
        <v/>
      </c>
      <c r="AI421" s="275" t="str">
        <f t="shared" si="209"/>
        <v/>
      </c>
      <c r="AJ421" s="275" t="str">
        <f t="shared" si="210"/>
        <v/>
      </c>
      <c r="AK421" s="275">
        <v>1</v>
      </c>
      <c r="AL421" s="277">
        <f t="shared" ca="1" si="200"/>
        <v>0</v>
      </c>
      <c r="AM421" s="277">
        <f t="shared" ca="1" si="201"/>
        <v>0</v>
      </c>
      <c r="AN421" s="277" t="str">
        <f ca="1">IF(AND(Tabla7[[#This Row],[UltLec]]&lt;&gt;0,Tabla7[[#This Row],[PenLect]]&lt;&gt;0),(AM421-AL421)*Tabla7[[#This Row],[RT]],"N/A")</f>
        <v>N/A</v>
      </c>
      <c r="AO421" s="393" t="s">
        <v>1160</v>
      </c>
      <c r="AP421" s="393" t="s">
        <v>1075</v>
      </c>
      <c r="AQ421" s="393" t="s">
        <v>1074</v>
      </c>
      <c r="AR421" s="275">
        <f t="shared" si="202"/>
        <v>0</v>
      </c>
      <c r="AT421" s="2" t="e">
        <f t="shared" ca="1" si="213"/>
        <v>#VALUE!</v>
      </c>
    </row>
    <row r="422" spans="1:16384" customFormat="1" ht="18" hidden="1" customHeight="1" x14ac:dyDescent="0.25">
      <c r="A422" s="406" t="s">
        <v>1080</v>
      </c>
      <c r="B422" s="273">
        <v>1185</v>
      </c>
      <c r="C422" s="367" t="s">
        <v>194</v>
      </c>
      <c r="D422" s="273" t="s">
        <v>187</v>
      </c>
      <c r="E422" s="274">
        <v>39042</v>
      </c>
      <c r="F422" s="275" t="s">
        <v>195</v>
      </c>
      <c r="G422" s="275" t="s">
        <v>911</v>
      </c>
      <c r="H422" s="275" t="s">
        <v>196</v>
      </c>
      <c r="I422" s="275" t="s">
        <v>1468</v>
      </c>
      <c r="J422" s="277"/>
      <c r="K422" s="277"/>
      <c r="L422" s="277"/>
      <c r="M422" s="277"/>
      <c r="N422" s="277"/>
      <c r="O422" s="277"/>
      <c r="P422" s="277"/>
      <c r="Q422" s="277"/>
      <c r="R422" s="277"/>
      <c r="S422" s="277"/>
      <c r="T422" s="277"/>
      <c r="U422" s="277"/>
      <c r="V422" s="277"/>
      <c r="W422" s="277"/>
      <c r="X422" s="277"/>
      <c r="Y422" s="277" t="str">
        <f t="shared" si="214"/>
        <v/>
      </c>
      <c r="Z422" s="277" t="str">
        <f t="shared" si="215"/>
        <v/>
      </c>
      <c r="AA422" s="277" t="str">
        <f t="shared" si="216"/>
        <v/>
      </c>
      <c r="AB422" s="277" t="str">
        <f t="shared" si="217"/>
        <v/>
      </c>
      <c r="AC422" s="277" t="str">
        <f t="shared" si="203"/>
        <v/>
      </c>
      <c r="AD422" s="277" t="str">
        <f t="shared" si="204"/>
        <v/>
      </c>
      <c r="AE422" s="277" t="str">
        <f t="shared" si="205"/>
        <v/>
      </c>
      <c r="AF422" s="275" t="str">
        <f t="shared" si="206"/>
        <v/>
      </c>
      <c r="AG422" s="275" t="str">
        <f t="shared" si="207"/>
        <v/>
      </c>
      <c r="AH422" s="275" t="str">
        <f t="shared" si="208"/>
        <v/>
      </c>
      <c r="AI422" s="275" t="str">
        <f t="shared" si="209"/>
        <v/>
      </c>
      <c r="AJ422" s="275" t="str">
        <f t="shared" si="210"/>
        <v/>
      </c>
      <c r="AK422" s="275">
        <v>1</v>
      </c>
      <c r="AL422" s="275">
        <f t="shared" ca="1" si="200"/>
        <v>0</v>
      </c>
      <c r="AM422" s="275">
        <f t="shared" ca="1" si="201"/>
        <v>0</v>
      </c>
      <c r="AN422" s="275" t="str">
        <f ca="1">IF(AND(Tabla7[[#This Row],[UltLec]]&lt;&gt;0,Tabla7[[#This Row],[PenLect]]&lt;&gt;0),(AM422-AL422)*Tabla7[[#This Row],[RT]],"N/A")</f>
        <v>N/A</v>
      </c>
      <c r="AO422" s="393" t="s">
        <v>1160</v>
      </c>
      <c r="AP422" s="275" t="s">
        <v>1075</v>
      </c>
      <c r="AQ422" s="275" t="s">
        <v>1074</v>
      </c>
      <c r="AR422" s="275">
        <f t="shared" si="202"/>
        <v>0</v>
      </c>
      <c r="AT422" s="2" t="e">
        <f t="shared" ca="1" si="213"/>
        <v>#VALUE!</v>
      </c>
    </row>
    <row r="423" spans="1:16384" customFormat="1" ht="18" customHeight="1" x14ac:dyDescent="0.25">
      <c r="A423" s="405" t="s">
        <v>19</v>
      </c>
      <c r="B423" s="54">
        <v>648</v>
      </c>
      <c r="C423" s="239" t="s">
        <v>190</v>
      </c>
      <c r="D423" s="54" t="s">
        <v>187</v>
      </c>
      <c r="E423" s="232">
        <v>39275</v>
      </c>
      <c r="F423" s="2" t="s">
        <v>191</v>
      </c>
      <c r="G423" s="2" t="s">
        <v>904</v>
      </c>
      <c r="H423" s="2"/>
      <c r="I423" s="2"/>
      <c r="J423" s="260">
        <v>36906</v>
      </c>
      <c r="K423" s="260">
        <v>37019</v>
      </c>
      <c r="L423" s="260"/>
      <c r="M423" s="260"/>
      <c r="N423" s="260"/>
      <c r="O423" s="260"/>
      <c r="P423" s="260"/>
      <c r="Q423" s="260"/>
      <c r="R423" s="260"/>
      <c r="S423" s="260"/>
      <c r="T423" s="260"/>
      <c r="U423" s="260"/>
      <c r="V423" s="260"/>
      <c r="W423" s="2"/>
      <c r="X423" s="2"/>
      <c r="Y423" s="2">
        <f t="shared" si="214"/>
        <v>113</v>
      </c>
      <c r="Z423" s="2" t="str">
        <f t="shared" si="215"/>
        <v/>
      </c>
      <c r="AA423" s="2" t="str">
        <f t="shared" si="216"/>
        <v/>
      </c>
      <c r="AB423" s="2" t="str">
        <f t="shared" si="217"/>
        <v/>
      </c>
      <c r="AC423" s="2" t="str">
        <f t="shared" si="203"/>
        <v/>
      </c>
      <c r="AD423" s="2" t="str">
        <f t="shared" si="204"/>
        <v/>
      </c>
      <c r="AE423" s="2" t="str">
        <f t="shared" si="205"/>
        <v/>
      </c>
      <c r="AF423" s="2" t="str">
        <f t="shared" si="206"/>
        <v/>
      </c>
      <c r="AG423" s="2" t="str">
        <f t="shared" si="207"/>
        <v/>
      </c>
      <c r="AH423" s="2" t="str">
        <f t="shared" si="208"/>
        <v/>
      </c>
      <c r="AI423" s="2" t="str">
        <f t="shared" si="209"/>
        <v/>
      </c>
      <c r="AJ423" s="2" t="str">
        <f t="shared" si="210"/>
        <v/>
      </c>
      <c r="AK423" s="2">
        <v>1</v>
      </c>
      <c r="AL423" s="260">
        <f t="shared" ref="AL423:AL486" ca="1" si="218">IF(DAY(TODAY())&lt;16,INDEX(J423:X423,1,MONTH(TODAY())-1),INDEX(J423:X423,1,MONTH(TODAY())))</f>
        <v>0</v>
      </c>
      <c r="AM423" s="260">
        <f t="shared" ref="AM423:AM486" ca="1" si="219">IF(DAY(TODAY())&lt;16,INDEX(J423:X423,1,MONTH(TODAY())),INDEX(J423:X423,1,MONTH(TODAY())+1))</f>
        <v>0</v>
      </c>
      <c r="AN423" s="260" t="str">
        <f ca="1">IF(AND(Tabla7[[#This Row],[UltLec]]&lt;&gt;0,Tabla7[[#This Row],[PenLect]]&lt;&gt;0),(AM423-AL423)*Tabla7[[#This Row],[RT]],"N/A")</f>
        <v>N/A</v>
      </c>
      <c r="AO423" s="380" t="s">
        <v>813</v>
      </c>
      <c r="AP423" s="380" t="s">
        <v>1075</v>
      </c>
      <c r="AQ423" s="380" t="s">
        <v>1074</v>
      </c>
      <c r="AR423" s="2">
        <f t="shared" ref="AR423:AR486" si="220">COUNTIF(Y423:AJ423,"!!!!")</f>
        <v>0</v>
      </c>
      <c r="AT423" s="2" t="e">
        <f t="shared" ca="1" si="213"/>
        <v>#VALUE!</v>
      </c>
    </row>
    <row r="424" spans="1:16384" customFormat="1" ht="18" customHeight="1" x14ac:dyDescent="0.25">
      <c r="A424" s="291" t="s">
        <v>19</v>
      </c>
      <c r="B424" s="54">
        <v>280</v>
      </c>
      <c r="C424" s="239" t="s">
        <v>192</v>
      </c>
      <c r="D424" s="54" t="s">
        <v>187</v>
      </c>
      <c r="E424" s="232">
        <v>39135</v>
      </c>
      <c r="F424" s="2" t="s">
        <v>193</v>
      </c>
      <c r="G424" s="2" t="s">
        <v>912</v>
      </c>
      <c r="H424" s="2" t="s">
        <v>434</v>
      </c>
      <c r="I424" s="2"/>
      <c r="J424" s="260">
        <v>1073063</v>
      </c>
      <c r="K424" s="260">
        <v>1083088</v>
      </c>
      <c r="L424" s="260"/>
      <c r="M424" s="260"/>
      <c r="N424" s="260"/>
      <c r="O424" s="260"/>
      <c r="P424" s="260"/>
      <c r="Q424" s="260"/>
      <c r="R424" s="260"/>
      <c r="S424" s="260"/>
      <c r="T424" s="260"/>
      <c r="U424" s="260"/>
      <c r="V424" s="260"/>
      <c r="W424" s="2"/>
      <c r="X424" s="2"/>
      <c r="Y424" s="2">
        <f t="shared" si="214"/>
        <v>10025</v>
      </c>
      <c r="Z424" s="2" t="str">
        <f t="shared" si="215"/>
        <v/>
      </c>
      <c r="AA424" s="2" t="str">
        <f t="shared" si="216"/>
        <v/>
      </c>
      <c r="AB424" s="2" t="str">
        <f t="shared" si="217"/>
        <v/>
      </c>
      <c r="AC424" s="2" t="str">
        <f t="shared" si="203"/>
        <v/>
      </c>
      <c r="AD424" s="2" t="str">
        <f t="shared" si="204"/>
        <v/>
      </c>
      <c r="AE424" s="2" t="str">
        <f t="shared" si="205"/>
        <v/>
      </c>
      <c r="AF424" s="2" t="str">
        <f t="shared" si="206"/>
        <v/>
      </c>
      <c r="AG424" s="2" t="str">
        <f t="shared" si="207"/>
        <v/>
      </c>
      <c r="AH424" s="2" t="str">
        <f t="shared" si="208"/>
        <v/>
      </c>
      <c r="AI424" s="2" t="str">
        <f t="shared" si="209"/>
        <v/>
      </c>
      <c r="AJ424" s="2" t="str">
        <f t="shared" si="210"/>
        <v/>
      </c>
      <c r="AK424" s="2">
        <v>1</v>
      </c>
      <c r="AL424" s="260">
        <f t="shared" ca="1" si="218"/>
        <v>0</v>
      </c>
      <c r="AM424" s="260">
        <f t="shared" ca="1" si="219"/>
        <v>0</v>
      </c>
      <c r="AN424" s="260" t="str">
        <f ca="1">IF(AND(Tabla7[[#This Row],[UltLec]]&lt;&gt;0,Tabla7[[#This Row],[PenLect]]&lt;&gt;0),(AM424-AL424)*Tabla7[[#This Row],[RT]],"N/A")</f>
        <v>N/A</v>
      </c>
      <c r="AO424" s="380" t="s">
        <v>813</v>
      </c>
      <c r="AP424" s="380" t="s">
        <v>1075</v>
      </c>
      <c r="AQ424" s="380" t="s">
        <v>1074</v>
      </c>
      <c r="AR424" s="2">
        <f t="shared" si="220"/>
        <v>0</v>
      </c>
      <c r="AT424" s="2" t="e">
        <f t="shared" ca="1" si="213"/>
        <v>#VALUE!</v>
      </c>
    </row>
    <row r="425" spans="1:16384" customFormat="1" ht="18" customHeight="1" x14ac:dyDescent="0.25">
      <c r="A425" s="407" t="s">
        <v>19</v>
      </c>
      <c r="B425" s="54"/>
      <c r="C425" s="420" t="s">
        <v>43</v>
      </c>
      <c r="D425" s="374" t="s">
        <v>187</v>
      </c>
      <c r="E425" s="375">
        <v>150</v>
      </c>
      <c r="F425" s="2" t="s">
        <v>1371</v>
      </c>
      <c r="G425" s="2" t="s">
        <v>101</v>
      </c>
      <c r="H425" s="2" t="s">
        <v>1369</v>
      </c>
      <c r="I425" s="2" t="s">
        <v>1372</v>
      </c>
      <c r="J425" s="260">
        <v>620597</v>
      </c>
      <c r="K425" s="260">
        <v>626888</v>
      </c>
      <c r="L425" s="260"/>
      <c r="M425" s="260"/>
      <c r="N425" s="260"/>
      <c r="O425" s="260"/>
      <c r="P425" s="260"/>
      <c r="Q425" s="260"/>
      <c r="R425" s="260"/>
      <c r="S425" s="260"/>
      <c r="T425" s="260"/>
      <c r="U425" s="260"/>
      <c r="V425" s="260"/>
      <c r="W425" s="2"/>
      <c r="X425" s="2"/>
      <c r="Y425" s="2">
        <f t="shared" si="214"/>
        <v>6291</v>
      </c>
      <c r="Z425" s="2" t="str">
        <f t="shared" si="215"/>
        <v/>
      </c>
      <c r="AA425" s="2" t="str">
        <f t="shared" si="216"/>
        <v/>
      </c>
      <c r="AB425" s="2" t="str">
        <f t="shared" si="217"/>
        <v/>
      </c>
      <c r="AC425" s="2" t="str">
        <f t="shared" si="203"/>
        <v/>
      </c>
      <c r="AD425" s="2" t="str">
        <f t="shared" si="204"/>
        <v/>
      </c>
      <c r="AE425" s="2" t="str">
        <f t="shared" si="205"/>
        <v/>
      </c>
      <c r="AF425" s="2" t="str">
        <f t="shared" si="206"/>
        <v/>
      </c>
      <c r="AG425" s="2" t="str">
        <f t="shared" si="207"/>
        <v/>
      </c>
      <c r="AH425" s="2" t="str">
        <f t="shared" si="208"/>
        <v/>
      </c>
      <c r="AI425" s="2" t="str">
        <f t="shared" si="209"/>
        <v/>
      </c>
      <c r="AJ425" s="2" t="str">
        <f t="shared" si="210"/>
        <v/>
      </c>
      <c r="AK425" s="2">
        <v>1</v>
      </c>
      <c r="AL425" s="260">
        <f t="shared" ca="1" si="218"/>
        <v>0</v>
      </c>
      <c r="AM425" s="260">
        <f t="shared" ca="1" si="219"/>
        <v>0</v>
      </c>
      <c r="AN425" s="260" t="str">
        <f ca="1">IF(AND(Tabla7[[#This Row],[UltLec]]&lt;&gt;0,Tabla7[[#This Row],[PenLect]]&lt;&gt;0),(AM425-AL425)*Tabla7[[#This Row],[RT]],"N/A")</f>
        <v>N/A</v>
      </c>
      <c r="AO425" s="380" t="s">
        <v>813</v>
      </c>
      <c r="AP425" s="380" t="s">
        <v>1075</v>
      </c>
      <c r="AQ425" s="380" t="s">
        <v>1074</v>
      </c>
      <c r="AR425" s="2">
        <f t="shared" si="220"/>
        <v>0</v>
      </c>
      <c r="AT425" s="2" t="e">
        <f t="shared" ca="1" si="213"/>
        <v>#VALUE!</v>
      </c>
    </row>
    <row r="426" spans="1:16384" customFormat="1" ht="18" customHeight="1" x14ac:dyDescent="0.25">
      <c r="A426" s="405" t="s">
        <v>19</v>
      </c>
      <c r="B426" s="54"/>
      <c r="C426" s="239" t="s">
        <v>1218</v>
      </c>
      <c r="D426" s="54" t="s">
        <v>187</v>
      </c>
      <c r="E426" s="375">
        <v>131</v>
      </c>
      <c r="F426" s="2" t="s">
        <v>440</v>
      </c>
      <c r="G426" s="2" t="s">
        <v>47</v>
      </c>
      <c r="H426" s="2"/>
      <c r="I426" s="2"/>
      <c r="J426" s="260">
        <v>846408</v>
      </c>
      <c r="K426" s="260">
        <v>854278</v>
      </c>
      <c r="L426" s="260"/>
      <c r="M426" s="260"/>
      <c r="N426" s="260"/>
      <c r="O426" s="260"/>
      <c r="P426" s="260"/>
      <c r="Q426" s="260"/>
      <c r="R426" s="260"/>
      <c r="S426" s="260"/>
      <c r="T426" s="260"/>
      <c r="U426" s="260"/>
      <c r="V426" s="260"/>
      <c r="W426" s="2"/>
      <c r="X426" s="2"/>
      <c r="Y426" s="2">
        <f t="shared" si="214"/>
        <v>7870</v>
      </c>
      <c r="Z426" s="2" t="str">
        <f t="shared" si="215"/>
        <v/>
      </c>
      <c r="AA426" s="2" t="str">
        <f t="shared" si="216"/>
        <v/>
      </c>
      <c r="AB426" s="2" t="str">
        <f t="shared" si="217"/>
        <v/>
      </c>
      <c r="AC426" s="2" t="str">
        <f t="shared" si="203"/>
        <v/>
      </c>
      <c r="AD426" s="2" t="str">
        <f t="shared" si="204"/>
        <v/>
      </c>
      <c r="AE426" s="2" t="str">
        <f t="shared" si="205"/>
        <v/>
      </c>
      <c r="AF426" s="2" t="str">
        <f t="shared" si="206"/>
        <v/>
      </c>
      <c r="AG426" s="2" t="str">
        <f t="shared" si="207"/>
        <v/>
      </c>
      <c r="AH426" s="2" t="str">
        <f t="shared" si="208"/>
        <v/>
      </c>
      <c r="AI426" s="2" t="str">
        <f t="shared" si="209"/>
        <v/>
      </c>
      <c r="AJ426" s="2" t="str">
        <f t="shared" si="210"/>
        <v/>
      </c>
      <c r="AK426" s="2">
        <v>1</v>
      </c>
      <c r="AL426" s="260">
        <f t="shared" ca="1" si="218"/>
        <v>0</v>
      </c>
      <c r="AM426" s="260">
        <f t="shared" ca="1" si="219"/>
        <v>0</v>
      </c>
      <c r="AN426" s="260" t="str">
        <f ca="1">IF(AND(Tabla7[[#This Row],[UltLec]]&lt;&gt;0,Tabla7[[#This Row],[PenLect]]&lt;&gt;0),(AM426-AL426)*Tabla7[[#This Row],[RT]],"N/A")</f>
        <v>N/A</v>
      </c>
      <c r="AO426" s="380" t="s">
        <v>813</v>
      </c>
      <c r="AP426" s="380" t="s">
        <v>1076</v>
      </c>
      <c r="AQ426" s="380" t="s">
        <v>771</v>
      </c>
      <c r="AR426" s="2">
        <f t="shared" si="220"/>
        <v>0</v>
      </c>
      <c r="AT426" s="2" t="e">
        <f t="shared" ca="1" si="213"/>
        <v>#VALUE!</v>
      </c>
    </row>
    <row r="427" spans="1:16384" customFormat="1" ht="18" customHeight="1" x14ac:dyDescent="0.25">
      <c r="A427" s="405" t="s">
        <v>19</v>
      </c>
      <c r="B427" s="54"/>
      <c r="C427" s="239">
        <v>46699950</v>
      </c>
      <c r="D427" s="54" t="s">
        <v>197</v>
      </c>
      <c r="E427" s="232">
        <v>131</v>
      </c>
      <c r="F427" s="2" t="s">
        <v>440</v>
      </c>
      <c r="G427" s="2" t="s">
        <v>47</v>
      </c>
      <c r="H427" s="2" t="s">
        <v>1670</v>
      </c>
      <c r="I427" s="2"/>
      <c r="J427" s="260">
        <v>11159</v>
      </c>
      <c r="K427" s="260">
        <v>18182</v>
      </c>
      <c r="L427" s="260"/>
      <c r="M427" s="260"/>
      <c r="N427" s="260"/>
      <c r="O427" s="260"/>
      <c r="P427" s="260"/>
      <c r="Q427" s="260"/>
      <c r="R427" s="260"/>
      <c r="S427" s="308"/>
      <c r="T427" s="260"/>
      <c r="U427" s="260"/>
      <c r="V427" s="260"/>
      <c r="W427" s="2"/>
      <c r="X427" s="2"/>
      <c r="Y427" s="2">
        <f t="shared" si="214"/>
        <v>7023</v>
      </c>
      <c r="Z427" s="2" t="str">
        <f t="shared" si="215"/>
        <v/>
      </c>
      <c r="AA427" s="2" t="str">
        <f t="shared" si="216"/>
        <v/>
      </c>
      <c r="AB427" s="2" t="str">
        <f t="shared" si="217"/>
        <v/>
      </c>
      <c r="AC427" s="2" t="str">
        <f t="shared" si="203"/>
        <v/>
      </c>
      <c r="AD427" s="2" t="str">
        <f t="shared" si="204"/>
        <v/>
      </c>
      <c r="AE427" s="2" t="str">
        <f t="shared" si="205"/>
        <v/>
      </c>
      <c r="AF427" s="2" t="str">
        <f t="shared" si="206"/>
        <v/>
      </c>
      <c r="AG427" s="2" t="str">
        <f t="shared" si="207"/>
        <v/>
      </c>
      <c r="AH427" s="2" t="str">
        <f t="shared" si="208"/>
        <v/>
      </c>
      <c r="AI427" s="2" t="str">
        <f t="shared" si="209"/>
        <v/>
      </c>
      <c r="AJ427" s="2" t="str">
        <f t="shared" si="210"/>
        <v/>
      </c>
      <c r="AK427" s="2">
        <v>1</v>
      </c>
      <c r="AL427" s="260">
        <f t="shared" ca="1" si="218"/>
        <v>0</v>
      </c>
      <c r="AM427" s="260">
        <f t="shared" ca="1" si="219"/>
        <v>0</v>
      </c>
      <c r="AN427" s="260" t="str">
        <f ca="1">IF(AND(Tabla7[[#This Row],[UltLec]]&lt;&gt;0,Tabla7[[#This Row],[PenLect]]&lt;&gt;0),(AM427-AL427)*Tabla7[[#This Row],[RT]],"N/A")</f>
        <v>N/A</v>
      </c>
      <c r="AO427" s="380" t="s">
        <v>813</v>
      </c>
      <c r="AP427" s="380" t="s">
        <v>1075</v>
      </c>
      <c r="AQ427" s="380" t="s">
        <v>771</v>
      </c>
      <c r="AR427" s="2">
        <f t="shared" si="220"/>
        <v>0</v>
      </c>
      <c r="AT427" s="2" t="e">
        <f t="shared" ca="1" si="213"/>
        <v>#VALUE!</v>
      </c>
    </row>
    <row r="428" spans="1:16384" customFormat="1" ht="18" customHeight="1" x14ac:dyDescent="0.25">
      <c r="A428" s="405" t="s">
        <v>19</v>
      </c>
      <c r="B428" s="54"/>
      <c r="C428" s="239" t="s">
        <v>1136</v>
      </c>
      <c r="D428" s="54" t="s">
        <v>197</v>
      </c>
      <c r="E428" s="232">
        <v>140</v>
      </c>
      <c r="F428" s="2" t="s">
        <v>843</v>
      </c>
      <c r="G428" s="2" t="s">
        <v>435</v>
      </c>
      <c r="H428" s="2" t="s">
        <v>436</v>
      </c>
      <c r="I428" s="2"/>
      <c r="J428" s="260">
        <v>460377</v>
      </c>
      <c r="K428" s="260">
        <v>464787</v>
      </c>
      <c r="L428" s="260"/>
      <c r="M428" s="260"/>
      <c r="N428" s="260"/>
      <c r="O428" s="260"/>
      <c r="P428" s="260"/>
      <c r="Q428" s="260"/>
      <c r="R428" s="260"/>
      <c r="S428" s="260"/>
      <c r="T428" s="260"/>
      <c r="U428" s="260"/>
      <c r="V428" s="260"/>
      <c r="W428" s="2"/>
      <c r="X428" s="2"/>
      <c r="Y428" s="2">
        <f t="shared" si="214"/>
        <v>4410</v>
      </c>
      <c r="Z428" s="2" t="str">
        <f t="shared" si="215"/>
        <v/>
      </c>
      <c r="AA428" s="2" t="str">
        <f t="shared" si="216"/>
        <v/>
      </c>
      <c r="AB428" s="2" t="str">
        <f t="shared" si="217"/>
        <v/>
      </c>
      <c r="AC428" s="2" t="str">
        <f t="shared" si="203"/>
        <v/>
      </c>
      <c r="AD428" s="2" t="str">
        <f t="shared" si="204"/>
        <v/>
      </c>
      <c r="AE428" s="2" t="str">
        <f t="shared" si="205"/>
        <v/>
      </c>
      <c r="AF428" s="2" t="str">
        <f t="shared" si="206"/>
        <v/>
      </c>
      <c r="AG428" s="2" t="str">
        <f t="shared" si="207"/>
        <v/>
      </c>
      <c r="AH428" s="2" t="str">
        <f t="shared" si="208"/>
        <v/>
      </c>
      <c r="AI428" s="2" t="str">
        <f t="shared" si="209"/>
        <v/>
      </c>
      <c r="AJ428" s="2" t="str">
        <f t="shared" si="210"/>
        <v/>
      </c>
      <c r="AK428" s="2">
        <v>1</v>
      </c>
      <c r="AL428" s="260">
        <f t="shared" ca="1" si="218"/>
        <v>0</v>
      </c>
      <c r="AM428" s="260">
        <f t="shared" ca="1" si="219"/>
        <v>0</v>
      </c>
      <c r="AN428" s="260" t="str">
        <f ca="1">IF(AND(Tabla7[[#This Row],[UltLec]]&lt;&gt;0,Tabla7[[#This Row],[PenLect]]&lt;&gt;0),(AM428-AL428)*Tabla7[[#This Row],[RT]],"N/A")</f>
        <v>N/A</v>
      </c>
      <c r="AO428" s="380" t="s">
        <v>813</v>
      </c>
      <c r="AP428" s="380" t="s">
        <v>1076</v>
      </c>
      <c r="AQ428" s="380" t="s">
        <v>771</v>
      </c>
      <c r="AR428" s="2">
        <f t="shared" si="220"/>
        <v>0</v>
      </c>
      <c r="AS428" s="442"/>
      <c r="AT428" s="2" t="e">
        <f t="shared" ca="1" si="213"/>
        <v>#VALUE!</v>
      </c>
      <c r="AU428" s="442"/>
      <c r="AV428" s="442"/>
      <c r="AW428" s="442"/>
      <c r="AX428" s="2"/>
      <c r="AY428" s="2"/>
      <c r="AZ428" s="2"/>
      <c r="BA428" s="2"/>
      <c r="BB428" s="260"/>
      <c r="BC428" s="260"/>
      <c r="BD428" s="260"/>
      <c r="BE428" s="260"/>
      <c r="BF428" s="260"/>
      <c r="BG428" s="260"/>
      <c r="BH428" s="260"/>
      <c r="BI428" s="260"/>
      <c r="BJ428" s="260"/>
      <c r="BK428" s="260"/>
      <c r="BL428" s="260"/>
      <c r="BM428" s="260"/>
      <c r="BN428" s="260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60"/>
      <c r="CE428" s="260"/>
      <c r="CF428" s="260"/>
      <c r="CG428" s="380"/>
      <c r="CH428" s="380"/>
      <c r="CI428" s="380"/>
      <c r="CJ428" s="2"/>
      <c r="CK428" s="405"/>
      <c r="CL428" s="54"/>
      <c r="CM428" s="239"/>
      <c r="CN428" s="54"/>
      <c r="CO428" s="232"/>
      <c r="CP428" s="2"/>
      <c r="CQ428" s="2"/>
      <c r="CR428" s="2"/>
      <c r="CS428" s="2"/>
      <c r="CT428" s="260"/>
      <c r="CU428" s="260"/>
      <c r="CV428" s="260"/>
      <c r="CW428" s="260"/>
      <c r="CX428" s="260"/>
      <c r="CY428" s="260"/>
      <c r="CZ428" s="260"/>
      <c r="DA428" s="260"/>
      <c r="DB428" s="260"/>
      <c r="DC428" s="260"/>
      <c r="DD428" s="260"/>
      <c r="DE428" s="260"/>
      <c r="DF428" s="260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60"/>
      <c r="DW428" s="260"/>
      <c r="DX428" s="260"/>
      <c r="DY428" s="380"/>
      <c r="DZ428" s="380"/>
      <c r="EA428" s="380"/>
      <c r="EB428" s="2"/>
      <c r="EC428" s="405"/>
      <c r="ED428" s="54"/>
      <c r="EE428" s="239"/>
      <c r="EF428" s="54"/>
      <c r="EG428" s="232"/>
      <c r="EH428" s="2"/>
      <c r="EI428" s="2"/>
      <c r="EJ428" s="2"/>
      <c r="EK428" s="2"/>
      <c r="EL428" s="260"/>
      <c r="EM428" s="260"/>
      <c r="EN428" s="260"/>
      <c r="EO428" s="260"/>
      <c r="EP428" s="260"/>
      <c r="EQ428" s="260"/>
      <c r="ER428" s="260"/>
      <c r="ES428" s="260"/>
      <c r="ET428" s="260"/>
      <c r="EU428" s="260"/>
      <c r="EV428" s="260"/>
      <c r="EW428" s="260"/>
      <c r="EX428" s="260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60"/>
      <c r="FO428" s="260"/>
      <c r="FP428" s="260"/>
      <c r="FQ428" s="380"/>
      <c r="FR428" s="380"/>
      <c r="FS428" s="380"/>
      <c r="FT428" s="2"/>
      <c r="FU428" s="405"/>
      <c r="FV428" s="54"/>
      <c r="FW428" s="239"/>
      <c r="FX428" s="54"/>
      <c r="FY428" s="232"/>
      <c r="FZ428" s="2"/>
      <c r="GA428" s="2"/>
      <c r="GB428" s="2"/>
      <c r="GC428" s="2"/>
      <c r="GD428" s="260"/>
      <c r="GE428" s="260"/>
      <c r="GF428" s="260"/>
      <c r="GG428" s="260"/>
      <c r="GH428" s="260"/>
      <c r="GI428" s="260"/>
      <c r="GJ428" s="260"/>
      <c r="GK428" s="260"/>
      <c r="GL428" s="260"/>
      <c r="GM428" s="260"/>
      <c r="GN428" s="260"/>
      <c r="GO428" s="260"/>
      <c r="GP428" s="260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60"/>
      <c r="HG428" s="260"/>
      <c r="HH428" s="260"/>
      <c r="HI428" s="380"/>
      <c r="HJ428" s="380"/>
      <c r="HK428" s="380"/>
      <c r="HL428" s="2"/>
      <c r="HM428" s="405"/>
      <c r="HN428" s="54"/>
      <c r="HO428" s="239"/>
      <c r="HP428" s="54"/>
      <c r="HQ428" s="232"/>
      <c r="HR428" s="2"/>
      <c r="HS428" s="2"/>
      <c r="HT428" s="2"/>
      <c r="HU428" s="2"/>
      <c r="HV428" s="260"/>
      <c r="HW428" s="260"/>
      <c r="HX428" s="260"/>
      <c r="HY428" s="260"/>
      <c r="HZ428" s="260"/>
      <c r="IA428" s="260"/>
      <c r="IB428" s="260"/>
      <c r="IC428" s="260"/>
      <c r="ID428" s="260"/>
      <c r="IE428" s="260"/>
      <c r="IF428" s="260"/>
      <c r="IG428" s="260"/>
      <c r="IH428" s="260"/>
      <c r="II428" s="2"/>
      <c r="IJ428" s="2"/>
      <c r="IK428" s="2"/>
      <c r="IL428" s="2"/>
      <c r="IM428" s="2"/>
      <c r="IN428" s="2"/>
      <c r="IO428" s="2"/>
      <c r="IP428" s="2"/>
      <c r="IQ428" s="2"/>
      <c r="IR428" s="2"/>
      <c r="IS428" s="2"/>
      <c r="IT428" s="2"/>
      <c r="IU428" s="2"/>
      <c r="IV428" s="2"/>
      <c r="IW428" s="2"/>
      <c r="IX428" s="260"/>
      <c r="IY428" s="260"/>
      <c r="IZ428" s="260"/>
      <c r="JA428" s="380"/>
      <c r="JB428" s="380"/>
      <c r="JC428" s="380"/>
      <c r="JD428" s="2"/>
      <c r="JE428" s="405"/>
      <c r="JF428" s="54"/>
      <c r="JG428" s="239"/>
      <c r="JH428" s="54"/>
      <c r="JI428" s="232"/>
      <c r="JJ428" s="2"/>
      <c r="JK428" s="2"/>
      <c r="JL428" s="2"/>
      <c r="JM428" s="2"/>
      <c r="JN428" s="260"/>
      <c r="JO428" s="260"/>
      <c r="JP428" s="260"/>
      <c r="JQ428" s="260"/>
      <c r="JR428" s="260"/>
      <c r="JS428" s="260"/>
      <c r="JT428" s="260"/>
      <c r="JU428" s="260"/>
      <c r="JV428" s="260"/>
      <c r="JW428" s="260"/>
      <c r="JX428" s="260"/>
      <c r="JY428" s="260"/>
      <c r="JZ428" s="260"/>
      <c r="KA428" s="2"/>
      <c r="KB428" s="2"/>
      <c r="KC428" s="2"/>
      <c r="KD428" s="2"/>
      <c r="KE428" s="2"/>
      <c r="KF428" s="2"/>
      <c r="KG428" s="2"/>
      <c r="KH428" s="2"/>
      <c r="KI428" s="2"/>
      <c r="KJ428" s="2"/>
      <c r="KK428" s="2"/>
      <c r="KL428" s="2"/>
      <c r="KM428" s="2"/>
      <c r="KN428" s="2"/>
      <c r="KO428" s="2"/>
      <c r="KP428" s="260"/>
      <c r="KQ428" s="260"/>
      <c r="KR428" s="260"/>
      <c r="KS428" s="380"/>
      <c r="KT428" s="380"/>
      <c r="KU428" s="380"/>
      <c r="KV428" s="2"/>
      <c r="KW428" s="405"/>
      <c r="KX428" s="54"/>
      <c r="KY428" s="239"/>
      <c r="KZ428" s="54"/>
      <c r="LA428" s="232"/>
      <c r="LB428" s="2"/>
      <c r="LC428" s="2"/>
      <c r="LD428" s="2"/>
      <c r="LE428" s="2"/>
      <c r="LF428" s="260"/>
      <c r="LG428" s="260"/>
      <c r="LH428" s="260"/>
      <c r="LI428" s="260"/>
      <c r="LJ428" s="260"/>
      <c r="LK428" s="260"/>
      <c r="LL428" s="260"/>
      <c r="LM428" s="260"/>
      <c r="LN428" s="260"/>
      <c r="LO428" s="260"/>
      <c r="LP428" s="260"/>
      <c r="LQ428" s="260"/>
      <c r="LR428" s="260"/>
      <c r="LS428" s="2"/>
      <c r="LT428" s="2"/>
      <c r="LU428" s="2"/>
      <c r="LV428" s="2"/>
      <c r="LW428" s="2"/>
      <c r="LX428" s="2"/>
      <c r="LY428" s="2"/>
      <c r="LZ428" s="2"/>
      <c r="MA428" s="2"/>
      <c r="MB428" s="2"/>
      <c r="MC428" s="2"/>
      <c r="MD428" s="2"/>
      <c r="ME428" s="2"/>
      <c r="MF428" s="2"/>
      <c r="MG428" s="2"/>
      <c r="MH428" s="260"/>
      <c r="MI428" s="260"/>
      <c r="MJ428" s="260"/>
      <c r="MK428" s="380"/>
      <c r="ML428" s="380"/>
      <c r="MM428" s="380"/>
      <c r="MN428" s="2"/>
      <c r="MO428" s="405"/>
      <c r="MP428" s="54"/>
      <c r="MQ428" s="239"/>
      <c r="MR428" s="54"/>
      <c r="MS428" s="232"/>
      <c r="MT428" s="2"/>
      <c r="MU428" s="2"/>
      <c r="MV428" s="2"/>
      <c r="MW428" s="2"/>
      <c r="MX428" s="260"/>
      <c r="MY428" s="260"/>
      <c r="MZ428" s="260"/>
      <c r="NA428" s="260"/>
      <c r="NB428" s="260"/>
      <c r="NC428" s="260"/>
      <c r="ND428" s="260"/>
      <c r="NE428" s="260"/>
      <c r="NF428" s="260"/>
      <c r="NG428" s="260"/>
      <c r="NH428" s="260"/>
      <c r="NI428" s="260"/>
      <c r="NJ428" s="260"/>
      <c r="NK428" s="2"/>
      <c r="NL428" s="2"/>
      <c r="NM428" s="2"/>
      <c r="NN428" s="2"/>
      <c r="NO428" s="2"/>
      <c r="NP428" s="2"/>
      <c r="NQ428" s="2"/>
      <c r="NR428" s="2"/>
      <c r="NS428" s="2"/>
      <c r="NT428" s="2"/>
      <c r="NU428" s="2"/>
      <c r="NV428" s="2"/>
      <c r="NW428" s="2"/>
      <c r="NX428" s="2"/>
      <c r="NY428" s="2"/>
      <c r="NZ428" s="260"/>
      <c r="OA428" s="260"/>
      <c r="OB428" s="260"/>
      <c r="OC428" s="380"/>
      <c r="OD428" s="380"/>
      <c r="OE428" s="380"/>
      <c r="OF428" s="2"/>
      <c r="OG428" s="405"/>
      <c r="OH428" s="54"/>
      <c r="OI428" s="239"/>
      <c r="OJ428" s="54"/>
      <c r="OK428" s="232"/>
      <c r="OL428" s="2"/>
      <c r="OM428" s="2"/>
      <c r="ON428" s="2"/>
      <c r="OO428" s="2"/>
      <c r="OP428" s="260"/>
      <c r="OQ428" s="260"/>
      <c r="OR428" s="260"/>
      <c r="OS428" s="260"/>
      <c r="OT428" s="260"/>
      <c r="OU428" s="260"/>
      <c r="OV428" s="260"/>
      <c r="OW428" s="260"/>
      <c r="OX428" s="260"/>
      <c r="OY428" s="260"/>
      <c r="OZ428" s="260"/>
      <c r="PA428" s="260"/>
      <c r="PB428" s="260"/>
      <c r="PC428" s="2"/>
      <c r="PD428" s="2"/>
      <c r="PE428" s="2"/>
      <c r="PF428" s="2"/>
      <c r="PG428" s="2"/>
      <c r="PH428" s="2"/>
      <c r="PI428" s="2"/>
      <c r="PJ428" s="2"/>
      <c r="PK428" s="2"/>
      <c r="PL428" s="2"/>
      <c r="PM428" s="2"/>
      <c r="PN428" s="2"/>
      <c r="PO428" s="2"/>
      <c r="PP428" s="2"/>
      <c r="PQ428" s="2"/>
      <c r="PR428" s="260"/>
      <c r="PS428" s="260"/>
      <c r="PT428" s="260"/>
      <c r="PU428" s="380"/>
      <c r="PV428" s="380"/>
      <c r="PW428" s="380"/>
      <c r="PX428" s="2"/>
      <c r="PY428" s="405"/>
      <c r="PZ428" s="54"/>
      <c r="QA428" s="239"/>
      <c r="QB428" s="54"/>
      <c r="QC428" s="232"/>
      <c r="QD428" s="2"/>
      <c r="QE428" s="2"/>
      <c r="QF428" s="2"/>
      <c r="QG428" s="2"/>
      <c r="QH428" s="260"/>
      <c r="QI428" s="260"/>
      <c r="QJ428" s="260"/>
      <c r="QK428" s="260"/>
      <c r="QL428" s="260"/>
      <c r="QM428" s="260"/>
      <c r="QN428" s="260"/>
      <c r="QO428" s="260"/>
      <c r="QP428" s="260"/>
      <c r="QQ428" s="260"/>
      <c r="QR428" s="260"/>
      <c r="QS428" s="260"/>
      <c r="QT428" s="260"/>
      <c r="QU428" s="2"/>
      <c r="QV428" s="2"/>
      <c r="QW428" s="2"/>
      <c r="QX428" s="2"/>
      <c r="QY428" s="2"/>
      <c r="QZ428" s="2"/>
      <c r="RA428" s="2"/>
      <c r="RB428" s="2"/>
      <c r="RC428" s="2"/>
      <c r="RD428" s="2"/>
      <c r="RE428" s="2"/>
      <c r="RF428" s="2"/>
      <c r="RG428" s="2"/>
      <c r="RH428" s="2"/>
      <c r="RI428" s="2"/>
      <c r="RJ428" s="260"/>
      <c r="RK428" s="260"/>
      <c r="RL428" s="260"/>
      <c r="RM428" s="380"/>
      <c r="RN428" s="380"/>
      <c r="RO428" s="380"/>
      <c r="RP428" s="2"/>
      <c r="RQ428" s="405"/>
      <c r="RR428" s="54"/>
      <c r="RS428" s="239"/>
      <c r="RT428" s="54"/>
      <c r="RU428" s="232"/>
      <c r="RV428" s="2"/>
      <c r="RW428" s="2"/>
      <c r="RX428" s="2"/>
      <c r="RY428" s="2"/>
      <c r="RZ428" s="260"/>
      <c r="SA428" s="260"/>
      <c r="SB428" s="260"/>
      <c r="SC428" s="260"/>
      <c r="SD428" s="260"/>
      <c r="SE428" s="260"/>
      <c r="SF428" s="260"/>
      <c r="SG428" s="260"/>
      <c r="SH428" s="260"/>
      <c r="SI428" s="260"/>
      <c r="SJ428" s="260"/>
      <c r="SK428" s="260"/>
      <c r="SL428" s="260"/>
      <c r="SM428" s="2"/>
      <c r="SN428" s="2"/>
      <c r="SO428" s="2"/>
      <c r="SP428" s="2"/>
      <c r="SQ428" s="2"/>
      <c r="SR428" s="2"/>
      <c r="SS428" s="2"/>
      <c r="ST428" s="2"/>
      <c r="SU428" s="2"/>
      <c r="SV428" s="2"/>
      <c r="SW428" s="2"/>
      <c r="SX428" s="2"/>
      <c r="SY428" s="2"/>
      <c r="SZ428" s="2"/>
      <c r="TA428" s="2"/>
      <c r="TB428" s="260"/>
      <c r="TC428" s="260"/>
      <c r="TD428" s="260"/>
      <c r="TE428" s="380"/>
      <c r="TF428" s="380"/>
      <c r="TG428" s="380"/>
      <c r="TH428" s="2"/>
      <c r="TI428" s="405"/>
      <c r="TJ428" s="54"/>
      <c r="TK428" s="239"/>
      <c r="TL428" s="54"/>
      <c r="TM428" s="232"/>
      <c r="TN428" s="2"/>
      <c r="TO428" s="2"/>
      <c r="TP428" s="2"/>
      <c r="TQ428" s="2"/>
      <c r="TR428" s="260"/>
      <c r="TS428" s="260"/>
      <c r="TT428" s="260"/>
      <c r="TU428" s="260"/>
      <c r="TV428" s="260"/>
      <c r="TW428" s="260"/>
      <c r="TX428" s="260"/>
      <c r="TY428" s="260"/>
      <c r="TZ428" s="260"/>
      <c r="UA428" s="260"/>
      <c r="UB428" s="260"/>
      <c r="UC428" s="260"/>
      <c r="UD428" s="260"/>
      <c r="UE428" s="2"/>
      <c r="UF428" s="2"/>
      <c r="UG428" s="2"/>
      <c r="UH428" s="2"/>
      <c r="UI428" s="2"/>
      <c r="UJ428" s="2"/>
      <c r="UK428" s="2"/>
      <c r="UL428" s="2"/>
      <c r="UM428" s="2"/>
      <c r="UN428" s="2"/>
      <c r="UO428" s="2"/>
      <c r="UP428" s="2"/>
      <c r="UQ428" s="2"/>
      <c r="UR428" s="2"/>
      <c r="US428" s="2"/>
      <c r="UT428" s="260"/>
      <c r="UU428" s="260"/>
      <c r="UV428" s="260"/>
      <c r="UW428" s="380"/>
      <c r="UX428" s="380"/>
      <c r="UY428" s="380"/>
      <c r="UZ428" s="2"/>
      <c r="VA428" s="405"/>
      <c r="VB428" s="54"/>
      <c r="VC428" s="239"/>
      <c r="VD428" s="54"/>
      <c r="VE428" s="232"/>
      <c r="VF428" s="2"/>
      <c r="VG428" s="2"/>
      <c r="VH428" s="2"/>
      <c r="VI428" s="2"/>
      <c r="VJ428" s="260"/>
      <c r="VK428" s="260"/>
      <c r="VL428" s="260"/>
      <c r="VM428" s="260"/>
      <c r="VN428" s="260"/>
      <c r="VO428" s="260"/>
      <c r="VP428" s="260"/>
      <c r="VQ428" s="260"/>
      <c r="VR428" s="260"/>
      <c r="VS428" s="260"/>
      <c r="VT428" s="260"/>
      <c r="VU428" s="260"/>
      <c r="VV428" s="260"/>
      <c r="VW428" s="2"/>
      <c r="VX428" s="2"/>
      <c r="VY428" s="2"/>
      <c r="VZ428" s="2"/>
      <c r="WA428" s="2"/>
      <c r="WB428" s="2"/>
      <c r="WC428" s="2"/>
      <c r="WD428" s="2"/>
      <c r="WE428" s="2"/>
      <c r="WF428" s="2"/>
      <c r="WG428" s="2"/>
      <c r="WH428" s="2"/>
      <c r="WI428" s="2"/>
      <c r="WJ428" s="2"/>
      <c r="WK428" s="2"/>
      <c r="WL428" s="260"/>
      <c r="WM428" s="260"/>
      <c r="WN428" s="260"/>
      <c r="WO428" s="380"/>
      <c r="WP428" s="380"/>
      <c r="WQ428" s="380"/>
      <c r="WR428" s="2"/>
      <c r="WS428" s="405"/>
      <c r="WT428" s="54"/>
      <c r="WU428" s="239"/>
      <c r="WV428" s="54"/>
      <c r="WW428" s="232"/>
      <c r="WX428" s="2"/>
      <c r="WY428" s="2"/>
      <c r="WZ428" s="2"/>
      <c r="XA428" s="2"/>
      <c r="XB428" s="260"/>
      <c r="XC428" s="260"/>
      <c r="XD428" s="260"/>
      <c r="XE428" s="260"/>
      <c r="XF428" s="260"/>
      <c r="XG428" s="260"/>
      <c r="XH428" s="260"/>
      <c r="XI428" s="260"/>
      <c r="XJ428" s="260"/>
      <c r="XK428" s="260"/>
      <c r="XL428" s="260"/>
      <c r="XM428" s="260"/>
      <c r="XN428" s="260"/>
      <c r="XO428" s="2"/>
      <c r="XP428" s="2"/>
      <c r="XQ428" s="2"/>
      <c r="XR428" s="2"/>
      <c r="XS428" s="2"/>
      <c r="XT428" s="2"/>
      <c r="XU428" s="2"/>
      <c r="XV428" s="2"/>
      <c r="XW428" s="2"/>
      <c r="XX428" s="2"/>
      <c r="XY428" s="2"/>
      <c r="XZ428" s="2"/>
      <c r="YA428" s="2"/>
      <c r="YB428" s="2"/>
      <c r="YC428" s="2"/>
      <c r="YD428" s="260"/>
      <c r="YE428" s="260"/>
      <c r="YF428" s="260"/>
      <c r="YG428" s="380"/>
      <c r="YH428" s="380"/>
      <c r="YI428" s="380"/>
      <c r="YJ428" s="2"/>
      <c r="YK428" s="405"/>
      <c r="YL428" s="54"/>
      <c r="YM428" s="239"/>
      <c r="YN428" s="54"/>
      <c r="YO428" s="232"/>
      <c r="YP428" s="2"/>
      <c r="YQ428" s="2"/>
      <c r="YR428" s="2"/>
      <c r="YS428" s="2"/>
      <c r="YT428" s="260"/>
      <c r="YU428" s="260"/>
      <c r="YV428" s="260"/>
      <c r="YW428" s="260"/>
      <c r="YX428" s="260"/>
      <c r="YY428" s="260"/>
      <c r="YZ428" s="260"/>
      <c r="ZA428" s="260"/>
      <c r="ZB428" s="260"/>
      <c r="ZC428" s="260"/>
      <c r="ZD428" s="260"/>
      <c r="ZE428" s="260"/>
      <c r="ZF428" s="260"/>
      <c r="ZG428" s="2"/>
      <c r="ZH428" s="2"/>
      <c r="ZI428" s="2"/>
      <c r="ZJ428" s="2"/>
      <c r="ZK428" s="2"/>
      <c r="ZL428" s="2"/>
      <c r="ZM428" s="2"/>
      <c r="ZN428" s="2"/>
      <c r="ZO428" s="2"/>
      <c r="ZP428" s="2"/>
      <c r="ZQ428" s="2"/>
      <c r="ZR428" s="2"/>
      <c r="ZS428" s="2"/>
      <c r="ZT428" s="2"/>
      <c r="ZU428" s="2"/>
      <c r="ZV428" s="260"/>
      <c r="ZW428" s="260"/>
      <c r="ZX428" s="260"/>
      <c r="ZY428" s="380"/>
      <c r="ZZ428" s="380"/>
      <c r="AAA428" s="380"/>
      <c r="AAB428" s="2"/>
      <c r="AAC428" s="405"/>
      <c r="AAD428" s="54"/>
      <c r="AAE428" s="239"/>
      <c r="AAF428" s="54"/>
      <c r="AAG428" s="232"/>
      <c r="AAH428" s="2"/>
      <c r="AAI428" s="2"/>
      <c r="AAJ428" s="2"/>
      <c r="AAK428" s="2"/>
      <c r="AAL428" s="260"/>
      <c r="AAM428" s="260"/>
      <c r="AAN428" s="260"/>
      <c r="AAO428" s="260"/>
      <c r="AAP428" s="260"/>
      <c r="AAQ428" s="260"/>
      <c r="AAR428" s="260"/>
      <c r="AAS428" s="260"/>
      <c r="AAT428" s="260"/>
      <c r="AAU428" s="260"/>
      <c r="AAV428" s="260"/>
      <c r="AAW428" s="260"/>
      <c r="AAX428" s="260"/>
      <c r="AAY428" s="2"/>
      <c r="AAZ428" s="2"/>
      <c r="ABA428" s="2"/>
      <c r="ABB428" s="2"/>
      <c r="ABC428" s="2"/>
      <c r="ABD428" s="2"/>
      <c r="ABE428" s="2"/>
      <c r="ABF428" s="2"/>
      <c r="ABG428" s="2"/>
      <c r="ABH428" s="2"/>
      <c r="ABI428" s="2"/>
      <c r="ABJ428" s="2"/>
      <c r="ABK428" s="2"/>
      <c r="ABL428" s="2"/>
      <c r="ABM428" s="2"/>
      <c r="ABN428" s="260"/>
      <c r="ABO428" s="260"/>
      <c r="ABP428" s="260"/>
      <c r="ABQ428" s="380"/>
      <c r="ABR428" s="380"/>
      <c r="ABS428" s="380"/>
      <c r="ABT428" s="2"/>
      <c r="ABU428" s="405"/>
      <c r="ABV428" s="54"/>
      <c r="ABW428" s="239"/>
      <c r="ABX428" s="54"/>
      <c r="ABY428" s="232"/>
      <c r="ABZ428" s="2"/>
      <c r="ACA428" s="2"/>
      <c r="ACB428" s="2"/>
      <c r="ACC428" s="2"/>
      <c r="ACD428" s="260"/>
      <c r="ACE428" s="260"/>
      <c r="ACF428" s="260"/>
      <c r="ACG428" s="260"/>
      <c r="ACH428" s="260"/>
      <c r="ACI428" s="260"/>
      <c r="ACJ428" s="260"/>
      <c r="ACK428" s="260"/>
      <c r="ACL428" s="260"/>
      <c r="ACM428" s="260"/>
      <c r="ACN428" s="260"/>
      <c r="ACO428" s="260"/>
      <c r="ACP428" s="260"/>
      <c r="ACQ428" s="2"/>
      <c r="ACR428" s="2"/>
      <c r="ACS428" s="2"/>
      <c r="ACT428" s="2"/>
      <c r="ACU428" s="2"/>
      <c r="ACV428" s="2"/>
      <c r="ACW428" s="2"/>
      <c r="ACX428" s="2"/>
      <c r="ACY428" s="2"/>
      <c r="ACZ428" s="2"/>
      <c r="ADA428" s="2"/>
      <c r="ADB428" s="2"/>
      <c r="ADC428" s="2"/>
      <c r="ADD428" s="2"/>
      <c r="ADE428" s="2"/>
      <c r="ADF428" s="260"/>
      <c r="ADG428" s="260"/>
      <c r="ADH428" s="260"/>
      <c r="ADI428" s="380"/>
      <c r="ADJ428" s="380"/>
      <c r="ADK428" s="380"/>
      <c r="ADL428" s="2"/>
      <c r="ADM428" s="405"/>
      <c r="ADN428" s="54"/>
      <c r="ADO428" s="239"/>
      <c r="ADP428" s="54"/>
      <c r="ADQ428" s="232"/>
      <c r="ADR428" s="2"/>
      <c r="ADS428" s="2"/>
      <c r="ADT428" s="2"/>
      <c r="ADU428" s="2"/>
      <c r="ADV428" s="260"/>
      <c r="ADW428" s="260"/>
      <c r="ADX428" s="260"/>
      <c r="ADY428" s="260"/>
      <c r="ADZ428" s="260"/>
      <c r="AEA428" s="260"/>
      <c r="AEB428" s="260"/>
      <c r="AEC428" s="260"/>
      <c r="AED428" s="260"/>
      <c r="AEE428" s="260"/>
      <c r="AEF428" s="260"/>
      <c r="AEG428" s="260"/>
      <c r="AEH428" s="260"/>
      <c r="AEI428" s="2"/>
      <c r="AEJ428" s="2"/>
      <c r="AEK428" s="2"/>
      <c r="AEL428" s="2"/>
      <c r="AEM428" s="2"/>
      <c r="AEN428" s="2"/>
      <c r="AEO428" s="2"/>
      <c r="AEP428" s="2"/>
      <c r="AEQ428" s="2"/>
      <c r="AER428" s="2"/>
      <c r="AES428" s="2"/>
      <c r="AET428" s="2"/>
      <c r="AEU428" s="2"/>
      <c r="AEV428" s="2"/>
      <c r="AEW428" s="2"/>
      <c r="AEX428" s="260"/>
      <c r="AEY428" s="260"/>
      <c r="AEZ428" s="260"/>
      <c r="AFA428" s="380"/>
      <c r="AFB428" s="380"/>
      <c r="AFC428" s="380"/>
      <c r="AFD428" s="2"/>
      <c r="AFE428" s="405"/>
      <c r="AFF428" s="54"/>
      <c r="AFG428" s="239"/>
      <c r="AFH428" s="54"/>
      <c r="AFI428" s="232"/>
      <c r="AFJ428" s="2"/>
      <c r="AFK428" s="2"/>
      <c r="AFL428" s="2"/>
      <c r="AFM428" s="2"/>
      <c r="AFN428" s="260"/>
      <c r="AFO428" s="260"/>
      <c r="AFP428" s="260"/>
      <c r="AFQ428" s="260"/>
      <c r="AFR428" s="260"/>
      <c r="AFS428" s="260"/>
      <c r="AFT428" s="260"/>
      <c r="AFU428" s="260"/>
      <c r="AFV428" s="260"/>
      <c r="AFW428" s="260"/>
      <c r="AFX428" s="260"/>
      <c r="AFY428" s="260"/>
      <c r="AFZ428" s="260"/>
      <c r="AGA428" s="2"/>
      <c r="AGB428" s="2"/>
      <c r="AGC428" s="2"/>
      <c r="AGD428" s="2"/>
      <c r="AGE428" s="2"/>
      <c r="AGF428" s="2"/>
      <c r="AGG428" s="2"/>
      <c r="AGH428" s="2"/>
      <c r="AGI428" s="2"/>
      <c r="AGJ428" s="2"/>
      <c r="AGK428" s="2"/>
      <c r="AGL428" s="2"/>
      <c r="AGM428" s="2"/>
      <c r="AGN428" s="2"/>
      <c r="AGO428" s="2"/>
      <c r="AGP428" s="260"/>
      <c r="AGQ428" s="260"/>
      <c r="AGR428" s="260"/>
      <c r="AGS428" s="380"/>
      <c r="AGT428" s="380"/>
      <c r="AGU428" s="380"/>
      <c r="AGV428" s="2"/>
      <c r="AGW428" s="405"/>
      <c r="AGX428" s="54"/>
      <c r="AGY428" s="239"/>
      <c r="AGZ428" s="54"/>
      <c r="AHA428" s="232"/>
      <c r="AHB428" s="2"/>
      <c r="AHC428" s="2"/>
      <c r="AHD428" s="2"/>
      <c r="AHE428" s="2"/>
      <c r="AHF428" s="260"/>
      <c r="AHG428" s="260"/>
      <c r="AHH428" s="260"/>
      <c r="AHI428" s="260"/>
      <c r="AHJ428" s="260"/>
      <c r="AHK428" s="260"/>
      <c r="AHL428" s="260"/>
      <c r="AHM428" s="260"/>
      <c r="AHN428" s="260"/>
      <c r="AHO428" s="260"/>
      <c r="AHP428" s="260"/>
      <c r="AHQ428" s="260"/>
      <c r="AHR428" s="260"/>
      <c r="AHS428" s="2"/>
      <c r="AHT428" s="2"/>
      <c r="AHU428" s="2"/>
      <c r="AHV428" s="2"/>
      <c r="AHW428" s="2"/>
      <c r="AHX428" s="2"/>
      <c r="AHY428" s="2"/>
      <c r="AHZ428" s="2"/>
      <c r="AIA428" s="2"/>
      <c r="AIB428" s="2"/>
      <c r="AIC428" s="2"/>
      <c r="AID428" s="2"/>
      <c r="AIE428" s="2"/>
      <c r="AIF428" s="2"/>
      <c r="AIG428" s="2"/>
      <c r="AIH428" s="260"/>
      <c r="AII428" s="260"/>
      <c r="AIJ428" s="260"/>
      <c r="AIK428" s="380"/>
      <c r="AIL428" s="380"/>
      <c r="AIM428" s="380"/>
      <c r="AIN428" s="2"/>
      <c r="AIO428" s="405"/>
      <c r="AIP428" s="54"/>
      <c r="AIQ428" s="239"/>
      <c r="AIR428" s="54"/>
      <c r="AIS428" s="232"/>
      <c r="AIT428" s="2"/>
      <c r="AIU428" s="2"/>
      <c r="AIV428" s="2"/>
      <c r="AIW428" s="2"/>
      <c r="AIX428" s="260"/>
      <c r="AIY428" s="260"/>
      <c r="AIZ428" s="260"/>
      <c r="AJA428" s="260"/>
      <c r="AJB428" s="260"/>
      <c r="AJC428" s="260"/>
      <c r="AJD428" s="260"/>
      <c r="AJE428" s="260"/>
      <c r="AJF428" s="260"/>
      <c r="AJG428" s="260"/>
      <c r="AJH428" s="260"/>
      <c r="AJI428" s="260"/>
      <c r="AJJ428" s="260"/>
      <c r="AJK428" s="2"/>
      <c r="AJL428" s="2"/>
      <c r="AJM428" s="2"/>
      <c r="AJN428" s="2"/>
      <c r="AJO428" s="2"/>
      <c r="AJP428" s="2"/>
      <c r="AJQ428" s="2"/>
      <c r="AJR428" s="2"/>
      <c r="AJS428" s="2"/>
      <c r="AJT428" s="2"/>
      <c r="AJU428" s="2"/>
      <c r="AJV428" s="2"/>
      <c r="AJW428" s="2"/>
      <c r="AJX428" s="2"/>
      <c r="AJY428" s="2"/>
      <c r="AJZ428" s="260"/>
      <c r="AKA428" s="260"/>
      <c r="AKB428" s="260"/>
      <c r="AKC428" s="380"/>
      <c r="AKD428" s="380"/>
      <c r="AKE428" s="380"/>
      <c r="AKF428" s="2"/>
      <c r="AKG428" s="405"/>
      <c r="AKH428" s="54"/>
      <c r="AKI428" s="239"/>
      <c r="AKJ428" s="54"/>
      <c r="AKK428" s="232"/>
      <c r="AKL428" s="2"/>
      <c r="AKM428" s="2"/>
      <c r="AKN428" s="2"/>
      <c r="AKO428" s="2"/>
      <c r="AKP428" s="260"/>
      <c r="AKQ428" s="260"/>
      <c r="AKR428" s="260"/>
      <c r="AKS428" s="260"/>
      <c r="AKT428" s="260"/>
      <c r="AKU428" s="260"/>
      <c r="AKV428" s="260"/>
      <c r="AKW428" s="260"/>
      <c r="AKX428" s="260"/>
      <c r="AKY428" s="260"/>
      <c r="AKZ428" s="260"/>
      <c r="ALA428" s="260"/>
      <c r="ALB428" s="260"/>
      <c r="ALC428" s="2"/>
      <c r="ALD428" s="2"/>
      <c r="ALE428" s="2"/>
      <c r="ALF428" s="2"/>
      <c r="ALG428" s="2"/>
      <c r="ALH428" s="2"/>
      <c r="ALI428" s="2"/>
      <c r="ALJ428" s="2"/>
      <c r="ALK428" s="2"/>
      <c r="ALL428" s="2"/>
      <c r="ALM428" s="2"/>
      <c r="ALN428" s="2"/>
      <c r="ALO428" s="2"/>
      <c r="ALP428" s="2"/>
      <c r="ALQ428" s="2"/>
      <c r="ALR428" s="260"/>
      <c r="ALS428" s="260"/>
      <c r="ALT428" s="260"/>
      <c r="ALU428" s="380"/>
      <c r="ALV428" s="380"/>
      <c r="ALW428" s="380"/>
      <c r="ALX428" s="2"/>
      <c r="ALY428" s="405"/>
      <c r="ALZ428" s="54"/>
      <c r="AMA428" s="239"/>
      <c r="AMB428" s="54"/>
      <c r="AMC428" s="232"/>
      <c r="AMD428" s="2"/>
      <c r="AME428" s="2"/>
      <c r="AMF428" s="2"/>
      <c r="AMG428" s="2"/>
      <c r="AMH428" s="260"/>
      <c r="AMI428" s="260"/>
      <c r="AMJ428" s="260"/>
      <c r="AMK428" s="260"/>
      <c r="AML428" s="260"/>
      <c r="AMM428" s="260"/>
      <c r="AMN428" s="260"/>
      <c r="AMO428" s="260"/>
      <c r="AMP428" s="260"/>
      <c r="AMQ428" s="260"/>
      <c r="AMR428" s="260"/>
      <c r="AMS428" s="260"/>
      <c r="AMT428" s="260"/>
      <c r="AMU428" s="2"/>
      <c r="AMV428" s="2"/>
      <c r="AMW428" s="2"/>
      <c r="AMX428" s="2"/>
      <c r="AMY428" s="2"/>
      <c r="AMZ428" s="2"/>
      <c r="ANA428" s="2"/>
      <c r="ANB428" s="2"/>
      <c r="ANC428" s="2"/>
      <c r="AND428" s="2"/>
      <c r="ANE428" s="2"/>
      <c r="ANF428" s="2"/>
      <c r="ANG428" s="2"/>
      <c r="ANH428" s="2"/>
      <c r="ANI428" s="2"/>
      <c r="ANJ428" s="260"/>
      <c r="ANK428" s="260"/>
      <c r="ANL428" s="260"/>
      <c r="ANM428" s="380"/>
      <c r="ANN428" s="380"/>
      <c r="ANO428" s="380"/>
      <c r="ANP428" s="2"/>
      <c r="ANQ428" s="405"/>
      <c r="ANR428" s="54"/>
      <c r="ANS428" s="239"/>
      <c r="ANT428" s="54"/>
      <c r="ANU428" s="232"/>
      <c r="ANV428" s="2"/>
      <c r="ANW428" s="2"/>
      <c r="ANX428" s="2"/>
      <c r="ANY428" s="2"/>
      <c r="ANZ428" s="260"/>
      <c r="AOA428" s="260"/>
      <c r="AOB428" s="260"/>
      <c r="AOC428" s="260"/>
      <c r="AOD428" s="260"/>
      <c r="AOE428" s="260"/>
      <c r="AOF428" s="260"/>
      <c r="AOG428" s="260"/>
      <c r="AOH428" s="260"/>
      <c r="AOI428" s="260"/>
      <c r="AOJ428" s="260"/>
      <c r="AOK428" s="260"/>
      <c r="AOL428" s="260"/>
      <c r="AOM428" s="2"/>
      <c r="AON428" s="2"/>
      <c r="AOO428" s="2"/>
      <c r="AOP428" s="2"/>
      <c r="AOQ428" s="2"/>
      <c r="AOR428" s="2"/>
      <c r="AOS428" s="2"/>
      <c r="AOT428" s="2"/>
      <c r="AOU428" s="2"/>
      <c r="AOV428" s="2"/>
      <c r="AOW428" s="2"/>
      <c r="AOX428" s="2"/>
      <c r="AOY428" s="2"/>
      <c r="AOZ428" s="2"/>
      <c r="APA428" s="2"/>
      <c r="APB428" s="260"/>
      <c r="APC428" s="260"/>
      <c r="APD428" s="260"/>
      <c r="APE428" s="380"/>
      <c r="APF428" s="380"/>
      <c r="APG428" s="380"/>
      <c r="APH428" s="2"/>
      <c r="API428" s="405"/>
      <c r="APJ428" s="54"/>
      <c r="APK428" s="239"/>
      <c r="APL428" s="54"/>
      <c r="APM428" s="232"/>
      <c r="APN428" s="2"/>
      <c r="APO428" s="2"/>
      <c r="APP428" s="2"/>
      <c r="APQ428" s="2"/>
      <c r="APR428" s="260"/>
      <c r="APS428" s="260"/>
      <c r="APT428" s="260"/>
      <c r="APU428" s="260"/>
      <c r="APV428" s="260"/>
      <c r="APW428" s="260"/>
      <c r="APX428" s="260"/>
      <c r="APY428" s="260"/>
      <c r="APZ428" s="260"/>
      <c r="AQA428" s="260"/>
      <c r="AQB428" s="260"/>
      <c r="AQC428" s="260"/>
      <c r="AQD428" s="260"/>
      <c r="AQE428" s="2"/>
      <c r="AQF428" s="2"/>
      <c r="AQG428" s="2"/>
      <c r="AQH428" s="2"/>
      <c r="AQI428" s="2"/>
      <c r="AQJ428" s="2"/>
      <c r="AQK428" s="2"/>
      <c r="AQL428" s="2"/>
      <c r="AQM428" s="2"/>
      <c r="AQN428" s="2"/>
      <c r="AQO428" s="2"/>
      <c r="AQP428" s="2"/>
      <c r="AQQ428" s="2"/>
      <c r="AQR428" s="2"/>
      <c r="AQS428" s="2"/>
      <c r="AQT428" s="260"/>
      <c r="AQU428" s="260"/>
      <c r="AQV428" s="260"/>
      <c r="AQW428" s="380"/>
      <c r="AQX428" s="380"/>
      <c r="AQY428" s="380"/>
      <c r="AQZ428" s="2"/>
      <c r="ARA428" s="405"/>
      <c r="ARB428" s="54"/>
      <c r="ARC428" s="239"/>
      <c r="ARD428" s="54"/>
      <c r="ARE428" s="232"/>
      <c r="ARF428" s="2"/>
      <c r="ARG428" s="2"/>
      <c r="ARH428" s="2"/>
      <c r="ARI428" s="2"/>
      <c r="ARJ428" s="260"/>
      <c r="ARK428" s="260"/>
      <c r="ARL428" s="260"/>
      <c r="ARM428" s="260"/>
      <c r="ARN428" s="260"/>
      <c r="ARO428" s="260"/>
      <c r="ARP428" s="260"/>
      <c r="ARQ428" s="260"/>
      <c r="ARR428" s="260"/>
      <c r="ARS428" s="260"/>
      <c r="ART428" s="260"/>
      <c r="ARU428" s="260"/>
      <c r="ARV428" s="260"/>
      <c r="ARW428" s="2"/>
      <c r="ARX428" s="2"/>
      <c r="ARY428" s="2"/>
      <c r="ARZ428" s="2"/>
      <c r="ASA428" s="2"/>
      <c r="ASB428" s="2"/>
      <c r="ASC428" s="2"/>
      <c r="ASD428" s="2"/>
      <c r="ASE428" s="2"/>
      <c r="ASF428" s="2"/>
      <c r="ASG428" s="2"/>
      <c r="ASH428" s="2"/>
      <c r="ASI428" s="2"/>
      <c r="ASJ428" s="2"/>
      <c r="ASK428" s="2"/>
      <c r="ASL428" s="260"/>
      <c r="ASM428" s="260"/>
      <c r="ASN428" s="260"/>
      <c r="ASO428" s="380"/>
      <c r="ASP428" s="380"/>
      <c r="ASQ428" s="380"/>
      <c r="ASR428" s="2"/>
      <c r="ASS428" s="405"/>
      <c r="AST428" s="54"/>
      <c r="ASU428" s="239"/>
      <c r="ASV428" s="54"/>
      <c r="ASW428" s="232"/>
      <c r="ASX428" s="2"/>
      <c r="ASY428" s="2"/>
      <c r="ASZ428" s="2"/>
      <c r="ATA428" s="2"/>
      <c r="ATB428" s="260"/>
      <c r="ATC428" s="260"/>
      <c r="ATD428" s="260"/>
      <c r="ATE428" s="260"/>
      <c r="ATF428" s="260"/>
      <c r="ATG428" s="260"/>
      <c r="ATH428" s="260"/>
      <c r="ATI428" s="260"/>
      <c r="ATJ428" s="260"/>
      <c r="ATK428" s="260"/>
      <c r="ATL428" s="260"/>
      <c r="ATM428" s="260"/>
      <c r="ATN428" s="260"/>
      <c r="ATO428" s="2"/>
      <c r="ATP428" s="2"/>
      <c r="ATQ428" s="2"/>
      <c r="ATR428" s="2"/>
      <c r="ATS428" s="2"/>
      <c r="ATT428" s="2"/>
      <c r="ATU428" s="2"/>
      <c r="ATV428" s="2"/>
      <c r="ATW428" s="2"/>
      <c r="ATX428" s="2"/>
      <c r="ATY428" s="2"/>
      <c r="ATZ428" s="2"/>
      <c r="AUA428" s="2"/>
      <c r="AUB428" s="2"/>
      <c r="AUC428" s="2"/>
      <c r="AUD428" s="260"/>
      <c r="AUE428" s="260"/>
      <c r="AUF428" s="260"/>
      <c r="AUG428" s="380"/>
      <c r="AUH428" s="380"/>
      <c r="AUI428" s="380"/>
      <c r="AUJ428" s="2"/>
      <c r="AUK428" s="405"/>
      <c r="AUL428" s="54"/>
      <c r="AUM428" s="239"/>
      <c r="AUN428" s="54"/>
      <c r="AUO428" s="232"/>
      <c r="AUP428" s="2"/>
      <c r="AUQ428" s="2"/>
      <c r="AUR428" s="2"/>
      <c r="AUS428" s="2"/>
      <c r="AUT428" s="260"/>
      <c r="AUU428" s="260"/>
      <c r="AUV428" s="260"/>
      <c r="AUW428" s="260"/>
      <c r="AUX428" s="260"/>
      <c r="AUY428" s="260"/>
      <c r="AUZ428" s="260"/>
      <c r="AVA428" s="260"/>
      <c r="AVB428" s="260"/>
      <c r="AVC428" s="260"/>
      <c r="AVD428" s="260"/>
      <c r="AVE428" s="260"/>
      <c r="AVF428" s="260"/>
      <c r="AVG428" s="2"/>
      <c r="AVH428" s="2"/>
      <c r="AVI428" s="2"/>
      <c r="AVJ428" s="2"/>
      <c r="AVK428" s="2"/>
      <c r="AVL428" s="2"/>
      <c r="AVM428" s="2"/>
      <c r="AVN428" s="2"/>
      <c r="AVO428" s="2"/>
      <c r="AVP428" s="2"/>
      <c r="AVQ428" s="2"/>
      <c r="AVR428" s="2"/>
      <c r="AVS428" s="2"/>
      <c r="AVT428" s="2"/>
      <c r="AVU428" s="2"/>
      <c r="AVV428" s="260"/>
      <c r="AVW428" s="260"/>
      <c r="AVX428" s="260"/>
      <c r="AVY428" s="380"/>
      <c r="AVZ428" s="380"/>
      <c r="AWA428" s="380"/>
      <c r="AWB428" s="2"/>
      <c r="AWC428" s="405"/>
      <c r="AWD428" s="54"/>
      <c r="AWE428" s="239"/>
      <c r="AWF428" s="54"/>
      <c r="AWG428" s="232"/>
      <c r="AWH428" s="2"/>
      <c r="AWI428" s="2"/>
      <c r="AWJ428" s="2"/>
      <c r="AWK428" s="2"/>
      <c r="AWL428" s="260"/>
      <c r="AWM428" s="260"/>
      <c r="AWN428" s="260"/>
      <c r="AWO428" s="260"/>
      <c r="AWP428" s="260"/>
      <c r="AWQ428" s="260"/>
      <c r="AWR428" s="260"/>
      <c r="AWS428" s="260"/>
      <c r="AWT428" s="260"/>
      <c r="AWU428" s="260"/>
      <c r="AWV428" s="260"/>
      <c r="AWW428" s="260"/>
      <c r="AWX428" s="260"/>
      <c r="AWY428" s="2"/>
      <c r="AWZ428" s="2"/>
      <c r="AXA428" s="2"/>
      <c r="AXB428" s="2"/>
      <c r="AXC428" s="2"/>
      <c r="AXD428" s="2"/>
      <c r="AXE428" s="2"/>
      <c r="AXF428" s="2"/>
      <c r="AXG428" s="2"/>
      <c r="AXH428" s="2"/>
      <c r="AXI428" s="2"/>
      <c r="AXJ428" s="2"/>
      <c r="AXK428" s="2"/>
      <c r="AXL428" s="2"/>
      <c r="AXM428" s="2"/>
      <c r="AXN428" s="260"/>
      <c r="AXO428" s="260"/>
      <c r="AXP428" s="260"/>
      <c r="AXQ428" s="380"/>
      <c r="AXR428" s="380"/>
      <c r="AXS428" s="380"/>
      <c r="AXT428" s="2"/>
      <c r="AXU428" s="405"/>
      <c r="AXV428" s="54"/>
      <c r="AXW428" s="239"/>
      <c r="AXX428" s="54"/>
      <c r="AXY428" s="232"/>
      <c r="AXZ428" s="2"/>
      <c r="AYA428" s="2"/>
      <c r="AYB428" s="2"/>
      <c r="AYC428" s="2"/>
      <c r="AYD428" s="260"/>
      <c r="AYE428" s="260"/>
      <c r="AYF428" s="260"/>
      <c r="AYG428" s="260"/>
      <c r="AYH428" s="260"/>
      <c r="AYI428" s="260"/>
      <c r="AYJ428" s="260"/>
      <c r="AYK428" s="260"/>
      <c r="AYL428" s="260"/>
      <c r="AYM428" s="260"/>
      <c r="AYN428" s="260"/>
      <c r="AYO428" s="260"/>
      <c r="AYP428" s="260"/>
      <c r="AYQ428" s="2"/>
      <c r="AYR428" s="2"/>
      <c r="AYS428" s="2"/>
      <c r="AYT428" s="2"/>
      <c r="AYU428" s="2"/>
      <c r="AYV428" s="2"/>
      <c r="AYW428" s="2"/>
      <c r="AYX428" s="2"/>
      <c r="AYY428" s="2"/>
      <c r="AYZ428" s="2"/>
      <c r="AZA428" s="2"/>
      <c r="AZB428" s="2"/>
      <c r="AZC428" s="2"/>
      <c r="AZD428" s="2"/>
      <c r="AZE428" s="2"/>
      <c r="AZF428" s="260"/>
      <c r="AZG428" s="260"/>
      <c r="AZH428" s="260"/>
      <c r="AZI428" s="380"/>
      <c r="AZJ428" s="380"/>
      <c r="AZK428" s="380"/>
      <c r="AZL428" s="2"/>
      <c r="AZM428" s="405"/>
      <c r="AZN428" s="54"/>
      <c r="AZO428" s="239"/>
      <c r="AZP428" s="54"/>
      <c r="AZQ428" s="232"/>
      <c r="AZR428" s="2"/>
      <c r="AZS428" s="2"/>
      <c r="AZT428" s="2"/>
      <c r="AZU428" s="2"/>
      <c r="AZV428" s="260"/>
      <c r="AZW428" s="260"/>
      <c r="AZX428" s="260"/>
      <c r="AZY428" s="260"/>
      <c r="AZZ428" s="260"/>
      <c r="BAA428" s="260"/>
      <c r="BAB428" s="260"/>
      <c r="BAC428" s="260"/>
      <c r="BAD428" s="260"/>
      <c r="BAE428" s="260"/>
      <c r="BAF428" s="260"/>
      <c r="BAG428" s="260"/>
      <c r="BAH428" s="260"/>
      <c r="BAI428" s="2"/>
      <c r="BAJ428" s="2"/>
      <c r="BAK428" s="2"/>
      <c r="BAL428" s="2"/>
      <c r="BAM428" s="2"/>
      <c r="BAN428" s="2"/>
      <c r="BAO428" s="2"/>
      <c r="BAP428" s="2"/>
      <c r="BAQ428" s="2"/>
      <c r="BAR428" s="2"/>
      <c r="BAS428" s="2"/>
      <c r="BAT428" s="2"/>
      <c r="BAU428" s="2"/>
      <c r="BAV428" s="2"/>
      <c r="BAW428" s="2"/>
      <c r="BAX428" s="260"/>
      <c r="BAY428" s="260"/>
      <c r="BAZ428" s="260"/>
      <c r="BBA428" s="380"/>
      <c r="BBB428" s="380"/>
      <c r="BBC428" s="380"/>
      <c r="BBD428" s="2"/>
      <c r="BBE428" s="405"/>
      <c r="BBF428" s="54"/>
      <c r="BBG428" s="239"/>
      <c r="BBH428" s="54"/>
      <c r="BBI428" s="232"/>
      <c r="BBJ428" s="2"/>
      <c r="BBK428" s="2"/>
      <c r="BBL428" s="2"/>
      <c r="BBM428" s="2"/>
      <c r="BBN428" s="260"/>
      <c r="BBO428" s="260"/>
      <c r="BBP428" s="260"/>
      <c r="BBQ428" s="260"/>
      <c r="BBR428" s="260"/>
      <c r="BBS428" s="260"/>
      <c r="BBT428" s="260"/>
      <c r="BBU428" s="260"/>
      <c r="BBV428" s="260"/>
      <c r="BBW428" s="260"/>
      <c r="BBX428" s="260"/>
      <c r="BBY428" s="260"/>
      <c r="BBZ428" s="260"/>
      <c r="BCA428" s="2"/>
      <c r="BCB428" s="2"/>
      <c r="BCC428" s="2"/>
      <c r="BCD428" s="2"/>
      <c r="BCE428" s="2"/>
      <c r="BCF428" s="2"/>
      <c r="BCG428" s="2"/>
      <c r="BCH428" s="2"/>
      <c r="BCI428" s="2"/>
      <c r="BCJ428" s="2"/>
      <c r="BCK428" s="2"/>
      <c r="BCL428" s="2"/>
      <c r="BCM428" s="2"/>
      <c r="BCN428" s="2"/>
      <c r="BCO428" s="2"/>
      <c r="BCP428" s="260"/>
      <c r="BCQ428" s="260"/>
      <c r="BCR428" s="260"/>
      <c r="BCS428" s="380"/>
      <c r="BCT428" s="380"/>
      <c r="BCU428" s="380"/>
      <c r="BCV428" s="2"/>
      <c r="BCW428" s="405"/>
      <c r="BCX428" s="54"/>
      <c r="BCY428" s="239"/>
      <c r="BCZ428" s="54"/>
      <c r="BDA428" s="232"/>
      <c r="BDB428" s="2"/>
      <c r="BDC428" s="2"/>
      <c r="BDD428" s="2"/>
      <c r="BDE428" s="2"/>
      <c r="BDF428" s="260"/>
      <c r="BDG428" s="260"/>
      <c r="BDH428" s="260"/>
      <c r="BDI428" s="260"/>
      <c r="BDJ428" s="260"/>
      <c r="BDK428" s="260"/>
      <c r="BDL428" s="260"/>
      <c r="BDM428" s="260"/>
      <c r="BDN428" s="260"/>
      <c r="BDO428" s="260"/>
      <c r="BDP428" s="260"/>
      <c r="BDQ428" s="260"/>
      <c r="BDR428" s="260"/>
      <c r="BDS428" s="2"/>
      <c r="BDT428" s="2"/>
      <c r="BDU428" s="2"/>
      <c r="BDV428" s="2"/>
      <c r="BDW428" s="2"/>
      <c r="BDX428" s="2"/>
      <c r="BDY428" s="2"/>
      <c r="BDZ428" s="2"/>
      <c r="BEA428" s="2"/>
      <c r="BEB428" s="2"/>
      <c r="BEC428" s="2"/>
      <c r="BED428" s="2"/>
      <c r="BEE428" s="2"/>
      <c r="BEF428" s="2"/>
      <c r="BEG428" s="2"/>
      <c r="BEH428" s="260"/>
      <c r="BEI428" s="260"/>
      <c r="BEJ428" s="260"/>
      <c r="BEK428" s="380"/>
      <c r="BEL428" s="380"/>
      <c r="BEM428" s="380"/>
      <c r="BEN428" s="2"/>
      <c r="BEO428" s="405"/>
      <c r="BEP428" s="54"/>
      <c r="BEQ428" s="239"/>
      <c r="BER428" s="54"/>
      <c r="BES428" s="232"/>
      <c r="BET428" s="2"/>
      <c r="BEU428" s="2"/>
      <c r="BEV428" s="2"/>
      <c r="BEW428" s="2"/>
      <c r="BEX428" s="260"/>
      <c r="BEY428" s="260"/>
      <c r="BEZ428" s="260"/>
      <c r="BFA428" s="260"/>
      <c r="BFB428" s="260"/>
      <c r="BFC428" s="260"/>
      <c r="BFD428" s="260"/>
      <c r="BFE428" s="260"/>
      <c r="BFF428" s="260"/>
      <c r="BFG428" s="260"/>
      <c r="BFH428" s="260"/>
      <c r="BFI428" s="260"/>
      <c r="BFJ428" s="260"/>
      <c r="BFK428" s="2"/>
      <c r="BFL428" s="2"/>
      <c r="BFM428" s="2"/>
      <c r="BFN428" s="2"/>
      <c r="BFO428" s="2"/>
      <c r="BFP428" s="2"/>
      <c r="BFQ428" s="2"/>
      <c r="BFR428" s="2"/>
      <c r="BFS428" s="2"/>
      <c r="BFT428" s="2"/>
      <c r="BFU428" s="2"/>
      <c r="BFV428" s="2"/>
      <c r="BFW428" s="2"/>
      <c r="BFX428" s="2"/>
      <c r="BFY428" s="2"/>
      <c r="BFZ428" s="260"/>
      <c r="BGA428" s="260"/>
      <c r="BGB428" s="260"/>
      <c r="BGC428" s="380"/>
      <c r="BGD428" s="380"/>
      <c r="BGE428" s="380"/>
      <c r="BGF428" s="2"/>
      <c r="BGG428" s="405"/>
      <c r="BGH428" s="54"/>
      <c r="BGI428" s="239"/>
      <c r="BGJ428" s="54"/>
      <c r="BGK428" s="232"/>
      <c r="BGL428" s="2"/>
      <c r="BGM428" s="2"/>
      <c r="BGN428" s="2"/>
      <c r="BGO428" s="2"/>
      <c r="BGP428" s="260"/>
      <c r="BGQ428" s="260"/>
      <c r="BGR428" s="260"/>
      <c r="BGS428" s="260"/>
      <c r="BGT428" s="260"/>
      <c r="BGU428" s="260"/>
      <c r="BGV428" s="260"/>
      <c r="BGW428" s="260"/>
      <c r="BGX428" s="260"/>
      <c r="BGY428" s="260"/>
      <c r="BGZ428" s="260"/>
      <c r="BHA428" s="260"/>
      <c r="BHB428" s="260"/>
      <c r="BHC428" s="2"/>
      <c r="BHD428" s="2"/>
      <c r="BHE428" s="2"/>
      <c r="BHF428" s="2"/>
      <c r="BHG428" s="2"/>
      <c r="BHH428" s="2"/>
      <c r="BHI428" s="2"/>
      <c r="BHJ428" s="2"/>
      <c r="BHK428" s="2"/>
      <c r="BHL428" s="2"/>
      <c r="BHM428" s="2"/>
      <c r="BHN428" s="2"/>
      <c r="BHO428" s="2"/>
      <c r="BHP428" s="2"/>
      <c r="BHQ428" s="2"/>
      <c r="BHR428" s="260"/>
      <c r="BHS428" s="260"/>
      <c r="BHT428" s="260"/>
      <c r="BHU428" s="380"/>
      <c r="BHV428" s="380"/>
      <c r="BHW428" s="380"/>
      <c r="BHX428" s="2"/>
      <c r="BHY428" s="405"/>
      <c r="BHZ428" s="54"/>
      <c r="BIA428" s="239"/>
      <c r="BIB428" s="54"/>
      <c r="BIC428" s="232"/>
      <c r="BID428" s="2"/>
      <c r="BIE428" s="2"/>
      <c r="BIF428" s="2"/>
      <c r="BIG428" s="2"/>
      <c r="BIH428" s="260"/>
      <c r="BII428" s="260"/>
      <c r="BIJ428" s="260"/>
      <c r="BIK428" s="260"/>
      <c r="BIL428" s="260"/>
      <c r="BIM428" s="260"/>
      <c r="BIN428" s="260"/>
      <c r="BIO428" s="260"/>
      <c r="BIP428" s="260"/>
      <c r="BIQ428" s="260"/>
      <c r="BIR428" s="260"/>
      <c r="BIS428" s="260"/>
      <c r="BIT428" s="260"/>
      <c r="BIU428" s="2"/>
      <c r="BIV428" s="2"/>
      <c r="BIW428" s="2"/>
      <c r="BIX428" s="2"/>
      <c r="BIY428" s="2"/>
      <c r="BIZ428" s="2"/>
      <c r="BJA428" s="2"/>
      <c r="BJB428" s="2"/>
      <c r="BJC428" s="2"/>
      <c r="BJD428" s="2"/>
      <c r="BJE428" s="2"/>
      <c r="BJF428" s="2"/>
      <c r="BJG428" s="2"/>
      <c r="BJH428" s="2"/>
      <c r="BJI428" s="2"/>
      <c r="BJJ428" s="260"/>
      <c r="BJK428" s="260"/>
      <c r="BJL428" s="260"/>
      <c r="BJM428" s="380"/>
      <c r="BJN428" s="380"/>
      <c r="BJO428" s="380"/>
      <c r="BJP428" s="2"/>
      <c r="BJQ428" s="405"/>
      <c r="BJR428" s="54"/>
      <c r="BJS428" s="239"/>
      <c r="BJT428" s="54"/>
      <c r="BJU428" s="232"/>
      <c r="BJV428" s="2"/>
      <c r="BJW428" s="2"/>
      <c r="BJX428" s="2"/>
      <c r="BJY428" s="2"/>
      <c r="BJZ428" s="260"/>
      <c r="BKA428" s="260"/>
      <c r="BKB428" s="260"/>
      <c r="BKC428" s="260"/>
      <c r="BKD428" s="260"/>
      <c r="BKE428" s="260"/>
      <c r="BKF428" s="260"/>
      <c r="BKG428" s="260"/>
      <c r="BKH428" s="260"/>
      <c r="BKI428" s="260"/>
      <c r="BKJ428" s="260"/>
      <c r="BKK428" s="260"/>
      <c r="BKL428" s="260"/>
      <c r="BKM428" s="2"/>
      <c r="BKN428" s="2"/>
      <c r="BKO428" s="2"/>
      <c r="BKP428" s="2"/>
      <c r="BKQ428" s="2"/>
      <c r="BKR428" s="2"/>
      <c r="BKS428" s="2"/>
      <c r="BKT428" s="2"/>
      <c r="BKU428" s="2"/>
      <c r="BKV428" s="2"/>
      <c r="BKW428" s="2"/>
      <c r="BKX428" s="2"/>
      <c r="BKY428" s="2"/>
      <c r="BKZ428" s="2"/>
      <c r="BLA428" s="2"/>
      <c r="BLB428" s="260"/>
      <c r="BLC428" s="260"/>
      <c r="BLD428" s="260"/>
      <c r="BLE428" s="380"/>
      <c r="BLF428" s="380"/>
      <c r="BLG428" s="380"/>
      <c r="BLH428" s="2"/>
      <c r="BLI428" s="405"/>
      <c r="BLJ428" s="54"/>
      <c r="BLK428" s="239"/>
      <c r="BLL428" s="54"/>
      <c r="BLM428" s="232"/>
      <c r="BLN428" s="2"/>
      <c r="BLO428" s="2"/>
      <c r="BLP428" s="2"/>
      <c r="BLQ428" s="2"/>
      <c r="BLR428" s="260"/>
      <c r="BLS428" s="260"/>
      <c r="BLT428" s="260"/>
      <c r="BLU428" s="260"/>
      <c r="BLV428" s="260"/>
      <c r="BLW428" s="260"/>
      <c r="BLX428" s="260"/>
      <c r="BLY428" s="260"/>
      <c r="BLZ428" s="260"/>
      <c r="BMA428" s="260"/>
      <c r="BMB428" s="260"/>
      <c r="BMC428" s="260"/>
      <c r="BMD428" s="260"/>
      <c r="BME428" s="2"/>
      <c r="BMF428" s="2"/>
      <c r="BMG428" s="2"/>
      <c r="BMH428" s="2"/>
      <c r="BMI428" s="2"/>
      <c r="BMJ428" s="2"/>
      <c r="BMK428" s="2"/>
      <c r="BML428" s="2"/>
      <c r="BMM428" s="2"/>
      <c r="BMN428" s="2"/>
      <c r="BMO428" s="2"/>
      <c r="BMP428" s="2"/>
      <c r="BMQ428" s="2"/>
      <c r="BMR428" s="2"/>
      <c r="BMS428" s="2"/>
      <c r="BMT428" s="260"/>
      <c r="BMU428" s="260"/>
      <c r="BMV428" s="260"/>
      <c r="BMW428" s="380"/>
      <c r="BMX428" s="380"/>
      <c r="BMY428" s="380"/>
      <c r="BMZ428" s="2"/>
      <c r="BNA428" s="405"/>
      <c r="BNB428" s="54"/>
      <c r="BNC428" s="239"/>
      <c r="BND428" s="54"/>
      <c r="BNE428" s="232"/>
      <c r="BNF428" s="2"/>
      <c r="BNG428" s="2"/>
      <c r="BNH428" s="2"/>
      <c r="BNI428" s="2"/>
      <c r="BNJ428" s="260"/>
      <c r="BNK428" s="260"/>
      <c r="BNL428" s="260"/>
      <c r="BNM428" s="260"/>
      <c r="BNN428" s="260"/>
      <c r="BNO428" s="260"/>
      <c r="BNP428" s="260"/>
      <c r="BNQ428" s="260"/>
      <c r="BNR428" s="260"/>
      <c r="BNS428" s="260"/>
      <c r="BNT428" s="260"/>
      <c r="BNU428" s="260"/>
      <c r="BNV428" s="260"/>
      <c r="BNW428" s="2"/>
      <c r="BNX428" s="2"/>
      <c r="BNY428" s="2"/>
      <c r="BNZ428" s="2"/>
      <c r="BOA428" s="2"/>
      <c r="BOB428" s="2"/>
      <c r="BOC428" s="2"/>
      <c r="BOD428" s="2"/>
      <c r="BOE428" s="2"/>
      <c r="BOF428" s="2"/>
      <c r="BOG428" s="2"/>
      <c r="BOH428" s="2"/>
      <c r="BOI428" s="2"/>
      <c r="BOJ428" s="2"/>
      <c r="BOK428" s="2"/>
      <c r="BOL428" s="260"/>
      <c r="BOM428" s="260"/>
      <c r="BON428" s="260"/>
      <c r="BOO428" s="380"/>
      <c r="BOP428" s="380"/>
      <c r="BOQ428" s="380"/>
      <c r="BOR428" s="2"/>
      <c r="BOS428" s="405"/>
      <c r="BOT428" s="54"/>
      <c r="BOU428" s="239"/>
      <c r="BOV428" s="54"/>
      <c r="BOW428" s="232"/>
      <c r="BOX428" s="2"/>
      <c r="BOY428" s="2"/>
      <c r="BOZ428" s="2"/>
      <c r="BPA428" s="2"/>
      <c r="BPB428" s="260"/>
      <c r="BPC428" s="260"/>
      <c r="BPD428" s="260"/>
      <c r="BPE428" s="260"/>
      <c r="BPF428" s="260"/>
      <c r="BPG428" s="260"/>
      <c r="BPH428" s="260"/>
      <c r="BPI428" s="260"/>
      <c r="BPJ428" s="260"/>
      <c r="BPK428" s="260"/>
      <c r="BPL428" s="260"/>
      <c r="BPM428" s="260"/>
      <c r="BPN428" s="260"/>
      <c r="BPO428" s="2"/>
      <c r="BPP428" s="2"/>
      <c r="BPQ428" s="2"/>
      <c r="BPR428" s="2"/>
      <c r="BPS428" s="2"/>
      <c r="BPT428" s="2"/>
      <c r="BPU428" s="2"/>
      <c r="BPV428" s="2"/>
      <c r="BPW428" s="2"/>
      <c r="BPX428" s="2"/>
      <c r="BPY428" s="2"/>
      <c r="BPZ428" s="2"/>
      <c r="BQA428" s="2"/>
      <c r="BQB428" s="2"/>
      <c r="BQC428" s="2"/>
      <c r="BQD428" s="260"/>
      <c r="BQE428" s="260"/>
      <c r="BQF428" s="260"/>
      <c r="BQG428" s="380"/>
      <c r="BQH428" s="380"/>
      <c r="BQI428" s="380"/>
      <c r="BQJ428" s="2"/>
      <c r="BQK428" s="405"/>
      <c r="BQL428" s="54"/>
      <c r="BQM428" s="239"/>
      <c r="BQN428" s="54"/>
      <c r="BQO428" s="232"/>
      <c r="BQP428" s="2"/>
      <c r="BQQ428" s="2"/>
      <c r="BQR428" s="2"/>
      <c r="BQS428" s="2"/>
      <c r="BQT428" s="260"/>
      <c r="BQU428" s="260"/>
      <c r="BQV428" s="260"/>
      <c r="BQW428" s="260"/>
      <c r="BQX428" s="260"/>
      <c r="BQY428" s="260"/>
      <c r="BQZ428" s="260"/>
      <c r="BRA428" s="260"/>
      <c r="BRB428" s="260"/>
      <c r="BRC428" s="260"/>
      <c r="BRD428" s="260"/>
      <c r="BRE428" s="260"/>
      <c r="BRF428" s="260"/>
      <c r="BRG428" s="2"/>
      <c r="BRH428" s="2"/>
      <c r="BRI428" s="2"/>
      <c r="BRJ428" s="2"/>
      <c r="BRK428" s="2"/>
      <c r="BRL428" s="2"/>
      <c r="BRM428" s="2"/>
      <c r="BRN428" s="2"/>
      <c r="BRO428" s="2"/>
      <c r="BRP428" s="2"/>
      <c r="BRQ428" s="2"/>
      <c r="BRR428" s="2"/>
      <c r="BRS428" s="2"/>
      <c r="BRT428" s="2"/>
      <c r="BRU428" s="2"/>
      <c r="BRV428" s="260"/>
      <c r="BRW428" s="260"/>
      <c r="BRX428" s="260"/>
      <c r="BRY428" s="380"/>
      <c r="BRZ428" s="380"/>
      <c r="BSA428" s="380"/>
      <c r="BSB428" s="2"/>
      <c r="BSC428" s="405"/>
      <c r="BSD428" s="54"/>
      <c r="BSE428" s="239"/>
      <c r="BSF428" s="54"/>
      <c r="BSG428" s="232"/>
      <c r="BSH428" s="2"/>
      <c r="BSI428" s="2"/>
      <c r="BSJ428" s="2"/>
      <c r="BSK428" s="2"/>
      <c r="BSL428" s="260"/>
      <c r="BSM428" s="260"/>
      <c r="BSN428" s="260"/>
      <c r="BSO428" s="260"/>
      <c r="BSP428" s="260"/>
      <c r="BSQ428" s="260"/>
      <c r="BSR428" s="260"/>
      <c r="BSS428" s="260"/>
      <c r="BST428" s="260"/>
      <c r="BSU428" s="260"/>
      <c r="BSV428" s="260"/>
      <c r="BSW428" s="260"/>
      <c r="BSX428" s="260"/>
      <c r="BSY428" s="2"/>
      <c r="BSZ428" s="2"/>
      <c r="BTA428" s="2"/>
      <c r="BTB428" s="2"/>
      <c r="BTC428" s="2"/>
      <c r="BTD428" s="2"/>
      <c r="BTE428" s="2"/>
      <c r="BTF428" s="2"/>
      <c r="BTG428" s="2"/>
      <c r="BTH428" s="2"/>
      <c r="BTI428" s="2"/>
      <c r="BTJ428" s="2"/>
      <c r="BTK428" s="2"/>
      <c r="BTL428" s="2"/>
      <c r="BTM428" s="2"/>
      <c r="BTN428" s="260"/>
      <c r="BTO428" s="260"/>
      <c r="BTP428" s="260"/>
      <c r="BTQ428" s="380"/>
      <c r="BTR428" s="380"/>
      <c r="BTS428" s="380"/>
      <c r="BTT428" s="2"/>
      <c r="BTU428" s="405"/>
      <c r="BTV428" s="54"/>
      <c r="BTW428" s="239"/>
      <c r="BTX428" s="54"/>
      <c r="BTY428" s="232"/>
      <c r="BTZ428" s="2"/>
      <c r="BUA428" s="2"/>
      <c r="BUB428" s="2"/>
      <c r="BUC428" s="2"/>
      <c r="BUD428" s="260"/>
      <c r="BUE428" s="260"/>
      <c r="BUF428" s="260"/>
      <c r="BUG428" s="260"/>
      <c r="BUH428" s="260"/>
      <c r="BUI428" s="260"/>
      <c r="BUJ428" s="260"/>
      <c r="BUK428" s="260"/>
      <c r="BUL428" s="260"/>
      <c r="BUM428" s="260"/>
      <c r="BUN428" s="260"/>
      <c r="BUO428" s="260"/>
      <c r="BUP428" s="260"/>
      <c r="BUQ428" s="2"/>
      <c r="BUR428" s="2"/>
      <c r="BUS428" s="2"/>
      <c r="BUT428" s="2"/>
      <c r="BUU428" s="2"/>
      <c r="BUV428" s="2"/>
      <c r="BUW428" s="2"/>
      <c r="BUX428" s="2"/>
      <c r="BUY428" s="2"/>
      <c r="BUZ428" s="2"/>
      <c r="BVA428" s="2"/>
      <c r="BVB428" s="2"/>
      <c r="BVC428" s="2"/>
      <c r="BVD428" s="2"/>
      <c r="BVE428" s="2"/>
      <c r="BVF428" s="260"/>
      <c r="BVG428" s="260"/>
      <c r="BVH428" s="260"/>
      <c r="BVI428" s="380"/>
      <c r="BVJ428" s="380"/>
      <c r="BVK428" s="380"/>
      <c r="BVL428" s="2"/>
      <c r="BVM428" s="405"/>
      <c r="BVN428" s="54"/>
      <c r="BVO428" s="239"/>
      <c r="BVP428" s="54"/>
      <c r="BVQ428" s="232"/>
      <c r="BVR428" s="2"/>
      <c r="BVS428" s="2"/>
      <c r="BVT428" s="2"/>
      <c r="BVU428" s="2"/>
      <c r="BVV428" s="260"/>
      <c r="BVW428" s="260"/>
      <c r="BVX428" s="260"/>
      <c r="BVY428" s="260"/>
      <c r="BVZ428" s="260"/>
      <c r="BWA428" s="260"/>
      <c r="BWB428" s="260"/>
      <c r="BWC428" s="260"/>
      <c r="BWD428" s="260"/>
      <c r="BWE428" s="260"/>
      <c r="BWF428" s="260"/>
      <c r="BWG428" s="260"/>
      <c r="BWH428" s="260"/>
      <c r="BWI428" s="2"/>
      <c r="BWJ428" s="2"/>
      <c r="BWK428" s="2"/>
      <c r="BWL428" s="2"/>
      <c r="BWM428" s="2"/>
      <c r="BWN428" s="2"/>
      <c r="BWO428" s="2"/>
      <c r="BWP428" s="2"/>
      <c r="BWQ428" s="2"/>
      <c r="BWR428" s="2"/>
      <c r="BWS428" s="2"/>
      <c r="BWT428" s="2"/>
      <c r="BWU428" s="2"/>
      <c r="BWV428" s="2"/>
      <c r="BWW428" s="2"/>
      <c r="BWX428" s="260"/>
      <c r="BWY428" s="260"/>
      <c r="BWZ428" s="260"/>
      <c r="BXA428" s="380"/>
      <c r="BXB428" s="380"/>
      <c r="BXC428" s="380"/>
      <c r="BXD428" s="2"/>
      <c r="BXE428" s="405"/>
      <c r="BXF428" s="54"/>
      <c r="BXG428" s="239"/>
      <c r="BXH428" s="54"/>
      <c r="BXI428" s="232"/>
      <c r="BXJ428" s="2"/>
      <c r="BXK428" s="2"/>
      <c r="BXL428" s="2"/>
      <c r="BXM428" s="2"/>
      <c r="BXN428" s="260"/>
      <c r="BXO428" s="260"/>
      <c r="BXP428" s="260"/>
      <c r="BXQ428" s="260"/>
      <c r="BXR428" s="260"/>
      <c r="BXS428" s="260"/>
      <c r="BXT428" s="260"/>
      <c r="BXU428" s="260"/>
      <c r="BXV428" s="260"/>
      <c r="BXW428" s="260"/>
      <c r="BXX428" s="260"/>
      <c r="BXY428" s="260"/>
      <c r="BXZ428" s="260"/>
      <c r="BYA428" s="2"/>
      <c r="BYB428" s="2"/>
      <c r="BYC428" s="2"/>
      <c r="BYD428" s="2"/>
      <c r="BYE428" s="2"/>
      <c r="BYF428" s="2"/>
      <c r="BYG428" s="2"/>
      <c r="BYH428" s="2"/>
      <c r="BYI428" s="2"/>
      <c r="BYJ428" s="2"/>
      <c r="BYK428" s="2"/>
      <c r="BYL428" s="2"/>
      <c r="BYM428" s="2"/>
      <c r="BYN428" s="2"/>
      <c r="BYO428" s="2"/>
      <c r="BYP428" s="260"/>
      <c r="BYQ428" s="260"/>
      <c r="BYR428" s="260"/>
      <c r="BYS428" s="380"/>
      <c r="BYT428" s="380"/>
      <c r="BYU428" s="380"/>
      <c r="BYV428" s="2"/>
      <c r="BYW428" s="405"/>
      <c r="BYX428" s="54"/>
      <c r="BYY428" s="239"/>
      <c r="BYZ428" s="54"/>
      <c r="BZA428" s="232"/>
      <c r="BZB428" s="2"/>
      <c r="BZC428" s="2"/>
      <c r="BZD428" s="2"/>
      <c r="BZE428" s="2"/>
      <c r="BZF428" s="260"/>
      <c r="BZG428" s="260"/>
      <c r="BZH428" s="260"/>
      <c r="BZI428" s="260"/>
      <c r="BZJ428" s="260"/>
      <c r="BZK428" s="260"/>
      <c r="BZL428" s="260"/>
      <c r="BZM428" s="260"/>
      <c r="BZN428" s="260"/>
      <c r="BZO428" s="260"/>
      <c r="BZP428" s="260"/>
      <c r="BZQ428" s="260"/>
      <c r="BZR428" s="260"/>
      <c r="BZS428" s="2"/>
      <c r="BZT428" s="2"/>
      <c r="BZU428" s="2"/>
      <c r="BZV428" s="2"/>
      <c r="BZW428" s="2"/>
      <c r="BZX428" s="2"/>
      <c r="BZY428" s="2"/>
      <c r="BZZ428" s="2"/>
      <c r="CAA428" s="2"/>
      <c r="CAB428" s="2"/>
      <c r="CAC428" s="2"/>
      <c r="CAD428" s="2"/>
      <c r="CAE428" s="2"/>
      <c r="CAF428" s="2"/>
      <c r="CAG428" s="2"/>
      <c r="CAH428" s="260"/>
      <c r="CAI428" s="260"/>
      <c r="CAJ428" s="260"/>
      <c r="CAK428" s="380"/>
      <c r="CAL428" s="380"/>
      <c r="CAM428" s="380"/>
      <c r="CAN428" s="2"/>
      <c r="CAO428" s="405"/>
      <c r="CAP428" s="54"/>
      <c r="CAQ428" s="239"/>
      <c r="CAR428" s="54"/>
      <c r="CAS428" s="232"/>
      <c r="CAT428" s="2"/>
      <c r="CAU428" s="2"/>
      <c r="CAV428" s="2"/>
      <c r="CAW428" s="2"/>
      <c r="CAX428" s="260"/>
      <c r="CAY428" s="260"/>
      <c r="CAZ428" s="260"/>
      <c r="CBA428" s="260"/>
      <c r="CBB428" s="260"/>
      <c r="CBC428" s="260"/>
      <c r="CBD428" s="260"/>
      <c r="CBE428" s="260"/>
      <c r="CBF428" s="260"/>
      <c r="CBG428" s="260"/>
      <c r="CBH428" s="260"/>
      <c r="CBI428" s="260"/>
      <c r="CBJ428" s="260"/>
      <c r="CBK428" s="2"/>
      <c r="CBL428" s="2"/>
      <c r="CBM428" s="2"/>
      <c r="CBN428" s="2"/>
      <c r="CBO428" s="2"/>
      <c r="CBP428" s="2"/>
      <c r="CBQ428" s="2"/>
      <c r="CBR428" s="2"/>
      <c r="CBS428" s="2"/>
      <c r="CBT428" s="2"/>
      <c r="CBU428" s="2"/>
      <c r="CBV428" s="2"/>
      <c r="CBW428" s="2"/>
      <c r="CBX428" s="2"/>
      <c r="CBY428" s="2"/>
      <c r="CBZ428" s="260"/>
      <c r="CCA428" s="260"/>
      <c r="CCB428" s="260"/>
      <c r="CCC428" s="380"/>
      <c r="CCD428" s="380"/>
      <c r="CCE428" s="380"/>
      <c r="CCF428" s="2"/>
      <c r="CCG428" s="405"/>
      <c r="CCH428" s="54"/>
      <c r="CCI428" s="239"/>
      <c r="CCJ428" s="54"/>
      <c r="CCK428" s="232"/>
      <c r="CCL428" s="2"/>
      <c r="CCM428" s="2"/>
      <c r="CCN428" s="2"/>
      <c r="CCO428" s="2"/>
      <c r="CCP428" s="260"/>
      <c r="CCQ428" s="260"/>
      <c r="CCR428" s="260"/>
      <c r="CCS428" s="260"/>
      <c r="CCT428" s="260"/>
      <c r="CCU428" s="260"/>
      <c r="CCV428" s="260"/>
      <c r="CCW428" s="260"/>
      <c r="CCX428" s="260"/>
      <c r="CCY428" s="260"/>
      <c r="CCZ428" s="260"/>
      <c r="CDA428" s="260"/>
      <c r="CDB428" s="260"/>
      <c r="CDC428" s="2"/>
      <c r="CDD428" s="2"/>
      <c r="CDE428" s="2"/>
      <c r="CDF428" s="2"/>
      <c r="CDG428" s="2"/>
      <c r="CDH428" s="2"/>
      <c r="CDI428" s="2"/>
      <c r="CDJ428" s="2"/>
      <c r="CDK428" s="2"/>
      <c r="CDL428" s="2"/>
      <c r="CDM428" s="2"/>
      <c r="CDN428" s="2"/>
      <c r="CDO428" s="2"/>
      <c r="CDP428" s="2"/>
      <c r="CDQ428" s="2"/>
      <c r="CDR428" s="260"/>
      <c r="CDS428" s="260"/>
      <c r="CDT428" s="260"/>
      <c r="CDU428" s="380"/>
      <c r="CDV428" s="380"/>
      <c r="CDW428" s="380"/>
      <c r="CDX428" s="2"/>
      <c r="CDY428" s="405"/>
      <c r="CDZ428" s="54"/>
      <c r="CEA428" s="239"/>
      <c r="CEB428" s="54"/>
      <c r="CEC428" s="232"/>
      <c r="CED428" s="2"/>
      <c r="CEE428" s="2"/>
      <c r="CEF428" s="2"/>
      <c r="CEG428" s="2"/>
      <c r="CEH428" s="260"/>
      <c r="CEI428" s="260"/>
      <c r="CEJ428" s="260"/>
      <c r="CEK428" s="260"/>
      <c r="CEL428" s="260"/>
      <c r="CEM428" s="260"/>
      <c r="CEN428" s="260"/>
      <c r="CEO428" s="260"/>
      <c r="CEP428" s="260"/>
      <c r="CEQ428" s="260"/>
      <c r="CER428" s="260"/>
      <c r="CES428" s="260"/>
      <c r="CET428" s="260"/>
      <c r="CEU428" s="2"/>
      <c r="CEV428" s="2"/>
      <c r="CEW428" s="2"/>
      <c r="CEX428" s="2"/>
      <c r="CEY428" s="2"/>
      <c r="CEZ428" s="2"/>
      <c r="CFA428" s="2"/>
      <c r="CFB428" s="2"/>
      <c r="CFC428" s="2"/>
      <c r="CFD428" s="2"/>
      <c r="CFE428" s="2"/>
      <c r="CFF428" s="2"/>
      <c r="CFG428" s="2"/>
      <c r="CFH428" s="2"/>
      <c r="CFI428" s="2"/>
      <c r="CFJ428" s="260"/>
      <c r="CFK428" s="260"/>
      <c r="CFL428" s="260"/>
      <c r="CFM428" s="380"/>
      <c r="CFN428" s="380"/>
      <c r="CFO428" s="380"/>
      <c r="CFP428" s="2"/>
      <c r="CFQ428" s="405"/>
      <c r="CFR428" s="54"/>
      <c r="CFS428" s="239"/>
      <c r="CFT428" s="54"/>
      <c r="CFU428" s="232"/>
      <c r="CFV428" s="2"/>
      <c r="CFW428" s="2"/>
      <c r="CFX428" s="2"/>
      <c r="CFY428" s="2"/>
      <c r="CFZ428" s="260"/>
      <c r="CGA428" s="260"/>
      <c r="CGB428" s="260"/>
      <c r="CGC428" s="260"/>
      <c r="CGD428" s="260"/>
      <c r="CGE428" s="260"/>
      <c r="CGF428" s="260"/>
      <c r="CGG428" s="260"/>
      <c r="CGH428" s="260"/>
      <c r="CGI428" s="260"/>
      <c r="CGJ428" s="260"/>
      <c r="CGK428" s="260"/>
      <c r="CGL428" s="260"/>
      <c r="CGM428" s="2"/>
      <c r="CGN428" s="2"/>
      <c r="CGO428" s="2"/>
      <c r="CGP428" s="2"/>
      <c r="CGQ428" s="2"/>
      <c r="CGR428" s="2"/>
      <c r="CGS428" s="2"/>
      <c r="CGT428" s="2"/>
      <c r="CGU428" s="2"/>
      <c r="CGV428" s="2"/>
      <c r="CGW428" s="2"/>
      <c r="CGX428" s="2"/>
      <c r="CGY428" s="2"/>
      <c r="CGZ428" s="2"/>
      <c r="CHA428" s="2"/>
      <c r="CHB428" s="260"/>
      <c r="CHC428" s="260"/>
      <c r="CHD428" s="260"/>
      <c r="CHE428" s="380"/>
      <c r="CHF428" s="380"/>
      <c r="CHG428" s="380"/>
      <c r="CHH428" s="2"/>
      <c r="CHI428" s="405"/>
      <c r="CHJ428" s="54"/>
      <c r="CHK428" s="239"/>
      <c r="CHL428" s="54"/>
      <c r="CHM428" s="232"/>
      <c r="CHN428" s="2"/>
      <c r="CHO428" s="2"/>
      <c r="CHP428" s="2"/>
      <c r="CHQ428" s="2"/>
      <c r="CHR428" s="260"/>
      <c r="CHS428" s="260"/>
      <c r="CHT428" s="260"/>
      <c r="CHU428" s="260"/>
      <c r="CHV428" s="260"/>
      <c r="CHW428" s="260"/>
      <c r="CHX428" s="260"/>
      <c r="CHY428" s="260"/>
      <c r="CHZ428" s="260"/>
      <c r="CIA428" s="260"/>
      <c r="CIB428" s="260"/>
      <c r="CIC428" s="260"/>
      <c r="CID428" s="260"/>
      <c r="CIE428" s="2"/>
      <c r="CIF428" s="2"/>
      <c r="CIG428" s="2"/>
      <c r="CIH428" s="2"/>
      <c r="CII428" s="2"/>
      <c r="CIJ428" s="2"/>
      <c r="CIK428" s="2"/>
      <c r="CIL428" s="2"/>
      <c r="CIM428" s="2"/>
      <c r="CIN428" s="2"/>
      <c r="CIO428" s="2"/>
      <c r="CIP428" s="2"/>
      <c r="CIQ428" s="2"/>
      <c r="CIR428" s="2"/>
      <c r="CIS428" s="2"/>
      <c r="CIT428" s="260"/>
      <c r="CIU428" s="260"/>
      <c r="CIV428" s="260"/>
      <c r="CIW428" s="380"/>
      <c r="CIX428" s="380"/>
      <c r="CIY428" s="380"/>
      <c r="CIZ428" s="2"/>
      <c r="CJA428" s="405"/>
      <c r="CJB428" s="54"/>
      <c r="CJC428" s="239"/>
      <c r="CJD428" s="54"/>
      <c r="CJE428" s="232"/>
      <c r="CJF428" s="2"/>
      <c r="CJG428" s="2"/>
      <c r="CJH428" s="2"/>
      <c r="CJI428" s="2"/>
      <c r="CJJ428" s="260"/>
      <c r="CJK428" s="260"/>
      <c r="CJL428" s="260"/>
      <c r="CJM428" s="260"/>
      <c r="CJN428" s="260"/>
      <c r="CJO428" s="260"/>
      <c r="CJP428" s="260"/>
      <c r="CJQ428" s="260"/>
      <c r="CJR428" s="260"/>
      <c r="CJS428" s="260"/>
      <c r="CJT428" s="260"/>
      <c r="CJU428" s="260"/>
      <c r="CJV428" s="260"/>
      <c r="CJW428" s="2"/>
      <c r="CJX428" s="2"/>
      <c r="CJY428" s="2"/>
      <c r="CJZ428" s="2"/>
      <c r="CKA428" s="2"/>
      <c r="CKB428" s="2"/>
      <c r="CKC428" s="2"/>
      <c r="CKD428" s="2"/>
      <c r="CKE428" s="2"/>
      <c r="CKF428" s="2"/>
      <c r="CKG428" s="2"/>
      <c r="CKH428" s="2"/>
      <c r="CKI428" s="2"/>
      <c r="CKJ428" s="2"/>
      <c r="CKK428" s="2"/>
      <c r="CKL428" s="260"/>
      <c r="CKM428" s="260"/>
      <c r="CKN428" s="260"/>
      <c r="CKO428" s="380"/>
      <c r="CKP428" s="380"/>
      <c r="CKQ428" s="380"/>
      <c r="CKR428" s="2"/>
      <c r="CKS428" s="405"/>
      <c r="CKT428" s="54"/>
      <c r="CKU428" s="239"/>
      <c r="CKV428" s="54"/>
      <c r="CKW428" s="232"/>
      <c r="CKX428" s="2"/>
      <c r="CKY428" s="2"/>
      <c r="CKZ428" s="2"/>
      <c r="CLA428" s="2"/>
      <c r="CLB428" s="260"/>
      <c r="CLC428" s="260"/>
      <c r="CLD428" s="260"/>
      <c r="CLE428" s="260"/>
      <c r="CLF428" s="260"/>
      <c r="CLG428" s="260"/>
      <c r="CLH428" s="260"/>
      <c r="CLI428" s="260"/>
      <c r="CLJ428" s="260"/>
      <c r="CLK428" s="260"/>
      <c r="CLL428" s="260"/>
      <c r="CLM428" s="260"/>
      <c r="CLN428" s="260"/>
      <c r="CLO428" s="2"/>
      <c r="CLP428" s="2"/>
      <c r="CLQ428" s="2"/>
      <c r="CLR428" s="2"/>
      <c r="CLS428" s="2"/>
      <c r="CLT428" s="2"/>
      <c r="CLU428" s="2"/>
      <c r="CLV428" s="2"/>
      <c r="CLW428" s="2"/>
      <c r="CLX428" s="2"/>
      <c r="CLY428" s="2"/>
      <c r="CLZ428" s="2"/>
      <c r="CMA428" s="2"/>
      <c r="CMB428" s="2"/>
      <c r="CMC428" s="2"/>
      <c r="CMD428" s="260"/>
      <c r="CME428" s="260"/>
      <c r="CMF428" s="260"/>
      <c r="CMG428" s="380"/>
      <c r="CMH428" s="380"/>
      <c r="CMI428" s="380"/>
      <c r="CMJ428" s="2"/>
      <c r="CMK428" s="405"/>
      <c r="CML428" s="54"/>
      <c r="CMM428" s="239"/>
      <c r="CMN428" s="54"/>
      <c r="CMO428" s="232"/>
      <c r="CMP428" s="2"/>
      <c r="CMQ428" s="2"/>
      <c r="CMR428" s="2"/>
      <c r="CMS428" s="2"/>
      <c r="CMT428" s="260"/>
      <c r="CMU428" s="260"/>
      <c r="CMV428" s="260"/>
      <c r="CMW428" s="260"/>
      <c r="CMX428" s="260"/>
      <c r="CMY428" s="260"/>
      <c r="CMZ428" s="260"/>
      <c r="CNA428" s="260"/>
      <c r="CNB428" s="260"/>
      <c r="CNC428" s="260"/>
      <c r="CND428" s="260"/>
      <c r="CNE428" s="260"/>
      <c r="CNF428" s="260"/>
      <c r="CNG428" s="2"/>
      <c r="CNH428" s="2"/>
      <c r="CNI428" s="2"/>
      <c r="CNJ428" s="2"/>
      <c r="CNK428" s="2"/>
      <c r="CNL428" s="2"/>
      <c r="CNM428" s="2"/>
      <c r="CNN428" s="2"/>
      <c r="CNO428" s="2"/>
      <c r="CNP428" s="2"/>
      <c r="CNQ428" s="2"/>
      <c r="CNR428" s="2"/>
      <c r="CNS428" s="2"/>
      <c r="CNT428" s="2"/>
      <c r="CNU428" s="2"/>
      <c r="CNV428" s="260"/>
      <c r="CNW428" s="260"/>
      <c r="CNX428" s="260"/>
      <c r="CNY428" s="380"/>
      <c r="CNZ428" s="380"/>
      <c r="COA428" s="380"/>
      <c r="COB428" s="2"/>
      <c r="COC428" s="405"/>
      <c r="COD428" s="54"/>
      <c r="COE428" s="239"/>
      <c r="COF428" s="54"/>
      <c r="COG428" s="232"/>
      <c r="COH428" s="2"/>
      <c r="COI428" s="2"/>
      <c r="COJ428" s="2"/>
      <c r="COK428" s="2"/>
      <c r="COL428" s="260"/>
      <c r="COM428" s="260"/>
      <c r="CON428" s="260"/>
      <c r="COO428" s="260"/>
      <c r="COP428" s="260"/>
      <c r="COQ428" s="260"/>
      <c r="COR428" s="260"/>
      <c r="COS428" s="260"/>
      <c r="COT428" s="260"/>
      <c r="COU428" s="260"/>
      <c r="COV428" s="260"/>
      <c r="COW428" s="260"/>
      <c r="COX428" s="260"/>
      <c r="COY428" s="2"/>
      <c r="COZ428" s="2"/>
      <c r="CPA428" s="2"/>
      <c r="CPB428" s="2"/>
      <c r="CPC428" s="2"/>
      <c r="CPD428" s="2"/>
      <c r="CPE428" s="2"/>
      <c r="CPF428" s="2"/>
      <c r="CPG428" s="2"/>
      <c r="CPH428" s="2"/>
      <c r="CPI428" s="2"/>
      <c r="CPJ428" s="2"/>
      <c r="CPK428" s="2"/>
      <c r="CPL428" s="2"/>
      <c r="CPM428" s="2"/>
      <c r="CPN428" s="260"/>
      <c r="CPO428" s="260"/>
      <c r="CPP428" s="260"/>
      <c r="CPQ428" s="380"/>
      <c r="CPR428" s="380"/>
      <c r="CPS428" s="380"/>
      <c r="CPT428" s="2"/>
      <c r="CPU428" s="405"/>
      <c r="CPV428" s="54"/>
      <c r="CPW428" s="239"/>
      <c r="CPX428" s="54"/>
      <c r="CPY428" s="232"/>
      <c r="CPZ428" s="2"/>
      <c r="CQA428" s="2"/>
      <c r="CQB428" s="2"/>
      <c r="CQC428" s="2"/>
      <c r="CQD428" s="260"/>
      <c r="CQE428" s="260"/>
      <c r="CQF428" s="260"/>
      <c r="CQG428" s="260"/>
      <c r="CQH428" s="260"/>
      <c r="CQI428" s="260"/>
      <c r="CQJ428" s="260"/>
      <c r="CQK428" s="260"/>
      <c r="CQL428" s="260"/>
      <c r="CQM428" s="260"/>
      <c r="CQN428" s="260"/>
      <c r="CQO428" s="260"/>
      <c r="CQP428" s="260"/>
      <c r="CQQ428" s="2"/>
      <c r="CQR428" s="2"/>
      <c r="CQS428" s="2"/>
      <c r="CQT428" s="2"/>
      <c r="CQU428" s="2"/>
      <c r="CQV428" s="2"/>
      <c r="CQW428" s="2"/>
      <c r="CQX428" s="2"/>
      <c r="CQY428" s="2"/>
      <c r="CQZ428" s="2"/>
      <c r="CRA428" s="2"/>
      <c r="CRB428" s="2"/>
      <c r="CRC428" s="2"/>
      <c r="CRD428" s="2"/>
      <c r="CRE428" s="2"/>
      <c r="CRF428" s="260"/>
      <c r="CRG428" s="260"/>
      <c r="CRH428" s="260"/>
      <c r="CRI428" s="380"/>
      <c r="CRJ428" s="380"/>
      <c r="CRK428" s="380"/>
      <c r="CRL428" s="2"/>
      <c r="CRM428" s="405"/>
      <c r="CRN428" s="54"/>
      <c r="CRO428" s="239"/>
      <c r="CRP428" s="54"/>
      <c r="CRQ428" s="232"/>
      <c r="CRR428" s="2"/>
      <c r="CRS428" s="2"/>
      <c r="CRT428" s="2"/>
      <c r="CRU428" s="2"/>
      <c r="CRV428" s="260"/>
      <c r="CRW428" s="260"/>
      <c r="CRX428" s="260"/>
      <c r="CRY428" s="260"/>
      <c r="CRZ428" s="260"/>
      <c r="CSA428" s="260"/>
      <c r="CSB428" s="260"/>
      <c r="CSC428" s="260"/>
      <c r="CSD428" s="260"/>
      <c r="CSE428" s="260"/>
      <c r="CSF428" s="260"/>
      <c r="CSG428" s="260"/>
      <c r="CSH428" s="260"/>
      <c r="CSI428" s="2"/>
      <c r="CSJ428" s="2"/>
      <c r="CSK428" s="2"/>
      <c r="CSL428" s="2"/>
      <c r="CSM428" s="2"/>
      <c r="CSN428" s="2"/>
      <c r="CSO428" s="2"/>
      <c r="CSP428" s="2"/>
      <c r="CSQ428" s="2"/>
      <c r="CSR428" s="2"/>
      <c r="CSS428" s="2"/>
      <c r="CST428" s="2"/>
      <c r="CSU428" s="2"/>
      <c r="CSV428" s="2"/>
      <c r="CSW428" s="2"/>
      <c r="CSX428" s="260"/>
      <c r="CSY428" s="260"/>
      <c r="CSZ428" s="260"/>
      <c r="CTA428" s="380"/>
      <c r="CTB428" s="380"/>
      <c r="CTC428" s="380"/>
      <c r="CTD428" s="2"/>
      <c r="CTE428" s="405"/>
      <c r="CTF428" s="54"/>
      <c r="CTG428" s="239"/>
      <c r="CTH428" s="54"/>
      <c r="CTI428" s="232"/>
      <c r="CTJ428" s="2"/>
      <c r="CTK428" s="2"/>
      <c r="CTL428" s="2"/>
      <c r="CTM428" s="2"/>
      <c r="CTN428" s="260"/>
      <c r="CTO428" s="260"/>
      <c r="CTP428" s="260"/>
      <c r="CTQ428" s="260"/>
      <c r="CTR428" s="260"/>
      <c r="CTS428" s="260"/>
      <c r="CTT428" s="260"/>
      <c r="CTU428" s="260"/>
      <c r="CTV428" s="260"/>
      <c r="CTW428" s="260"/>
      <c r="CTX428" s="260"/>
      <c r="CTY428" s="260"/>
      <c r="CTZ428" s="260"/>
      <c r="CUA428" s="2"/>
      <c r="CUB428" s="2"/>
      <c r="CUC428" s="2"/>
      <c r="CUD428" s="2"/>
      <c r="CUE428" s="2"/>
      <c r="CUF428" s="2"/>
      <c r="CUG428" s="2"/>
      <c r="CUH428" s="2"/>
      <c r="CUI428" s="2"/>
      <c r="CUJ428" s="2"/>
      <c r="CUK428" s="2"/>
      <c r="CUL428" s="2"/>
      <c r="CUM428" s="2"/>
      <c r="CUN428" s="2"/>
      <c r="CUO428" s="2"/>
      <c r="CUP428" s="260"/>
      <c r="CUQ428" s="260"/>
      <c r="CUR428" s="260"/>
      <c r="CUS428" s="380"/>
      <c r="CUT428" s="380"/>
      <c r="CUU428" s="380"/>
      <c r="CUV428" s="2"/>
      <c r="CUW428" s="405"/>
      <c r="CUX428" s="54"/>
      <c r="CUY428" s="239"/>
      <c r="CUZ428" s="54"/>
      <c r="CVA428" s="232"/>
      <c r="CVB428" s="2"/>
      <c r="CVC428" s="2"/>
      <c r="CVD428" s="2"/>
      <c r="CVE428" s="2"/>
      <c r="CVF428" s="260"/>
      <c r="CVG428" s="260"/>
      <c r="CVH428" s="260"/>
      <c r="CVI428" s="260"/>
      <c r="CVJ428" s="260"/>
      <c r="CVK428" s="260"/>
      <c r="CVL428" s="260"/>
      <c r="CVM428" s="260"/>
      <c r="CVN428" s="260"/>
      <c r="CVO428" s="260"/>
      <c r="CVP428" s="260"/>
      <c r="CVQ428" s="260"/>
      <c r="CVR428" s="260"/>
      <c r="CVS428" s="2"/>
      <c r="CVT428" s="2"/>
      <c r="CVU428" s="2"/>
      <c r="CVV428" s="2"/>
      <c r="CVW428" s="2"/>
      <c r="CVX428" s="2"/>
      <c r="CVY428" s="2"/>
      <c r="CVZ428" s="2"/>
      <c r="CWA428" s="2"/>
      <c r="CWB428" s="2"/>
      <c r="CWC428" s="2"/>
      <c r="CWD428" s="2"/>
      <c r="CWE428" s="2"/>
      <c r="CWF428" s="2"/>
      <c r="CWG428" s="2"/>
      <c r="CWH428" s="260"/>
      <c r="CWI428" s="260"/>
      <c r="CWJ428" s="260"/>
      <c r="CWK428" s="380"/>
      <c r="CWL428" s="380"/>
      <c r="CWM428" s="380"/>
      <c r="CWN428" s="2"/>
      <c r="CWO428" s="405"/>
      <c r="CWP428" s="54"/>
      <c r="CWQ428" s="239"/>
      <c r="CWR428" s="54"/>
      <c r="CWS428" s="232"/>
      <c r="CWT428" s="2"/>
      <c r="CWU428" s="2"/>
      <c r="CWV428" s="2"/>
      <c r="CWW428" s="2"/>
      <c r="CWX428" s="260"/>
      <c r="CWY428" s="260"/>
      <c r="CWZ428" s="260"/>
      <c r="CXA428" s="260"/>
      <c r="CXB428" s="260"/>
      <c r="CXC428" s="260"/>
      <c r="CXD428" s="260"/>
      <c r="CXE428" s="260"/>
      <c r="CXF428" s="260"/>
      <c r="CXG428" s="260"/>
      <c r="CXH428" s="260"/>
      <c r="CXI428" s="260"/>
      <c r="CXJ428" s="260"/>
      <c r="CXK428" s="2"/>
      <c r="CXL428" s="2"/>
      <c r="CXM428" s="2"/>
      <c r="CXN428" s="2"/>
      <c r="CXO428" s="2"/>
      <c r="CXP428" s="2"/>
      <c r="CXQ428" s="2"/>
      <c r="CXR428" s="2"/>
      <c r="CXS428" s="2"/>
      <c r="CXT428" s="2"/>
      <c r="CXU428" s="2"/>
      <c r="CXV428" s="2"/>
      <c r="CXW428" s="2"/>
      <c r="CXX428" s="2"/>
      <c r="CXY428" s="2"/>
      <c r="CXZ428" s="260"/>
      <c r="CYA428" s="260"/>
      <c r="CYB428" s="260"/>
      <c r="CYC428" s="380"/>
      <c r="CYD428" s="380"/>
      <c r="CYE428" s="380"/>
      <c r="CYF428" s="2"/>
      <c r="CYG428" s="405"/>
      <c r="CYH428" s="54"/>
      <c r="CYI428" s="239"/>
      <c r="CYJ428" s="54"/>
      <c r="CYK428" s="232"/>
      <c r="CYL428" s="2"/>
      <c r="CYM428" s="2"/>
      <c r="CYN428" s="2"/>
      <c r="CYO428" s="2"/>
      <c r="CYP428" s="260"/>
      <c r="CYQ428" s="260"/>
      <c r="CYR428" s="260"/>
      <c r="CYS428" s="260"/>
      <c r="CYT428" s="260"/>
      <c r="CYU428" s="260"/>
      <c r="CYV428" s="260"/>
      <c r="CYW428" s="260"/>
      <c r="CYX428" s="260"/>
      <c r="CYY428" s="260"/>
      <c r="CYZ428" s="260"/>
      <c r="CZA428" s="260"/>
      <c r="CZB428" s="260"/>
      <c r="CZC428" s="2"/>
      <c r="CZD428" s="2"/>
      <c r="CZE428" s="2"/>
      <c r="CZF428" s="2"/>
      <c r="CZG428" s="2"/>
      <c r="CZH428" s="2"/>
      <c r="CZI428" s="2"/>
      <c r="CZJ428" s="2"/>
      <c r="CZK428" s="2"/>
      <c r="CZL428" s="2"/>
      <c r="CZM428" s="2"/>
      <c r="CZN428" s="2"/>
      <c r="CZO428" s="2"/>
      <c r="CZP428" s="2"/>
      <c r="CZQ428" s="2"/>
      <c r="CZR428" s="260"/>
      <c r="CZS428" s="260"/>
      <c r="CZT428" s="260"/>
      <c r="CZU428" s="380"/>
      <c r="CZV428" s="380"/>
      <c r="CZW428" s="380"/>
      <c r="CZX428" s="2"/>
      <c r="CZY428" s="405"/>
      <c r="CZZ428" s="54"/>
      <c r="DAA428" s="239"/>
      <c r="DAB428" s="54"/>
      <c r="DAC428" s="232"/>
      <c r="DAD428" s="2"/>
      <c r="DAE428" s="2"/>
      <c r="DAF428" s="2"/>
      <c r="DAG428" s="2"/>
      <c r="DAH428" s="260"/>
      <c r="DAI428" s="260"/>
      <c r="DAJ428" s="260"/>
      <c r="DAK428" s="260"/>
      <c r="DAL428" s="260"/>
      <c r="DAM428" s="260"/>
      <c r="DAN428" s="260"/>
      <c r="DAO428" s="260"/>
      <c r="DAP428" s="260"/>
      <c r="DAQ428" s="260"/>
      <c r="DAR428" s="260"/>
      <c r="DAS428" s="260"/>
      <c r="DAT428" s="260"/>
      <c r="DAU428" s="2"/>
      <c r="DAV428" s="2"/>
      <c r="DAW428" s="2"/>
      <c r="DAX428" s="2"/>
      <c r="DAY428" s="2"/>
      <c r="DAZ428" s="2"/>
      <c r="DBA428" s="2"/>
      <c r="DBB428" s="2"/>
      <c r="DBC428" s="2"/>
      <c r="DBD428" s="2"/>
      <c r="DBE428" s="2"/>
      <c r="DBF428" s="2"/>
      <c r="DBG428" s="2"/>
      <c r="DBH428" s="2"/>
      <c r="DBI428" s="2"/>
      <c r="DBJ428" s="260"/>
      <c r="DBK428" s="260"/>
      <c r="DBL428" s="260"/>
      <c r="DBM428" s="380"/>
      <c r="DBN428" s="380"/>
      <c r="DBO428" s="380"/>
      <c r="DBP428" s="2"/>
      <c r="DBQ428" s="405"/>
      <c r="DBR428" s="54"/>
      <c r="DBS428" s="239"/>
      <c r="DBT428" s="54"/>
      <c r="DBU428" s="232"/>
      <c r="DBV428" s="2"/>
      <c r="DBW428" s="2"/>
      <c r="DBX428" s="2"/>
      <c r="DBY428" s="2"/>
      <c r="DBZ428" s="260"/>
      <c r="DCA428" s="260"/>
      <c r="DCB428" s="260"/>
      <c r="DCC428" s="260"/>
      <c r="DCD428" s="260"/>
      <c r="DCE428" s="260"/>
      <c r="DCF428" s="260"/>
      <c r="DCG428" s="260"/>
      <c r="DCH428" s="260"/>
      <c r="DCI428" s="260"/>
      <c r="DCJ428" s="260"/>
      <c r="DCK428" s="260"/>
      <c r="DCL428" s="260"/>
      <c r="DCM428" s="2"/>
      <c r="DCN428" s="2"/>
      <c r="DCO428" s="2"/>
      <c r="DCP428" s="2"/>
      <c r="DCQ428" s="2"/>
      <c r="DCR428" s="2"/>
      <c r="DCS428" s="2"/>
      <c r="DCT428" s="2"/>
      <c r="DCU428" s="2"/>
      <c r="DCV428" s="2"/>
      <c r="DCW428" s="2"/>
      <c r="DCX428" s="2"/>
      <c r="DCY428" s="2"/>
      <c r="DCZ428" s="2"/>
      <c r="DDA428" s="2"/>
      <c r="DDB428" s="260"/>
      <c r="DDC428" s="260"/>
      <c r="DDD428" s="260"/>
      <c r="DDE428" s="380"/>
      <c r="DDF428" s="380"/>
      <c r="DDG428" s="380"/>
      <c r="DDH428" s="2"/>
      <c r="DDI428" s="405"/>
      <c r="DDJ428" s="54"/>
      <c r="DDK428" s="239"/>
      <c r="DDL428" s="54"/>
      <c r="DDM428" s="232"/>
      <c r="DDN428" s="2"/>
      <c r="DDO428" s="2"/>
      <c r="DDP428" s="2"/>
      <c r="DDQ428" s="2"/>
      <c r="DDR428" s="260"/>
      <c r="DDS428" s="260"/>
      <c r="DDT428" s="260"/>
      <c r="DDU428" s="260"/>
      <c r="DDV428" s="260"/>
      <c r="DDW428" s="260"/>
      <c r="DDX428" s="260"/>
      <c r="DDY428" s="260"/>
      <c r="DDZ428" s="260"/>
      <c r="DEA428" s="260"/>
      <c r="DEB428" s="260"/>
      <c r="DEC428" s="260"/>
      <c r="DED428" s="260"/>
      <c r="DEE428" s="2"/>
      <c r="DEF428" s="2"/>
      <c r="DEG428" s="2"/>
      <c r="DEH428" s="2"/>
      <c r="DEI428" s="2"/>
      <c r="DEJ428" s="2"/>
      <c r="DEK428" s="2"/>
      <c r="DEL428" s="2"/>
      <c r="DEM428" s="2"/>
      <c r="DEN428" s="2"/>
      <c r="DEO428" s="2"/>
      <c r="DEP428" s="2"/>
      <c r="DEQ428" s="2"/>
      <c r="DER428" s="2"/>
      <c r="DES428" s="2"/>
      <c r="DET428" s="260"/>
      <c r="DEU428" s="260"/>
      <c r="DEV428" s="260"/>
      <c r="DEW428" s="380"/>
      <c r="DEX428" s="380"/>
      <c r="DEY428" s="380"/>
      <c r="DEZ428" s="2"/>
      <c r="DFA428" s="405"/>
      <c r="DFB428" s="54"/>
      <c r="DFC428" s="239"/>
      <c r="DFD428" s="54"/>
      <c r="DFE428" s="232"/>
      <c r="DFF428" s="2"/>
      <c r="DFG428" s="2"/>
      <c r="DFH428" s="2"/>
      <c r="DFI428" s="2"/>
      <c r="DFJ428" s="260"/>
      <c r="DFK428" s="260"/>
      <c r="DFL428" s="260"/>
      <c r="DFM428" s="260"/>
      <c r="DFN428" s="260"/>
      <c r="DFO428" s="260"/>
      <c r="DFP428" s="260"/>
      <c r="DFQ428" s="260"/>
      <c r="DFR428" s="260"/>
      <c r="DFS428" s="260"/>
      <c r="DFT428" s="260"/>
      <c r="DFU428" s="260"/>
      <c r="DFV428" s="260"/>
      <c r="DFW428" s="2"/>
      <c r="DFX428" s="2"/>
      <c r="DFY428" s="2"/>
      <c r="DFZ428" s="2"/>
      <c r="DGA428" s="2"/>
      <c r="DGB428" s="2"/>
      <c r="DGC428" s="2"/>
      <c r="DGD428" s="2"/>
      <c r="DGE428" s="2"/>
      <c r="DGF428" s="2"/>
      <c r="DGG428" s="2"/>
      <c r="DGH428" s="2"/>
      <c r="DGI428" s="2"/>
      <c r="DGJ428" s="2"/>
      <c r="DGK428" s="2"/>
      <c r="DGL428" s="260"/>
      <c r="DGM428" s="260"/>
      <c r="DGN428" s="260"/>
      <c r="DGO428" s="380"/>
      <c r="DGP428" s="380"/>
      <c r="DGQ428" s="380"/>
      <c r="DGR428" s="2"/>
      <c r="DGS428" s="405"/>
      <c r="DGT428" s="54"/>
      <c r="DGU428" s="239"/>
      <c r="DGV428" s="54"/>
      <c r="DGW428" s="232"/>
      <c r="DGX428" s="2"/>
      <c r="DGY428" s="2"/>
      <c r="DGZ428" s="2"/>
      <c r="DHA428" s="2"/>
      <c r="DHB428" s="260"/>
      <c r="DHC428" s="260"/>
      <c r="DHD428" s="260"/>
      <c r="DHE428" s="260"/>
      <c r="DHF428" s="260"/>
      <c r="DHG428" s="260"/>
      <c r="DHH428" s="260"/>
      <c r="DHI428" s="260"/>
      <c r="DHJ428" s="260"/>
      <c r="DHK428" s="260"/>
      <c r="DHL428" s="260"/>
      <c r="DHM428" s="260"/>
      <c r="DHN428" s="260"/>
      <c r="DHO428" s="2"/>
      <c r="DHP428" s="2"/>
      <c r="DHQ428" s="2"/>
      <c r="DHR428" s="2"/>
      <c r="DHS428" s="2"/>
      <c r="DHT428" s="2"/>
      <c r="DHU428" s="2"/>
      <c r="DHV428" s="2"/>
      <c r="DHW428" s="2"/>
      <c r="DHX428" s="2"/>
      <c r="DHY428" s="2"/>
      <c r="DHZ428" s="2"/>
      <c r="DIA428" s="2"/>
      <c r="DIB428" s="2"/>
      <c r="DIC428" s="2"/>
      <c r="DID428" s="260"/>
      <c r="DIE428" s="260"/>
      <c r="DIF428" s="260"/>
      <c r="DIG428" s="380"/>
      <c r="DIH428" s="380"/>
      <c r="DII428" s="380"/>
      <c r="DIJ428" s="2"/>
      <c r="DIK428" s="405"/>
      <c r="DIL428" s="54"/>
      <c r="DIM428" s="239"/>
      <c r="DIN428" s="54"/>
      <c r="DIO428" s="232"/>
      <c r="DIP428" s="2"/>
      <c r="DIQ428" s="2"/>
      <c r="DIR428" s="2"/>
      <c r="DIS428" s="2"/>
      <c r="DIT428" s="260"/>
      <c r="DIU428" s="260"/>
      <c r="DIV428" s="260"/>
      <c r="DIW428" s="260"/>
      <c r="DIX428" s="260"/>
      <c r="DIY428" s="260"/>
      <c r="DIZ428" s="260"/>
      <c r="DJA428" s="260"/>
      <c r="DJB428" s="260"/>
      <c r="DJC428" s="260"/>
      <c r="DJD428" s="260"/>
      <c r="DJE428" s="260"/>
      <c r="DJF428" s="260"/>
      <c r="DJG428" s="2"/>
      <c r="DJH428" s="2"/>
      <c r="DJI428" s="2"/>
      <c r="DJJ428" s="2"/>
      <c r="DJK428" s="2"/>
      <c r="DJL428" s="2"/>
      <c r="DJM428" s="2"/>
      <c r="DJN428" s="2"/>
      <c r="DJO428" s="2"/>
      <c r="DJP428" s="2"/>
      <c r="DJQ428" s="2"/>
      <c r="DJR428" s="2"/>
      <c r="DJS428" s="2"/>
      <c r="DJT428" s="2"/>
      <c r="DJU428" s="2"/>
      <c r="DJV428" s="260"/>
      <c r="DJW428" s="260"/>
      <c r="DJX428" s="260"/>
      <c r="DJY428" s="380"/>
      <c r="DJZ428" s="380"/>
      <c r="DKA428" s="380"/>
      <c r="DKB428" s="2"/>
      <c r="DKC428" s="405"/>
      <c r="DKD428" s="54"/>
      <c r="DKE428" s="239"/>
      <c r="DKF428" s="54"/>
      <c r="DKG428" s="232"/>
      <c r="DKH428" s="2"/>
      <c r="DKI428" s="2"/>
      <c r="DKJ428" s="2"/>
      <c r="DKK428" s="2"/>
      <c r="DKL428" s="260"/>
      <c r="DKM428" s="260"/>
      <c r="DKN428" s="260"/>
      <c r="DKO428" s="260"/>
      <c r="DKP428" s="260"/>
      <c r="DKQ428" s="260"/>
      <c r="DKR428" s="260"/>
      <c r="DKS428" s="260"/>
      <c r="DKT428" s="260"/>
      <c r="DKU428" s="260"/>
      <c r="DKV428" s="260"/>
      <c r="DKW428" s="260"/>
      <c r="DKX428" s="260"/>
      <c r="DKY428" s="2"/>
      <c r="DKZ428" s="2"/>
      <c r="DLA428" s="2"/>
      <c r="DLB428" s="2"/>
      <c r="DLC428" s="2"/>
      <c r="DLD428" s="2"/>
      <c r="DLE428" s="2"/>
      <c r="DLF428" s="2"/>
      <c r="DLG428" s="2"/>
      <c r="DLH428" s="2"/>
      <c r="DLI428" s="2"/>
      <c r="DLJ428" s="2"/>
      <c r="DLK428" s="2"/>
      <c r="DLL428" s="2"/>
      <c r="DLM428" s="2"/>
      <c r="DLN428" s="260"/>
      <c r="DLO428" s="260"/>
      <c r="DLP428" s="260"/>
      <c r="DLQ428" s="380"/>
      <c r="DLR428" s="380"/>
      <c r="DLS428" s="380"/>
      <c r="DLT428" s="2"/>
      <c r="DLU428" s="405"/>
      <c r="DLV428" s="54"/>
      <c r="DLW428" s="239"/>
      <c r="DLX428" s="54"/>
      <c r="DLY428" s="232"/>
      <c r="DLZ428" s="2"/>
      <c r="DMA428" s="2"/>
      <c r="DMB428" s="2"/>
      <c r="DMC428" s="2"/>
      <c r="DMD428" s="260"/>
      <c r="DME428" s="260"/>
      <c r="DMF428" s="260"/>
      <c r="DMG428" s="260"/>
      <c r="DMH428" s="260"/>
      <c r="DMI428" s="260"/>
      <c r="DMJ428" s="260"/>
      <c r="DMK428" s="260"/>
      <c r="DML428" s="260"/>
      <c r="DMM428" s="260"/>
      <c r="DMN428" s="260"/>
      <c r="DMO428" s="260"/>
      <c r="DMP428" s="260"/>
      <c r="DMQ428" s="2"/>
      <c r="DMR428" s="2"/>
      <c r="DMS428" s="2"/>
      <c r="DMT428" s="2"/>
      <c r="DMU428" s="2"/>
      <c r="DMV428" s="2"/>
      <c r="DMW428" s="2"/>
      <c r="DMX428" s="2"/>
      <c r="DMY428" s="2"/>
      <c r="DMZ428" s="2"/>
      <c r="DNA428" s="2"/>
      <c r="DNB428" s="2"/>
      <c r="DNC428" s="2"/>
      <c r="DND428" s="2"/>
      <c r="DNE428" s="2"/>
      <c r="DNF428" s="260"/>
      <c r="DNG428" s="260"/>
      <c r="DNH428" s="260"/>
      <c r="DNI428" s="380"/>
      <c r="DNJ428" s="380"/>
      <c r="DNK428" s="380"/>
      <c r="DNL428" s="2"/>
      <c r="DNM428" s="405"/>
      <c r="DNN428" s="54"/>
      <c r="DNO428" s="239"/>
      <c r="DNP428" s="54"/>
      <c r="DNQ428" s="232"/>
      <c r="DNR428" s="2"/>
      <c r="DNS428" s="2"/>
      <c r="DNT428" s="2"/>
      <c r="DNU428" s="2"/>
      <c r="DNV428" s="260"/>
      <c r="DNW428" s="260"/>
      <c r="DNX428" s="260"/>
      <c r="DNY428" s="260"/>
      <c r="DNZ428" s="260"/>
      <c r="DOA428" s="260"/>
      <c r="DOB428" s="260"/>
      <c r="DOC428" s="260"/>
      <c r="DOD428" s="260"/>
      <c r="DOE428" s="260"/>
      <c r="DOF428" s="260"/>
      <c r="DOG428" s="260"/>
      <c r="DOH428" s="260"/>
      <c r="DOI428" s="2"/>
      <c r="DOJ428" s="2"/>
      <c r="DOK428" s="2"/>
      <c r="DOL428" s="2"/>
      <c r="DOM428" s="2"/>
      <c r="DON428" s="2"/>
      <c r="DOO428" s="2"/>
      <c r="DOP428" s="2"/>
      <c r="DOQ428" s="2"/>
      <c r="DOR428" s="2"/>
      <c r="DOS428" s="2"/>
      <c r="DOT428" s="2"/>
      <c r="DOU428" s="2"/>
      <c r="DOV428" s="2"/>
      <c r="DOW428" s="2"/>
      <c r="DOX428" s="260"/>
      <c r="DOY428" s="260"/>
      <c r="DOZ428" s="260"/>
      <c r="DPA428" s="380"/>
      <c r="DPB428" s="380"/>
      <c r="DPC428" s="380"/>
      <c r="DPD428" s="2"/>
      <c r="DPE428" s="405"/>
      <c r="DPF428" s="54"/>
      <c r="DPG428" s="239"/>
      <c r="DPH428" s="54"/>
      <c r="DPI428" s="232"/>
      <c r="DPJ428" s="2"/>
      <c r="DPK428" s="2"/>
      <c r="DPL428" s="2"/>
      <c r="DPM428" s="2"/>
      <c r="DPN428" s="260"/>
      <c r="DPO428" s="260"/>
      <c r="DPP428" s="260"/>
      <c r="DPQ428" s="260"/>
      <c r="DPR428" s="260"/>
      <c r="DPS428" s="260"/>
      <c r="DPT428" s="260"/>
      <c r="DPU428" s="260"/>
      <c r="DPV428" s="260"/>
      <c r="DPW428" s="260"/>
      <c r="DPX428" s="260"/>
      <c r="DPY428" s="260"/>
      <c r="DPZ428" s="260"/>
      <c r="DQA428" s="2"/>
      <c r="DQB428" s="2"/>
      <c r="DQC428" s="2"/>
      <c r="DQD428" s="2"/>
      <c r="DQE428" s="2"/>
      <c r="DQF428" s="2"/>
      <c r="DQG428" s="2"/>
      <c r="DQH428" s="2"/>
      <c r="DQI428" s="2"/>
      <c r="DQJ428" s="2"/>
      <c r="DQK428" s="2"/>
      <c r="DQL428" s="2"/>
      <c r="DQM428" s="2"/>
      <c r="DQN428" s="2"/>
      <c r="DQO428" s="2"/>
      <c r="DQP428" s="260"/>
      <c r="DQQ428" s="260"/>
      <c r="DQR428" s="260"/>
      <c r="DQS428" s="380"/>
      <c r="DQT428" s="380"/>
      <c r="DQU428" s="380"/>
      <c r="DQV428" s="2"/>
      <c r="DQW428" s="405"/>
      <c r="DQX428" s="54"/>
      <c r="DQY428" s="239"/>
      <c r="DQZ428" s="54"/>
      <c r="DRA428" s="232"/>
      <c r="DRB428" s="2"/>
      <c r="DRC428" s="2"/>
      <c r="DRD428" s="2"/>
      <c r="DRE428" s="2"/>
      <c r="DRF428" s="260"/>
      <c r="DRG428" s="260"/>
      <c r="DRH428" s="260"/>
      <c r="DRI428" s="260"/>
      <c r="DRJ428" s="260"/>
      <c r="DRK428" s="260"/>
      <c r="DRL428" s="260"/>
      <c r="DRM428" s="260"/>
      <c r="DRN428" s="260"/>
      <c r="DRO428" s="260"/>
      <c r="DRP428" s="260"/>
      <c r="DRQ428" s="260"/>
      <c r="DRR428" s="260"/>
      <c r="DRS428" s="2"/>
      <c r="DRT428" s="2"/>
      <c r="DRU428" s="2"/>
      <c r="DRV428" s="2"/>
      <c r="DRW428" s="2"/>
      <c r="DRX428" s="2"/>
      <c r="DRY428" s="2"/>
      <c r="DRZ428" s="2"/>
      <c r="DSA428" s="2"/>
      <c r="DSB428" s="2"/>
      <c r="DSC428" s="2"/>
      <c r="DSD428" s="2"/>
      <c r="DSE428" s="2"/>
      <c r="DSF428" s="2"/>
      <c r="DSG428" s="2"/>
      <c r="DSH428" s="260"/>
      <c r="DSI428" s="260"/>
      <c r="DSJ428" s="260"/>
      <c r="DSK428" s="380"/>
      <c r="DSL428" s="380"/>
      <c r="DSM428" s="380"/>
      <c r="DSN428" s="2"/>
      <c r="DSO428" s="405"/>
      <c r="DSP428" s="54"/>
      <c r="DSQ428" s="239"/>
      <c r="DSR428" s="54"/>
      <c r="DSS428" s="232"/>
      <c r="DST428" s="2"/>
      <c r="DSU428" s="2"/>
      <c r="DSV428" s="2"/>
      <c r="DSW428" s="2"/>
      <c r="DSX428" s="260"/>
      <c r="DSY428" s="260"/>
      <c r="DSZ428" s="260"/>
      <c r="DTA428" s="260"/>
      <c r="DTB428" s="260"/>
      <c r="DTC428" s="260"/>
      <c r="DTD428" s="260"/>
      <c r="DTE428" s="260"/>
      <c r="DTF428" s="260"/>
      <c r="DTG428" s="260"/>
      <c r="DTH428" s="260"/>
      <c r="DTI428" s="260"/>
      <c r="DTJ428" s="260"/>
      <c r="DTK428" s="2"/>
      <c r="DTL428" s="2"/>
      <c r="DTM428" s="2"/>
      <c r="DTN428" s="2"/>
      <c r="DTO428" s="2"/>
      <c r="DTP428" s="2"/>
      <c r="DTQ428" s="2"/>
      <c r="DTR428" s="2"/>
      <c r="DTS428" s="2"/>
      <c r="DTT428" s="2"/>
      <c r="DTU428" s="2"/>
      <c r="DTV428" s="2"/>
      <c r="DTW428" s="2"/>
      <c r="DTX428" s="2"/>
      <c r="DTY428" s="2"/>
      <c r="DTZ428" s="260"/>
      <c r="DUA428" s="260"/>
      <c r="DUB428" s="260"/>
      <c r="DUC428" s="380"/>
      <c r="DUD428" s="380"/>
      <c r="DUE428" s="380"/>
      <c r="DUF428" s="2"/>
      <c r="DUG428" s="405"/>
      <c r="DUH428" s="54"/>
      <c r="DUI428" s="239"/>
      <c r="DUJ428" s="54"/>
      <c r="DUK428" s="232"/>
      <c r="DUL428" s="2"/>
      <c r="DUM428" s="2"/>
      <c r="DUN428" s="2"/>
      <c r="DUO428" s="2"/>
      <c r="DUP428" s="260"/>
      <c r="DUQ428" s="260"/>
      <c r="DUR428" s="260"/>
      <c r="DUS428" s="260"/>
      <c r="DUT428" s="260"/>
      <c r="DUU428" s="260"/>
      <c r="DUV428" s="260"/>
      <c r="DUW428" s="260"/>
      <c r="DUX428" s="260"/>
      <c r="DUY428" s="260"/>
      <c r="DUZ428" s="260"/>
      <c r="DVA428" s="260"/>
      <c r="DVB428" s="260"/>
      <c r="DVC428" s="2"/>
      <c r="DVD428" s="2"/>
      <c r="DVE428" s="2"/>
      <c r="DVF428" s="2"/>
      <c r="DVG428" s="2"/>
      <c r="DVH428" s="2"/>
      <c r="DVI428" s="2"/>
      <c r="DVJ428" s="2"/>
      <c r="DVK428" s="2"/>
      <c r="DVL428" s="2"/>
      <c r="DVM428" s="2"/>
      <c r="DVN428" s="2"/>
      <c r="DVO428" s="2"/>
      <c r="DVP428" s="2"/>
      <c r="DVQ428" s="2"/>
      <c r="DVR428" s="260"/>
      <c r="DVS428" s="260"/>
      <c r="DVT428" s="260"/>
      <c r="DVU428" s="380"/>
      <c r="DVV428" s="380"/>
      <c r="DVW428" s="380"/>
      <c r="DVX428" s="2"/>
      <c r="DVY428" s="405"/>
      <c r="DVZ428" s="54"/>
      <c r="DWA428" s="239"/>
      <c r="DWB428" s="54"/>
      <c r="DWC428" s="232"/>
      <c r="DWD428" s="2"/>
      <c r="DWE428" s="2"/>
      <c r="DWF428" s="2"/>
      <c r="DWG428" s="2"/>
      <c r="DWH428" s="260"/>
      <c r="DWI428" s="260"/>
      <c r="DWJ428" s="260"/>
      <c r="DWK428" s="260"/>
      <c r="DWL428" s="260"/>
      <c r="DWM428" s="260"/>
      <c r="DWN428" s="260"/>
      <c r="DWO428" s="260"/>
      <c r="DWP428" s="260"/>
      <c r="DWQ428" s="260"/>
      <c r="DWR428" s="260"/>
      <c r="DWS428" s="260"/>
      <c r="DWT428" s="260"/>
      <c r="DWU428" s="2"/>
      <c r="DWV428" s="2"/>
      <c r="DWW428" s="2"/>
      <c r="DWX428" s="2"/>
      <c r="DWY428" s="2"/>
      <c r="DWZ428" s="2"/>
      <c r="DXA428" s="2"/>
      <c r="DXB428" s="2"/>
      <c r="DXC428" s="2"/>
      <c r="DXD428" s="2"/>
      <c r="DXE428" s="2"/>
      <c r="DXF428" s="2"/>
      <c r="DXG428" s="2"/>
      <c r="DXH428" s="2"/>
      <c r="DXI428" s="2"/>
      <c r="DXJ428" s="260"/>
      <c r="DXK428" s="260"/>
      <c r="DXL428" s="260"/>
      <c r="DXM428" s="380"/>
      <c r="DXN428" s="380"/>
      <c r="DXO428" s="380"/>
      <c r="DXP428" s="2"/>
      <c r="DXQ428" s="405"/>
      <c r="DXR428" s="54"/>
      <c r="DXS428" s="239"/>
      <c r="DXT428" s="54"/>
      <c r="DXU428" s="232"/>
      <c r="DXV428" s="2"/>
      <c r="DXW428" s="2"/>
      <c r="DXX428" s="2"/>
      <c r="DXY428" s="2"/>
      <c r="DXZ428" s="260"/>
      <c r="DYA428" s="260"/>
      <c r="DYB428" s="260"/>
      <c r="DYC428" s="260"/>
      <c r="DYD428" s="260"/>
      <c r="DYE428" s="260"/>
      <c r="DYF428" s="260"/>
      <c r="DYG428" s="260"/>
      <c r="DYH428" s="260"/>
      <c r="DYI428" s="260"/>
      <c r="DYJ428" s="260"/>
      <c r="DYK428" s="260"/>
      <c r="DYL428" s="260"/>
      <c r="DYM428" s="2"/>
      <c r="DYN428" s="2"/>
      <c r="DYO428" s="2"/>
      <c r="DYP428" s="2"/>
      <c r="DYQ428" s="2"/>
      <c r="DYR428" s="2"/>
      <c r="DYS428" s="2"/>
      <c r="DYT428" s="2"/>
      <c r="DYU428" s="2"/>
      <c r="DYV428" s="2"/>
      <c r="DYW428" s="2"/>
      <c r="DYX428" s="2"/>
      <c r="DYY428" s="2"/>
      <c r="DYZ428" s="2"/>
      <c r="DZA428" s="2"/>
      <c r="DZB428" s="260"/>
      <c r="DZC428" s="260"/>
      <c r="DZD428" s="260"/>
      <c r="DZE428" s="380"/>
      <c r="DZF428" s="380"/>
      <c r="DZG428" s="380"/>
      <c r="DZH428" s="2"/>
      <c r="DZI428" s="405"/>
      <c r="DZJ428" s="54"/>
      <c r="DZK428" s="239"/>
      <c r="DZL428" s="54"/>
      <c r="DZM428" s="232"/>
      <c r="DZN428" s="2"/>
      <c r="DZO428" s="2"/>
      <c r="DZP428" s="2"/>
      <c r="DZQ428" s="2"/>
      <c r="DZR428" s="260"/>
      <c r="DZS428" s="260"/>
      <c r="DZT428" s="260"/>
      <c r="DZU428" s="260"/>
      <c r="DZV428" s="260"/>
      <c r="DZW428" s="260"/>
      <c r="DZX428" s="260"/>
      <c r="DZY428" s="260"/>
      <c r="DZZ428" s="260"/>
      <c r="EAA428" s="260"/>
      <c r="EAB428" s="260"/>
      <c r="EAC428" s="260"/>
      <c r="EAD428" s="260"/>
      <c r="EAE428" s="2"/>
      <c r="EAF428" s="2"/>
      <c r="EAG428" s="2"/>
      <c r="EAH428" s="2"/>
      <c r="EAI428" s="2"/>
      <c r="EAJ428" s="2"/>
      <c r="EAK428" s="2"/>
      <c r="EAL428" s="2"/>
      <c r="EAM428" s="2"/>
      <c r="EAN428" s="2"/>
      <c r="EAO428" s="2"/>
      <c r="EAP428" s="2"/>
      <c r="EAQ428" s="2"/>
      <c r="EAR428" s="2"/>
      <c r="EAS428" s="2"/>
      <c r="EAT428" s="260"/>
      <c r="EAU428" s="260"/>
      <c r="EAV428" s="260"/>
      <c r="EAW428" s="380"/>
      <c r="EAX428" s="380"/>
      <c r="EAY428" s="380"/>
      <c r="EAZ428" s="2"/>
      <c r="EBA428" s="405"/>
      <c r="EBB428" s="54"/>
      <c r="EBC428" s="239"/>
      <c r="EBD428" s="54"/>
      <c r="EBE428" s="232"/>
      <c r="EBF428" s="2"/>
      <c r="EBG428" s="2"/>
      <c r="EBH428" s="2"/>
      <c r="EBI428" s="2"/>
      <c r="EBJ428" s="260"/>
      <c r="EBK428" s="260"/>
      <c r="EBL428" s="260"/>
      <c r="EBM428" s="260"/>
      <c r="EBN428" s="260"/>
      <c r="EBO428" s="260"/>
      <c r="EBP428" s="260"/>
      <c r="EBQ428" s="260"/>
      <c r="EBR428" s="260"/>
      <c r="EBS428" s="260"/>
      <c r="EBT428" s="260"/>
      <c r="EBU428" s="260"/>
      <c r="EBV428" s="260"/>
      <c r="EBW428" s="2"/>
      <c r="EBX428" s="2"/>
      <c r="EBY428" s="2"/>
      <c r="EBZ428" s="2"/>
      <c r="ECA428" s="2"/>
      <c r="ECB428" s="2"/>
      <c r="ECC428" s="2"/>
      <c r="ECD428" s="2"/>
      <c r="ECE428" s="2"/>
      <c r="ECF428" s="2"/>
      <c r="ECG428" s="2"/>
      <c r="ECH428" s="2"/>
      <c r="ECI428" s="2"/>
      <c r="ECJ428" s="2"/>
      <c r="ECK428" s="2"/>
      <c r="ECL428" s="260"/>
      <c r="ECM428" s="260"/>
      <c r="ECN428" s="260"/>
      <c r="ECO428" s="380"/>
      <c r="ECP428" s="380"/>
      <c r="ECQ428" s="380"/>
      <c r="ECR428" s="2"/>
      <c r="ECS428" s="405"/>
      <c r="ECT428" s="54"/>
      <c r="ECU428" s="239"/>
      <c r="ECV428" s="54"/>
      <c r="ECW428" s="232"/>
      <c r="ECX428" s="2"/>
      <c r="ECY428" s="2"/>
      <c r="ECZ428" s="2"/>
      <c r="EDA428" s="2"/>
      <c r="EDB428" s="260"/>
      <c r="EDC428" s="260"/>
      <c r="EDD428" s="260"/>
      <c r="EDE428" s="260"/>
      <c r="EDF428" s="260"/>
      <c r="EDG428" s="260"/>
      <c r="EDH428" s="260"/>
      <c r="EDI428" s="260"/>
      <c r="EDJ428" s="260"/>
      <c r="EDK428" s="260"/>
      <c r="EDL428" s="260"/>
      <c r="EDM428" s="260"/>
      <c r="EDN428" s="260"/>
      <c r="EDO428" s="2"/>
      <c r="EDP428" s="2"/>
      <c r="EDQ428" s="2"/>
      <c r="EDR428" s="2"/>
      <c r="EDS428" s="2"/>
      <c r="EDT428" s="2"/>
      <c r="EDU428" s="2"/>
      <c r="EDV428" s="2"/>
      <c r="EDW428" s="2"/>
      <c r="EDX428" s="2"/>
      <c r="EDY428" s="2"/>
      <c r="EDZ428" s="2"/>
      <c r="EEA428" s="2"/>
      <c r="EEB428" s="2"/>
      <c r="EEC428" s="2"/>
      <c r="EED428" s="260"/>
      <c r="EEE428" s="260"/>
      <c r="EEF428" s="260"/>
      <c r="EEG428" s="380"/>
      <c r="EEH428" s="380"/>
      <c r="EEI428" s="380"/>
      <c r="EEJ428" s="2"/>
      <c r="EEK428" s="405"/>
      <c r="EEL428" s="54"/>
      <c r="EEM428" s="239"/>
      <c r="EEN428" s="54"/>
      <c r="EEO428" s="232"/>
      <c r="EEP428" s="2"/>
      <c r="EEQ428" s="2"/>
      <c r="EER428" s="2"/>
      <c r="EES428" s="2"/>
      <c r="EET428" s="260"/>
      <c r="EEU428" s="260"/>
      <c r="EEV428" s="260"/>
      <c r="EEW428" s="260"/>
      <c r="EEX428" s="260"/>
      <c r="EEY428" s="260"/>
      <c r="EEZ428" s="260"/>
      <c r="EFA428" s="260"/>
      <c r="EFB428" s="260"/>
      <c r="EFC428" s="260"/>
      <c r="EFD428" s="260"/>
      <c r="EFE428" s="260"/>
      <c r="EFF428" s="260"/>
      <c r="EFG428" s="2"/>
      <c r="EFH428" s="2"/>
      <c r="EFI428" s="2"/>
      <c r="EFJ428" s="2"/>
      <c r="EFK428" s="2"/>
      <c r="EFL428" s="2"/>
      <c r="EFM428" s="2"/>
      <c r="EFN428" s="2"/>
      <c r="EFO428" s="2"/>
      <c r="EFP428" s="2"/>
      <c r="EFQ428" s="2"/>
      <c r="EFR428" s="2"/>
      <c r="EFS428" s="2"/>
      <c r="EFT428" s="2"/>
      <c r="EFU428" s="2"/>
      <c r="EFV428" s="260"/>
      <c r="EFW428" s="260"/>
      <c r="EFX428" s="260"/>
      <c r="EFY428" s="380"/>
      <c r="EFZ428" s="380"/>
      <c r="EGA428" s="380"/>
      <c r="EGB428" s="2"/>
      <c r="EGC428" s="405"/>
      <c r="EGD428" s="54"/>
      <c r="EGE428" s="239"/>
      <c r="EGF428" s="54"/>
      <c r="EGG428" s="232"/>
      <c r="EGH428" s="2"/>
      <c r="EGI428" s="2"/>
      <c r="EGJ428" s="2"/>
      <c r="EGK428" s="2"/>
      <c r="EGL428" s="260"/>
      <c r="EGM428" s="260"/>
      <c r="EGN428" s="260"/>
      <c r="EGO428" s="260"/>
      <c r="EGP428" s="260"/>
      <c r="EGQ428" s="260"/>
      <c r="EGR428" s="260"/>
      <c r="EGS428" s="260"/>
      <c r="EGT428" s="260"/>
      <c r="EGU428" s="260"/>
      <c r="EGV428" s="260"/>
      <c r="EGW428" s="260"/>
      <c r="EGX428" s="260"/>
      <c r="EGY428" s="2"/>
      <c r="EGZ428" s="2"/>
      <c r="EHA428" s="2"/>
      <c r="EHB428" s="2"/>
      <c r="EHC428" s="2"/>
      <c r="EHD428" s="2"/>
      <c r="EHE428" s="2"/>
      <c r="EHF428" s="2"/>
      <c r="EHG428" s="2"/>
      <c r="EHH428" s="2"/>
      <c r="EHI428" s="2"/>
      <c r="EHJ428" s="2"/>
      <c r="EHK428" s="2"/>
      <c r="EHL428" s="2"/>
      <c r="EHM428" s="2"/>
      <c r="EHN428" s="260"/>
      <c r="EHO428" s="260"/>
      <c r="EHP428" s="260"/>
      <c r="EHQ428" s="380"/>
      <c r="EHR428" s="380"/>
      <c r="EHS428" s="380"/>
      <c r="EHT428" s="2"/>
      <c r="EHU428" s="405"/>
      <c r="EHV428" s="54"/>
      <c r="EHW428" s="239"/>
      <c r="EHX428" s="54"/>
      <c r="EHY428" s="232"/>
      <c r="EHZ428" s="2"/>
      <c r="EIA428" s="2"/>
      <c r="EIB428" s="2"/>
      <c r="EIC428" s="2"/>
      <c r="EID428" s="260"/>
      <c r="EIE428" s="260"/>
      <c r="EIF428" s="260"/>
      <c r="EIG428" s="260"/>
      <c r="EIH428" s="260"/>
      <c r="EII428" s="260"/>
      <c r="EIJ428" s="260"/>
      <c r="EIK428" s="260"/>
      <c r="EIL428" s="260"/>
      <c r="EIM428" s="260"/>
      <c r="EIN428" s="260"/>
      <c r="EIO428" s="260"/>
      <c r="EIP428" s="260"/>
      <c r="EIQ428" s="2"/>
      <c r="EIR428" s="2"/>
      <c r="EIS428" s="2"/>
      <c r="EIT428" s="2"/>
      <c r="EIU428" s="2"/>
      <c r="EIV428" s="2"/>
      <c r="EIW428" s="2"/>
      <c r="EIX428" s="2"/>
      <c r="EIY428" s="2"/>
      <c r="EIZ428" s="2"/>
      <c r="EJA428" s="2"/>
      <c r="EJB428" s="2"/>
      <c r="EJC428" s="2"/>
      <c r="EJD428" s="2"/>
      <c r="EJE428" s="2"/>
      <c r="EJF428" s="260"/>
      <c r="EJG428" s="260"/>
      <c r="EJH428" s="260"/>
      <c r="EJI428" s="380"/>
      <c r="EJJ428" s="380"/>
      <c r="EJK428" s="380"/>
      <c r="EJL428" s="2"/>
      <c r="EJM428" s="405"/>
      <c r="EJN428" s="54"/>
      <c r="EJO428" s="239"/>
      <c r="EJP428" s="54"/>
      <c r="EJQ428" s="232"/>
      <c r="EJR428" s="2"/>
      <c r="EJS428" s="2"/>
      <c r="EJT428" s="2"/>
      <c r="EJU428" s="2"/>
      <c r="EJV428" s="260"/>
      <c r="EJW428" s="260"/>
      <c r="EJX428" s="260"/>
      <c r="EJY428" s="260"/>
      <c r="EJZ428" s="260"/>
      <c r="EKA428" s="260"/>
      <c r="EKB428" s="260"/>
      <c r="EKC428" s="260"/>
      <c r="EKD428" s="260"/>
      <c r="EKE428" s="260"/>
      <c r="EKF428" s="260"/>
      <c r="EKG428" s="260"/>
      <c r="EKH428" s="260"/>
      <c r="EKI428" s="2"/>
      <c r="EKJ428" s="2"/>
      <c r="EKK428" s="2"/>
      <c r="EKL428" s="2"/>
      <c r="EKM428" s="2"/>
      <c r="EKN428" s="2"/>
      <c r="EKO428" s="2"/>
      <c r="EKP428" s="2"/>
      <c r="EKQ428" s="2"/>
      <c r="EKR428" s="2"/>
      <c r="EKS428" s="2"/>
      <c r="EKT428" s="2"/>
      <c r="EKU428" s="2"/>
      <c r="EKV428" s="2"/>
      <c r="EKW428" s="2"/>
      <c r="EKX428" s="260"/>
      <c r="EKY428" s="260"/>
      <c r="EKZ428" s="260"/>
      <c r="ELA428" s="380"/>
      <c r="ELB428" s="380"/>
      <c r="ELC428" s="380"/>
      <c r="ELD428" s="2"/>
      <c r="ELE428" s="405"/>
      <c r="ELF428" s="54"/>
      <c r="ELG428" s="239"/>
      <c r="ELH428" s="54"/>
      <c r="ELI428" s="232"/>
      <c r="ELJ428" s="2"/>
      <c r="ELK428" s="2"/>
      <c r="ELL428" s="2"/>
      <c r="ELM428" s="2"/>
      <c r="ELN428" s="260"/>
      <c r="ELO428" s="260"/>
      <c r="ELP428" s="260"/>
      <c r="ELQ428" s="260"/>
      <c r="ELR428" s="260"/>
      <c r="ELS428" s="260"/>
      <c r="ELT428" s="260"/>
      <c r="ELU428" s="260"/>
      <c r="ELV428" s="260"/>
      <c r="ELW428" s="260"/>
      <c r="ELX428" s="260"/>
      <c r="ELY428" s="260"/>
      <c r="ELZ428" s="260"/>
      <c r="EMA428" s="2"/>
      <c r="EMB428" s="2"/>
      <c r="EMC428" s="2"/>
      <c r="EMD428" s="2"/>
      <c r="EME428" s="2"/>
      <c r="EMF428" s="2"/>
      <c r="EMG428" s="2"/>
      <c r="EMH428" s="2"/>
      <c r="EMI428" s="2"/>
      <c r="EMJ428" s="2"/>
      <c r="EMK428" s="2"/>
      <c r="EML428" s="2"/>
      <c r="EMM428" s="2"/>
      <c r="EMN428" s="2"/>
      <c r="EMO428" s="2"/>
      <c r="EMP428" s="260"/>
      <c r="EMQ428" s="260"/>
      <c r="EMR428" s="260"/>
      <c r="EMS428" s="380"/>
      <c r="EMT428" s="380"/>
      <c r="EMU428" s="380"/>
      <c r="EMV428" s="2"/>
      <c r="EMW428" s="405"/>
      <c r="EMX428" s="54"/>
      <c r="EMY428" s="239"/>
      <c r="EMZ428" s="54"/>
      <c r="ENA428" s="232"/>
      <c r="ENB428" s="2"/>
      <c r="ENC428" s="2"/>
      <c r="END428" s="2"/>
      <c r="ENE428" s="2"/>
      <c r="ENF428" s="260"/>
      <c r="ENG428" s="260"/>
      <c r="ENH428" s="260"/>
      <c r="ENI428" s="260"/>
      <c r="ENJ428" s="260"/>
      <c r="ENK428" s="260"/>
      <c r="ENL428" s="260"/>
      <c r="ENM428" s="260"/>
      <c r="ENN428" s="260"/>
      <c r="ENO428" s="260"/>
      <c r="ENP428" s="260"/>
      <c r="ENQ428" s="260"/>
      <c r="ENR428" s="260"/>
      <c r="ENS428" s="2"/>
      <c r="ENT428" s="2"/>
      <c r="ENU428" s="2"/>
      <c r="ENV428" s="2"/>
      <c r="ENW428" s="2"/>
      <c r="ENX428" s="2"/>
      <c r="ENY428" s="2"/>
      <c r="ENZ428" s="2"/>
      <c r="EOA428" s="2"/>
      <c r="EOB428" s="2"/>
      <c r="EOC428" s="2"/>
      <c r="EOD428" s="2"/>
      <c r="EOE428" s="2"/>
      <c r="EOF428" s="2"/>
      <c r="EOG428" s="2"/>
      <c r="EOH428" s="260"/>
      <c r="EOI428" s="260"/>
      <c r="EOJ428" s="260"/>
      <c r="EOK428" s="380"/>
      <c r="EOL428" s="380"/>
      <c r="EOM428" s="380"/>
      <c r="EON428" s="2"/>
      <c r="EOO428" s="405"/>
      <c r="EOP428" s="54"/>
      <c r="EOQ428" s="239"/>
      <c r="EOR428" s="54"/>
      <c r="EOS428" s="232"/>
      <c r="EOT428" s="2"/>
      <c r="EOU428" s="2"/>
      <c r="EOV428" s="2"/>
      <c r="EOW428" s="2"/>
      <c r="EOX428" s="260"/>
      <c r="EOY428" s="260"/>
      <c r="EOZ428" s="260"/>
      <c r="EPA428" s="260"/>
      <c r="EPB428" s="260"/>
      <c r="EPC428" s="260"/>
      <c r="EPD428" s="260"/>
      <c r="EPE428" s="260"/>
      <c r="EPF428" s="260"/>
      <c r="EPG428" s="260"/>
      <c r="EPH428" s="260"/>
      <c r="EPI428" s="260"/>
      <c r="EPJ428" s="260"/>
      <c r="EPK428" s="2"/>
      <c r="EPL428" s="2"/>
      <c r="EPM428" s="2"/>
      <c r="EPN428" s="2"/>
      <c r="EPO428" s="2"/>
      <c r="EPP428" s="2"/>
      <c r="EPQ428" s="2"/>
      <c r="EPR428" s="2"/>
      <c r="EPS428" s="2"/>
      <c r="EPT428" s="2"/>
      <c r="EPU428" s="2"/>
      <c r="EPV428" s="2"/>
      <c r="EPW428" s="2"/>
      <c r="EPX428" s="2"/>
      <c r="EPY428" s="2"/>
      <c r="EPZ428" s="260"/>
      <c r="EQA428" s="260"/>
      <c r="EQB428" s="260"/>
      <c r="EQC428" s="380"/>
      <c r="EQD428" s="380"/>
      <c r="EQE428" s="380"/>
      <c r="EQF428" s="2"/>
      <c r="EQG428" s="405"/>
      <c r="EQH428" s="54"/>
      <c r="EQI428" s="239"/>
      <c r="EQJ428" s="54"/>
      <c r="EQK428" s="232"/>
      <c r="EQL428" s="2"/>
      <c r="EQM428" s="2"/>
      <c r="EQN428" s="2"/>
      <c r="EQO428" s="2"/>
      <c r="EQP428" s="260"/>
      <c r="EQQ428" s="260"/>
      <c r="EQR428" s="260"/>
      <c r="EQS428" s="260"/>
      <c r="EQT428" s="260"/>
      <c r="EQU428" s="260"/>
      <c r="EQV428" s="260"/>
      <c r="EQW428" s="260"/>
      <c r="EQX428" s="260"/>
      <c r="EQY428" s="260"/>
      <c r="EQZ428" s="260"/>
      <c r="ERA428" s="260"/>
      <c r="ERB428" s="260"/>
      <c r="ERC428" s="2"/>
      <c r="ERD428" s="2"/>
      <c r="ERE428" s="2"/>
      <c r="ERF428" s="2"/>
      <c r="ERG428" s="2"/>
      <c r="ERH428" s="2"/>
      <c r="ERI428" s="2"/>
      <c r="ERJ428" s="2"/>
      <c r="ERK428" s="2"/>
      <c r="ERL428" s="2"/>
      <c r="ERM428" s="2"/>
      <c r="ERN428" s="2"/>
      <c r="ERO428" s="2"/>
      <c r="ERP428" s="2"/>
      <c r="ERQ428" s="2"/>
      <c r="ERR428" s="260"/>
      <c r="ERS428" s="260"/>
      <c r="ERT428" s="260"/>
      <c r="ERU428" s="380"/>
      <c r="ERV428" s="380"/>
      <c r="ERW428" s="380"/>
      <c r="ERX428" s="2"/>
      <c r="ERY428" s="405"/>
      <c r="ERZ428" s="54"/>
      <c r="ESA428" s="239"/>
      <c r="ESB428" s="54"/>
      <c r="ESC428" s="232"/>
      <c r="ESD428" s="2"/>
      <c r="ESE428" s="2"/>
      <c r="ESF428" s="2"/>
      <c r="ESG428" s="2"/>
      <c r="ESH428" s="260"/>
      <c r="ESI428" s="260"/>
      <c r="ESJ428" s="260"/>
      <c r="ESK428" s="260"/>
      <c r="ESL428" s="260"/>
      <c r="ESM428" s="260"/>
      <c r="ESN428" s="260"/>
      <c r="ESO428" s="260"/>
      <c r="ESP428" s="260"/>
      <c r="ESQ428" s="260"/>
      <c r="ESR428" s="260"/>
      <c r="ESS428" s="260"/>
      <c r="EST428" s="260"/>
      <c r="ESU428" s="2"/>
      <c r="ESV428" s="2"/>
      <c r="ESW428" s="2"/>
      <c r="ESX428" s="2"/>
      <c r="ESY428" s="2"/>
      <c r="ESZ428" s="2"/>
      <c r="ETA428" s="2"/>
      <c r="ETB428" s="2"/>
      <c r="ETC428" s="2"/>
      <c r="ETD428" s="2"/>
      <c r="ETE428" s="2"/>
      <c r="ETF428" s="2"/>
      <c r="ETG428" s="2"/>
      <c r="ETH428" s="2"/>
      <c r="ETI428" s="2"/>
      <c r="ETJ428" s="260"/>
      <c r="ETK428" s="260"/>
      <c r="ETL428" s="260"/>
      <c r="ETM428" s="380"/>
      <c r="ETN428" s="380"/>
      <c r="ETO428" s="380"/>
      <c r="ETP428" s="2"/>
      <c r="ETQ428" s="405"/>
      <c r="ETR428" s="54"/>
      <c r="ETS428" s="239"/>
      <c r="ETT428" s="54"/>
      <c r="ETU428" s="232"/>
      <c r="ETV428" s="2"/>
      <c r="ETW428" s="2"/>
      <c r="ETX428" s="2"/>
      <c r="ETY428" s="2"/>
      <c r="ETZ428" s="260"/>
      <c r="EUA428" s="260"/>
      <c r="EUB428" s="260"/>
      <c r="EUC428" s="260"/>
      <c r="EUD428" s="260"/>
      <c r="EUE428" s="260"/>
      <c r="EUF428" s="260"/>
      <c r="EUG428" s="260"/>
      <c r="EUH428" s="260"/>
      <c r="EUI428" s="260"/>
      <c r="EUJ428" s="260"/>
      <c r="EUK428" s="260"/>
      <c r="EUL428" s="260"/>
      <c r="EUM428" s="2"/>
      <c r="EUN428" s="2"/>
      <c r="EUO428" s="2"/>
      <c r="EUP428" s="2"/>
      <c r="EUQ428" s="2"/>
      <c r="EUR428" s="2"/>
      <c r="EUS428" s="2"/>
      <c r="EUT428" s="2"/>
      <c r="EUU428" s="2"/>
      <c r="EUV428" s="2"/>
      <c r="EUW428" s="2"/>
      <c r="EUX428" s="2"/>
      <c r="EUY428" s="2"/>
      <c r="EUZ428" s="2"/>
      <c r="EVA428" s="2"/>
      <c r="EVB428" s="260"/>
      <c r="EVC428" s="260"/>
      <c r="EVD428" s="260"/>
      <c r="EVE428" s="380"/>
      <c r="EVF428" s="380"/>
      <c r="EVG428" s="380"/>
      <c r="EVH428" s="2"/>
      <c r="EVI428" s="405"/>
      <c r="EVJ428" s="54"/>
      <c r="EVK428" s="239"/>
      <c r="EVL428" s="54"/>
      <c r="EVM428" s="232"/>
      <c r="EVN428" s="2"/>
      <c r="EVO428" s="2"/>
      <c r="EVP428" s="2"/>
      <c r="EVQ428" s="2"/>
      <c r="EVR428" s="260"/>
      <c r="EVS428" s="260"/>
      <c r="EVT428" s="260"/>
      <c r="EVU428" s="260"/>
      <c r="EVV428" s="260"/>
      <c r="EVW428" s="260"/>
      <c r="EVX428" s="260"/>
      <c r="EVY428" s="260"/>
      <c r="EVZ428" s="260"/>
      <c r="EWA428" s="260"/>
      <c r="EWB428" s="260"/>
      <c r="EWC428" s="260"/>
      <c r="EWD428" s="260"/>
      <c r="EWE428" s="2"/>
      <c r="EWF428" s="2"/>
      <c r="EWG428" s="2"/>
      <c r="EWH428" s="2"/>
      <c r="EWI428" s="2"/>
      <c r="EWJ428" s="2"/>
      <c r="EWK428" s="2"/>
      <c r="EWL428" s="2"/>
      <c r="EWM428" s="2"/>
      <c r="EWN428" s="2"/>
      <c r="EWO428" s="2"/>
      <c r="EWP428" s="2"/>
      <c r="EWQ428" s="2"/>
      <c r="EWR428" s="2"/>
      <c r="EWS428" s="2"/>
      <c r="EWT428" s="260"/>
      <c r="EWU428" s="260"/>
      <c r="EWV428" s="260"/>
      <c r="EWW428" s="380"/>
      <c r="EWX428" s="380"/>
      <c r="EWY428" s="380"/>
      <c r="EWZ428" s="2"/>
      <c r="EXA428" s="405"/>
      <c r="EXB428" s="54"/>
      <c r="EXC428" s="239"/>
      <c r="EXD428" s="54"/>
      <c r="EXE428" s="232"/>
      <c r="EXF428" s="2"/>
      <c r="EXG428" s="2"/>
      <c r="EXH428" s="2"/>
      <c r="EXI428" s="2"/>
      <c r="EXJ428" s="260"/>
      <c r="EXK428" s="260"/>
      <c r="EXL428" s="260"/>
      <c r="EXM428" s="260"/>
      <c r="EXN428" s="260"/>
      <c r="EXO428" s="260"/>
      <c r="EXP428" s="260"/>
      <c r="EXQ428" s="260"/>
      <c r="EXR428" s="260"/>
      <c r="EXS428" s="260"/>
      <c r="EXT428" s="260"/>
      <c r="EXU428" s="260"/>
      <c r="EXV428" s="260"/>
      <c r="EXW428" s="2"/>
      <c r="EXX428" s="2"/>
      <c r="EXY428" s="2"/>
      <c r="EXZ428" s="2"/>
      <c r="EYA428" s="2"/>
      <c r="EYB428" s="2"/>
      <c r="EYC428" s="2"/>
      <c r="EYD428" s="2"/>
      <c r="EYE428" s="2"/>
      <c r="EYF428" s="2"/>
      <c r="EYG428" s="2"/>
      <c r="EYH428" s="2"/>
      <c r="EYI428" s="2"/>
      <c r="EYJ428" s="2"/>
      <c r="EYK428" s="2"/>
      <c r="EYL428" s="260"/>
      <c r="EYM428" s="260"/>
      <c r="EYN428" s="260"/>
      <c r="EYO428" s="380"/>
      <c r="EYP428" s="380"/>
      <c r="EYQ428" s="380"/>
      <c r="EYR428" s="2"/>
      <c r="EYS428" s="405"/>
      <c r="EYT428" s="54"/>
      <c r="EYU428" s="239"/>
      <c r="EYV428" s="54"/>
      <c r="EYW428" s="232"/>
      <c r="EYX428" s="2"/>
      <c r="EYY428" s="2"/>
      <c r="EYZ428" s="2"/>
      <c r="EZA428" s="2"/>
      <c r="EZB428" s="260"/>
      <c r="EZC428" s="260"/>
      <c r="EZD428" s="260"/>
      <c r="EZE428" s="260"/>
      <c r="EZF428" s="260"/>
      <c r="EZG428" s="260"/>
      <c r="EZH428" s="260"/>
      <c r="EZI428" s="260"/>
      <c r="EZJ428" s="260"/>
      <c r="EZK428" s="260"/>
      <c r="EZL428" s="260"/>
      <c r="EZM428" s="260"/>
      <c r="EZN428" s="260"/>
      <c r="EZO428" s="2"/>
      <c r="EZP428" s="2"/>
      <c r="EZQ428" s="2"/>
      <c r="EZR428" s="2"/>
      <c r="EZS428" s="2"/>
      <c r="EZT428" s="2"/>
      <c r="EZU428" s="2"/>
      <c r="EZV428" s="2"/>
      <c r="EZW428" s="2"/>
      <c r="EZX428" s="2"/>
      <c r="EZY428" s="2"/>
      <c r="EZZ428" s="2"/>
      <c r="FAA428" s="2"/>
      <c r="FAB428" s="2"/>
      <c r="FAC428" s="2"/>
      <c r="FAD428" s="260"/>
      <c r="FAE428" s="260"/>
      <c r="FAF428" s="260"/>
      <c r="FAG428" s="380"/>
      <c r="FAH428" s="380"/>
      <c r="FAI428" s="380"/>
      <c r="FAJ428" s="2"/>
      <c r="FAK428" s="405"/>
      <c r="FAL428" s="54"/>
      <c r="FAM428" s="239"/>
      <c r="FAN428" s="54"/>
      <c r="FAO428" s="232"/>
      <c r="FAP428" s="2"/>
      <c r="FAQ428" s="2"/>
      <c r="FAR428" s="2"/>
      <c r="FAS428" s="2"/>
      <c r="FAT428" s="260"/>
      <c r="FAU428" s="260"/>
      <c r="FAV428" s="260"/>
      <c r="FAW428" s="260"/>
      <c r="FAX428" s="260"/>
      <c r="FAY428" s="260"/>
      <c r="FAZ428" s="260"/>
      <c r="FBA428" s="260"/>
      <c r="FBB428" s="260"/>
      <c r="FBC428" s="260"/>
      <c r="FBD428" s="260"/>
      <c r="FBE428" s="260"/>
      <c r="FBF428" s="260"/>
      <c r="FBG428" s="2"/>
      <c r="FBH428" s="2"/>
      <c r="FBI428" s="2"/>
      <c r="FBJ428" s="2"/>
      <c r="FBK428" s="2"/>
      <c r="FBL428" s="2"/>
      <c r="FBM428" s="2"/>
      <c r="FBN428" s="2"/>
      <c r="FBO428" s="2"/>
      <c r="FBP428" s="2"/>
      <c r="FBQ428" s="2"/>
      <c r="FBR428" s="2"/>
      <c r="FBS428" s="2"/>
      <c r="FBT428" s="2"/>
      <c r="FBU428" s="2"/>
      <c r="FBV428" s="260"/>
      <c r="FBW428" s="260"/>
      <c r="FBX428" s="260"/>
      <c r="FBY428" s="380"/>
      <c r="FBZ428" s="380"/>
      <c r="FCA428" s="380"/>
      <c r="FCB428" s="2"/>
      <c r="FCC428" s="405"/>
      <c r="FCD428" s="54"/>
      <c r="FCE428" s="239"/>
      <c r="FCF428" s="54"/>
      <c r="FCG428" s="232"/>
      <c r="FCH428" s="2"/>
      <c r="FCI428" s="2"/>
      <c r="FCJ428" s="2"/>
      <c r="FCK428" s="2"/>
      <c r="FCL428" s="260"/>
      <c r="FCM428" s="260"/>
      <c r="FCN428" s="260"/>
      <c r="FCO428" s="260"/>
      <c r="FCP428" s="260"/>
      <c r="FCQ428" s="260"/>
      <c r="FCR428" s="260"/>
      <c r="FCS428" s="260"/>
      <c r="FCT428" s="260"/>
      <c r="FCU428" s="260"/>
      <c r="FCV428" s="260"/>
      <c r="FCW428" s="260"/>
      <c r="FCX428" s="260"/>
      <c r="FCY428" s="2"/>
      <c r="FCZ428" s="2"/>
      <c r="FDA428" s="2"/>
      <c r="FDB428" s="2"/>
      <c r="FDC428" s="2"/>
      <c r="FDD428" s="2"/>
      <c r="FDE428" s="2"/>
      <c r="FDF428" s="2"/>
      <c r="FDG428" s="2"/>
      <c r="FDH428" s="2"/>
      <c r="FDI428" s="2"/>
      <c r="FDJ428" s="2"/>
      <c r="FDK428" s="2"/>
      <c r="FDL428" s="2"/>
      <c r="FDM428" s="2"/>
      <c r="FDN428" s="260"/>
      <c r="FDO428" s="260"/>
      <c r="FDP428" s="260"/>
      <c r="FDQ428" s="380"/>
      <c r="FDR428" s="380"/>
      <c r="FDS428" s="380"/>
      <c r="FDT428" s="2"/>
      <c r="FDU428" s="405"/>
      <c r="FDV428" s="54"/>
      <c r="FDW428" s="239"/>
      <c r="FDX428" s="54"/>
      <c r="FDY428" s="232"/>
      <c r="FDZ428" s="2"/>
      <c r="FEA428" s="2"/>
      <c r="FEB428" s="2"/>
      <c r="FEC428" s="2"/>
      <c r="FED428" s="260"/>
      <c r="FEE428" s="260"/>
      <c r="FEF428" s="260"/>
      <c r="FEG428" s="260"/>
      <c r="FEH428" s="260"/>
      <c r="FEI428" s="260"/>
      <c r="FEJ428" s="260"/>
      <c r="FEK428" s="260"/>
      <c r="FEL428" s="260"/>
      <c r="FEM428" s="260"/>
      <c r="FEN428" s="260"/>
      <c r="FEO428" s="260"/>
      <c r="FEP428" s="260"/>
      <c r="FEQ428" s="2"/>
      <c r="FER428" s="2"/>
      <c r="FES428" s="2"/>
      <c r="FET428" s="2"/>
      <c r="FEU428" s="2"/>
      <c r="FEV428" s="2"/>
      <c r="FEW428" s="2"/>
      <c r="FEX428" s="2"/>
      <c r="FEY428" s="2"/>
      <c r="FEZ428" s="2"/>
      <c r="FFA428" s="2"/>
      <c r="FFB428" s="2"/>
      <c r="FFC428" s="2"/>
      <c r="FFD428" s="2"/>
      <c r="FFE428" s="2"/>
      <c r="FFF428" s="260"/>
      <c r="FFG428" s="260"/>
      <c r="FFH428" s="260"/>
      <c r="FFI428" s="380"/>
      <c r="FFJ428" s="380"/>
      <c r="FFK428" s="380"/>
      <c r="FFL428" s="2"/>
      <c r="FFM428" s="405"/>
      <c r="FFN428" s="54"/>
      <c r="FFO428" s="239"/>
      <c r="FFP428" s="54"/>
      <c r="FFQ428" s="232"/>
      <c r="FFR428" s="2"/>
      <c r="FFS428" s="2"/>
      <c r="FFT428" s="2"/>
      <c r="FFU428" s="2"/>
      <c r="FFV428" s="260"/>
      <c r="FFW428" s="260"/>
      <c r="FFX428" s="260"/>
      <c r="FFY428" s="260"/>
      <c r="FFZ428" s="260"/>
      <c r="FGA428" s="260"/>
      <c r="FGB428" s="260"/>
      <c r="FGC428" s="260"/>
      <c r="FGD428" s="260"/>
      <c r="FGE428" s="260"/>
      <c r="FGF428" s="260"/>
      <c r="FGG428" s="260"/>
      <c r="FGH428" s="260"/>
      <c r="FGI428" s="2"/>
      <c r="FGJ428" s="2"/>
      <c r="FGK428" s="2"/>
      <c r="FGL428" s="2"/>
      <c r="FGM428" s="2"/>
      <c r="FGN428" s="2"/>
      <c r="FGO428" s="2"/>
      <c r="FGP428" s="2"/>
      <c r="FGQ428" s="2"/>
      <c r="FGR428" s="2"/>
      <c r="FGS428" s="2"/>
      <c r="FGT428" s="2"/>
      <c r="FGU428" s="2"/>
      <c r="FGV428" s="2"/>
      <c r="FGW428" s="2"/>
      <c r="FGX428" s="260"/>
      <c r="FGY428" s="260"/>
      <c r="FGZ428" s="260"/>
      <c r="FHA428" s="380"/>
      <c r="FHB428" s="380"/>
      <c r="FHC428" s="380"/>
      <c r="FHD428" s="2"/>
      <c r="FHE428" s="405"/>
      <c r="FHF428" s="54"/>
      <c r="FHG428" s="239"/>
      <c r="FHH428" s="54"/>
      <c r="FHI428" s="232"/>
      <c r="FHJ428" s="2"/>
      <c r="FHK428" s="2"/>
      <c r="FHL428" s="2"/>
      <c r="FHM428" s="2"/>
      <c r="FHN428" s="260"/>
      <c r="FHO428" s="260"/>
      <c r="FHP428" s="260"/>
      <c r="FHQ428" s="260"/>
      <c r="FHR428" s="260"/>
      <c r="FHS428" s="260"/>
      <c r="FHT428" s="260"/>
      <c r="FHU428" s="260"/>
      <c r="FHV428" s="260"/>
      <c r="FHW428" s="260"/>
      <c r="FHX428" s="260"/>
      <c r="FHY428" s="260"/>
      <c r="FHZ428" s="260"/>
      <c r="FIA428" s="2"/>
      <c r="FIB428" s="2"/>
      <c r="FIC428" s="2"/>
      <c r="FID428" s="2"/>
      <c r="FIE428" s="2"/>
      <c r="FIF428" s="2"/>
      <c r="FIG428" s="2"/>
      <c r="FIH428" s="2"/>
      <c r="FII428" s="2"/>
      <c r="FIJ428" s="2"/>
      <c r="FIK428" s="2"/>
      <c r="FIL428" s="2"/>
      <c r="FIM428" s="2"/>
      <c r="FIN428" s="2"/>
      <c r="FIO428" s="2"/>
      <c r="FIP428" s="260"/>
      <c r="FIQ428" s="260"/>
      <c r="FIR428" s="260"/>
      <c r="FIS428" s="380"/>
      <c r="FIT428" s="380"/>
      <c r="FIU428" s="380"/>
      <c r="FIV428" s="2"/>
      <c r="FIW428" s="405"/>
      <c r="FIX428" s="54"/>
      <c r="FIY428" s="239"/>
      <c r="FIZ428" s="54"/>
      <c r="FJA428" s="232"/>
      <c r="FJB428" s="2"/>
      <c r="FJC428" s="2"/>
      <c r="FJD428" s="2"/>
      <c r="FJE428" s="2"/>
      <c r="FJF428" s="260"/>
      <c r="FJG428" s="260"/>
      <c r="FJH428" s="260"/>
      <c r="FJI428" s="260"/>
      <c r="FJJ428" s="260"/>
      <c r="FJK428" s="260"/>
      <c r="FJL428" s="260"/>
      <c r="FJM428" s="260"/>
      <c r="FJN428" s="260"/>
      <c r="FJO428" s="260"/>
      <c r="FJP428" s="260"/>
      <c r="FJQ428" s="260"/>
      <c r="FJR428" s="260"/>
      <c r="FJS428" s="2"/>
      <c r="FJT428" s="2"/>
      <c r="FJU428" s="2"/>
      <c r="FJV428" s="2"/>
      <c r="FJW428" s="2"/>
      <c r="FJX428" s="2"/>
      <c r="FJY428" s="2"/>
      <c r="FJZ428" s="2"/>
      <c r="FKA428" s="2"/>
      <c r="FKB428" s="2"/>
      <c r="FKC428" s="2"/>
      <c r="FKD428" s="2"/>
      <c r="FKE428" s="2"/>
      <c r="FKF428" s="2"/>
      <c r="FKG428" s="2"/>
      <c r="FKH428" s="260"/>
      <c r="FKI428" s="260"/>
      <c r="FKJ428" s="260"/>
      <c r="FKK428" s="380"/>
      <c r="FKL428" s="380"/>
      <c r="FKM428" s="380"/>
      <c r="FKN428" s="2"/>
      <c r="FKO428" s="405"/>
      <c r="FKP428" s="54"/>
      <c r="FKQ428" s="239"/>
      <c r="FKR428" s="54"/>
      <c r="FKS428" s="232"/>
      <c r="FKT428" s="2"/>
      <c r="FKU428" s="2"/>
      <c r="FKV428" s="2"/>
      <c r="FKW428" s="2"/>
      <c r="FKX428" s="260"/>
      <c r="FKY428" s="260"/>
      <c r="FKZ428" s="260"/>
      <c r="FLA428" s="260"/>
      <c r="FLB428" s="260"/>
      <c r="FLC428" s="260"/>
      <c r="FLD428" s="260"/>
      <c r="FLE428" s="260"/>
      <c r="FLF428" s="260"/>
      <c r="FLG428" s="260"/>
      <c r="FLH428" s="260"/>
      <c r="FLI428" s="260"/>
      <c r="FLJ428" s="260"/>
      <c r="FLK428" s="2"/>
      <c r="FLL428" s="2"/>
      <c r="FLM428" s="2"/>
      <c r="FLN428" s="2"/>
      <c r="FLO428" s="2"/>
      <c r="FLP428" s="2"/>
      <c r="FLQ428" s="2"/>
      <c r="FLR428" s="2"/>
      <c r="FLS428" s="2"/>
      <c r="FLT428" s="2"/>
      <c r="FLU428" s="2"/>
      <c r="FLV428" s="2"/>
      <c r="FLW428" s="2"/>
      <c r="FLX428" s="2"/>
      <c r="FLY428" s="2"/>
      <c r="FLZ428" s="260"/>
      <c r="FMA428" s="260"/>
      <c r="FMB428" s="260"/>
      <c r="FMC428" s="380"/>
      <c r="FMD428" s="380"/>
      <c r="FME428" s="380"/>
      <c r="FMF428" s="2"/>
      <c r="FMG428" s="405"/>
      <c r="FMH428" s="54"/>
      <c r="FMI428" s="239"/>
      <c r="FMJ428" s="54"/>
      <c r="FMK428" s="232"/>
      <c r="FML428" s="2"/>
      <c r="FMM428" s="2"/>
      <c r="FMN428" s="2"/>
      <c r="FMO428" s="2"/>
      <c r="FMP428" s="260"/>
      <c r="FMQ428" s="260"/>
      <c r="FMR428" s="260"/>
      <c r="FMS428" s="260"/>
      <c r="FMT428" s="260"/>
      <c r="FMU428" s="260"/>
      <c r="FMV428" s="260"/>
      <c r="FMW428" s="260"/>
      <c r="FMX428" s="260"/>
      <c r="FMY428" s="260"/>
      <c r="FMZ428" s="260"/>
      <c r="FNA428" s="260"/>
      <c r="FNB428" s="260"/>
      <c r="FNC428" s="2"/>
      <c r="FND428" s="2"/>
      <c r="FNE428" s="2"/>
      <c r="FNF428" s="2"/>
      <c r="FNG428" s="2"/>
      <c r="FNH428" s="2"/>
      <c r="FNI428" s="2"/>
      <c r="FNJ428" s="2"/>
      <c r="FNK428" s="2"/>
      <c r="FNL428" s="2"/>
      <c r="FNM428" s="2"/>
      <c r="FNN428" s="2"/>
      <c r="FNO428" s="2"/>
      <c r="FNP428" s="2"/>
      <c r="FNQ428" s="2"/>
      <c r="FNR428" s="260"/>
      <c r="FNS428" s="260"/>
      <c r="FNT428" s="260"/>
      <c r="FNU428" s="380"/>
      <c r="FNV428" s="380"/>
      <c r="FNW428" s="380"/>
      <c r="FNX428" s="2"/>
      <c r="FNY428" s="405"/>
      <c r="FNZ428" s="54"/>
      <c r="FOA428" s="239"/>
      <c r="FOB428" s="54"/>
      <c r="FOC428" s="232"/>
      <c r="FOD428" s="2"/>
      <c r="FOE428" s="2"/>
      <c r="FOF428" s="2"/>
      <c r="FOG428" s="2"/>
      <c r="FOH428" s="260"/>
      <c r="FOI428" s="260"/>
      <c r="FOJ428" s="260"/>
      <c r="FOK428" s="260"/>
      <c r="FOL428" s="260"/>
      <c r="FOM428" s="260"/>
      <c r="FON428" s="260"/>
      <c r="FOO428" s="260"/>
      <c r="FOP428" s="260"/>
      <c r="FOQ428" s="260"/>
      <c r="FOR428" s="260"/>
      <c r="FOS428" s="260"/>
      <c r="FOT428" s="260"/>
      <c r="FOU428" s="2"/>
      <c r="FOV428" s="2"/>
      <c r="FOW428" s="2"/>
      <c r="FOX428" s="2"/>
      <c r="FOY428" s="2"/>
      <c r="FOZ428" s="2"/>
      <c r="FPA428" s="2"/>
      <c r="FPB428" s="2"/>
      <c r="FPC428" s="2"/>
      <c r="FPD428" s="2"/>
      <c r="FPE428" s="2"/>
      <c r="FPF428" s="2"/>
      <c r="FPG428" s="2"/>
      <c r="FPH428" s="2"/>
      <c r="FPI428" s="2"/>
      <c r="FPJ428" s="260"/>
      <c r="FPK428" s="260"/>
      <c r="FPL428" s="260"/>
      <c r="FPM428" s="380"/>
      <c r="FPN428" s="380"/>
      <c r="FPO428" s="380"/>
      <c r="FPP428" s="2"/>
      <c r="FPQ428" s="405"/>
      <c r="FPR428" s="54"/>
      <c r="FPS428" s="239"/>
      <c r="FPT428" s="54"/>
      <c r="FPU428" s="232"/>
      <c r="FPV428" s="2"/>
      <c r="FPW428" s="2"/>
      <c r="FPX428" s="2"/>
      <c r="FPY428" s="2"/>
      <c r="FPZ428" s="260"/>
      <c r="FQA428" s="260"/>
      <c r="FQB428" s="260"/>
      <c r="FQC428" s="260"/>
      <c r="FQD428" s="260"/>
      <c r="FQE428" s="260"/>
      <c r="FQF428" s="260"/>
      <c r="FQG428" s="260"/>
      <c r="FQH428" s="260"/>
      <c r="FQI428" s="260"/>
      <c r="FQJ428" s="260"/>
      <c r="FQK428" s="260"/>
      <c r="FQL428" s="260"/>
      <c r="FQM428" s="2"/>
      <c r="FQN428" s="2"/>
      <c r="FQO428" s="2"/>
      <c r="FQP428" s="2"/>
      <c r="FQQ428" s="2"/>
      <c r="FQR428" s="2"/>
      <c r="FQS428" s="2"/>
      <c r="FQT428" s="2"/>
      <c r="FQU428" s="2"/>
      <c r="FQV428" s="2"/>
      <c r="FQW428" s="2"/>
      <c r="FQX428" s="2"/>
      <c r="FQY428" s="2"/>
      <c r="FQZ428" s="2"/>
      <c r="FRA428" s="2"/>
      <c r="FRB428" s="260"/>
      <c r="FRC428" s="260"/>
      <c r="FRD428" s="260"/>
      <c r="FRE428" s="380"/>
      <c r="FRF428" s="380"/>
      <c r="FRG428" s="380"/>
      <c r="FRH428" s="2"/>
      <c r="FRI428" s="405"/>
      <c r="FRJ428" s="54"/>
      <c r="FRK428" s="239"/>
      <c r="FRL428" s="54"/>
      <c r="FRM428" s="232"/>
      <c r="FRN428" s="2"/>
      <c r="FRO428" s="2"/>
      <c r="FRP428" s="2"/>
      <c r="FRQ428" s="2"/>
      <c r="FRR428" s="260"/>
      <c r="FRS428" s="260"/>
      <c r="FRT428" s="260"/>
      <c r="FRU428" s="260"/>
      <c r="FRV428" s="260"/>
      <c r="FRW428" s="260"/>
      <c r="FRX428" s="260"/>
      <c r="FRY428" s="260"/>
      <c r="FRZ428" s="260"/>
      <c r="FSA428" s="260"/>
      <c r="FSB428" s="260"/>
      <c r="FSC428" s="260"/>
      <c r="FSD428" s="260"/>
      <c r="FSE428" s="2"/>
      <c r="FSF428" s="2"/>
      <c r="FSG428" s="2"/>
      <c r="FSH428" s="2"/>
      <c r="FSI428" s="2"/>
      <c r="FSJ428" s="2"/>
      <c r="FSK428" s="2"/>
      <c r="FSL428" s="2"/>
      <c r="FSM428" s="2"/>
      <c r="FSN428" s="2"/>
      <c r="FSO428" s="2"/>
      <c r="FSP428" s="2"/>
      <c r="FSQ428" s="2"/>
      <c r="FSR428" s="2"/>
      <c r="FSS428" s="2"/>
      <c r="FST428" s="260"/>
      <c r="FSU428" s="260"/>
      <c r="FSV428" s="260"/>
      <c r="FSW428" s="380"/>
      <c r="FSX428" s="380"/>
      <c r="FSY428" s="380"/>
      <c r="FSZ428" s="2"/>
      <c r="FTA428" s="405"/>
      <c r="FTB428" s="54"/>
      <c r="FTC428" s="239"/>
      <c r="FTD428" s="54"/>
      <c r="FTE428" s="232"/>
      <c r="FTF428" s="2"/>
      <c r="FTG428" s="2"/>
      <c r="FTH428" s="2"/>
      <c r="FTI428" s="2"/>
      <c r="FTJ428" s="260"/>
      <c r="FTK428" s="260"/>
      <c r="FTL428" s="260"/>
      <c r="FTM428" s="260"/>
      <c r="FTN428" s="260"/>
      <c r="FTO428" s="260"/>
      <c r="FTP428" s="260"/>
      <c r="FTQ428" s="260"/>
      <c r="FTR428" s="260"/>
      <c r="FTS428" s="260"/>
      <c r="FTT428" s="260"/>
      <c r="FTU428" s="260"/>
      <c r="FTV428" s="260"/>
      <c r="FTW428" s="2"/>
      <c r="FTX428" s="2"/>
      <c r="FTY428" s="2"/>
      <c r="FTZ428" s="2"/>
      <c r="FUA428" s="2"/>
      <c r="FUB428" s="2"/>
      <c r="FUC428" s="2"/>
      <c r="FUD428" s="2"/>
      <c r="FUE428" s="2"/>
      <c r="FUF428" s="2"/>
      <c r="FUG428" s="2"/>
      <c r="FUH428" s="2"/>
      <c r="FUI428" s="2"/>
      <c r="FUJ428" s="2"/>
      <c r="FUK428" s="2"/>
      <c r="FUL428" s="260"/>
      <c r="FUM428" s="260"/>
      <c r="FUN428" s="260"/>
      <c r="FUO428" s="380"/>
      <c r="FUP428" s="380"/>
      <c r="FUQ428" s="380"/>
      <c r="FUR428" s="2"/>
      <c r="FUS428" s="405"/>
      <c r="FUT428" s="54"/>
      <c r="FUU428" s="239"/>
      <c r="FUV428" s="54"/>
      <c r="FUW428" s="232"/>
      <c r="FUX428" s="2"/>
      <c r="FUY428" s="2"/>
      <c r="FUZ428" s="2"/>
      <c r="FVA428" s="2"/>
      <c r="FVB428" s="260"/>
      <c r="FVC428" s="260"/>
      <c r="FVD428" s="260"/>
      <c r="FVE428" s="260"/>
      <c r="FVF428" s="260"/>
      <c r="FVG428" s="260"/>
      <c r="FVH428" s="260"/>
      <c r="FVI428" s="260"/>
      <c r="FVJ428" s="260"/>
      <c r="FVK428" s="260"/>
      <c r="FVL428" s="260"/>
      <c r="FVM428" s="260"/>
      <c r="FVN428" s="260"/>
      <c r="FVO428" s="2"/>
      <c r="FVP428" s="2"/>
      <c r="FVQ428" s="2"/>
      <c r="FVR428" s="2"/>
      <c r="FVS428" s="2"/>
      <c r="FVT428" s="2"/>
      <c r="FVU428" s="2"/>
      <c r="FVV428" s="2"/>
      <c r="FVW428" s="2"/>
      <c r="FVX428" s="2"/>
      <c r="FVY428" s="2"/>
      <c r="FVZ428" s="2"/>
      <c r="FWA428" s="2"/>
      <c r="FWB428" s="2"/>
      <c r="FWC428" s="2"/>
      <c r="FWD428" s="260"/>
      <c r="FWE428" s="260"/>
      <c r="FWF428" s="260"/>
      <c r="FWG428" s="380"/>
      <c r="FWH428" s="380"/>
      <c r="FWI428" s="380"/>
      <c r="FWJ428" s="2"/>
      <c r="FWK428" s="405"/>
      <c r="FWL428" s="54"/>
      <c r="FWM428" s="239"/>
      <c r="FWN428" s="54"/>
      <c r="FWO428" s="232"/>
      <c r="FWP428" s="2"/>
      <c r="FWQ428" s="2"/>
      <c r="FWR428" s="2"/>
      <c r="FWS428" s="2"/>
      <c r="FWT428" s="260"/>
      <c r="FWU428" s="260"/>
      <c r="FWV428" s="260"/>
      <c r="FWW428" s="260"/>
      <c r="FWX428" s="260"/>
      <c r="FWY428" s="260"/>
      <c r="FWZ428" s="260"/>
      <c r="FXA428" s="260"/>
      <c r="FXB428" s="260"/>
      <c r="FXC428" s="260"/>
      <c r="FXD428" s="260"/>
      <c r="FXE428" s="260"/>
      <c r="FXF428" s="260"/>
      <c r="FXG428" s="2"/>
      <c r="FXH428" s="2"/>
      <c r="FXI428" s="2"/>
      <c r="FXJ428" s="2"/>
      <c r="FXK428" s="2"/>
      <c r="FXL428" s="2"/>
      <c r="FXM428" s="2"/>
      <c r="FXN428" s="2"/>
      <c r="FXO428" s="2"/>
      <c r="FXP428" s="2"/>
      <c r="FXQ428" s="2"/>
      <c r="FXR428" s="2"/>
      <c r="FXS428" s="2"/>
      <c r="FXT428" s="2"/>
      <c r="FXU428" s="2"/>
      <c r="FXV428" s="260"/>
      <c r="FXW428" s="260"/>
      <c r="FXX428" s="260"/>
      <c r="FXY428" s="380"/>
      <c r="FXZ428" s="380"/>
      <c r="FYA428" s="380"/>
      <c r="FYB428" s="2"/>
      <c r="FYC428" s="405"/>
      <c r="FYD428" s="54"/>
      <c r="FYE428" s="239"/>
      <c r="FYF428" s="54"/>
      <c r="FYG428" s="232"/>
      <c r="FYH428" s="2"/>
      <c r="FYI428" s="2"/>
      <c r="FYJ428" s="2"/>
      <c r="FYK428" s="2"/>
      <c r="FYL428" s="260"/>
      <c r="FYM428" s="260"/>
      <c r="FYN428" s="260"/>
      <c r="FYO428" s="260"/>
      <c r="FYP428" s="260"/>
      <c r="FYQ428" s="260"/>
      <c r="FYR428" s="260"/>
      <c r="FYS428" s="260"/>
      <c r="FYT428" s="260"/>
      <c r="FYU428" s="260"/>
      <c r="FYV428" s="260"/>
      <c r="FYW428" s="260"/>
      <c r="FYX428" s="260"/>
      <c r="FYY428" s="2"/>
      <c r="FYZ428" s="2"/>
      <c r="FZA428" s="2"/>
      <c r="FZB428" s="2"/>
      <c r="FZC428" s="2"/>
      <c r="FZD428" s="2"/>
      <c r="FZE428" s="2"/>
      <c r="FZF428" s="2"/>
      <c r="FZG428" s="2"/>
      <c r="FZH428" s="2"/>
      <c r="FZI428" s="2"/>
      <c r="FZJ428" s="2"/>
      <c r="FZK428" s="2"/>
      <c r="FZL428" s="2"/>
      <c r="FZM428" s="2"/>
      <c r="FZN428" s="260"/>
      <c r="FZO428" s="260"/>
      <c r="FZP428" s="260"/>
      <c r="FZQ428" s="380"/>
      <c r="FZR428" s="380"/>
      <c r="FZS428" s="380"/>
      <c r="FZT428" s="2"/>
      <c r="FZU428" s="405"/>
      <c r="FZV428" s="54"/>
      <c r="FZW428" s="239"/>
      <c r="FZX428" s="54"/>
      <c r="FZY428" s="232"/>
      <c r="FZZ428" s="2"/>
      <c r="GAA428" s="2"/>
      <c r="GAB428" s="2"/>
      <c r="GAC428" s="2"/>
      <c r="GAD428" s="260"/>
      <c r="GAE428" s="260"/>
      <c r="GAF428" s="260"/>
      <c r="GAG428" s="260"/>
      <c r="GAH428" s="260"/>
      <c r="GAI428" s="260"/>
      <c r="GAJ428" s="260"/>
      <c r="GAK428" s="260"/>
      <c r="GAL428" s="260"/>
      <c r="GAM428" s="260"/>
      <c r="GAN428" s="260"/>
      <c r="GAO428" s="260"/>
      <c r="GAP428" s="260"/>
      <c r="GAQ428" s="2"/>
      <c r="GAR428" s="2"/>
      <c r="GAS428" s="2"/>
      <c r="GAT428" s="2"/>
      <c r="GAU428" s="2"/>
      <c r="GAV428" s="2"/>
      <c r="GAW428" s="2"/>
      <c r="GAX428" s="2"/>
      <c r="GAY428" s="2"/>
      <c r="GAZ428" s="2"/>
      <c r="GBA428" s="2"/>
      <c r="GBB428" s="2"/>
      <c r="GBC428" s="2"/>
      <c r="GBD428" s="2"/>
      <c r="GBE428" s="2"/>
      <c r="GBF428" s="260"/>
      <c r="GBG428" s="260"/>
      <c r="GBH428" s="260"/>
      <c r="GBI428" s="380"/>
      <c r="GBJ428" s="380"/>
      <c r="GBK428" s="380"/>
      <c r="GBL428" s="2"/>
      <c r="GBM428" s="405"/>
      <c r="GBN428" s="54"/>
      <c r="GBO428" s="239"/>
      <c r="GBP428" s="54"/>
      <c r="GBQ428" s="232"/>
      <c r="GBR428" s="2"/>
      <c r="GBS428" s="2"/>
      <c r="GBT428" s="2"/>
      <c r="GBU428" s="2"/>
      <c r="GBV428" s="260"/>
      <c r="GBW428" s="260"/>
      <c r="GBX428" s="260"/>
      <c r="GBY428" s="260"/>
      <c r="GBZ428" s="260"/>
      <c r="GCA428" s="260"/>
      <c r="GCB428" s="260"/>
      <c r="GCC428" s="260"/>
      <c r="GCD428" s="260"/>
      <c r="GCE428" s="260"/>
      <c r="GCF428" s="260"/>
      <c r="GCG428" s="260"/>
      <c r="GCH428" s="260"/>
      <c r="GCI428" s="2"/>
      <c r="GCJ428" s="2"/>
      <c r="GCK428" s="2"/>
      <c r="GCL428" s="2"/>
      <c r="GCM428" s="2"/>
      <c r="GCN428" s="2"/>
      <c r="GCO428" s="2"/>
      <c r="GCP428" s="2"/>
      <c r="GCQ428" s="2"/>
      <c r="GCR428" s="2"/>
      <c r="GCS428" s="2"/>
      <c r="GCT428" s="2"/>
      <c r="GCU428" s="2"/>
      <c r="GCV428" s="2"/>
      <c r="GCW428" s="2"/>
      <c r="GCX428" s="260"/>
      <c r="GCY428" s="260"/>
      <c r="GCZ428" s="260"/>
      <c r="GDA428" s="380"/>
      <c r="GDB428" s="380"/>
      <c r="GDC428" s="380"/>
      <c r="GDD428" s="2"/>
      <c r="GDE428" s="405"/>
      <c r="GDF428" s="54"/>
      <c r="GDG428" s="239"/>
      <c r="GDH428" s="54"/>
      <c r="GDI428" s="232"/>
      <c r="GDJ428" s="2"/>
      <c r="GDK428" s="2"/>
      <c r="GDL428" s="2"/>
      <c r="GDM428" s="2"/>
      <c r="GDN428" s="260"/>
      <c r="GDO428" s="260"/>
      <c r="GDP428" s="260"/>
      <c r="GDQ428" s="260"/>
      <c r="GDR428" s="260"/>
      <c r="GDS428" s="260"/>
      <c r="GDT428" s="260"/>
      <c r="GDU428" s="260"/>
      <c r="GDV428" s="260"/>
      <c r="GDW428" s="260"/>
      <c r="GDX428" s="260"/>
      <c r="GDY428" s="260"/>
      <c r="GDZ428" s="260"/>
      <c r="GEA428" s="2"/>
      <c r="GEB428" s="2"/>
      <c r="GEC428" s="2"/>
      <c r="GED428" s="2"/>
      <c r="GEE428" s="2"/>
      <c r="GEF428" s="2"/>
      <c r="GEG428" s="2"/>
      <c r="GEH428" s="2"/>
      <c r="GEI428" s="2"/>
      <c r="GEJ428" s="2"/>
      <c r="GEK428" s="2"/>
      <c r="GEL428" s="2"/>
      <c r="GEM428" s="2"/>
      <c r="GEN428" s="2"/>
      <c r="GEO428" s="2"/>
      <c r="GEP428" s="260"/>
      <c r="GEQ428" s="260"/>
      <c r="GER428" s="260"/>
      <c r="GES428" s="380"/>
      <c r="GET428" s="380"/>
      <c r="GEU428" s="380"/>
      <c r="GEV428" s="2"/>
      <c r="GEW428" s="405"/>
      <c r="GEX428" s="54"/>
      <c r="GEY428" s="239"/>
      <c r="GEZ428" s="54"/>
      <c r="GFA428" s="232"/>
      <c r="GFB428" s="2"/>
      <c r="GFC428" s="2"/>
      <c r="GFD428" s="2"/>
      <c r="GFE428" s="2"/>
      <c r="GFF428" s="260"/>
      <c r="GFG428" s="260"/>
      <c r="GFH428" s="260"/>
      <c r="GFI428" s="260"/>
      <c r="GFJ428" s="260"/>
      <c r="GFK428" s="260"/>
      <c r="GFL428" s="260"/>
      <c r="GFM428" s="260"/>
      <c r="GFN428" s="260"/>
      <c r="GFO428" s="260"/>
      <c r="GFP428" s="260"/>
      <c r="GFQ428" s="260"/>
      <c r="GFR428" s="260"/>
      <c r="GFS428" s="2"/>
      <c r="GFT428" s="2"/>
      <c r="GFU428" s="2"/>
      <c r="GFV428" s="2"/>
      <c r="GFW428" s="2"/>
      <c r="GFX428" s="2"/>
      <c r="GFY428" s="2"/>
      <c r="GFZ428" s="2"/>
      <c r="GGA428" s="2"/>
      <c r="GGB428" s="2"/>
      <c r="GGC428" s="2"/>
      <c r="GGD428" s="2"/>
      <c r="GGE428" s="2"/>
      <c r="GGF428" s="2"/>
      <c r="GGG428" s="2"/>
      <c r="GGH428" s="260"/>
      <c r="GGI428" s="260"/>
      <c r="GGJ428" s="260"/>
      <c r="GGK428" s="380"/>
      <c r="GGL428" s="380"/>
      <c r="GGM428" s="380"/>
      <c r="GGN428" s="2"/>
      <c r="GGO428" s="405"/>
      <c r="GGP428" s="54"/>
      <c r="GGQ428" s="239"/>
      <c r="GGR428" s="54"/>
      <c r="GGS428" s="232"/>
      <c r="GGT428" s="2"/>
      <c r="GGU428" s="2"/>
      <c r="GGV428" s="2"/>
      <c r="GGW428" s="2"/>
      <c r="GGX428" s="260"/>
      <c r="GGY428" s="260"/>
      <c r="GGZ428" s="260"/>
      <c r="GHA428" s="260"/>
      <c r="GHB428" s="260"/>
      <c r="GHC428" s="260"/>
      <c r="GHD428" s="260"/>
      <c r="GHE428" s="260"/>
      <c r="GHF428" s="260"/>
      <c r="GHG428" s="260"/>
      <c r="GHH428" s="260"/>
      <c r="GHI428" s="260"/>
      <c r="GHJ428" s="260"/>
      <c r="GHK428" s="2"/>
      <c r="GHL428" s="2"/>
      <c r="GHM428" s="2"/>
      <c r="GHN428" s="2"/>
      <c r="GHO428" s="2"/>
      <c r="GHP428" s="2"/>
      <c r="GHQ428" s="2"/>
      <c r="GHR428" s="2"/>
      <c r="GHS428" s="2"/>
      <c r="GHT428" s="2"/>
      <c r="GHU428" s="2"/>
      <c r="GHV428" s="2"/>
      <c r="GHW428" s="2"/>
      <c r="GHX428" s="2"/>
      <c r="GHY428" s="2"/>
      <c r="GHZ428" s="260"/>
      <c r="GIA428" s="260"/>
      <c r="GIB428" s="260"/>
      <c r="GIC428" s="380"/>
      <c r="GID428" s="380"/>
      <c r="GIE428" s="380"/>
      <c r="GIF428" s="2"/>
      <c r="GIG428" s="405"/>
      <c r="GIH428" s="54"/>
      <c r="GII428" s="239"/>
      <c r="GIJ428" s="54"/>
      <c r="GIK428" s="232"/>
      <c r="GIL428" s="2"/>
      <c r="GIM428" s="2"/>
      <c r="GIN428" s="2"/>
      <c r="GIO428" s="2"/>
      <c r="GIP428" s="260"/>
      <c r="GIQ428" s="260"/>
      <c r="GIR428" s="260"/>
      <c r="GIS428" s="260"/>
      <c r="GIT428" s="260"/>
      <c r="GIU428" s="260"/>
      <c r="GIV428" s="260"/>
      <c r="GIW428" s="260"/>
      <c r="GIX428" s="260"/>
      <c r="GIY428" s="260"/>
      <c r="GIZ428" s="260"/>
      <c r="GJA428" s="260"/>
      <c r="GJB428" s="260"/>
      <c r="GJC428" s="2"/>
      <c r="GJD428" s="2"/>
      <c r="GJE428" s="2"/>
      <c r="GJF428" s="2"/>
      <c r="GJG428" s="2"/>
      <c r="GJH428" s="2"/>
      <c r="GJI428" s="2"/>
      <c r="GJJ428" s="2"/>
      <c r="GJK428" s="2"/>
      <c r="GJL428" s="2"/>
      <c r="GJM428" s="2"/>
      <c r="GJN428" s="2"/>
      <c r="GJO428" s="2"/>
      <c r="GJP428" s="2"/>
      <c r="GJQ428" s="2"/>
      <c r="GJR428" s="260"/>
      <c r="GJS428" s="260"/>
      <c r="GJT428" s="260"/>
      <c r="GJU428" s="380"/>
      <c r="GJV428" s="380"/>
      <c r="GJW428" s="380"/>
      <c r="GJX428" s="2"/>
      <c r="GJY428" s="405"/>
      <c r="GJZ428" s="54"/>
      <c r="GKA428" s="239"/>
      <c r="GKB428" s="54"/>
      <c r="GKC428" s="232"/>
      <c r="GKD428" s="2"/>
      <c r="GKE428" s="2"/>
      <c r="GKF428" s="2"/>
      <c r="GKG428" s="2"/>
      <c r="GKH428" s="260"/>
      <c r="GKI428" s="260"/>
      <c r="GKJ428" s="260"/>
      <c r="GKK428" s="260"/>
      <c r="GKL428" s="260"/>
      <c r="GKM428" s="260"/>
      <c r="GKN428" s="260"/>
      <c r="GKO428" s="260"/>
      <c r="GKP428" s="260"/>
      <c r="GKQ428" s="260"/>
      <c r="GKR428" s="260"/>
      <c r="GKS428" s="260"/>
      <c r="GKT428" s="260"/>
      <c r="GKU428" s="2"/>
      <c r="GKV428" s="2"/>
      <c r="GKW428" s="2"/>
      <c r="GKX428" s="2"/>
      <c r="GKY428" s="2"/>
      <c r="GKZ428" s="2"/>
      <c r="GLA428" s="2"/>
      <c r="GLB428" s="2"/>
      <c r="GLC428" s="2"/>
      <c r="GLD428" s="2"/>
      <c r="GLE428" s="2"/>
      <c r="GLF428" s="2"/>
      <c r="GLG428" s="2"/>
      <c r="GLH428" s="2"/>
      <c r="GLI428" s="2"/>
      <c r="GLJ428" s="260"/>
      <c r="GLK428" s="260"/>
      <c r="GLL428" s="260"/>
      <c r="GLM428" s="380"/>
      <c r="GLN428" s="380"/>
      <c r="GLO428" s="380"/>
      <c r="GLP428" s="2"/>
      <c r="GLQ428" s="405"/>
      <c r="GLR428" s="54"/>
      <c r="GLS428" s="239"/>
      <c r="GLT428" s="54"/>
      <c r="GLU428" s="232"/>
      <c r="GLV428" s="2"/>
      <c r="GLW428" s="2"/>
      <c r="GLX428" s="2"/>
      <c r="GLY428" s="2"/>
      <c r="GLZ428" s="260"/>
      <c r="GMA428" s="260"/>
      <c r="GMB428" s="260"/>
      <c r="GMC428" s="260"/>
      <c r="GMD428" s="260"/>
      <c r="GME428" s="260"/>
      <c r="GMF428" s="260"/>
      <c r="GMG428" s="260"/>
      <c r="GMH428" s="260"/>
      <c r="GMI428" s="260"/>
      <c r="GMJ428" s="260"/>
      <c r="GMK428" s="260"/>
      <c r="GML428" s="260"/>
      <c r="GMM428" s="2"/>
      <c r="GMN428" s="2"/>
      <c r="GMO428" s="2"/>
      <c r="GMP428" s="2"/>
      <c r="GMQ428" s="2"/>
      <c r="GMR428" s="2"/>
      <c r="GMS428" s="2"/>
      <c r="GMT428" s="2"/>
      <c r="GMU428" s="2"/>
      <c r="GMV428" s="2"/>
      <c r="GMW428" s="2"/>
      <c r="GMX428" s="2"/>
      <c r="GMY428" s="2"/>
      <c r="GMZ428" s="2"/>
      <c r="GNA428" s="2"/>
      <c r="GNB428" s="260"/>
      <c r="GNC428" s="260"/>
      <c r="GND428" s="260"/>
      <c r="GNE428" s="380"/>
      <c r="GNF428" s="380"/>
      <c r="GNG428" s="380"/>
      <c r="GNH428" s="2"/>
      <c r="GNI428" s="405"/>
      <c r="GNJ428" s="54"/>
      <c r="GNK428" s="239"/>
      <c r="GNL428" s="54"/>
      <c r="GNM428" s="232"/>
      <c r="GNN428" s="2"/>
      <c r="GNO428" s="2"/>
      <c r="GNP428" s="2"/>
      <c r="GNQ428" s="2"/>
      <c r="GNR428" s="260"/>
      <c r="GNS428" s="260"/>
      <c r="GNT428" s="260"/>
      <c r="GNU428" s="260"/>
      <c r="GNV428" s="260"/>
      <c r="GNW428" s="260"/>
      <c r="GNX428" s="260"/>
      <c r="GNY428" s="260"/>
      <c r="GNZ428" s="260"/>
      <c r="GOA428" s="260"/>
      <c r="GOB428" s="260"/>
      <c r="GOC428" s="260"/>
      <c r="GOD428" s="260"/>
      <c r="GOE428" s="2"/>
      <c r="GOF428" s="2"/>
      <c r="GOG428" s="2"/>
      <c r="GOH428" s="2"/>
      <c r="GOI428" s="2"/>
      <c r="GOJ428" s="2"/>
      <c r="GOK428" s="2"/>
      <c r="GOL428" s="2"/>
      <c r="GOM428" s="2"/>
      <c r="GON428" s="2"/>
      <c r="GOO428" s="2"/>
      <c r="GOP428" s="2"/>
      <c r="GOQ428" s="2"/>
      <c r="GOR428" s="2"/>
      <c r="GOS428" s="2"/>
      <c r="GOT428" s="260"/>
      <c r="GOU428" s="260"/>
      <c r="GOV428" s="260"/>
      <c r="GOW428" s="380"/>
      <c r="GOX428" s="380"/>
      <c r="GOY428" s="380"/>
      <c r="GOZ428" s="2"/>
      <c r="GPA428" s="405"/>
      <c r="GPB428" s="54"/>
      <c r="GPC428" s="239"/>
      <c r="GPD428" s="54"/>
      <c r="GPE428" s="232"/>
      <c r="GPF428" s="2"/>
      <c r="GPG428" s="2"/>
      <c r="GPH428" s="2"/>
      <c r="GPI428" s="2"/>
      <c r="GPJ428" s="260"/>
      <c r="GPK428" s="260"/>
      <c r="GPL428" s="260"/>
      <c r="GPM428" s="260"/>
      <c r="GPN428" s="260"/>
      <c r="GPO428" s="260"/>
      <c r="GPP428" s="260"/>
      <c r="GPQ428" s="260"/>
      <c r="GPR428" s="260"/>
      <c r="GPS428" s="260"/>
      <c r="GPT428" s="260"/>
      <c r="GPU428" s="260"/>
      <c r="GPV428" s="260"/>
      <c r="GPW428" s="2"/>
      <c r="GPX428" s="2"/>
      <c r="GPY428" s="2"/>
      <c r="GPZ428" s="2"/>
      <c r="GQA428" s="2"/>
      <c r="GQB428" s="2"/>
      <c r="GQC428" s="2"/>
      <c r="GQD428" s="2"/>
      <c r="GQE428" s="2"/>
      <c r="GQF428" s="2"/>
      <c r="GQG428" s="2"/>
      <c r="GQH428" s="2"/>
      <c r="GQI428" s="2"/>
      <c r="GQJ428" s="2"/>
      <c r="GQK428" s="2"/>
      <c r="GQL428" s="260"/>
      <c r="GQM428" s="260"/>
      <c r="GQN428" s="260"/>
      <c r="GQO428" s="380"/>
      <c r="GQP428" s="380"/>
      <c r="GQQ428" s="380"/>
      <c r="GQR428" s="2"/>
      <c r="GQS428" s="405"/>
      <c r="GQT428" s="54"/>
      <c r="GQU428" s="239"/>
      <c r="GQV428" s="54"/>
      <c r="GQW428" s="232"/>
      <c r="GQX428" s="2"/>
      <c r="GQY428" s="2"/>
      <c r="GQZ428" s="2"/>
      <c r="GRA428" s="2"/>
      <c r="GRB428" s="260"/>
      <c r="GRC428" s="260"/>
      <c r="GRD428" s="260"/>
      <c r="GRE428" s="260"/>
      <c r="GRF428" s="260"/>
      <c r="GRG428" s="260"/>
      <c r="GRH428" s="260"/>
      <c r="GRI428" s="260"/>
      <c r="GRJ428" s="260"/>
      <c r="GRK428" s="260"/>
      <c r="GRL428" s="260"/>
      <c r="GRM428" s="260"/>
      <c r="GRN428" s="260"/>
      <c r="GRO428" s="2"/>
      <c r="GRP428" s="2"/>
      <c r="GRQ428" s="2"/>
      <c r="GRR428" s="2"/>
      <c r="GRS428" s="2"/>
      <c r="GRT428" s="2"/>
      <c r="GRU428" s="2"/>
      <c r="GRV428" s="2"/>
      <c r="GRW428" s="2"/>
      <c r="GRX428" s="2"/>
      <c r="GRY428" s="2"/>
      <c r="GRZ428" s="2"/>
      <c r="GSA428" s="2"/>
      <c r="GSB428" s="2"/>
      <c r="GSC428" s="2"/>
      <c r="GSD428" s="260"/>
      <c r="GSE428" s="260"/>
      <c r="GSF428" s="260"/>
      <c r="GSG428" s="380"/>
      <c r="GSH428" s="380"/>
      <c r="GSI428" s="380"/>
      <c r="GSJ428" s="2"/>
      <c r="GSK428" s="405"/>
      <c r="GSL428" s="54"/>
      <c r="GSM428" s="239"/>
      <c r="GSN428" s="54"/>
      <c r="GSO428" s="232"/>
      <c r="GSP428" s="2"/>
      <c r="GSQ428" s="2"/>
      <c r="GSR428" s="2"/>
      <c r="GSS428" s="2"/>
      <c r="GST428" s="260"/>
      <c r="GSU428" s="260"/>
      <c r="GSV428" s="260"/>
      <c r="GSW428" s="260"/>
      <c r="GSX428" s="260"/>
      <c r="GSY428" s="260"/>
      <c r="GSZ428" s="260"/>
      <c r="GTA428" s="260"/>
      <c r="GTB428" s="260"/>
      <c r="GTC428" s="260"/>
      <c r="GTD428" s="260"/>
      <c r="GTE428" s="260"/>
      <c r="GTF428" s="260"/>
      <c r="GTG428" s="2"/>
      <c r="GTH428" s="2"/>
      <c r="GTI428" s="2"/>
      <c r="GTJ428" s="2"/>
      <c r="GTK428" s="2"/>
      <c r="GTL428" s="2"/>
      <c r="GTM428" s="2"/>
      <c r="GTN428" s="2"/>
      <c r="GTO428" s="2"/>
      <c r="GTP428" s="2"/>
      <c r="GTQ428" s="2"/>
      <c r="GTR428" s="2"/>
      <c r="GTS428" s="2"/>
      <c r="GTT428" s="2"/>
      <c r="GTU428" s="2"/>
      <c r="GTV428" s="260"/>
      <c r="GTW428" s="260"/>
      <c r="GTX428" s="260"/>
      <c r="GTY428" s="380"/>
      <c r="GTZ428" s="380"/>
      <c r="GUA428" s="380"/>
      <c r="GUB428" s="2"/>
      <c r="GUC428" s="405"/>
      <c r="GUD428" s="54"/>
      <c r="GUE428" s="239"/>
      <c r="GUF428" s="54"/>
      <c r="GUG428" s="232"/>
      <c r="GUH428" s="2"/>
      <c r="GUI428" s="2"/>
      <c r="GUJ428" s="2"/>
      <c r="GUK428" s="2"/>
      <c r="GUL428" s="260"/>
      <c r="GUM428" s="260"/>
      <c r="GUN428" s="260"/>
      <c r="GUO428" s="260"/>
      <c r="GUP428" s="260"/>
      <c r="GUQ428" s="260"/>
      <c r="GUR428" s="260"/>
      <c r="GUS428" s="260"/>
      <c r="GUT428" s="260"/>
      <c r="GUU428" s="260"/>
      <c r="GUV428" s="260"/>
      <c r="GUW428" s="260"/>
      <c r="GUX428" s="260"/>
      <c r="GUY428" s="2"/>
      <c r="GUZ428" s="2"/>
      <c r="GVA428" s="2"/>
      <c r="GVB428" s="2"/>
      <c r="GVC428" s="2"/>
      <c r="GVD428" s="2"/>
      <c r="GVE428" s="2"/>
      <c r="GVF428" s="2"/>
      <c r="GVG428" s="2"/>
      <c r="GVH428" s="2"/>
      <c r="GVI428" s="2"/>
      <c r="GVJ428" s="2"/>
      <c r="GVK428" s="2"/>
      <c r="GVL428" s="2"/>
      <c r="GVM428" s="2"/>
      <c r="GVN428" s="260"/>
      <c r="GVO428" s="260"/>
      <c r="GVP428" s="260"/>
      <c r="GVQ428" s="380"/>
      <c r="GVR428" s="380"/>
      <c r="GVS428" s="380"/>
      <c r="GVT428" s="2"/>
      <c r="GVU428" s="405"/>
      <c r="GVV428" s="54"/>
      <c r="GVW428" s="239"/>
      <c r="GVX428" s="54"/>
      <c r="GVY428" s="232"/>
      <c r="GVZ428" s="2"/>
      <c r="GWA428" s="2"/>
      <c r="GWB428" s="2"/>
      <c r="GWC428" s="2"/>
      <c r="GWD428" s="260"/>
      <c r="GWE428" s="260"/>
      <c r="GWF428" s="260"/>
      <c r="GWG428" s="260"/>
      <c r="GWH428" s="260"/>
      <c r="GWI428" s="260"/>
      <c r="GWJ428" s="260"/>
      <c r="GWK428" s="260"/>
      <c r="GWL428" s="260"/>
      <c r="GWM428" s="260"/>
      <c r="GWN428" s="260"/>
      <c r="GWO428" s="260"/>
      <c r="GWP428" s="260"/>
      <c r="GWQ428" s="2"/>
      <c r="GWR428" s="2"/>
      <c r="GWS428" s="2"/>
      <c r="GWT428" s="2"/>
      <c r="GWU428" s="2"/>
      <c r="GWV428" s="2"/>
      <c r="GWW428" s="2"/>
      <c r="GWX428" s="2"/>
      <c r="GWY428" s="2"/>
      <c r="GWZ428" s="2"/>
      <c r="GXA428" s="2"/>
      <c r="GXB428" s="2"/>
      <c r="GXC428" s="2"/>
      <c r="GXD428" s="2"/>
      <c r="GXE428" s="2"/>
      <c r="GXF428" s="260"/>
      <c r="GXG428" s="260"/>
      <c r="GXH428" s="260"/>
      <c r="GXI428" s="380"/>
      <c r="GXJ428" s="380"/>
      <c r="GXK428" s="380"/>
      <c r="GXL428" s="2"/>
      <c r="GXM428" s="405"/>
      <c r="GXN428" s="54"/>
      <c r="GXO428" s="239"/>
      <c r="GXP428" s="54"/>
      <c r="GXQ428" s="232"/>
      <c r="GXR428" s="2"/>
      <c r="GXS428" s="2"/>
      <c r="GXT428" s="2"/>
      <c r="GXU428" s="2"/>
      <c r="GXV428" s="260"/>
      <c r="GXW428" s="260"/>
      <c r="GXX428" s="260"/>
      <c r="GXY428" s="260"/>
      <c r="GXZ428" s="260"/>
      <c r="GYA428" s="260"/>
      <c r="GYB428" s="260"/>
      <c r="GYC428" s="260"/>
      <c r="GYD428" s="260"/>
      <c r="GYE428" s="260"/>
      <c r="GYF428" s="260"/>
      <c r="GYG428" s="260"/>
      <c r="GYH428" s="260"/>
      <c r="GYI428" s="2"/>
      <c r="GYJ428" s="2"/>
      <c r="GYK428" s="2"/>
      <c r="GYL428" s="2"/>
      <c r="GYM428" s="2"/>
      <c r="GYN428" s="2"/>
      <c r="GYO428" s="2"/>
      <c r="GYP428" s="2"/>
      <c r="GYQ428" s="2"/>
      <c r="GYR428" s="2"/>
      <c r="GYS428" s="2"/>
      <c r="GYT428" s="2"/>
      <c r="GYU428" s="2"/>
      <c r="GYV428" s="2"/>
      <c r="GYW428" s="2"/>
      <c r="GYX428" s="260"/>
      <c r="GYY428" s="260"/>
      <c r="GYZ428" s="260"/>
      <c r="GZA428" s="380"/>
      <c r="GZB428" s="380"/>
      <c r="GZC428" s="380"/>
      <c r="GZD428" s="2"/>
      <c r="GZE428" s="405"/>
      <c r="GZF428" s="54"/>
      <c r="GZG428" s="239"/>
      <c r="GZH428" s="54"/>
      <c r="GZI428" s="232"/>
      <c r="GZJ428" s="2"/>
      <c r="GZK428" s="2"/>
      <c r="GZL428" s="2"/>
      <c r="GZM428" s="2"/>
      <c r="GZN428" s="260"/>
      <c r="GZO428" s="260"/>
      <c r="GZP428" s="260"/>
      <c r="GZQ428" s="260"/>
      <c r="GZR428" s="260"/>
      <c r="GZS428" s="260"/>
      <c r="GZT428" s="260"/>
      <c r="GZU428" s="260"/>
      <c r="GZV428" s="260"/>
      <c r="GZW428" s="260"/>
      <c r="GZX428" s="260"/>
      <c r="GZY428" s="260"/>
      <c r="GZZ428" s="260"/>
      <c r="HAA428" s="2"/>
      <c r="HAB428" s="2"/>
      <c r="HAC428" s="2"/>
      <c r="HAD428" s="2"/>
      <c r="HAE428" s="2"/>
      <c r="HAF428" s="2"/>
      <c r="HAG428" s="2"/>
      <c r="HAH428" s="2"/>
      <c r="HAI428" s="2"/>
      <c r="HAJ428" s="2"/>
      <c r="HAK428" s="2"/>
      <c r="HAL428" s="2"/>
      <c r="HAM428" s="2"/>
      <c r="HAN428" s="2"/>
      <c r="HAO428" s="2"/>
      <c r="HAP428" s="260"/>
      <c r="HAQ428" s="260"/>
      <c r="HAR428" s="260"/>
      <c r="HAS428" s="380"/>
      <c r="HAT428" s="380"/>
      <c r="HAU428" s="380"/>
      <c r="HAV428" s="2"/>
      <c r="HAW428" s="405"/>
      <c r="HAX428" s="54"/>
      <c r="HAY428" s="239"/>
      <c r="HAZ428" s="54"/>
      <c r="HBA428" s="232"/>
      <c r="HBB428" s="2"/>
      <c r="HBC428" s="2"/>
      <c r="HBD428" s="2"/>
      <c r="HBE428" s="2"/>
      <c r="HBF428" s="260"/>
      <c r="HBG428" s="260"/>
      <c r="HBH428" s="260"/>
      <c r="HBI428" s="260"/>
      <c r="HBJ428" s="260"/>
      <c r="HBK428" s="260"/>
      <c r="HBL428" s="260"/>
      <c r="HBM428" s="260"/>
      <c r="HBN428" s="260"/>
      <c r="HBO428" s="260"/>
      <c r="HBP428" s="260"/>
      <c r="HBQ428" s="260"/>
      <c r="HBR428" s="260"/>
      <c r="HBS428" s="2"/>
      <c r="HBT428" s="2"/>
      <c r="HBU428" s="2"/>
      <c r="HBV428" s="2"/>
      <c r="HBW428" s="2"/>
      <c r="HBX428" s="2"/>
      <c r="HBY428" s="2"/>
      <c r="HBZ428" s="2"/>
      <c r="HCA428" s="2"/>
      <c r="HCB428" s="2"/>
      <c r="HCC428" s="2"/>
      <c r="HCD428" s="2"/>
      <c r="HCE428" s="2"/>
      <c r="HCF428" s="2"/>
      <c r="HCG428" s="2"/>
      <c r="HCH428" s="260"/>
      <c r="HCI428" s="260"/>
      <c r="HCJ428" s="260"/>
      <c r="HCK428" s="380"/>
      <c r="HCL428" s="380"/>
      <c r="HCM428" s="380"/>
      <c r="HCN428" s="2"/>
      <c r="HCO428" s="405"/>
      <c r="HCP428" s="54"/>
      <c r="HCQ428" s="239"/>
      <c r="HCR428" s="54"/>
      <c r="HCS428" s="232"/>
      <c r="HCT428" s="2"/>
      <c r="HCU428" s="2"/>
      <c r="HCV428" s="2"/>
      <c r="HCW428" s="2"/>
      <c r="HCX428" s="260"/>
      <c r="HCY428" s="260"/>
      <c r="HCZ428" s="260"/>
      <c r="HDA428" s="260"/>
      <c r="HDB428" s="260"/>
      <c r="HDC428" s="260"/>
      <c r="HDD428" s="260"/>
      <c r="HDE428" s="260"/>
      <c r="HDF428" s="260"/>
      <c r="HDG428" s="260"/>
      <c r="HDH428" s="260"/>
      <c r="HDI428" s="260"/>
      <c r="HDJ428" s="260"/>
      <c r="HDK428" s="2"/>
      <c r="HDL428" s="2"/>
      <c r="HDM428" s="2"/>
      <c r="HDN428" s="2"/>
      <c r="HDO428" s="2"/>
      <c r="HDP428" s="2"/>
      <c r="HDQ428" s="2"/>
      <c r="HDR428" s="2"/>
      <c r="HDS428" s="2"/>
      <c r="HDT428" s="2"/>
      <c r="HDU428" s="2"/>
      <c r="HDV428" s="2"/>
      <c r="HDW428" s="2"/>
      <c r="HDX428" s="2"/>
      <c r="HDY428" s="2"/>
      <c r="HDZ428" s="260"/>
      <c r="HEA428" s="260"/>
      <c r="HEB428" s="260"/>
      <c r="HEC428" s="380"/>
      <c r="HED428" s="380"/>
      <c r="HEE428" s="380"/>
      <c r="HEF428" s="2"/>
      <c r="HEG428" s="405"/>
      <c r="HEH428" s="54"/>
      <c r="HEI428" s="239"/>
      <c r="HEJ428" s="54"/>
      <c r="HEK428" s="232"/>
      <c r="HEL428" s="2"/>
      <c r="HEM428" s="2"/>
      <c r="HEN428" s="2"/>
      <c r="HEO428" s="2"/>
      <c r="HEP428" s="260"/>
      <c r="HEQ428" s="260"/>
      <c r="HER428" s="260"/>
      <c r="HES428" s="260"/>
      <c r="HET428" s="260"/>
      <c r="HEU428" s="260"/>
      <c r="HEV428" s="260"/>
      <c r="HEW428" s="260"/>
      <c r="HEX428" s="260"/>
      <c r="HEY428" s="260"/>
      <c r="HEZ428" s="260"/>
      <c r="HFA428" s="260"/>
      <c r="HFB428" s="260"/>
      <c r="HFC428" s="2"/>
      <c r="HFD428" s="2"/>
      <c r="HFE428" s="2"/>
      <c r="HFF428" s="2"/>
      <c r="HFG428" s="2"/>
      <c r="HFH428" s="2"/>
      <c r="HFI428" s="2"/>
      <c r="HFJ428" s="2"/>
      <c r="HFK428" s="2"/>
      <c r="HFL428" s="2"/>
      <c r="HFM428" s="2"/>
      <c r="HFN428" s="2"/>
      <c r="HFO428" s="2"/>
      <c r="HFP428" s="2"/>
      <c r="HFQ428" s="2"/>
      <c r="HFR428" s="260"/>
      <c r="HFS428" s="260"/>
      <c r="HFT428" s="260"/>
      <c r="HFU428" s="380"/>
      <c r="HFV428" s="380"/>
      <c r="HFW428" s="380"/>
      <c r="HFX428" s="2"/>
      <c r="HFY428" s="405"/>
      <c r="HFZ428" s="54"/>
      <c r="HGA428" s="239"/>
      <c r="HGB428" s="54"/>
      <c r="HGC428" s="232"/>
      <c r="HGD428" s="2"/>
      <c r="HGE428" s="2"/>
      <c r="HGF428" s="2"/>
      <c r="HGG428" s="2"/>
      <c r="HGH428" s="260"/>
      <c r="HGI428" s="260"/>
      <c r="HGJ428" s="260"/>
      <c r="HGK428" s="260"/>
      <c r="HGL428" s="260"/>
      <c r="HGM428" s="260"/>
      <c r="HGN428" s="260"/>
      <c r="HGO428" s="260"/>
      <c r="HGP428" s="260"/>
      <c r="HGQ428" s="260"/>
      <c r="HGR428" s="260"/>
      <c r="HGS428" s="260"/>
      <c r="HGT428" s="260"/>
      <c r="HGU428" s="2"/>
      <c r="HGV428" s="2"/>
      <c r="HGW428" s="2"/>
      <c r="HGX428" s="2"/>
      <c r="HGY428" s="2"/>
      <c r="HGZ428" s="2"/>
      <c r="HHA428" s="2"/>
      <c r="HHB428" s="2"/>
      <c r="HHC428" s="2"/>
      <c r="HHD428" s="2"/>
      <c r="HHE428" s="2"/>
      <c r="HHF428" s="2"/>
      <c r="HHG428" s="2"/>
      <c r="HHH428" s="2"/>
      <c r="HHI428" s="2"/>
      <c r="HHJ428" s="260"/>
      <c r="HHK428" s="260"/>
      <c r="HHL428" s="260"/>
      <c r="HHM428" s="380"/>
      <c r="HHN428" s="380"/>
      <c r="HHO428" s="380"/>
      <c r="HHP428" s="2"/>
      <c r="HHQ428" s="405"/>
      <c r="HHR428" s="54"/>
      <c r="HHS428" s="239"/>
      <c r="HHT428" s="54"/>
      <c r="HHU428" s="232"/>
      <c r="HHV428" s="2"/>
      <c r="HHW428" s="2"/>
      <c r="HHX428" s="2"/>
      <c r="HHY428" s="2"/>
      <c r="HHZ428" s="260"/>
      <c r="HIA428" s="260"/>
      <c r="HIB428" s="260"/>
      <c r="HIC428" s="260"/>
      <c r="HID428" s="260"/>
      <c r="HIE428" s="260"/>
      <c r="HIF428" s="260"/>
      <c r="HIG428" s="260"/>
      <c r="HIH428" s="260"/>
      <c r="HII428" s="260"/>
      <c r="HIJ428" s="260"/>
      <c r="HIK428" s="260"/>
      <c r="HIL428" s="260"/>
      <c r="HIM428" s="2"/>
      <c r="HIN428" s="2"/>
      <c r="HIO428" s="2"/>
      <c r="HIP428" s="2"/>
      <c r="HIQ428" s="2"/>
      <c r="HIR428" s="2"/>
      <c r="HIS428" s="2"/>
      <c r="HIT428" s="2"/>
      <c r="HIU428" s="2"/>
      <c r="HIV428" s="2"/>
      <c r="HIW428" s="2"/>
      <c r="HIX428" s="2"/>
      <c r="HIY428" s="2"/>
      <c r="HIZ428" s="2"/>
      <c r="HJA428" s="2"/>
      <c r="HJB428" s="260"/>
      <c r="HJC428" s="260"/>
      <c r="HJD428" s="260"/>
      <c r="HJE428" s="380"/>
      <c r="HJF428" s="380"/>
      <c r="HJG428" s="380"/>
      <c r="HJH428" s="2"/>
      <c r="HJI428" s="405"/>
      <c r="HJJ428" s="54"/>
      <c r="HJK428" s="239"/>
      <c r="HJL428" s="54"/>
      <c r="HJM428" s="232"/>
      <c r="HJN428" s="2"/>
      <c r="HJO428" s="2"/>
      <c r="HJP428" s="2"/>
      <c r="HJQ428" s="2"/>
      <c r="HJR428" s="260"/>
      <c r="HJS428" s="260"/>
      <c r="HJT428" s="260"/>
      <c r="HJU428" s="260"/>
      <c r="HJV428" s="260"/>
      <c r="HJW428" s="260"/>
      <c r="HJX428" s="260"/>
      <c r="HJY428" s="260"/>
      <c r="HJZ428" s="260"/>
      <c r="HKA428" s="260"/>
      <c r="HKB428" s="260"/>
      <c r="HKC428" s="260"/>
      <c r="HKD428" s="260"/>
      <c r="HKE428" s="2"/>
      <c r="HKF428" s="2"/>
      <c r="HKG428" s="2"/>
      <c r="HKH428" s="2"/>
      <c r="HKI428" s="2"/>
      <c r="HKJ428" s="2"/>
      <c r="HKK428" s="2"/>
      <c r="HKL428" s="2"/>
      <c r="HKM428" s="2"/>
      <c r="HKN428" s="2"/>
      <c r="HKO428" s="2"/>
      <c r="HKP428" s="2"/>
      <c r="HKQ428" s="2"/>
      <c r="HKR428" s="2"/>
      <c r="HKS428" s="2"/>
      <c r="HKT428" s="260"/>
      <c r="HKU428" s="260"/>
      <c r="HKV428" s="260"/>
      <c r="HKW428" s="380"/>
      <c r="HKX428" s="380"/>
      <c r="HKY428" s="380"/>
      <c r="HKZ428" s="2"/>
      <c r="HLA428" s="405"/>
      <c r="HLB428" s="54"/>
      <c r="HLC428" s="239"/>
      <c r="HLD428" s="54"/>
      <c r="HLE428" s="232"/>
      <c r="HLF428" s="2"/>
      <c r="HLG428" s="2"/>
      <c r="HLH428" s="2"/>
      <c r="HLI428" s="2"/>
      <c r="HLJ428" s="260"/>
      <c r="HLK428" s="260"/>
      <c r="HLL428" s="260"/>
      <c r="HLM428" s="260"/>
      <c r="HLN428" s="260"/>
      <c r="HLO428" s="260"/>
      <c r="HLP428" s="260"/>
      <c r="HLQ428" s="260"/>
      <c r="HLR428" s="260"/>
      <c r="HLS428" s="260"/>
      <c r="HLT428" s="260"/>
      <c r="HLU428" s="260"/>
      <c r="HLV428" s="260"/>
      <c r="HLW428" s="2"/>
      <c r="HLX428" s="2"/>
      <c r="HLY428" s="2"/>
      <c r="HLZ428" s="2"/>
      <c r="HMA428" s="2"/>
      <c r="HMB428" s="2"/>
      <c r="HMC428" s="2"/>
      <c r="HMD428" s="2"/>
      <c r="HME428" s="2"/>
      <c r="HMF428" s="2"/>
      <c r="HMG428" s="2"/>
      <c r="HMH428" s="2"/>
      <c r="HMI428" s="2"/>
      <c r="HMJ428" s="2"/>
      <c r="HMK428" s="2"/>
      <c r="HML428" s="260"/>
      <c r="HMM428" s="260"/>
      <c r="HMN428" s="260"/>
      <c r="HMO428" s="380"/>
      <c r="HMP428" s="380"/>
      <c r="HMQ428" s="380"/>
      <c r="HMR428" s="2"/>
      <c r="HMS428" s="405"/>
      <c r="HMT428" s="54"/>
      <c r="HMU428" s="239"/>
      <c r="HMV428" s="54"/>
      <c r="HMW428" s="232"/>
      <c r="HMX428" s="2"/>
      <c r="HMY428" s="2"/>
      <c r="HMZ428" s="2"/>
      <c r="HNA428" s="2"/>
      <c r="HNB428" s="260"/>
      <c r="HNC428" s="260"/>
      <c r="HND428" s="260"/>
      <c r="HNE428" s="260"/>
      <c r="HNF428" s="260"/>
      <c r="HNG428" s="260"/>
      <c r="HNH428" s="260"/>
      <c r="HNI428" s="260"/>
      <c r="HNJ428" s="260"/>
      <c r="HNK428" s="260"/>
      <c r="HNL428" s="260"/>
      <c r="HNM428" s="260"/>
      <c r="HNN428" s="260"/>
      <c r="HNO428" s="2"/>
      <c r="HNP428" s="2"/>
      <c r="HNQ428" s="2"/>
      <c r="HNR428" s="2"/>
      <c r="HNS428" s="2"/>
      <c r="HNT428" s="2"/>
      <c r="HNU428" s="2"/>
      <c r="HNV428" s="2"/>
      <c r="HNW428" s="2"/>
      <c r="HNX428" s="2"/>
      <c r="HNY428" s="2"/>
      <c r="HNZ428" s="2"/>
      <c r="HOA428" s="2"/>
      <c r="HOB428" s="2"/>
      <c r="HOC428" s="2"/>
      <c r="HOD428" s="260"/>
      <c r="HOE428" s="260"/>
      <c r="HOF428" s="260"/>
      <c r="HOG428" s="380"/>
      <c r="HOH428" s="380"/>
      <c r="HOI428" s="380"/>
      <c r="HOJ428" s="2"/>
      <c r="HOK428" s="405"/>
      <c r="HOL428" s="54"/>
      <c r="HOM428" s="239"/>
      <c r="HON428" s="54"/>
      <c r="HOO428" s="232"/>
      <c r="HOP428" s="2"/>
      <c r="HOQ428" s="2"/>
      <c r="HOR428" s="2"/>
      <c r="HOS428" s="2"/>
      <c r="HOT428" s="260"/>
      <c r="HOU428" s="260"/>
      <c r="HOV428" s="260"/>
      <c r="HOW428" s="260"/>
      <c r="HOX428" s="260"/>
      <c r="HOY428" s="260"/>
      <c r="HOZ428" s="260"/>
      <c r="HPA428" s="260"/>
      <c r="HPB428" s="260"/>
      <c r="HPC428" s="260"/>
      <c r="HPD428" s="260"/>
      <c r="HPE428" s="260"/>
      <c r="HPF428" s="260"/>
      <c r="HPG428" s="2"/>
      <c r="HPH428" s="2"/>
      <c r="HPI428" s="2"/>
      <c r="HPJ428" s="2"/>
      <c r="HPK428" s="2"/>
      <c r="HPL428" s="2"/>
      <c r="HPM428" s="2"/>
      <c r="HPN428" s="2"/>
      <c r="HPO428" s="2"/>
      <c r="HPP428" s="2"/>
      <c r="HPQ428" s="2"/>
      <c r="HPR428" s="2"/>
      <c r="HPS428" s="2"/>
      <c r="HPT428" s="2"/>
      <c r="HPU428" s="2"/>
      <c r="HPV428" s="260"/>
      <c r="HPW428" s="260"/>
      <c r="HPX428" s="260"/>
      <c r="HPY428" s="380"/>
      <c r="HPZ428" s="380"/>
      <c r="HQA428" s="380"/>
      <c r="HQB428" s="2"/>
      <c r="HQC428" s="405"/>
      <c r="HQD428" s="54"/>
      <c r="HQE428" s="239"/>
      <c r="HQF428" s="54"/>
      <c r="HQG428" s="232"/>
      <c r="HQH428" s="2"/>
      <c r="HQI428" s="2"/>
      <c r="HQJ428" s="2"/>
      <c r="HQK428" s="2"/>
      <c r="HQL428" s="260"/>
      <c r="HQM428" s="260"/>
      <c r="HQN428" s="260"/>
      <c r="HQO428" s="260"/>
      <c r="HQP428" s="260"/>
      <c r="HQQ428" s="260"/>
      <c r="HQR428" s="260"/>
      <c r="HQS428" s="260"/>
      <c r="HQT428" s="260"/>
      <c r="HQU428" s="260"/>
      <c r="HQV428" s="260"/>
      <c r="HQW428" s="260"/>
      <c r="HQX428" s="260"/>
      <c r="HQY428" s="2"/>
      <c r="HQZ428" s="2"/>
      <c r="HRA428" s="2"/>
      <c r="HRB428" s="2"/>
      <c r="HRC428" s="2"/>
      <c r="HRD428" s="2"/>
      <c r="HRE428" s="2"/>
      <c r="HRF428" s="2"/>
      <c r="HRG428" s="2"/>
      <c r="HRH428" s="2"/>
      <c r="HRI428" s="2"/>
      <c r="HRJ428" s="2"/>
      <c r="HRK428" s="2"/>
      <c r="HRL428" s="2"/>
      <c r="HRM428" s="2"/>
      <c r="HRN428" s="260"/>
      <c r="HRO428" s="260"/>
      <c r="HRP428" s="260"/>
      <c r="HRQ428" s="380"/>
      <c r="HRR428" s="380"/>
      <c r="HRS428" s="380"/>
      <c r="HRT428" s="2"/>
      <c r="HRU428" s="405"/>
      <c r="HRV428" s="54"/>
      <c r="HRW428" s="239"/>
      <c r="HRX428" s="54"/>
      <c r="HRY428" s="232"/>
      <c r="HRZ428" s="2"/>
      <c r="HSA428" s="2"/>
      <c r="HSB428" s="2"/>
      <c r="HSC428" s="2"/>
      <c r="HSD428" s="260"/>
      <c r="HSE428" s="260"/>
      <c r="HSF428" s="260"/>
      <c r="HSG428" s="260"/>
      <c r="HSH428" s="260"/>
      <c r="HSI428" s="260"/>
      <c r="HSJ428" s="260"/>
      <c r="HSK428" s="260"/>
      <c r="HSL428" s="260"/>
      <c r="HSM428" s="260"/>
      <c r="HSN428" s="260"/>
      <c r="HSO428" s="260"/>
      <c r="HSP428" s="260"/>
      <c r="HSQ428" s="2"/>
      <c r="HSR428" s="2"/>
      <c r="HSS428" s="2"/>
      <c r="HST428" s="2"/>
      <c r="HSU428" s="2"/>
      <c r="HSV428" s="2"/>
      <c r="HSW428" s="2"/>
      <c r="HSX428" s="2"/>
      <c r="HSY428" s="2"/>
      <c r="HSZ428" s="2"/>
      <c r="HTA428" s="2"/>
      <c r="HTB428" s="2"/>
      <c r="HTC428" s="2"/>
      <c r="HTD428" s="2"/>
      <c r="HTE428" s="2"/>
      <c r="HTF428" s="260"/>
      <c r="HTG428" s="260"/>
      <c r="HTH428" s="260"/>
      <c r="HTI428" s="380"/>
      <c r="HTJ428" s="380"/>
      <c r="HTK428" s="380"/>
      <c r="HTL428" s="2"/>
      <c r="HTM428" s="405"/>
      <c r="HTN428" s="54"/>
      <c r="HTO428" s="239"/>
      <c r="HTP428" s="54"/>
      <c r="HTQ428" s="232"/>
      <c r="HTR428" s="2"/>
      <c r="HTS428" s="2"/>
      <c r="HTT428" s="2"/>
      <c r="HTU428" s="2"/>
      <c r="HTV428" s="260"/>
      <c r="HTW428" s="260"/>
      <c r="HTX428" s="260"/>
      <c r="HTY428" s="260"/>
      <c r="HTZ428" s="260"/>
      <c r="HUA428" s="260"/>
      <c r="HUB428" s="260"/>
      <c r="HUC428" s="260"/>
      <c r="HUD428" s="260"/>
      <c r="HUE428" s="260"/>
      <c r="HUF428" s="260"/>
      <c r="HUG428" s="260"/>
      <c r="HUH428" s="260"/>
      <c r="HUI428" s="2"/>
      <c r="HUJ428" s="2"/>
      <c r="HUK428" s="2"/>
      <c r="HUL428" s="2"/>
      <c r="HUM428" s="2"/>
      <c r="HUN428" s="2"/>
      <c r="HUO428" s="2"/>
      <c r="HUP428" s="2"/>
      <c r="HUQ428" s="2"/>
      <c r="HUR428" s="2"/>
      <c r="HUS428" s="2"/>
      <c r="HUT428" s="2"/>
      <c r="HUU428" s="2"/>
      <c r="HUV428" s="2"/>
      <c r="HUW428" s="2"/>
      <c r="HUX428" s="260"/>
      <c r="HUY428" s="260"/>
      <c r="HUZ428" s="260"/>
      <c r="HVA428" s="380"/>
      <c r="HVB428" s="380"/>
      <c r="HVC428" s="380"/>
      <c r="HVD428" s="2"/>
      <c r="HVE428" s="405"/>
      <c r="HVF428" s="54"/>
      <c r="HVG428" s="239"/>
      <c r="HVH428" s="54"/>
      <c r="HVI428" s="232"/>
      <c r="HVJ428" s="2"/>
      <c r="HVK428" s="2"/>
      <c r="HVL428" s="2"/>
      <c r="HVM428" s="2"/>
      <c r="HVN428" s="260"/>
      <c r="HVO428" s="260"/>
      <c r="HVP428" s="260"/>
      <c r="HVQ428" s="260"/>
      <c r="HVR428" s="260"/>
      <c r="HVS428" s="260"/>
      <c r="HVT428" s="260"/>
      <c r="HVU428" s="260"/>
      <c r="HVV428" s="260"/>
      <c r="HVW428" s="260"/>
      <c r="HVX428" s="260"/>
      <c r="HVY428" s="260"/>
      <c r="HVZ428" s="260"/>
      <c r="HWA428" s="2"/>
      <c r="HWB428" s="2"/>
      <c r="HWC428" s="2"/>
      <c r="HWD428" s="2"/>
      <c r="HWE428" s="2"/>
      <c r="HWF428" s="2"/>
      <c r="HWG428" s="2"/>
      <c r="HWH428" s="2"/>
      <c r="HWI428" s="2"/>
      <c r="HWJ428" s="2"/>
      <c r="HWK428" s="2"/>
      <c r="HWL428" s="2"/>
      <c r="HWM428" s="2"/>
      <c r="HWN428" s="2"/>
      <c r="HWO428" s="2"/>
      <c r="HWP428" s="260"/>
      <c r="HWQ428" s="260"/>
      <c r="HWR428" s="260"/>
      <c r="HWS428" s="380"/>
      <c r="HWT428" s="380"/>
      <c r="HWU428" s="380"/>
      <c r="HWV428" s="2"/>
      <c r="HWW428" s="405"/>
      <c r="HWX428" s="54"/>
      <c r="HWY428" s="239"/>
      <c r="HWZ428" s="54"/>
      <c r="HXA428" s="232"/>
      <c r="HXB428" s="2"/>
      <c r="HXC428" s="2"/>
      <c r="HXD428" s="2"/>
      <c r="HXE428" s="2"/>
      <c r="HXF428" s="260"/>
      <c r="HXG428" s="260"/>
      <c r="HXH428" s="260"/>
      <c r="HXI428" s="260"/>
      <c r="HXJ428" s="260"/>
      <c r="HXK428" s="260"/>
      <c r="HXL428" s="260"/>
      <c r="HXM428" s="260"/>
      <c r="HXN428" s="260"/>
      <c r="HXO428" s="260"/>
      <c r="HXP428" s="260"/>
      <c r="HXQ428" s="260"/>
      <c r="HXR428" s="260"/>
      <c r="HXS428" s="2"/>
      <c r="HXT428" s="2"/>
      <c r="HXU428" s="2"/>
      <c r="HXV428" s="2"/>
      <c r="HXW428" s="2"/>
      <c r="HXX428" s="2"/>
      <c r="HXY428" s="2"/>
      <c r="HXZ428" s="2"/>
      <c r="HYA428" s="2"/>
      <c r="HYB428" s="2"/>
      <c r="HYC428" s="2"/>
      <c r="HYD428" s="2"/>
      <c r="HYE428" s="2"/>
      <c r="HYF428" s="2"/>
      <c r="HYG428" s="2"/>
      <c r="HYH428" s="260"/>
      <c r="HYI428" s="260"/>
      <c r="HYJ428" s="260"/>
      <c r="HYK428" s="380"/>
      <c r="HYL428" s="380"/>
      <c r="HYM428" s="380"/>
      <c r="HYN428" s="2"/>
      <c r="HYO428" s="405"/>
      <c r="HYP428" s="54"/>
      <c r="HYQ428" s="239"/>
      <c r="HYR428" s="54"/>
      <c r="HYS428" s="232"/>
      <c r="HYT428" s="2"/>
      <c r="HYU428" s="2"/>
      <c r="HYV428" s="2"/>
      <c r="HYW428" s="2"/>
      <c r="HYX428" s="260"/>
      <c r="HYY428" s="260"/>
      <c r="HYZ428" s="260"/>
      <c r="HZA428" s="260"/>
      <c r="HZB428" s="260"/>
      <c r="HZC428" s="260"/>
      <c r="HZD428" s="260"/>
      <c r="HZE428" s="260"/>
      <c r="HZF428" s="260"/>
      <c r="HZG428" s="260"/>
      <c r="HZH428" s="260"/>
      <c r="HZI428" s="260"/>
      <c r="HZJ428" s="260"/>
      <c r="HZK428" s="2"/>
      <c r="HZL428" s="2"/>
      <c r="HZM428" s="2"/>
      <c r="HZN428" s="2"/>
      <c r="HZO428" s="2"/>
      <c r="HZP428" s="2"/>
      <c r="HZQ428" s="2"/>
      <c r="HZR428" s="2"/>
      <c r="HZS428" s="2"/>
      <c r="HZT428" s="2"/>
      <c r="HZU428" s="2"/>
      <c r="HZV428" s="2"/>
      <c r="HZW428" s="2"/>
      <c r="HZX428" s="2"/>
      <c r="HZY428" s="2"/>
      <c r="HZZ428" s="260"/>
      <c r="IAA428" s="260"/>
      <c r="IAB428" s="260"/>
      <c r="IAC428" s="380"/>
      <c r="IAD428" s="380"/>
      <c r="IAE428" s="380"/>
      <c r="IAF428" s="2"/>
      <c r="IAG428" s="405"/>
      <c r="IAH428" s="54"/>
      <c r="IAI428" s="239"/>
      <c r="IAJ428" s="54"/>
      <c r="IAK428" s="232"/>
      <c r="IAL428" s="2"/>
      <c r="IAM428" s="2"/>
      <c r="IAN428" s="2"/>
      <c r="IAO428" s="2"/>
      <c r="IAP428" s="260"/>
      <c r="IAQ428" s="260"/>
      <c r="IAR428" s="260"/>
      <c r="IAS428" s="260"/>
      <c r="IAT428" s="260"/>
      <c r="IAU428" s="260"/>
      <c r="IAV428" s="260"/>
      <c r="IAW428" s="260"/>
      <c r="IAX428" s="260"/>
      <c r="IAY428" s="260"/>
      <c r="IAZ428" s="260"/>
      <c r="IBA428" s="260"/>
      <c r="IBB428" s="260"/>
      <c r="IBC428" s="2"/>
      <c r="IBD428" s="2"/>
      <c r="IBE428" s="2"/>
      <c r="IBF428" s="2"/>
      <c r="IBG428" s="2"/>
      <c r="IBH428" s="2"/>
      <c r="IBI428" s="2"/>
      <c r="IBJ428" s="2"/>
      <c r="IBK428" s="2"/>
      <c r="IBL428" s="2"/>
      <c r="IBM428" s="2"/>
      <c r="IBN428" s="2"/>
      <c r="IBO428" s="2"/>
      <c r="IBP428" s="2"/>
      <c r="IBQ428" s="2"/>
      <c r="IBR428" s="260"/>
      <c r="IBS428" s="260"/>
      <c r="IBT428" s="260"/>
      <c r="IBU428" s="380"/>
      <c r="IBV428" s="380"/>
      <c r="IBW428" s="380"/>
      <c r="IBX428" s="2"/>
      <c r="IBY428" s="405"/>
      <c r="IBZ428" s="54"/>
      <c r="ICA428" s="239"/>
      <c r="ICB428" s="54"/>
      <c r="ICC428" s="232"/>
      <c r="ICD428" s="2"/>
      <c r="ICE428" s="2"/>
      <c r="ICF428" s="2"/>
      <c r="ICG428" s="2"/>
      <c r="ICH428" s="260"/>
      <c r="ICI428" s="260"/>
      <c r="ICJ428" s="260"/>
      <c r="ICK428" s="260"/>
      <c r="ICL428" s="260"/>
      <c r="ICM428" s="260"/>
      <c r="ICN428" s="260"/>
      <c r="ICO428" s="260"/>
      <c r="ICP428" s="260"/>
      <c r="ICQ428" s="260"/>
      <c r="ICR428" s="260"/>
      <c r="ICS428" s="260"/>
      <c r="ICT428" s="260"/>
      <c r="ICU428" s="2"/>
      <c r="ICV428" s="2"/>
      <c r="ICW428" s="2"/>
      <c r="ICX428" s="2"/>
      <c r="ICY428" s="2"/>
      <c r="ICZ428" s="2"/>
      <c r="IDA428" s="2"/>
      <c r="IDB428" s="2"/>
      <c r="IDC428" s="2"/>
      <c r="IDD428" s="2"/>
      <c r="IDE428" s="2"/>
      <c r="IDF428" s="2"/>
      <c r="IDG428" s="2"/>
      <c r="IDH428" s="2"/>
      <c r="IDI428" s="2"/>
      <c r="IDJ428" s="260"/>
      <c r="IDK428" s="260"/>
      <c r="IDL428" s="260"/>
      <c r="IDM428" s="380"/>
      <c r="IDN428" s="380"/>
      <c r="IDO428" s="380"/>
      <c r="IDP428" s="2"/>
      <c r="IDQ428" s="405"/>
      <c r="IDR428" s="54"/>
      <c r="IDS428" s="239"/>
      <c r="IDT428" s="54"/>
      <c r="IDU428" s="232"/>
      <c r="IDV428" s="2"/>
      <c r="IDW428" s="2"/>
      <c r="IDX428" s="2"/>
      <c r="IDY428" s="2"/>
      <c r="IDZ428" s="260"/>
      <c r="IEA428" s="260"/>
      <c r="IEB428" s="260"/>
      <c r="IEC428" s="260"/>
      <c r="IED428" s="260"/>
      <c r="IEE428" s="260"/>
      <c r="IEF428" s="260"/>
      <c r="IEG428" s="260"/>
      <c r="IEH428" s="260"/>
      <c r="IEI428" s="260"/>
      <c r="IEJ428" s="260"/>
      <c r="IEK428" s="260"/>
      <c r="IEL428" s="260"/>
      <c r="IEM428" s="2"/>
      <c r="IEN428" s="2"/>
      <c r="IEO428" s="2"/>
      <c r="IEP428" s="2"/>
      <c r="IEQ428" s="2"/>
      <c r="IER428" s="2"/>
      <c r="IES428" s="2"/>
      <c r="IET428" s="2"/>
      <c r="IEU428" s="2"/>
      <c r="IEV428" s="2"/>
      <c r="IEW428" s="2"/>
      <c r="IEX428" s="2"/>
      <c r="IEY428" s="2"/>
      <c r="IEZ428" s="2"/>
      <c r="IFA428" s="2"/>
      <c r="IFB428" s="260"/>
      <c r="IFC428" s="260"/>
      <c r="IFD428" s="260"/>
      <c r="IFE428" s="380"/>
      <c r="IFF428" s="380"/>
      <c r="IFG428" s="380"/>
      <c r="IFH428" s="2"/>
      <c r="IFI428" s="405"/>
      <c r="IFJ428" s="54"/>
      <c r="IFK428" s="239"/>
      <c r="IFL428" s="54"/>
      <c r="IFM428" s="232"/>
      <c r="IFN428" s="2"/>
      <c r="IFO428" s="2"/>
      <c r="IFP428" s="2"/>
      <c r="IFQ428" s="2"/>
      <c r="IFR428" s="260"/>
      <c r="IFS428" s="260"/>
      <c r="IFT428" s="260"/>
      <c r="IFU428" s="260"/>
      <c r="IFV428" s="260"/>
      <c r="IFW428" s="260"/>
      <c r="IFX428" s="260"/>
      <c r="IFY428" s="260"/>
      <c r="IFZ428" s="260"/>
      <c r="IGA428" s="260"/>
      <c r="IGB428" s="260"/>
      <c r="IGC428" s="260"/>
      <c r="IGD428" s="260"/>
      <c r="IGE428" s="2"/>
      <c r="IGF428" s="2"/>
      <c r="IGG428" s="2"/>
      <c r="IGH428" s="2"/>
      <c r="IGI428" s="2"/>
      <c r="IGJ428" s="2"/>
      <c r="IGK428" s="2"/>
      <c r="IGL428" s="2"/>
      <c r="IGM428" s="2"/>
      <c r="IGN428" s="2"/>
      <c r="IGO428" s="2"/>
      <c r="IGP428" s="2"/>
      <c r="IGQ428" s="2"/>
      <c r="IGR428" s="2"/>
      <c r="IGS428" s="2"/>
      <c r="IGT428" s="260"/>
      <c r="IGU428" s="260"/>
      <c r="IGV428" s="260"/>
      <c r="IGW428" s="380"/>
      <c r="IGX428" s="380"/>
      <c r="IGY428" s="380"/>
      <c r="IGZ428" s="2"/>
      <c r="IHA428" s="405"/>
      <c r="IHB428" s="54"/>
      <c r="IHC428" s="239"/>
      <c r="IHD428" s="54"/>
      <c r="IHE428" s="232"/>
      <c r="IHF428" s="2"/>
      <c r="IHG428" s="2"/>
      <c r="IHH428" s="2"/>
      <c r="IHI428" s="2"/>
      <c r="IHJ428" s="260"/>
      <c r="IHK428" s="260"/>
      <c r="IHL428" s="260"/>
      <c r="IHM428" s="260"/>
      <c r="IHN428" s="260"/>
      <c r="IHO428" s="260"/>
      <c r="IHP428" s="260"/>
      <c r="IHQ428" s="260"/>
      <c r="IHR428" s="260"/>
      <c r="IHS428" s="260"/>
      <c r="IHT428" s="260"/>
      <c r="IHU428" s="260"/>
      <c r="IHV428" s="260"/>
      <c r="IHW428" s="2"/>
      <c r="IHX428" s="2"/>
      <c r="IHY428" s="2"/>
      <c r="IHZ428" s="2"/>
      <c r="IIA428" s="2"/>
      <c r="IIB428" s="2"/>
      <c r="IIC428" s="2"/>
      <c r="IID428" s="2"/>
      <c r="IIE428" s="2"/>
      <c r="IIF428" s="2"/>
      <c r="IIG428" s="2"/>
      <c r="IIH428" s="2"/>
      <c r="III428" s="2"/>
      <c r="IIJ428" s="2"/>
      <c r="IIK428" s="2"/>
      <c r="IIL428" s="260"/>
      <c r="IIM428" s="260"/>
      <c r="IIN428" s="260"/>
      <c r="IIO428" s="380"/>
      <c r="IIP428" s="380"/>
      <c r="IIQ428" s="380"/>
      <c r="IIR428" s="2"/>
      <c r="IIS428" s="405"/>
      <c r="IIT428" s="54"/>
      <c r="IIU428" s="239"/>
      <c r="IIV428" s="54"/>
      <c r="IIW428" s="232"/>
      <c r="IIX428" s="2"/>
      <c r="IIY428" s="2"/>
      <c r="IIZ428" s="2"/>
      <c r="IJA428" s="2"/>
      <c r="IJB428" s="260"/>
      <c r="IJC428" s="260"/>
      <c r="IJD428" s="260"/>
      <c r="IJE428" s="260"/>
      <c r="IJF428" s="260"/>
      <c r="IJG428" s="260"/>
      <c r="IJH428" s="260"/>
      <c r="IJI428" s="260"/>
      <c r="IJJ428" s="260"/>
      <c r="IJK428" s="260"/>
      <c r="IJL428" s="260"/>
      <c r="IJM428" s="260"/>
      <c r="IJN428" s="260"/>
      <c r="IJO428" s="2"/>
      <c r="IJP428" s="2"/>
      <c r="IJQ428" s="2"/>
      <c r="IJR428" s="2"/>
      <c r="IJS428" s="2"/>
      <c r="IJT428" s="2"/>
      <c r="IJU428" s="2"/>
      <c r="IJV428" s="2"/>
      <c r="IJW428" s="2"/>
      <c r="IJX428" s="2"/>
      <c r="IJY428" s="2"/>
      <c r="IJZ428" s="2"/>
      <c r="IKA428" s="2"/>
      <c r="IKB428" s="2"/>
      <c r="IKC428" s="2"/>
      <c r="IKD428" s="260"/>
      <c r="IKE428" s="260"/>
      <c r="IKF428" s="260"/>
      <c r="IKG428" s="380"/>
      <c r="IKH428" s="380"/>
      <c r="IKI428" s="380"/>
      <c r="IKJ428" s="2"/>
      <c r="IKK428" s="405"/>
      <c r="IKL428" s="54"/>
      <c r="IKM428" s="239"/>
      <c r="IKN428" s="54"/>
      <c r="IKO428" s="232"/>
      <c r="IKP428" s="2"/>
      <c r="IKQ428" s="2"/>
      <c r="IKR428" s="2"/>
      <c r="IKS428" s="2"/>
      <c r="IKT428" s="260"/>
      <c r="IKU428" s="260"/>
      <c r="IKV428" s="260"/>
      <c r="IKW428" s="260"/>
      <c r="IKX428" s="260"/>
      <c r="IKY428" s="260"/>
      <c r="IKZ428" s="260"/>
      <c r="ILA428" s="260"/>
      <c r="ILB428" s="260"/>
      <c r="ILC428" s="260"/>
      <c r="ILD428" s="260"/>
      <c r="ILE428" s="260"/>
      <c r="ILF428" s="260"/>
      <c r="ILG428" s="2"/>
      <c r="ILH428" s="2"/>
      <c r="ILI428" s="2"/>
      <c r="ILJ428" s="2"/>
      <c r="ILK428" s="2"/>
      <c r="ILL428" s="2"/>
      <c r="ILM428" s="2"/>
      <c r="ILN428" s="2"/>
      <c r="ILO428" s="2"/>
      <c r="ILP428" s="2"/>
      <c r="ILQ428" s="2"/>
      <c r="ILR428" s="2"/>
      <c r="ILS428" s="2"/>
      <c r="ILT428" s="2"/>
      <c r="ILU428" s="2"/>
      <c r="ILV428" s="260"/>
      <c r="ILW428" s="260"/>
      <c r="ILX428" s="260"/>
      <c r="ILY428" s="380"/>
      <c r="ILZ428" s="380"/>
      <c r="IMA428" s="380"/>
      <c r="IMB428" s="2"/>
      <c r="IMC428" s="405"/>
      <c r="IMD428" s="54"/>
      <c r="IME428" s="239"/>
      <c r="IMF428" s="54"/>
      <c r="IMG428" s="232"/>
      <c r="IMH428" s="2"/>
      <c r="IMI428" s="2"/>
      <c r="IMJ428" s="2"/>
      <c r="IMK428" s="2"/>
      <c r="IML428" s="260"/>
      <c r="IMM428" s="260"/>
      <c r="IMN428" s="260"/>
      <c r="IMO428" s="260"/>
      <c r="IMP428" s="260"/>
      <c r="IMQ428" s="260"/>
      <c r="IMR428" s="260"/>
      <c r="IMS428" s="260"/>
      <c r="IMT428" s="260"/>
      <c r="IMU428" s="260"/>
      <c r="IMV428" s="260"/>
      <c r="IMW428" s="260"/>
      <c r="IMX428" s="260"/>
      <c r="IMY428" s="2"/>
      <c r="IMZ428" s="2"/>
      <c r="INA428" s="2"/>
      <c r="INB428" s="2"/>
      <c r="INC428" s="2"/>
      <c r="IND428" s="2"/>
      <c r="INE428" s="2"/>
      <c r="INF428" s="2"/>
      <c r="ING428" s="2"/>
      <c r="INH428" s="2"/>
      <c r="INI428" s="2"/>
      <c r="INJ428" s="2"/>
      <c r="INK428" s="2"/>
      <c r="INL428" s="2"/>
      <c r="INM428" s="2"/>
      <c r="INN428" s="260"/>
      <c r="INO428" s="260"/>
      <c r="INP428" s="260"/>
      <c r="INQ428" s="380"/>
      <c r="INR428" s="380"/>
      <c r="INS428" s="380"/>
      <c r="INT428" s="2"/>
      <c r="INU428" s="405"/>
      <c r="INV428" s="54"/>
      <c r="INW428" s="239"/>
      <c r="INX428" s="54"/>
      <c r="INY428" s="232"/>
      <c r="INZ428" s="2"/>
      <c r="IOA428" s="2"/>
      <c r="IOB428" s="2"/>
      <c r="IOC428" s="2"/>
      <c r="IOD428" s="260"/>
      <c r="IOE428" s="260"/>
      <c r="IOF428" s="260"/>
      <c r="IOG428" s="260"/>
      <c r="IOH428" s="260"/>
      <c r="IOI428" s="260"/>
      <c r="IOJ428" s="260"/>
      <c r="IOK428" s="260"/>
      <c r="IOL428" s="260"/>
      <c r="IOM428" s="260"/>
      <c r="ION428" s="260"/>
      <c r="IOO428" s="260"/>
      <c r="IOP428" s="260"/>
      <c r="IOQ428" s="2"/>
      <c r="IOR428" s="2"/>
      <c r="IOS428" s="2"/>
      <c r="IOT428" s="2"/>
      <c r="IOU428" s="2"/>
      <c r="IOV428" s="2"/>
      <c r="IOW428" s="2"/>
      <c r="IOX428" s="2"/>
      <c r="IOY428" s="2"/>
      <c r="IOZ428" s="2"/>
      <c r="IPA428" s="2"/>
      <c r="IPB428" s="2"/>
      <c r="IPC428" s="2"/>
      <c r="IPD428" s="2"/>
      <c r="IPE428" s="2"/>
      <c r="IPF428" s="260"/>
      <c r="IPG428" s="260"/>
      <c r="IPH428" s="260"/>
      <c r="IPI428" s="380"/>
      <c r="IPJ428" s="380"/>
      <c r="IPK428" s="380"/>
      <c r="IPL428" s="2"/>
      <c r="IPM428" s="405"/>
      <c r="IPN428" s="54"/>
      <c r="IPO428" s="239"/>
      <c r="IPP428" s="54"/>
      <c r="IPQ428" s="232"/>
      <c r="IPR428" s="2"/>
      <c r="IPS428" s="2"/>
      <c r="IPT428" s="2"/>
      <c r="IPU428" s="2"/>
      <c r="IPV428" s="260"/>
      <c r="IPW428" s="260"/>
      <c r="IPX428" s="260"/>
      <c r="IPY428" s="260"/>
      <c r="IPZ428" s="260"/>
      <c r="IQA428" s="260"/>
      <c r="IQB428" s="260"/>
      <c r="IQC428" s="260"/>
      <c r="IQD428" s="260"/>
      <c r="IQE428" s="260"/>
      <c r="IQF428" s="260"/>
      <c r="IQG428" s="260"/>
      <c r="IQH428" s="260"/>
      <c r="IQI428" s="2"/>
      <c r="IQJ428" s="2"/>
      <c r="IQK428" s="2"/>
      <c r="IQL428" s="2"/>
      <c r="IQM428" s="2"/>
      <c r="IQN428" s="2"/>
      <c r="IQO428" s="2"/>
      <c r="IQP428" s="2"/>
      <c r="IQQ428" s="2"/>
      <c r="IQR428" s="2"/>
      <c r="IQS428" s="2"/>
      <c r="IQT428" s="2"/>
      <c r="IQU428" s="2"/>
      <c r="IQV428" s="2"/>
      <c r="IQW428" s="2"/>
      <c r="IQX428" s="260"/>
      <c r="IQY428" s="260"/>
      <c r="IQZ428" s="260"/>
      <c r="IRA428" s="380"/>
      <c r="IRB428" s="380"/>
      <c r="IRC428" s="380"/>
      <c r="IRD428" s="2"/>
      <c r="IRE428" s="405"/>
      <c r="IRF428" s="54"/>
      <c r="IRG428" s="239"/>
      <c r="IRH428" s="54"/>
      <c r="IRI428" s="232"/>
      <c r="IRJ428" s="2"/>
      <c r="IRK428" s="2"/>
      <c r="IRL428" s="2"/>
      <c r="IRM428" s="2"/>
      <c r="IRN428" s="260"/>
      <c r="IRO428" s="260"/>
      <c r="IRP428" s="260"/>
      <c r="IRQ428" s="260"/>
      <c r="IRR428" s="260"/>
      <c r="IRS428" s="260"/>
      <c r="IRT428" s="260"/>
      <c r="IRU428" s="260"/>
      <c r="IRV428" s="260"/>
      <c r="IRW428" s="260"/>
      <c r="IRX428" s="260"/>
      <c r="IRY428" s="260"/>
      <c r="IRZ428" s="260"/>
      <c r="ISA428" s="2"/>
      <c r="ISB428" s="2"/>
      <c r="ISC428" s="2"/>
      <c r="ISD428" s="2"/>
      <c r="ISE428" s="2"/>
      <c r="ISF428" s="2"/>
      <c r="ISG428" s="2"/>
      <c r="ISH428" s="2"/>
      <c r="ISI428" s="2"/>
      <c r="ISJ428" s="2"/>
      <c r="ISK428" s="2"/>
      <c r="ISL428" s="2"/>
      <c r="ISM428" s="2"/>
      <c r="ISN428" s="2"/>
      <c r="ISO428" s="2"/>
      <c r="ISP428" s="260"/>
      <c r="ISQ428" s="260"/>
      <c r="ISR428" s="260"/>
      <c r="ISS428" s="380"/>
      <c r="IST428" s="380"/>
      <c r="ISU428" s="380"/>
      <c r="ISV428" s="2"/>
      <c r="ISW428" s="405"/>
      <c r="ISX428" s="54"/>
      <c r="ISY428" s="239"/>
      <c r="ISZ428" s="54"/>
      <c r="ITA428" s="232"/>
      <c r="ITB428" s="2"/>
      <c r="ITC428" s="2"/>
      <c r="ITD428" s="2"/>
      <c r="ITE428" s="2"/>
      <c r="ITF428" s="260"/>
      <c r="ITG428" s="260"/>
      <c r="ITH428" s="260"/>
      <c r="ITI428" s="260"/>
      <c r="ITJ428" s="260"/>
      <c r="ITK428" s="260"/>
      <c r="ITL428" s="260"/>
      <c r="ITM428" s="260"/>
      <c r="ITN428" s="260"/>
      <c r="ITO428" s="260"/>
      <c r="ITP428" s="260"/>
      <c r="ITQ428" s="260"/>
      <c r="ITR428" s="260"/>
      <c r="ITS428" s="2"/>
      <c r="ITT428" s="2"/>
      <c r="ITU428" s="2"/>
      <c r="ITV428" s="2"/>
      <c r="ITW428" s="2"/>
      <c r="ITX428" s="2"/>
      <c r="ITY428" s="2"/>
      <c r="ITZ428" s="2"/>
      <c r="IUA428" s="2"/>
      <c r="IUB428" s="2"/>
      <c r="IUC428" s="2"/>
      <c r="IUD428" s="2"/>
      <c r="IUE428" s="2"/>
      <c r="IUF428" s="2"/>
      <c r="IUG428" s="2"/>
      <c r="IUH428" s="260"/>
      <c r="IUI428" s="260"/>
      <c r="IUJ428" s="260"/>
      <c r="IUK428" s="380"/>
      <c r="IUL428" s="380"/>
      <c r="IUM428" s="380"/>
      <c r="IUN428" s="2"/>
      <c r="IUO428" s="405"/>
      <c r="IUP428" s="54"/>
      <c r="IUQ428" s="239"/>
      <c r="IUR428" s="54"/>
      <c r="IUS428" s="232"/>
      <c r="IUT428" s="2"/>
      <c r="IUU428" s="2"/>
      <c r="IUV428" s="2"/>
      <c r="IUW428" s="2"/>
      <c r="IUX428" s="260"/>
      <c r="IUY428" s="260"/>
      <c r="IUZ428" s="260"/>
      <c r="IVA428" s="260"/>
      <c r="IVB428" s="260"/>
      <c r="IVC428" s="260"/>
      <c r="IVD428" s="260"/>
      <c r="IVE428" s="260"/>
      <c r="IVF428" s="260"/>
      <c r="IVG428" s="260"/>
      <c r="IVH428" s="260"/>
      <c r="IVI428" s="260"/>
      <c r="IVJ428" s="260"/>
      <c r="IVK428" s="2"/>
      <c r="IVL428" s="2"/>
      <c r="IVM428" s="2"/>
      <c r="IVN428" s="2"/>
      <c r="IVO428" s="2"/>
      <c r="IVP428" s="2"/>
      <c r="IVQ428" s="2"/>
      <c r="IVR428" s="2"/>
      <c r="IVS428" s="2"/>
      <c r="IVT428" s="2"/>
      <c r="IVU428" s="2"/>
      <c r="IVV428" s="2"/>
      <c r="IVW428" s="2"/>
      <c r="IVX428" s="2"/>
      <c r="IVY428" s="2"/>
      <c r="IVZ428" s="260"/>
      <c r="IWA428" s="260"/>
      <c r="IWB428" s="260"/>
      <c r="IWC428" s="380"/>
      <c r="IWD428" s="380"/>
      <c r="IWE428" s="380"/>
      <c r="IWF428" s="2"/>
      <c r="IWG428" s="405"/>
      <c r="IWH428" s="54"/>
      <c r="IWI428" s="239"/>
      <c r="IWJ428" s="54"/>
      <c r="IWK428" s="232"/>
      <c r="IWL428" s="2"/>
      <c r="IWM428" s="2"/>
      <c r="IWN428" s="2"/>
      <c r="IWO428" s="2"/>
      <c r="IWP428" s="260"/>
      <c r="IWQ428" s="260"/>
      <c r="IWR428" s="260"/>
      <c r="IWS428" s="260"/>
      <c r="IWT428" s="260"/>
      <c r="IWU428" s="260"/>
      <c r="IWV428" s="260"/>
      <c r="IWW428" s="260"/>
      <c r="IWX428" s="260"/>
      <c r="IWY428" s="260"/>
      <c r="IWZ428" s="260"/>
      <c r="IXA428" s="260"/>
      <c r="IXB428" s="260"/>
      <c r="IXC428" s="2"/>
      <c r="IXD428" s="2"/>
      <c r="IXE428" s="2"/>
      <c r="IXF428" s="2"/>
      <c r="IXG428" s="2"/>
      <c r="IXH428" s="2"/>
      <c r="IXI428" s="2"/>
      <c r="IXJ428" s="2"/>
      <c r="IXK428" s="2"/>
      <c r="IXL428" s="2"/>
      <c r="IXM428" s="2"/>
      <c r="IXN428" s="2"/>
      <c r="IXO428" s="2"/>
      <c r="IXP428" s="2"/>
      <c r="IXQ428" s="2"/>
      <c r="IXR428" s="260"/>
      <c r="IXS428" s="260"/>
      <c r="IXT428" s="260"/>
      <c r="IXU428" s="380"/>
      <c r="IXV428" s="380"/>
      <c r="IXW428" s="380"/>
      <c r="IXX428" s="2"/>
      <c r="IXY428" s="405"/>
      <c r="IXZ428" s="54"/>
      <c r="IYA428" s="239"/>
      <c r="IYB428" s="54"/>
      <c r="IYC428" s="232"/>
      <c r="IYD428" s="2"/>
      <c r="IYE428" s="2"/>
      <c r="IYF428" s="2"/>
      <c r="IYG428" s="2"/>
      <c r="IYH428" s="260"/>
      <c r="IYI428" s="260"/>
      <c r="IYJ428" s="260"/>
      <c r="IYK428" s="260"/>
      <c r="IYL428" s="260"/>
      <c r="IYM428" s="260"/>
      <c r="IYN428" s="260"/>
      <c r="IYO428" s="260"/>
      <c r="IYP428" s="260"/>
      <c r="IYQ428" s="260"/>
      <c r="IYR428" s="260"/>
      <c r="IYS428" s="260"/>
      <c r="IYT428" s="260"/>
      <c r="IYU428" s="2"/>
      <c r="IYV428" s="2"/>
      <c r="IYW428" s="2"/>
      <c r="IYX428" s="2"/>
      <c r="IYY428" s="2"/>
      <c r="IYZ428" s="2"/>
      <c r="IZA428" s="2"/>
      <c r="IZB428" s="2"/>
      <c r="IZC428" s="2"/>
      <c r="IZD428" s="2"/>
      <c r="IZE428" s="2"/>
      <c r="IZF428" s="2"/>
      <c r="IZG428" s="2"/>
      <c r="IZH428" s="2"/>
      <c r="IZI428" s="2"/>
      <c r="IZJ428" s="260"/>
      <c r="IZK428" s="260"/>
      <c r="IZL428" s="260"/>
      <c r="IZM428" s="380"/>
      <c r="IZN428" s="380"/>
      <c r="IZO428" s="380"/>
      <c r="IZP428" s="2"/>
      <c r="IZQ428" s="405"/>
      <c r="IZR428" s="54"/>
      <c r="IZS428" s="239"/>
      <c r="IZT428" s="54"/>
      <c r="IZU428" s="232"/>
      <c r="IZV428" s="2"/>
      <c r="IZW428" s="2"/>
      <c r="IZX428" s="2"/>
      <c r="IZY428" s="2"/>
      <c r="IZZ428" s="260"/>
      <c r="JAA428" s="260"/>
      <c r="JAB428" s="260"/>
      <c r="JAC428" s="260"/>
      <c r="JAD428" s="260"/>
      <c r="JAE428" s="260"/>
      <c r="JAF428" s="260"/>
      <c r="JAG428" s="260"/>
      <c r="JAH428" s="260"/>
      <c r="JAI428" s="260"/>
      <c r="JAJ428" s="260"/>
      <c r="JAK428" s="260"/>
      <c r="JAL428" s="260"/>
      <c r="JAM428" s="2"/>
      <c r="JAN428" s="2"/>
      <c r="JAO428" s="2"/>
      <c r="JAP428" s="2"/>
      <c r="JAQ428" s="2"/>
      <c r="JAR428" s="2"/>
      <c r="JAS428" s="2"/>
      <c r="JAT428" s="2"/>
      <c r="JAU428" s="2"/>
      <c r="JAV428" s="2"/>
      <c r="JAW428" s="2"/>
      <c r="JAX428" s="2"/>
      <c r="JAY428" s="2"/>
      <c r="JAZ428" s="2"/>
      <c r="JBA428" s="2"/>
      <c r="JBB428" s="260"/>
      <c r="JBC428" s="260"/>
      <c r="JBD428" s="260"/>
      <c r="JBE428" s="380"/>
      <c r="JBF428" s="380"/>
      <c r="JBG428" s="380"/>
      <c r="JBH428" s="2"/>
      <c r="JBI428" s="405"/>
      <c r="JBJ428" s="54"/>
      <c r="JBK428" s="239"/>
      <c r="JBL428" s="54"/>
      <c r="JBM428" s="232"/>
      <c r="JBN428" s="2"/>
      <c r="JBO428" s="2"/>
      <c r="JBP428" s="2"/>
      <c r="JBQ428" s="2"/>
      <c r="JBR428" s="260"/>
      <c r="JBS428" s="260"/>
      <c r="JBT428" s="260"/>
      <c r="JBU428" s="260"/>
      <c r="JBV428" s="260"/>
      <c r="JBW428" s="260"/>
      <c r="JBX428" s="260"/>
      <c r="JBY428" s="260"/>
      <c r="JBZ428" s="260"/>
      <c r="JCA428" s="260"/>
      <c r="JCB428" s="260"/>
      <c r="JCC428" s="260"/>
      <c r="JCD428" s="260"/>
      <c r="JCE428" s="2"/>
      <c r="JCF428" s="2"/>
      <c r="JCG428" s="2"/>
      <c r="JCH428" s="2"/>
      <c r="JCI428" s="2"/>
      <c r="JCJ428" s="2"/>
      <c r="JCK428" s="2"/>
      <c r="JCL428" s="2"/>
      <c r="JCM428" s="2"/>
      <c r="JCN428" s="2"/>
      <c r="JCO428" s="2"/>
      <c r="JCP428" s="2"/>
      <c r="JCQ428" s="2"/>
      <c r="JCR428" s="2"/>
      <c r="JCS428" s="2"/>
      <c r="JCT428" s="260"/>
      <c r="JCU428" s="260"/>
      <c r="JCV428" s="260"/>
      <c r="JCW428" s="380"/>
      <c r="JCX428" s="380"/>
      <c r="JCY428" s="380"/>
      <c r="JCZ428" s="2"/>
      <c r="JDA428" s="405"/>
      <c r="JDB428" s="54"/>
      <c r="JDC428" s="239"/>
      <c r="JDD428" s="54"/>
      <c r="JDE428" s="232"/>
      <c r="JDF428" s="2"/>
      <c r="JDG428" s="2"/>
      <c r="JDH428" s="2"/>
      <c r="JDI428" s="2"/>
      <c r="JDJ428" s="260"/>
      <c r="JDK428" s="260"/>
      <c r="JDL428" s="260"/>
      <c r="JDM428" s="260"/>
      <c r="JDN428" s="260"/>
      <c r="JDO428" s="260"/>
      <c r="JDP428" s="260"/>
      <c r="JDQ428" s="260"/>
      <c r="JDR428" s="260"/>
      <c r="JDS428" s="260"/>
      <c r="JDT428" s="260"/>
      <c r="JDU428" s="260"/>
      <c r="JDV428" s="260"/>
      <c r="JDW428" s="2"/>
      <c r="JDX428" s="2"/>
      <c r="JDY428" s="2"/>
      <c r="JDZ428" s="2"/>
      <c r="JEA428" s="2"/>
      <c r="JEB428" s="2"/>
      <c r="JEC428" s="2"/>
      <c r="JED428" s="2"/>
      <c r="JEE428" s="2"/>
      <c r="JEF428" s="2"/>
      <c r="JEG428" s="2"/>
      <c r="JEH428" s="2"/>
      <c r="JEI428" s="2"/>
      <c r="JEJ428" s="2"/>
      <c r="JEK428" s="2"/>
      <c r="JEL428" s="260"/>
      <c r="JEM428" s="260"/>
      <c r="JEN428" s="260"/>
      <c r="JEO428" s="380"/>
      <c r="JEP428" s="380"/>
      <c r="JEQ428" s="380"/>
      <c r="JER428" s="2"/>
      <c r="JES428" s="405"/>
      <c r="JET428" s="54"/>
      <c r="JEU428" s="239"/>
      <c r="JEV428" s="54"/>
      <c r="JEW428" s="232"/>
      <c r="JEX428" s="2"/>
      <c r="JEY428" s="2"/>
      <c r="JEZ428" s="2"/>
      <c r="JFA428" s="2"/>
      <c r="JFB428" s="260"/>
      <c r="JFC428" s="260"/>
      <c r="JFD428" s="260"/>
      <c r="JFE428" s="260"/>
      <c r="JFF428" s="260"/>
      <c r="JFG428" s="260"/>
      <c r="JFH428" s="260"/>
      <c r="JFI428" s="260"/>
      <c r="JFJ428" s="260"/>
      <c r="JFK428" s="260"/>
      <c r="JFL428" s="260"/>
      <c r="JFM428" s="260"/>
      <c r="JFN428" s="260"/>
      <c r="JFO428" s="2"/>
      <c r="JFP428" s="2"/>
      <c r="JFQ428" s="2"/>
      <c r="JFR428" s="2"/>
      <c r="JFS428" s="2"/>
      <c r="JFT428" s="2"/>
      <c r="JFU428" s="2"/>
      <c r="JFV428" s="2"/>
      <c r="JFW428" s="2"/>
      <c r="JFX428" s="2"/>
      <c r="JFY428" s="2"/>
      <c r="JFZ428" s="2"/>
      <c r="JGA428" s="2"/>
      <c r="JGB428" s="2"/>
      <c r="JGC428" s="2"/>
      <c r="JGD428" s="260"/>
      <c r="JGE428" s="260"/>
      <c r="JGF428" s="260"/>
      <c r="JGG428" s="380"/>
      <c r="JGH428" s="380"/>
      <c r="JGI428" s="380"/>
      <c r="JGJ428" s="2"/>
      <c r="JGK428" s="405"/>
      <c r="JGL428" s="54"/>
      <c r="JGM428" s="239"/>
      <c r="JGN428" s="54"/>
      <c r="JGO428" s="232"/>
      <c r="JGP428" s="2"/>
      <c r="JGQ428" s="2"/>
      <c r="JGR428" s="2"/>
      <c r="JGS428" s="2"/>
      <c r="JGT428" s="260"/>
      <c r="JGU428" s="260"/>
      <c r="JGV428" s="260"/>
      <c r="JGW428" s="260"/>
      <c r="JGX428" s="260"/>
      <c r="JGY428" s="260"/>
      <c r="JGZ428" s="260"/>
      <c r="JHA428" s="260"/>
      <c r="JHB428" s="260"/>
      <c r="JHC428" s="260"/>
      <c r="JHD428" s="260"/>
      <c r="JHE428" s="260"/>
      <c r="JHF428" s="260"/>
      <c r="JHG428" s="2"/>
      <c r="JHH428" s="2"/>
      <c r="JHI428" s="2"/>
      <c r="JHJ428" s="2"/>
      <c r="JHK428" s="2"/>
      <c r="JHL428" s="2"/>
      <c r="JHM428" s="2"/>
      <c r="JHN428" s="2"/>
      <c r="JHO428" s="2"/>
      <c r="JHP428" s="2"/>
      <c r="JHQ428" s="2"/>
      <c r="JHR428" s="2"/>
      <c r="JHS428" s="2"/>
      <c r="JHT428" s="2"/>
      <c r="JHU428" s="2"/>
      <c r="JHV428" s="260"/>
      <c r="JHW428" s="260"/>
      <c r="JHX428" s="260"/>
      <c r="JHY428" s="380"/>
      <c r="JHZ428" s="380"/>
      <c r="JIA428" s="380"/>
      <c r="JIB428" s="2"/>
      <c r="JIC428" s="405"/>
      <c r="JID428" s="54"/>
      <c r="JIE428" s="239"/>
      <c r="JIF428" s="54"/>
      <c r="JIG428" s="232"/>
      <c r="JIH428" s="2"/>
      <c r="JII428" s="2"/>
      <c r="JIJ428" s="2"/>
      <c r="JIK428" s="2"/>
      <c r="JIL428" s="260"/>
      <c r="JIM428" s="260"/>
      <c r="JIN428" s="260"/>
      <c r="JIO428" s="260"/>
      <c r="JIP428" s="260"/>
      <c r="JIQ428" s="260"/>
      <c r="JIR428" s="260"/>
      <c r="JIS428" s="260"/>
      <c r="JIT428" s="260"/>
      <c r="JIU428" s="260"/>
      <c r="JIV428" s="260"/>
      <c r="JIW428" s="260"/>
      <c r="JIX428" s="260"/>
      <c r="JIY428" s="2"/>
      <c r="JIZ428" s="2"/>
      <c r="JJA428" s="2"/>
      <c r="JJB428" s="2"/>
      <c r="JJC428" s="2"/>
      <c r="JJD428" s="2"/>
      <c r="JJE428" s="2"/>
      <c r="JJF428" s="2"/>
      <c r="JJG428" s="2"/>
      <c r="JJH428" s="2"/>
      <c r="JJI428" s="2"/>
      <c r="JJJ428" s="2"/>
      <c r="JJK428" s="2"/>
      <c r="JJL428" s="2"/>
      <c r="JJM428" s="2"/>
      <c r="JJN428" s="260"/>
      <c r="JJO428" s="260"/>
      <c r="JJP428" s="260"/>
      <c r="JJQ428" s="380"/>
      <c r="JJR428" s="380"/>
      <c r="JJS428" s="380"/>
      <c r="JJT428" s="2"/>
      <c r="JJU428" s="405"/>
      <c r="JJV428" s="54"/>
      <c r="JJW428" s="239"/>
      <c r="JJX428" s="54"/>
      <c r="JJY428" s="232"/>
      <c r="JJZ428" s="2"/>
      <c r="JKA428" s="2"/>
      <c r="JKB428" s="2"/>
      <c r="JKC428" s="2"/>
      <c r="JKD428" s="260"/>
      <c r="JKE428" s="260"/>
      <c r="JKF428" s="260"/>
      <c r="JKG428" s="260"/>
      <c r="JKH428" s="260"/>
      <c r="JKI428" s="260"/>
      <c r="JKJ428" s="260"/>
      <c r="JKK428" s="260"/>
      <c r="JKL428" s="260"/>
      <c r="JKM428" s="260"/>
      <c r="JKN428" s="260"/>
      <c r="JKO428" s="260"/>
      <c r="JKP428" s="260"/>
      <c r="JKQ428" s="2"/>
      <c r="JKR428" s="2"/>
      <c r="JKS428" s="2"/>
      <c r="JKT428" s="2"/>
      <c r="JKU428" s="2"/>
      <c r="JKV428" s="2"/>
      <c r="JKW428" s="2"/>
      <c r="JKX428" s="2"/>
      <c r="JKY428" s="2"/>
      <c r="JKZ428" s="2"/>
      <c r="JLA428" s="2"/>
      <c r="JLB428" s="2"/>
      <c r="JLC428" s="2"/>
      <c r="JLD428" s="2"/>
      <c r="JLE428" s="2"/>
      <c r="JLF428" s="260"/>
      <c r="JLG428" s="260"/>
      <c r="JLH428" s="260"/>
      <c r="JLI428" s="380"/>
      <c r="JLJ428" s="380"/>
      <c r="JLK428" s="380"/>
      <c r="JLL428" s="2"/>
      <c r="JLM428" s="405"/>
      <c r="JLN428" s="54"/>
      <c r="JLO428" s="239"/>
      <c r="JLP428" s="54"/>
      <c r="JLQ428" s="232"/>
      <c r="JLR428" s="2"/>
      <c r="JLS428" s="2"/>
      <c r="JLT428" s="2"/>
      <c r="JLU428" s="2"/>
      <c r="JLV428" s="260"/>
      <c r="JLW428" s="260"/>
      <c r="JLX428" s="260"/>
      <c r="JLY428" s="260"/>
      <c r="JLZ428" s="260"/>
      <c r="JMA428" s="260"/>
      <c r="JMB428" s="260"/>
      <c r="JMC428" s="260"/>
      <c r="JMD428" s="260"/>
      <c r="JME428" s="260"/>
      <c r="JMF428" s="260"/>
      <c r="JMG428" s="260"/>
      <c r="JMH428" s="260"/>
      <c r="JMI428" s="2"/>
      <c r="JMJ428" s="2"/>
      <c r="JMK428" s="2"/>
      <c r="JML428" s="2"/>
      <c r="JMM428" s="2"/>
      <c r="JMN428" s="2"/>
      <c r="JMO428" s="2"/>
      <c r="JMP428" s="2"/>
      <c r="JMQ428" s="2"/>
      <c r="JMR428" s="2"/>
      <c r="JMS428" s="2"/>
      <c r="JMT428" s="2"/>
      <c r="JMU428" s="2"/>
      <c r="JMV428" s="2"/>
      <c r="JMW428" s="2"/>
      <c r="JMX428" s="260"/>
      <c r="JMY428" s="260"/>
      <c r="JMZ428" s="260"/>
      <c r="JNA428" s="380"/>
      <c r="JNB428" s="380"/>
      <c r="JNC428" s="380"/>
      <c r="JND428" s="2"/>
      <c r="JNE428" s="405"/>
      <c r="JNF428" s="54"/>
      <c r="JNG428" s="239"/>
      <c r="JNH428" s="54"/>
      <c r="JNI428" s="232"/>
      <c r="JNJ428" s="2"/>
      <c r="JNK428" s="2"/>
      <c r="JNL428" s="2"/>
      <c r="JNM428" s="2"/>
      <c r="JNN428" s="260"/>
      <c r="JNO428" s="260"/>
      <c r="JNP428" s="260"/>
      <c r="JNQ428" s="260"/>
      <c r="JNR428" s="260"/>
      <c r="JNS428" s="260"/>
      <c r="JNT428" s="260"/>
      <c r="JNU428" s="260"/>
      <c r="JNV428" s="260"/>
      <c r="JNW428" s="260"/>
      <c r="JNX428" s="260"/>
      <c r="JNY428" s="260"/>
      <c r="JNZ428" s="260"/>
      <c r="JOA428" s="2"/>
      <c r="JOB428" s="2"/>
      <c r="JOC428" s="2"/>
      <c r="JOD428" s="2"/>
      <c r="JOE428" s="2"/>
      <c r="JOF428" s="2"/>
      <c r="JOG428" s="2"/>
      <c r="JOH428" s="2"/>
      <c r="JOI428" s="2"/>
      <c r="JOJ428" s="2"/>
      <c r="JOK428" s="2"/>
      <c r="JOL428" s="2"/>
      <c r="JOM428" s="2"/>
      <c r="JON428" s="2"/>
      <c r="JOO428" s="2"/>
      <c r="JOP428" s="260"/>
      <c r="JOQ428" s="260"/>
      <c r="JOR428" s="260"/>
      <c r="JOS428" s="380"/>
      <c r="JOT428" s="380"/>
      <c r="JOU428" s="380"/>
      <c r="JOV428" s="2"/>
      <c r="JOW428" s="405"/>
      <c r="JOX428" s="54"/>
      <c r="JOY428" s="239"/>
      <c r="JOZ428" s="54"/>
      <c r="JPA428" s="232"/>
      <c r="JPB428" s="2"/>
      <c r="JPC428" s="2"/>
      <c r="JPD428" s="2"/>
      <c r="JPE428" s="2"/>
      <c r="JPF428" s="260"/>
      <c r="JPG428" s="260"/>
      <c r="JPH428" s="260"/>
      <c r="JPI428" s="260"/>
      <c r="JPJ428" s="260"/>
      <c r="JPK428" s="260"/>
      <c r="JPL428" s="260"/>
      <c r="JPM428" s="260"/>
      <c r="JPN428" s="260"/>
      <c r="JPO428" s="260"/>
      <c r="JPP428" s="260"/>
      <c r="JPQ428" s="260"/>
      <c r="JPR428" s="260"/>
      <c r="JPS428" s="2"/>
      <c r="JPT428" s="2"/>
      <c r="JPU428" s="2"/>
      <c r="JPV428" s="2"/>
      <c r="JPW428" s="2"/>
      <c r="JPX428" s="2"/>
      <c r="JPY428" s="2"/>
      <c r="JPZ428" s="2"/>
      <c r="JQA428" s="2"/>
      <c r="JQB428" s="2"/>
      <c r="JQC428" s="2"/>
      <c r="JQD428" s="2"/>
      <c r="JQE428" s="2"/>
      <c r="JQF428" s="2"/>
      <c r="JQG428" s="2"/>
      <c r="JQH428" s="260"/>
      <c r="JQI428" s="260"/>
      <c r="JQJ428" s="260"/>
      <c r="JQK428" s="380"/>
      <c r="JQL428" s="380"/>
      <c r="JQM428" s="380"/>
      <c r="JQN428" s="2"/>
      <c r="JQO428" s="405"/>
      <c r="JQP428" s="54"/>
      <c r="JQQ428" s="239"/>
      <c r="JQR428" s="54"/>
      <c r="JQS428" s="232"/>
      <c r="JQT428" s="2"/>
      <c r="JQU428" s="2"/>
      <c r="JQV428" s="2"/>
      <c r="JQW428" s="2"/>
      <c r="JQX428" s="260"/>
      <c r="JQY428" s="260"/>
      <c r="JQZ428" s="260"/>
      <c r="JRA428" s="260"/>
      <c r="JRB428" s="260"/>
      <c r="JRC428" s="260"/>
      <c r="JRD428" s="260"/>
      <c r="JRE428" s="260"/>
      <c r="JRF428" s="260"/>
      <c r="JRG428" s="260"/>
      <c r="JRH428" s="260"/>
      <c r="JRI428" s="260"/>
      <c r="JRJ428" s="260"/>
      <c r="JRK428" s="2"/>
      <c r="JRL428" s="2"/>
      <c r="JRM428" s="2"/>
      <c r="JRN428" s="2"/>
      <c r="JRO428" s="2"/>
      <c r="JRP428" s="2"/>
      <c r="JRQ428" s="2"/>
      <c r="JRR428" s="2"/>
      <c r="JRS428" s="2"/>
      <c r="JRT428" s="2"/>
      <c r="JRU428" s="2"/>
      <c r="JRV428" s="2"/>
      <c r="JRW428" s="2"/>
      <c r="JRX428" s="2"/>
      <c r="JRY428" s="2"/>
      <c r="JRZ428" s="260"/>
      <c r="JSA428" s="260"/>
      <c r="JSB428" s="260"/>
      <c r="JSC428" s="380"/>
      <c r="JSD428" s="380"/>
      <c r="JSE428" s="380"/>
      <c r="JSF428" s="2"/>
      <c r="JSG428" s="405"/>
      <c r="JSH428" s="54"/>
      <c r="JSI428" s="239"/>
      <c r="JSJ428" s="54"/>
      <c r="JSK428" s="232"/>
      <c r="JSL428" s="2"/>
      <c r="JSM428" s="2"/>
      <c r="JSN428" s="2"/>
      <c r="JSO428" s="2"/>
      <c r="JSP428" s="260"/>
      <c r="JSQ428" s="260"/>
      <c r="JSR428" s="260"/>
      <c r="JSS428" s="260"/>
      <c r="JST428" s="260"/>
      <c r="JSU428" s="260"/>
      <c r="JSV428" s="260"/>
      <c r="JSW428" s="260"/>
      <c r="JSX428" s="260"/>
      <c r="JSY428" s="260"/>
      <c r="JSZ428" s="260"/>
      <c r="JTA428" s="260"/>
      <c r="JTB428" s="260"/>
      <c r="JTC428" s="2"/>
      <c r="JTD428" s="2"/>
      <c r="JTE428" s="2"/>
      <c r="JTF428" s="2"/>
      <c r="JTG428" s="2"/>
      <c r="JTH428" s="2"/>
      <c r="JTI428" s="2"/>
      <c r="JTJ428" s="2"/>
      <c r="JTK428" s="2"/>
      <c r="JTL428" s="2"/>
      <c r="JTM428" s="2"/>
      <c r="JTN428" s="2"/>
      <c r="JTO428" s="2"/>
      <c r="JTP428" s="2"/>
      <c r="JTQ428" s="2"/>
      <c r="JTR428" s="260"/>
      <c r="JTS428" s="260"/>
      <c r="JTT428" s="260"/>
      <c r="JTU428" s="380"/>
      <c r="JTV428" s="380"/>
      <c r="JTW428" s="380"/>
      <c r="JTX428" s="2"/>
      <c r="JTY428" s="405"/>
      <c r="JTZ428" s="54"/>
      <c r="JUA428" s="239"/>
      <c r="JUB428" s="54"/>
      <c r="JUC428" s="232"/>
      <c r="JUD428" s="2"/>
      <c r="JUE428" s="2"/>
      <c r="JUF428" s="2"/>
      <c r="JUG428" s="2"/>
      <c r="JUH428" s="260"/>
      <c r="JUI428" s="260"/>
      <c r="JUJ428" s="260"/>
      <c r="JUK428" s="260"/>
      <c r="JUL428" s="260"/>
      <c r="JUM428" s="260"/>
      <c r="JUN428" s="260"/>
      <c r="JUO428" s="260"/>
      <c r="JUP428" s="260"/>
      <c r="JUQ428" s="260"/>
      <c r="JUR428" s="260"/>
      <c r="JUS428" s="260"/>
      <c r="JUT428" s="260"/>
      <c r="JUU428" s="2"/>
      <c r="JUV428" s="2"/>
      <c r="JUW428" s="2"/>
      <c r="JUX428" s="2"/>
      <c r="JUY428" s="2"/>
      <c r="JUZ428" s="2"/>
      <c r="JVA428" s="2"/>
      <c r="JVB428" s="2"/>
      <c r="JVC428" s="2"/>
      <c r="JVD428" s="2"/>
      <c r="JVE428" s="2"/>
      <c r="JVF428" s="2"/>
      <c r="JVG428" s="2"/>
      <c r="JVH428" s="2"/>
      <c r="JVI428" s="2"/>
      <c r="JVJ428" s="260"/>
      <c r="JVK428" s="260"/>
      <c r="JVL428" s="260"/>
      <c r="JVM428" s="380"/>
      <c r="JVN428" s="380"/>
      <c r="JVO428" s="380"/>
      <c r="JVP428" s="2"/>
      <c r="JVQ428" s="405"/>
      <c r="JVR428" s="54"/>
      <c r="JVS428" s="239"/>
      <c r="JVT428" s="54"/>
      <c r="JVU428" s="232"/>
      <c r="JVV428" s="2"/>
      <c r="JVW428" s="2"/>
      <c r="JVX428" s="2"/>
      <c r="JVY428" s="2"/>
      <c r="JVZ428" s="260"/>
      <c r="JWA428" s="260"/>
      <c r="JWB428" s="260"/>
      <c r="JWC428" s="260"/>
      <c r="JWD428" s="260"/>
      <c r="JWE428" s="260"/>
      <c r="JWF428" s="260"/>
      <c r="JWG428" s="260"/>
      <c r="JWH428" s="260"/>
      <c r="JWI428" s="260"/>
      <c r="JWJ428" s="260"/>
      <c r="JWK428" s="260"/>
      <c r="JWL428" s="260"/>
      <c r="JWM428" s="2"/>
      <c r="JWN428" s="2"/>
      <c r="JWO428" s="2"/>
      <c r="JWP428" s="2"/>
      <c r="JWQ428" s="2"/>
      <c r="JWR428" s="2"/>
      <c r="JWS428" s="2"/>
      <c r="JWT428" s="2"/>
      <c r="JWU428" s="2"/>
      <c r="JWV428" s="2"/>
      <c r="JWW428" s="2"/>
      <c r="JWX428" s="2"/>
      <c r="JWY428" s="2"/>
      <c r="JWZ428" s="2"/>
      <c r="JXA428" s="2"/>
      <c r="JXB428" s="260"/>
      <c r="JXC428" s="260"/>
      <c r="JXD428" s="260"/>
      <c r="JXE428" s="380"/>
      <c r="JXF428" s="380"/>
      <c r="JXG428" s="380"/>
      <c r="JXH428" s="2"/>
      <c r="JXI428" s="405"/>
      <c r="JXJ428" s="54"/>
      <c r="JXK428" s="239"/>
      <c r="JXL428" s="54"/>
      <c r="JXM428" s="232"/>
      <c r="JXN428" s="2"/>
      <c r="JXO428" s="2"/>
      <c r="JXP428" s="2"/>
      <c r="JXQ428" s="2"/>
      <c r="JXR428" s="260"/>
      <c r="JXS428" s="260"/>
      <c r="JXT428" s="260"/>
      <c r="JXU428" s="260"/>
      <c r="JXV428" s="260"/>
      <c r="JXW428" s="260"/>
      <c r="JXX428" s="260"/>
      <c r="JXY428" s="260"/>
      <c r="JXZ428" s="260"/>
      <c r="JYA428" s="260"/>
      <c r="JYB428" s="260"/>
      <c r="JYC428" s="260"/>
      <c r="JYD428" s="260"/>
      <c r="JYE428" s="2"/>
      <c r="JYF428" s="2"/>
      <c r="JYG428" s="2"/>
      <c r="JYH428" s="2"/>
      <c r="JYI428" s="2"/>
      <c r="JYJ428" s="2"/>
      <c r="JYK428" s="2"/>
      <c r="JYL428" s="2"/>
      <c r="JYM428" s="2"/>
      <c r="JYN428" s="2"/>
      <c r="JYO428" s="2"/>
      <c r="JYP428" s="2"/>
      <c r="JYQ428" s="2"/>
      <c r="JYR428" s="2"/>
      <c r="JYS428" s="2"/>
      <c r="JYT428" s="260"/>
      <c r="JYU428" s="260"/>
      <c r="JYV428" s="260"/>
      <c r="JYW428" s="380"/>
      <c r="JYX428" s="380"/>
      <c r="JYY428" s="380"/>
      <c r="JYZ428" s="2"/>
      <c r="JZA428" s="405"/>
      <c r="JZB428" s="54"/>
      <c r="JZC428" s="239"/>
      <c r="JZD428" s="54"/>
      <c r="JZE428" s="232"/>
      <c r="JZF428" s="2"/>
      <c r="JZG428" s="2"/>
      <c r="JZH428" s="2"/>
      <c r="JZI428" s="2"/>
      <c r="JZJ428" s="260"/>
      <c r="JZK428" s="260"/>
      <c r="JZL428" s="260"/>
      <c r="JZM428" s="260"/>
      <c r="JZN428" s="260"/>
      <c r="JZO428" s="260"/>
      <c r="JZP428" s="260"/>
      <c r="JZQ428" s="260"/>
      <c r="JZR428" s="260"/>
      <c r="JZS428" s="260"/>
      <c r="JZT428" s="260"/>
      <c r="JZU428" s="260"/>
      <c r="JZV428" s="260"/>
      <c r="JZW428" s="2"/>
      <c r="JZX428" s="2"/>
      <c r="JZY428" s="2"/>
      <c r="JZZ428" s="2"/>
      <c r="KAA428" s="2"/>
      <c r="KAB428" s="2"/>
      <c r="KAC428" s="2"/>
      <c r="KAD428" s="2"/>
      <c r="KAE428" s="2"/>
      <c r="KAF428" s="2"/>
      <c r="KAG428" s="2"/>
      <c r="KAH428" s="2"/>
      <c r="KAI428" s="2"/>
      <c r="KAJ428" s="2"/>
      <c r="KAK428" s="2"/>
      <c r="KAL428" s="260"/>
      <c r="KAM428" s="260"/>
      <c r="KAN428" s="260"/>
      <c r="KAO428" s="380"/>
      <c r="KAP428" s="380"/>
      <c r="KAQ428" s="380"/>
      <c r="KAR428" s="2"/>
      <c r="KAS428" s="405"/>
      <c r="KAT428" s="54"/>
      <c r="KAU428" s="239"/>
      <c r="KAV428" s="54"/>
      <c r="KAW428" s="232"/>
      <c r="KAX428" s="2"/>
      <c r="KAY428" s="2"/>
      <c r="KAZ428" s="2"/>
      <c r="KBA428" s="2"/>
      <c r="KBB428" s="260"/>
      <c r="KBC428" s="260"/>
      <c r="KBD428" s="260"/>
      <c r="KBE428" s="260"/>
      <c r="KBF428" s="260"/>
      <c r="KBG428" s="260"/>
      <c r="KBH428" s="260"/>
      <c r="KBI428" s="260"/>
      <c r="KBJ428" s="260"/>
      <c r="KBK428" s="260"/>
      <c r="KBL428" s="260"/>
      <c r="KBM428" s="260"/>
      <c r="KBN428" s="260"/>
      <c r="KBO428" s="2"/>
      <c r="KBP428" s="2"/>
      <c r="KBQ428" s="2"/>
      <c r="KBR428" s="2"/>
      <c r="KBS428" s="2"/>
      <c r="KBT428" s="2"/>
      <c r="KBU428" s="2"/>
      <c r="KBV428" s="2"/>
      <c r="KBW428" s="2"/>
      <c r="KBX428" s="2"/>
      <c r="KBY428" s="2"/>
      <c r="KBZ428" s="2"/>
      <c r="KCA428" s="2"/>
      <c r="KCB428" s="2"/>
      <c r="KCC428" s="2"/>
      <c r="KCD428" s="260"/>
      <c r="KCE428" s="260"/>
      <c r="KCF428" s="260"/>
      <c r="KCG428" s="380"/>
      <c r="KCH428" s="380"/>
      <c r="KCI428" s="380"/>
      <c r="KCJ428" s="2"/>
      <c r="KCK428" s="405"/>
      <c r="KCL428" s="54"/>
      <c r="KCM428" s="239"/>
      <c r="KCN428" s="54"/>
      <c r="KCO428" s="232"/>
      <c r="KCP428" s="2"/>
      <c r="KCQ428" s="2"/>
      <c r="KCR428" s="2"/>
      <c r="KCS428" s="2"/>
      <c r="KCT428" s="260"/>
      <c r="KCU428" s="260"/>
      <c r="KCV428" s="260"/>
      <c r="KCW428" s="260"/>
      <c r="KCX428" s="260"/>
      <c r="KCY428" s="260"/>
      <c r="KCZ428" s="260"/>
      <c r="KDA428" s="260"/>
      <c r="KDB428" s="260"/>
      <c r="KDC428" s="260"/>
      <c r="KDD428" s="260"/>
      <c r="KDE428" s="260"/>
      <c r="KDF428" s="260"/>
      <c r="KDG428" s="2"/>
      <c r="KDH428" s="2"/>
      <c r="KDI428" s="2"/>
      <c r="KDJ428" s="2"/>
      <c r="KDK428" s="2"/>
      <c r="KDL428" s="2"/>
      <c r="KDM428" s="2"/>
      <c r="KDN428" s="2"/>
      <c r="KDO428" s="2"/>
      <c r="KDP428" s="2"/>
      <c r="KDQ428" s="2"/>
      <c r="KDR428" s="2"/>
      <c r="KDS428" s="2"/>
      <c r="KDT428" s="2"/>
      <c r="KDU428" s="2"/>
      <c r="KDV428" s="260"/>
      <c r="KDW428" s="260"/>
      <c r="KDX428" s="260"/>
      <c r="KDY428" s="380"/>
      <c r="KDZ428" s="380"/>
      <c r="KEA428" s="380"/>
      <c r="KEB428" s="2"/>
      <c r="KEC428" s="405"/>
      <c r="KED428" s="54"/>
      <c r="KEE428" s="239"/>
      <c r="KEF428" s="54"/>
      <c r="KEG428" s="232"/>
      <c r="KEH428" s="2"/>
      <c r="KEI428" s="2"/>
      <c r="KEJ428" s="2"/>
      <c r="KEK428" s="2"/>
      <c r="KEL428" s="260"/>
      <c r="KEM428" s="260"/>
      <c r="KEN428" s="260"/>
      <c r="KEO428" s="260"/>
      <c r="KEP428" s="260"/>
      <c r="KEQ428" s="260"/>
      <c r="KER428" s="260"/>
      <c r="KES428" s="260"/>
      <c r="KET428" s="260"/>
      <c r="KEU428" s="260"/>
      <c r="KEV428" s="260"/>
      <c r="KEW428" s="260"/>
      <c r="KEX428" s="260"/>
      <c r="KEY428" s="2"/>
      <c r="KEZ428" s="2"/>
      <c r="KFA428" s="2"/>
      <c r="KFB428" s="2"/>
      <c r="KFC428" s="2"/>
      <c r="KFD428" s="2"/>
      <c r="KFE428" s="2"/>
      <c r="KFF428" s="2"/>
      <c r="KFG428" s="2"/>
      <c r="KFH428" s="2"/>
      <c r="KFI428" s="2"/>
      <c r="KFJ428" s="2"/>
      <c r="KFK428" s="2"/>
      <c r="KFL428" s="2"/>
      <c r="KFM428" s="2"/>
      <c r="KFN428" s="260"/>
      <c r="KFO428" s="260"/>
      <c r="KFP428" s="260"/>
      <c r="KFQ428" s="380"/>
      <c r="KFR428" s="380"/>
      <c r="KFS428" s="380"/>
      <c r="KFT428" s="2"/>
      <c r="KFU428" s="405"/>
      <c r="KFV428" s="54"/>
      <c r="KFW428" s="239"/>
      <c r="KFX428" s="54"/>
      <c r="KFY428" s="232"/>
      <c r="KFZ428" s="2"/>
      <c r="KGA428" s="2"/>
      <c r="KGB428" s="2"/>
      <c r="KGC428" s="2"/>
      <c r="KGD428" s="260"/>
      <c r="KGE428" s="260"/>
      <c r="KGF428" s="260"/>
      <c r="KGG428" s="260"/>
      <c r="KGH428" s="260"/>
      <c r="KGI428" s="260"/>
      <c r="KGJ428" s="260"/>
      <c r="KGK428" s="260"/>
      <c r="KGL428" s="260"/>
      <c r="KGM428" s="260"/>
      <c r="KGN428" s="260"/>
      <c r="KGO428" s="260"/>
      <c r="KGP428" s="260"/>
      <c r="KGQ428" s="2"/>
      <c r="KGR428" s="2"/>
      <c r="KGS428" s="2"/>
      <c r="KGT428" s="2"/>
      <c r="KGU428" s="2"/>
      <c r="KGV428" s="2"/>
      <c r="KGW428" s="2"/>
      <c r="KGX428" s="2"/>
      <c r="KGY428" s="2"/>
      <c r="KGZ428" s="2"/>
      <c r="KHA428" s="2"/>
      <c r="KHB428" s="2"/>
      <c r="KHC428" s="2"/>
      <c r="KHD428" s="2"/>
      <c r="KHE428" s="2"/>
      <c r="KHF428" s="260"/>
      <c r="KHG428" s="260"/>
      <c r="KHH428" s="260"/>
      <c r="KHI428" s="380"/>
      <c r="KHJ428" s="380"/>
      <c r="KHK428" s="380"/>
      <c r="KHL428" s="2"/>
      <c r="KHM428" s="405"/>
      <c r="KHN428" s="54"/>
      <c r="KHO428" s="239"/>
      <c r="KHP428" s="54"/>
      <c r="KHQ428" s="232"/>
      <c r="KHR428" s="2"/>
      <c r="KHS428" s="2"/>
      <c r="KHT428" s="2"/>
      <c r="KHU428" s="2"/>
      <c r="KHV428" s="260"/>
      <c r="KHW428" s="260"/>
      <c r="KHX428" s="260"/>
      <c r="KHY428" s="260"/>
      <c r="KHZ428" s="260"/>
      <c r="KIA428" s="260"/>
      <c r="KIB428" s="260"/>
      <c r="KIC428" s="260"/>
      <c r="KID428" s="260"/>
      <c r="KIE428" s="260"/>
      <c r="KIF428" s="260"/>
      <c r="KIG428" s="260"/>
      <c r="KIH428" s="260"/>
      <c r="KII428" s="2"/>
      <c r="KIJ428" s="2"/>
      <c r="KIK428" s="2"/>
      <c r="KIL428" s="2"/>
      <c r="KIM428" s="2"/>
      <c r="KIN428" s="2"/>
      <c r="KIO428" s="2"/>
      <c r="KIP428" s="2"/>
      <c r="KIQ428" s="2"/>
      <c r="KIR428" s="2"/>
      <c r="KIS428" s="2"/>
      <c r="KIT428" s="2"/>
      <c r="KIU428" s="2"/>
      <c r="KIV428" s="2"/>
      <c r="KIW428" s="2"/>
      <c r="KIX428" s="260"/>
      <c r="KIY428" s="260"/>
      <c r="KIZ428" s="260"/>
      <c r="KJA428" s="380"/>
      <c r="KJB428" s="380"/>
      <c r="KJC428" s="380"/>
      <c r="KJD428" s="2"/>
      <c r="KJE428" s="405"/>
      <c r="KJF428" s="54"/>
      <c r="KJG428" s="239"/>
      <c r="KJH428" s="54"/>
      <c r="KJI428" s="232"/>
      <c r="KJJ428" s="2"/>
      <c r="KJK428" s="2"/>
      <c r="KJL428" s="2"/>
      <c r="KJM428" s="2"/>
      <c r="KJN428" s="260"/>
      <c r="KJO428" s="260"/>
      <c r="KJP428" s="260"/>
      <c r="KJQ428" s="260"/>
      <c r="KJR428" s="260"/>
      <c r="KJS428" s="260"/>
      <c r="KJT428" s="260"/>
      <c r="KJU428" s="260"/>
      <c r="KJV428" s="260"/>
      <c r="KJW428" s="260"/>
      <c r="KJX428" s="260"/>
      <c r="KJY428" s="260"/>
      <c r="KJZ428" s="260"/>
      <c r="KKA428" s="2"/>
      <c r="KKB428" s="2"/>
      <c r="KKC428" s="2"/>
      <c r="KKD428" s="2"/>
      <c r="KKE428" s="2"/>
      <c r="KKF428" s="2"/>
      <c r="KKG428" s="2"/>
      <c r="KKH428" s="2"/>
      <c r="KKI428" s="2"/>
      <c r="KKJ428" s="2"/>
      <c r="KKK428" s="2"/>
      <c r="KKL428" s="2"/>
      <c r="KKM428" s="2"/>
      <c r="KKN428" s="2"/>
      <c r="KKO428" s="2"/>
      <c r="KKP428" s="260"/>
      <c r="KKQ428" s="260"/>
      <c r="KKR428" s="260"/>
      <c r="KKS428" s="380"/>
      <c r="KKT428" s="380"/>
      <c r="KKU428" s="380"/>
      <c r="KKV428" s="2"/>
      <c r="KKW428" s="405"/>
      <c r="KKX428" s="54"/>
      <c r="KKY428" s="239"/>
      <c r="KKZ428" s="54"/>
      <c r="KLA428" s="232"/>
      <c r="KLB428" s="2"/>
      <c r="KLC428" s="2"/>
      <c r="KLD428" s="2"/>
      <c r="KLE428" s="2"/>
      <c r="KLF428" s="260"/>
      <c r="KLG428" s="260"/>
      <c r="KLH428" s="260"/>
      <c r="KLI428" s="260"/>
      <c r="KLJ428" s="260"/>
      <c r="KLK428" s="260"/>
      <c r="KLL428" s="260"/>
      <c r="KLM428" s="260"/>
      <c r="KLN428" s="260"/>
      <c r="KLO428" s="260"/>
      <c r="KLP428" s="260"/>
      <c r="KLQ428" s="260"/>
      <c r="KLR428" s="260"/>
      <c r="KLS428" s="2"/>
      <c r="KLT428" s="2"/>
      <c r="KLU428" s="2"/>
      <c r="KLV428" s="2"/>
      <c r="KLW428" s="2"/>
      <c r="KLX428" s="2"/>
      <c r="KLY428" s="2"/>
      <c r="KLZ428" s="2"/>
      <c r="KMA428" s="2"/>
      <c r="KMB428" s="2"/>
      <c r="KMC428" s="2"/>
      <c r="KMD428" s="2"/>
      <c r="KME428" s="2"/>
      <c r="KMF428" s="2"/>
      <c r="KMG428" s="2"/>
      <c r="KMH428" s="260"/>
      <c r="KMI428" s="260"/>
      <c r="KMJ428" s="260"/>
      <c r="KMK428" s="380"/>
      <c r="KML428" s="380"/>
      <c r="KMM428" s="380"/>
      <c r="KMN428" s="2"/>
      <c r="KMO428" s="405"/>
      <c r="KMP428" s="54"/>
      <c r="KMQ428" s="239"/>
      <c r="KMR428" s="54"/>
      <c r="KMS428" s="232"/>
      <c r="KMT428" s="2"/>
      <c r="KMU428" s="2"/>
      <c r="KMV428" s="2"/>
      <c r="KMW428" s="2"/>
      <c r="KMX428" s="260"/>
      <c r="KMY428" s="260"/>
      <c r="KMZ428" s="260"/>
      <c r="KNA428" s="260"/>
      <c r="KNB428" s="260"/>
      <c r="KNC428" s="260"/>
      <c r="KND428" s="260"/>
      <c r="KNE428" s="260"/>
      <c r="KNF428" s="260"/>
      <c r="KNG428" s="260"/>
      <c r="KNH428" s="260"/>
      <c r="KNI428" s="260"/>
      <c r="KNJ428" s="260"/>
      <c r="KNK428" s="2"/>
      <c r="KNL428" s="2"/>
      <c r="KNM428" s="2"/>
      <c r="KNN428" s="2"/>
      <c r="KNO428" s="2"/>
      <c r="KNP428" s="2"/>
      <c r="KNQ428" s="2"/>
      <c r="KNR428" s="2"/>
      <c r="KNS428" s="2"/>
      <c r="KNT428" s="2"/>
      <c r="KNU428" s="2"/>
      <c r="KNV428" s="2"/>
      <c r="KNW428" s="2"/>
      <c r="KNX428" s="2"/>
      <c r="KNY428" s="2"/>
      <c r="KNZ428" s="260"/>
      <c r="KOA428" s="260"/>
      <c r="KOB428" s="260"/>
      <c r="KOC428" s="380"/>
      <c r="KOD428" s="380"/>
      <c r="KOE428" s="380"/>
      <c r="KOF428" s="2"/>
      <c r="KOG428" s="405"/>
      <c r="KOH428" s="54"/>
      <c r="KOI428" s="239"/>
      <c r="KOJ428" s="54"/>
      <c r="KOK428" s="232"/>
      <c r="KOL428" s="2"/>
      <c r="KOM428" s="2"/>
      <c r="KON428" s="2"/>
      <c r="KOO428" s="2"/>
      <c r="KOP428" s="260"/>
      <c r="KOQ428" s="260"/>
      <c r="KOR428" s="260"/>
      <c r="KOS428" s="260"/>
      <c r="KOT428" s="260"/>
      <c r="KOU428" s="260"/>
      <c r="KOV428" s="260"/>
      <c r="KOW428" s="260"/>
      <c r="KOX428" s="260"/>
      <c r="KOY428" s="260"/>
      <c r="KOZ428" s="260"/>
      <c r="KPA428" s="260"/>
      <c r="KPB428" s="260"/>
      <c r="KPC428" s="2"/>
      <c r="KPD428" s="2"/>
      <c r="KPE428" s="2"/>
      <c r="KPF428" s="2"/>
      <c r="KPG428" s="2"/>
      <c r="KPH428" s="2"/>
      <c r="KPI428" s="2"/>
      <c r="KPJ428" s="2"/>
      <c r="KPK428" s="2"/>
      <c r="KPL428" s="2"/>
      <c r="KPM428" s="2"/>
      <c r="KPN428" s="2"/>
      <c r="KPO428" s="2"/>
      <c r="KPP428" s="2"/>
      <c r="KPQ428" s="2"/>
      <c r="KPR428" s="260"/>
      <c r="KPS428" s="260"/>
      <c r="KPT428" s="260"/>
      <c r="KPU428" s="380"/>
      <c r="KPV428" s="380"/>
      <c r="KPW428" s="380"/>
      <c r="KPX428" s="2"/>
      <c r="KPY428" s="405"/>
      <c r="KPZ428" s="54"/>
      <c r="KQA428" s="239"/>
      <c r="KQB428" s="54"/>
      <c r="KQC428" s="232"/>
      <c r="KQD428" s="2"/>
      <c r="KQE428" s="2"/>
      <c r="KQF428" s="2"/>
      <c r="KQG428" s="2"/>
      <c r="KQH428" s="260"/>
      <c r="KQI428" s="260"/>
      <c r="KQJ428" s="260"/>
      <c r="KQK428" s="260"/>
      <c r="KQL428" s="260"/>
      <c r="KQM428" s="260"/>
      <c r="KQN428" s="260"/>
      <c r="KQO428" s="260"/>
      <c r="KQP428" s="260"/>
      <c r="KQQ428" s="260"/>
      <c r="KQR428" s="260"/>
      <c r="KQS428" s="260"/>
      <c r="KQT428" s="260"/>
      <c r="KQU428" s="2"/>
      <c r="KQV428" s="2"/>
      <c r="KQW428" s="2"/>
      <c r="KQX428" s="2"/>
      <c r="KQY428" s="2"/>
      <c r="KQZ428" s="2"/>
      <c r="KRA428" s="2"/>
      <c r="KRB428" s="2"/>
      <c r="KRC428" s="2"/>
      <c r="KRD428" s="2"/>
      <c r="KRE428" s="2"/>
      <c r="KRF428" s="2"/>
      <c r="KRG428" s="2"/>
      <c r="KRH428" s="2"/>
      <c r="KRI428" s="2"/>
      <c r="KRJ428" s="260"/>
      <c r="KRK428" s="260"/>
      <c r="KRL428" s="260"/>
      <c r="KRM428" s="380"/>
      <c r="KRN428" s="380"/>
      <c r="KRO428" s="380"/>
      <c r="KRP428" s="2"/>
      <c r="KRQ428" s="405"/>
      <c r="KRR428" s="54"/>
      <c r="KRS428" s="239"/>
      <c r="KRT428" s="54"/>
      <c r="KRU428" s="232"/>
      <c r="KRV428" s="2"/>
      <c r="KRW428" s="2"/>
      <c r="KRX428" s="2"/>
      <c r="KRY428" s="2"/>
      <c r="KRZ428" s="260"/>
      <c r="KSA428" s="260"/>
      <c r="KSB428" s="260"/>
      <c r="KSC428" s="260"/>
      <c r="KSD428" s="260"/>
      <c r="KSE428" s="260"/>
      <c r="KSF428" s="260"/>
      <c r="KSG428" s="260"/>
      <c r="KSH428" s="260"/>
      <c r="KSI428" s="260"/>
      <c r="KSJ428" s="260"/>
      <c r="KSK428" s="260"/>
      <c r="KSL428" s="260"/>
      <c r="KSM428" s="2"/>
      <c r="KSN428" s="2"/>
      <c r="KSO428" s="2"/>
      <c r="KSP428" s="2"/>
      <c r="KSQ428" s="2"/>
      <c r="KSR428" s="2"/>
      <c r="KSS428" s="2"/>
      <c r="KST428" s="2"/>
      <c r="KSU428" s="2"/>
      <c r="KSV428" s="2"/>
      <c r="KSW428" s="2"/>
      <c r="KSX428" s="2"/>
      <c r="KSY428" s="2"/>
      <c r="KSZ428" s="2"/>
      <c r="KTA428" s="2"/>
      <c r="KTB428" s="260"/>
      <c r="KTC428" s="260"/>
      <c r="KTD428" s="260"/>
      <c r="KTE428" s="380"/>
      <c r="KTF428" s="380"/>
      <c r="KTG428" s="380"/>
      <c r="KTH428" s="2"/>
      <c r="KTI428" s="405"/>
      <c r="KTJ428" s="54"/>
      <c r="KTK428" s="239"/>
      <c r="KTL428" s="54"/>
      <c r="KTM428" s="232"/>
      <c r="KTN428" s="2"/>
      <c r="KTO428" s="2"/>
      <c r="KTP428" s="2"/>
      <c r="KTQ428" s="2"/>
      <c r="KTR428" s="260"/>
      <c r="KTS428" s="260"/>
      <c r="KTT428" s="260"/>
      <c r="KTU428" s="260"/>
      <c r="KTV428" s="260"/>
      <c r="KTW428" s="260"/>
      <c r="KTX428" s="260"/>
      <c r="KTY428" s="260"/>
      <c r="KTZ428" s="260"/>
      <c r="KUA428" s="260"/>
      <c r="KUB428" s="260"/>
      <c r="KUC428" s="260"/>
      <c r="KUD428" s="260"/>
      <c r="KUE428" s="2"/>
      <c r="KUF428" s="2"/>
      <c r="KUG428" s="2"/>
      <c r="KUH428" s="2"/>
      <c r="KUI428" s="2"/>
      <c r="KUJ428" s="2"/>
      <c r="KUK428" s="2"/>
      <c r="KUL428" s="2"/>
      <c r="KUM428" s="2"/>
      <c r="KUN428" s="2"/>
      <c r="KUO428" s="2"/>
      <c r="KUP428" s="2"/>
      <c r="KUQ428" s="2"/>
      <c r="KUR428" s="2"/>
      <c r="KUS428" s="2"/>
      <c r="KUT428" s="260"/>
      <c r="KUU428" s="260"/>
      <c r="KUV428" s="260"/>
      <c r="KUW428" s="380"/>
      <c r="KUX428" s="380"/>
      <c r="KUY428" s="380"/>
      <c r="KUZ428" s="2"/>
      <c r="KVA428" s="405"/>
      <c r="KVB428" s="54"/>
      <c r="KVC428" s="239"/>
      <c r="KVD428" s="54"/>
      <c r="KVE428" s="232"/>
      <c r="KVF428" s="2"/>
      <c r="KVG428" s="2"/>
      <c r="KVH428" s="2"/>
      <c r="KVI428" s="2"/>
      <c r="KVJ428" s="260"/>
      <c r="KVK428" s="260"/>
      <c r="KVL428" s="260"/>
      <c r="KVM428" s="260"/>
      <c r="KVN428" s="260"/>
      <c r="KVO428" s="260"/>
      <c r="KVP428" s="260"/>
      <c r="KVQ428" s="260"/>
      <c r="KVR428" s="260"/>
      <c r="KVS428" s="260"/>
      <c r="KVT428" s="260"/>
      <c r="KVU428" s="260"/>
      <c r="KVV428" s="260"/>
      <c r="KVW428" s="2"/>
      <c r="KVX428" s="2"/>
      <c r="KVY428" s="2"/>
      <c r="KVZ428" s="2"/>
      <c r="KWA428" s="2"/>
      <c r="KWB428" s="2"/>
      <c r="KWC428" s="2"/>
      <c r="KWD428" s="2"/>
      <c r="KWE428" s="2"/>
      <c r="KWF428" s="2"/>
      <c r="KWG428" s="2"/>
      <c r="KWH428" s="2"/>
      <c r="KWI428" s="2"/>
      <c r="KWJ428" s="2"/>
      <c r="KWK428" s="2"/>
      <c r="KWL428" s="260"/>
      <c r="KWM428" s="260"/>
      <c r="KWN428" s="260"/>
      <c r="KWO428" s="380"/>
      <c r="KWP428" s="380"/>
      <c r="KWQ428" s="380"/>
      <c r="KWR428" s="2"/>
      <c r="KWS428" s="405"/>
      <c r="KWT428" s="54"/>
      <c r="KWU428" s="239"/>
      <c r="KWV428" s="54"/>
      <c r="KWW428" s="232"/>
      <c r="KWX428" s="2"/>
      <c r="KWY428" s="2"/>
      <c r="KWZ428" s="2"/>
      <c r="KXA428" s="2"/>
      <c r="KXB428" s="260"/>
      <c r="KXC428" s="260"/>
      <c r="KXD428" s="260"/>
      <c r="KXE428" s="260"/>
      <c r="KXF428" s="260"/>
      <c r="KXG428" s="260"/>
      <c r="KXH428" s="260"/>
      <c r="KXI428" s="260"/>
      <c r="KXJ428" s="260"/>
      <c r="KXK428" s="260"/>
      <c r="KXL428" s="260"/>
      <c r="KXM428" s="260"/>
      <c r="KXN428" s="260"/>
      <c r="KXO428" s="2"/>
      <c r="KXP428" s="2"/>
      <c r="KXQ428" s="2"/>
      <c r="KXR428" s="2"/>
      <c r="KXS428" s="2"/>
      <c r="KXT428" s="2"/>
      <c r="KXU428" s="2"/>
      <c r="KXV428" s="2"/>
      <c r="KXW428" s="2"/>
      <c r="KXX428" s="2"/>
      <c r="KXY428" s="2"/>
      <c r="KXZ428" s="2"/>
      <c r="KYA428" s="2"/>
      <c r="KYB428" s="2"/>
      <c r="KYC428" s="2"/>
      <c r="KYD428" s="260"/>
      <c r="KYE428" s="260"/>
      <c r="KYF428" s="260"/>
      <c r="KYG428" s="380"/>
      <c r="KYH428" s="380"/>
      <c r="KYI428" s="380"/>
      <c r="KYJ428" s="2"/>
      <c r="KYK428" s="405"/>
      <c r="KYL428" s="54"/>
      <c r="KYM428" s="239"/>
      <c r="KYN428" s="54"/>
      <c r="KYO428" s="232"/>
      <c r="KYP428" s="2"/>
      <c r="KYQ428" s="2"/>
      <c r="KYR428" s="2"/>
      <c r="KYS428" s="2"/>
      <c r="KYT428" s="260"/>
      <c r="KYU428" s="260"/>
      <c r="KYV428" s="260"/>
      <c r="KYW428" s="260"/>
      <c r="KYX428" s="260"/>
      <c r="KYY428" s="260"/>
      <c r="KYZ428" s="260"/>
      <c r="KZA428" s="260"/>
      <c r="KZB428" s="260"/>
      <c r="KZC428" s="260"/>
      <c r="KZD428" s="260"/>
      <c r="KZE428" s="260"/>
      <c r="KZF428" s="260"/>
      <c r="KZG428" s="2"/>
      <c r="KZH428" s="2"/>
      <c r="KZI428" s="2"/>
      <c r="KZJ428" s="2"/>
      <c r="KZK428" s="2"/>
      <c r="KZL428" s="2"/>
      <c r="KZM428" s="2"/>
      <c r="KZN428" s="2"/>
      <c r="KZO428" s="2"/>
      <c r="KZP428" s="2"/>
      <c r="KZQ428" s="2"/>
      <c r="KZR428" s="2"/>
      <c r="KZS428" s="2"/>
      <c r="KZT428" s="2"/>
      <c r="KZU428" s="2"/>
      <c r="KZV428" s="260"/>
      <c r="KZW428" s="260"/>
      <c r="KZX428" s="260"/>
      <c r="KZY428" s="380"/>
      <c r="KZZ428" s="380"/>
      <c r="LAA428" s="380"/>
      <c r="LAB428" s="2"/>
      <c r="LAC428" s="405"/>
      <c r="LAD428" s="54"/>
      <c r="LAE428" s="239"/>
      <c r="LAF428" s="54"/>
      <c r="LAG428" s="232"/>
      <c r="LAH428" s="2"/>
      <c r="LAI428" s="2"/>
      <c r="LAJ428" s="2"/>
      <c r="LAK428" s="2"/>
      <c r="LAL428" s="260"/>
      <c r="LAM428" s="260"/>
      <c r="LAN428" s="260"/>
      <c r="LAO428" s="260"/>
      <c r="LAP428" s="260"/>
      <c r="LAQ428" s="260"/>
      <c r="LAR428" s="260"/>
      <c r="LAS428" s="260"/>
      <c r="LAT428" s="260"/>
      <c r="LAU428" s="260"/>
      <c r="LAV428" s="260"/>
      <c r="LAW428" s="260"/>
      <c r="LAX428" s="260"/>
      <c r="LAY428" s="2"/>
      <c r="LAZ428" s="2"/>
      <c r="LBA428" s="2"/>
      <c r="LBB428" s="2"/>
      <c r="LBC428" s="2"/>
      <c r="LBD428" s="2"/>
      <c r="LBE428" s="2"/>
      <c r="LBF428" s="2"/>
      <c r="LBG428" s="2"/>
      <c r="LBH428" s="2"/>
      <c r="LBI428" s="2"/>
      <c r="LBJ428" s="2"/>
      <c r="LBK428" s="2"/>
      <c r="LBL428" s="2"/>
      <c r="LBM428" s="2"/>
      <c r="LBN428" s="260"/>
      <c r="LBO428" s="260"/>
      <c r="LBP428" s="260"/>
      <c r="LBQ428" s="380"/>
      <c r="LBR428" s="380"/>
      <c r="LBS428" s="380"/>
      <c r="LBT428" s="2"/>
      <c r="LBU428" s="405"/>
      <c r="LBV428" s="54"/>
      <c r="LBW428" s="239"/>
      <c r="LBX428" s="54"/>
      <c r="LBY428" s="232"/>
      <c r="LBZ428" s="2"/>
      <c r="LCA428" s="2"/>
      <c r="LCB428" s="2"/>
      <c r="LCC428" s="2"/>
      <c r="LCD428" s="260"/>
      <c r="LCE428" s="260"/>
      <c r="LCF428" s="260"/>
      <c r="LCG428" s="260"/>
      <c r="LCH428" s="260"/>
      <c r="LCI428" s="260"/>
      <c r="LCJ428" s="260"/>
      <c r="LCK428" s="260"/>
      <c r="LCL428" s="260"/>
      <c r="LCM428" s="260"/>
      <c r="LCN428" s="260"/>
      <c r="LCO428" s="260"/>
      <c r="LCP428" s="260"/>
      <c r="LCQ428" s="2"/>
      <c r="LCR428" s="2"/>
      <c r="LCS428" s="2"/>
      <c r="LCT428" s="2"/>
      <c r="LCU428" s="2"/>
      <c r="LCV428" s="2"/>
      <c r="LCW428" s="2"/>
      <c r="LCX428" s="2"/>
      <c r="LCY428" s="2"/>
      <c r="LCZ428" s="2"/>
      <c r="LDA428" s="2"/>
      <c r="LDB428" s="2"/>
      <c r="LDC428" s="2"/>
      <c r="LDD428" s="2"/>
      <c r="LDE428" s="2"/>
      <c r="LDF428" s="260"/>
      <c r="LDG428" s="260"/>
      <c r="LDH428" s="260"/>
      <c r="LDI428" s="380"/>
      <c r="LDJ428" s="380"/>
      <c r="LDK428" s="380"/>
      <c r="LDL428" s="2"/>
      <c r="LDM428" s="405"/>
      <c r="LDN428" s="54"/>
      <c r="LDO428" s="239"/>
      <c r="LDP428" s="54"/>
      <c r="LDQ428" s="232"/>
      <c r="LDR428" s="2"/>
      <c r="LDS428" s="2"/>
      <c r="LDT428" s="2"/>
      <c r="LDU428" s="2"/>
      <c r="LDV428" s="260"/>
      <c r="LDW428" s="260"/>
      <c r="LDX428" s="260"/>
      <c r="LDY428" s="260"/>
      <c r="LDZ428" s="260"/>
      <c r="LEA428" s="260"/>
      <c r="LEB428" s="260"/>
      <c r="LEC428" s="260"/>
      <c r="LED428" s="260"/>
      <c r="LEE428" s="260"/>
      <c r="LEF428" s="260"/>
      <c r="LEG428" s="260"/>
      <c r="LEH428" s="260"/>
      <c r="LEI428" s="2"/>
      <c r="LEJ428" s="2"/>
      <c r="LEK428" s="2"/>
      <c r="LEL428" s="2"/>
      <c r="LEM428" s="2"/>
      <c r="LEN428" s="2"/>
      <c r="LEO428" s="2"/>
      <c r="LEP428" s="2"/>
      <c r="LEQ428" s="2"/>
      <c r="LER428" s="2"/>
      <c r="LES428" s="2"/>
      <c r="LET428" s="2"/>
      <c r="LEU428" s="2"/>
      <c r="LEV428" s="2"/>
      <c r="LEW428" s="2"/>
      <c r="LEX428" s="260"/>
      <c r="LEY428" s="260"/>
      <c r="LEZ428" s="260"/>
      <c r="LFA428" s="380"/>
      <c r="LFB428" s="380"/>
      <c r="LFC428" s="380"/>
      <c r="LFD428" s="2"/>
      <c r="LFE428" s="405"/>
      <c r="LFF428" s="54"/>
      <c r="LFG428" s="239"/>
      <c r="LFH428" s="54"/>
      <c r="LFI428" s="232"/>
      <c r="LFJ428" s="2"/>
      <c r="LFK428" s="2"/>
      <c r="LFL428" s="2"/>
      <c r="LFM428" s="2"/>
      <c r="LFN428" s="260"/>
      <c r="LFO428" s="260"/>
      <c r="LFP428" s="260"/>
      <c r="LFQ428" s="260"/>
      <c r="LFR428" s="260"/>
      <c r="LFS428" s="260"/>
      <c r="LFT428" s="260"/>
      <c r="LFU428" s="260"/>
      <c r="LFV428" s="260"/>
      <c r="LFW428" s="260"/>
      <c r="LFX428" s="260"/>
      <c r="LFY428" s="260"/>
      <c r="LFZ428" s="260"/>
      <c r="LGA428" s="2"/>
      <c r="LGB428" s="2"/>
      <c r="LGC428" s="2"/>
      <c r="LGD428" s="2"/>
      <c r="LGE428" s="2"/>
      <c r="LGF428" s="2"/>
      <c r="LGG428" s="2"/>
      <c r="LGH428" s="2"/>
      <c r="LGI428" s="2"/>
      <c r="LGJ428" s="2"/>
      <c r="LGK428" s="2"/>
      <c r="LGL428" s="2"/>
      <c r="LGM428" s="2"/>
      <c r="LGN428" s="2"/>
      <c r="LGO428" s="2"/>
      <c r="LGP428" s="260"/>
      <c r="LGQ428" s="260"/>
      <c r="LGR428" s="260"/>
      <c r="LGS428" s="380"/>
      <c r="LGT428" s="380"/>
      <c r="LGU428" s="380"/>
      <c r="LGV428" s="2"/>
      <c r="LGW428" s="405"/>
      <c r="LGX428" s="54"/>
      <c r="LGY428" s="239"/>
      <c r="LGZ428" s="54"/>
      <c r="LHA428" s="232"/>
      <c r="LHB428" s="2"/>
      <c r="LHC428" s="2"/>
      <c r="LHD428" s="2"/>
      <c r="LHE428" s="2"/>
      <c r="LHF428" s="260"/>
      <c r="LHG428" s="260"/>
      <c r="LHH428" s="260"/>
      <c r="LHI428" s="260"/>
      <c r="LHJ428" s="260"/>
      <c r="LHK428" s="260"/>
      <c r="LHL428" s="260"/>
      <c r="LHM428" s="260"/>
      <c r="LHN428" s="260"/>
      <c r="LHO428" s="260"/>
      <c r="LHP428" s="260"/>
      <c r="LHQ428" s="260"/>
      <c r="LHR428" s="260"/>
      <c r="LHS428" s="2"/>
      <c r="LHT428" s="2"/>
      <c r="LHU428" s="2"/>
      <c r="LHV428" s="2"/>
      <c r="LHW428" s="2"/>
      <c r="LHX428" s="2"/>
      <c r="LHY428" s="2"/>
      <c r="LHZ428" s="2"/>
      <c r="LIA428" s="2"/>
      <c r="LIB428" s="2"/>
      <c r="LIC428" s="2"/>
      <c r="LID428" s="2"/>
      <c r="LIE428" s="2"/>
      <c r="LIF428" s="2"/>
      <c r="LIG428" s="2"/>
      <c r="LIH428" s="260"/>
      <c r="LII428" s="260"/>
      <c r="LIJ428" s="260"/>
      <c r="LIK428" s="380"/>
      <c r="LIL428" s="380"/>
      <c r="LIM428" s="380"/>
      <c r="LIN428" s="2"/>
      <c r="LIO428" s="405"/>
      <c r="LIP428" s="54"/>
      <c r="LIQ428" s="239"/>
      <c r="LIR428" s="54"/>
      <c r="LIS428" s="232"/>
      <c r="LIT428" s="2"/>
      <c r="LIU428" s="2"/>
      <c r="LIV428" s="2"/>
      <c r="LIW428" s="2"/>
      <c r="LIX428" s="260"/>
      <c r="LIY428" s="260"/>
      <c r="LIZ428" s="260"/>
      <c r="LJA428" s="260"/>
      <c r="LJB428" s="260"/>
      <c r="LJC428" s="260"/>
      <c r="LJD428" s="260"/>
      <c r="LJE428" s="260"/>
      <c r="LJF428" s="260"/>
      <c r="LJG428" s="260"/>
      <c r="LJH428" s="260"/>
      <c r="LJI428" s="260"/>
      <c r="LJJ428" s="260"/>
      <c r="LJK428" s="2"/>
      <c r="LJL428" s="2"/>
      <c r="LJM428" s="2"/>
      <c r="LJN428" s="2"/>
      <c r="LJO428" s="2"/>
      <c r="LJP428" s="2"/>
      <c r="LJQ428" s="2"/>
      <c r="LJR428" s="2"/>
      <c r="LJS428" s="2"/>
      <c r="LJT428" s="2"/>
      <c r="LJU428" s="2"/>
      <c r="LJV428" s="2"/>
      <c r="LJW428" s="2"/>
      <c r="LJX428" s="2"/>
      <c r="LJY428" s="2"/>
      <c r="LJZ428" s="260"/>
      <c r="LKA428" s="260"/>
      <c r="LKB428" s="260"/>
      <c r="LKC428" s="380"/>
      <c r="LKD428" s="380"/>
      <c r="LKE428" s="380"/>
      <c r="LKF428" s="2"/>
      <c r="LKG428" s="405"/>
      <c r="LKH428" s="54"/>
      <c r="LKI428" s="239"/>
      <c r="LKJ428" s="54"/>
      <c r="LKK428" s="232"/>
      <c r="LKL428" s="2"/>
      <c r="LKM428" s="2"/>
      <c r="LKN428" s="2"/>
      <c r="LKO428" s="2"/>
      <c r="LKP428" s="260"/>
      <c r="LKQ428" s="260"/>
      <c r="LKR428" s="260"/>
      <c r="LKS428" s="260"/>
      <c r="LKT428" s="260"/>
      <c r="LKU428" s="260"/>
      <c r="LKV428" s="260"/>
      <c r="LKW428" s="260"/>
      <c r="LKX428" s="260"/>
      <c r="LKY428" s="260"/>
      <c r="LKZ428" s="260"/>
      <c r="LLA428" s="260"/>
      <c r="LLB428" s="260"/>
      <c r="LLC428" s="2"/>
      <c r="LLD428" s="2"/>
      <c r="LLE428" s="2"/>
      <c r="LLF428" s="2"/>
      <c r="LLG428" s="2"/>
      <c r="LLH428" s="2"/>
      <c r="LLI428" s="2"/>
      <c r="LLJ428" s="2"/>
      <c r="LLK428" s="2"/>
      <c r="LLL428" s="2"/>
      <c r="LLM428" s="2"/>
      <c r="LLN428" s="2"/>
      <c r="LLO428" s="2"/>
      <c r="LLP428" s="2"/>
      <c r="LLQ428" s="2"/>
      <c r="LLR428" s="260"/>
      <c r="LLS428" s="260"/>
      <c r="LLT428" s="260"/>
      <c r="LLU428" s="380"/>
      <c r="LLV428" s="380"/>
      <c r="LLW428" s="380"/>
      <c r="LLX428" s="2"/>
      <c r="LLY428" s="405"/>
      <c r="LLZ428" s="54"/>
      <c r="LMA428" s="239"/>
      <c r="LMB428" s="54"/>
      <c r="LMC428" s="232"/>
      <c r="LMD428" s="2"/>
      <c r="LME428" s="2"/>
      <c r="LMF428" s="2"/>
      <c r="LMG428" s="2"/>
      <c r="LMH428" s="260"/>
      <c r="LMI428" s="260"/>
      <c r="LMJ428" s="260"/>
      <c r="LMK428" s="260"/>
      <c r="LML428" s="260"/>
      <c r="LMM428" s="260"/>
      <c r="LMN428" s="260"/>
      <c r="LMO428" s="260"/>
      <c r="LMP428" s="260"/>
      <c r="LMQ428" s="260"/>
      <c r="LMR428" s="260"/>
      <c r="LMS428" s="260"/>
      <c r="LMT428" s="260"/>
      <c r="LMU428" s="2"/>
      <c r="LMV428" s="2"/>
      <c r="LMW428" s="2"/>
      <c r="LMX428" s="2"/>
      <c r="LMY428" s="2"/>
      <c r="LMZ428" s="2"/>
      <c r="LNA428" s="2"/>
      <c r="LNB428" s="2"/>
      <c r="LNC428" s="2"/>
      <c r="LND428" s="2"/>
      <c r="LNE428" s="2"/>
      <c r="LNF428" s="2"/>
      <c r="LNG428" s="2"/>
      <c r="LNH428" s="2"/>
      <c r="LNI428" s="2"/>
      <c r="LNJ428" s="260"/>
      <c r="LNK428" s="260"/>
      <c r="LNL428" s="260"/>
      <c r="LNM428" s="380"/>
      <c r="LNN428" s="380"/>
      <c r="LNO428" s="380"/>
      <c r="LNP428" s="2"/>
      <c r="LNQ428" s="405"/>
      <c r="LNR428" s="54"/>
      <c r="LNS428" s="239"/>
      <c r="LNT428" s="54"/>
      <c r="LNU428" s="232"/>
      <c r="LNV428" s="2"/>
      <c r="LNW428" s="2"/>
      <c r="LNX428" s="2"/>
      <c r="LNY428" s="2"/>
      <c r="LNZ428" s="260"/>
      <c r="LOA428" s="260"/>
      <c r="LOB428" s="260"/>
      <c r="LOC428" s="260"/>
      <c r="LOD428" s="260"/>
      <c r="LOE428" s="260"/>
      <c r="LOF428" s="260"/>
      <c r="LOG428" s="260"/>
      <c r="LOH428" s="260"/>
      <c r="LOI428" s="260"/>
      <c r="LOJ428" s="260"/>
      <c r="LOK428" s="260"/>
      <c r="LOL428" s="260"/>
      <c r="LOM428" s="2"/>
      <c r="LON428" s="2"/>
      <c r="LOO428" s="2"/>
      <c r="LOP428" s="2"/>
      <c r="LOQ428" s="2"/>
      <c r="LOR428" s="2"/>
      <c r="LOS428" s="2"/>
      <c r="LOT428" s="2"/>
      <c r="LOU428" s="2"/>
      <c r="LOV428" s="2"/>
      <c r="LOW428" s="2"/>
      <c r="LOX428" s="2"/>
      <c r="LOY428" s="2"/>
      <c r="LOZ428" s="2"/>
      <c r="LPA428" s="2"/>
      <c r="LPB428" s="260"/>
      <c r="LPC428" s="260"/>
      <c r="LPD428" s="260"/>
      <c r="LPE428" s="380"/>
      <c r="LPF428" s="380"/>
      <c r="LPG428" s="380"/>
      <c r="LPH428" s="2"/>
      <c r="LPI428" s="405"/>
      <c r="LPJ428" s="54"/>
      <c r="LPK428" s="239"/>
      <c r="LPL428" s="54"/>
      <c r="LPM428" s="232"/>
      <c r="LPN428" s="2"/>
      <c r="LPO428" s="2"/>
      <c r="LPP428" s="2"/>
      <c r="LPQ428" s="2"/>
      <c r="LPR428" s="260"/>
      <c r="LPS428" s="260"/>
      <c r="LPT428" s="260"/>
      <c r="LPU428" s="260"/>
      <c r="LPV428" s="260"/>
      <c r="LPW428" s="260"/>
      <c r="LPX428" s="260"/>
      <c r="LPY428" s="260"/>
      <c r="LPZ428" s="260"/>
      <c r="LQA428" s="260"/>
      <c r="LQB428" s="260"/>
      <c r="LQC428" s="260"/>
      <c r="LQD428" s="260"/>
      <c r="LQE428" s="2"/>
      <c r="LQF428" s="2"/>
      <c r="LQG428" s="2"/>
      <c r="LQH428" s="2"/>
      <c r="LQI428" s="2"/>
      <c r="LQJ428" s="2"/>
      <c r="LQK428" s="2"/>
      <c r="LQL428" s="2"/>
      <c r="LQM428" s="2"/>
      <c r="LQN428" s="2"/>
      <c r="LQO428" s="2"/>
      <c r="LQP428" s="2"/>
      <c r="LQQ428" s="2"/>
      <c r="LQR428" s="2"/>
      <c r="LQS428" s="2"/>
      <c r="LQT428" s="260"/>
      <c r="LQU428" s="260"/>
      <c r="LQV428" s="260"/>
      <c r="LQW428" s="380"/>
      <c r="LQX428" s="380"/>
      <c r="LQY428" s="380"/>
      <c r="LQZ428" s="2"/>
      <c r="LRA428" s="405"/>
      <c r="LRB428" s="54"/>
      <c r="LRC428" s="239"/>
      <c r="LRD428" s="54"/>
      <c r="LRE428" s="232"/>
      <c r="LRF428" s="2"/>
      <c r="LRG428" s="2"/>
      <c r="LRH428" s="2"/>
      <c r="LRI428" s="2"/>
      <c r="LRJ428" s="260"/>
      <c r="LRK428" s="260"/>
      <c r="LRL428" s="260"/>
      <c r="LRM428" s="260"/>
      <c r="LRN428" s="260"/>
      <c r="LRO428" s="260"/>
      <c r="LRP428" s="260"/>
      <c r="LRQ428" s="260"/>
      <c r="LRR428" s="260"/>
      <c r="LRS428" s="260"/>
      <c r="LRT428" s="260"/>
      <c r="LRU428" s="260"/>
      <c r="LRV428" s="260"/>
      <c r="LRW428" s="2"/>
      <c r="LRX428" s="2"/>
      <c r="LRY428" s="2"/>
      <c r="LRZ428" s="2"/>
      <c r="LSA428" s="2"/>
      <c r="LSB428" s="2"/>
      <c r="LSC428" s="2"/>
      <c r="LSD428" s="2"/>
      <c r="LSE428" s="2"/>
      <c r="LSF428" s="2"/>
      <c r="LSG428" s="2"/>
      <c r="LSH428" s="2"/>
      <c r="LSI428" s="2"/>
      <c r="LSJ428" s="2"/>
      <c r="LSK428" s="2"/>
      <c r="LSL428" s="260"/>
      <c r="LSM428" s="260"/>
      <c r="LSN428" s="260"/>
      <c r="LSO428" s="380"/>
      <c r="LSP428" s="380"/>
      <c r="LSQ428" s="380"/>
      <c r="LSR428" s="2"/>
      <c r="LSS428" s="405"/>
      <c r="LST428" s="54"/>
      <c r="LSU428" s="239"/>
      <c r="LSV428" s="54"/>
      <c r="LSW428" s="232"/>
      <c r="LSX428" s="2"/>
      <c r="LSY428" s="2"/>
      <c r="LSZ428" s="2"/>
      <c r="LTA428" s="2"/>
      <c r="LTB428" s="260"/>
      <c r="LTC428" s="260"/>
      <c r="LTD428" s="260"/>
      <c r="LTE428" s="260"/>
      <c r="LTF428" s="260"/>
      <c r="LTG428" s="260"/>
      <c r="LTH428" s="260"/>
      <c r="LTI428" s="260"/>
      <c r="LTJ428" s="260"/>
      <c r="LTK428" s="260"/>
      <c r="LTL428" s="260"/>
      <c r="LTM428" s="260"/>
      <c r="LTN428" s="260"/>
      <c r="LTO428" s="2"/>
      <c r="LTP428" s="2"/>
      <c r="LTQ428" s="2"/>
      <c r="LTR428" s="2"/>
      <c r="LTS428" s="2"/>
      <c r="LTT428" s="2"/>
      <c r="LTU428" s="2"/>
      <c r="LTV428" s="2"/>
      <c r="LTW428" s="2"/>
      <c r="LTX428" s="2"/>
      <c r="LTY428" s="2"/>
      <c r="LTZ428" s="2"/>
      <c r="LUA428" s="2"/>
      <c r="LUB428" s="2"/>
      <c r="LUC428" s="2"/>
      <c r="LUD428" s="260"/>
      <c r="LUE428" s="260"/>
      <c r="LUF428" s="260"/>
      <c r="LUG428" s="380"/>
      <c r="LUH428" s="380"/>
      <c r="LUI428" s="380"/>
      <c r="LUJ428" s="2"/>
      <c r="LUK428" s="405"/>
      <c r="LUL428" s="54"/>
      <c r="LUM428" s="239"/>
      <c r="LUN428" s="54"/>
      <c r="LUO428" s="232"/>
      <c r="LUP428" s="2"/>
      <c r="LUQ428" s="2"/>
      <c r="LUR428" s="2"/>
      <c r="LUS428" s="2"/>
      <c r="LUT428" s="260"/>
      <c r="LUU428" s="260"/>
      <c r="LUV428" s="260"/>
      <c r="LUW428" s="260"/>
      <c r="LUX428" s="260"/>
      <c r="LUY428" s="260"/>
      <c r="LUZ428" s="260"/>
      <c r="LVA428" s="260"/>
      <c r="LVB428" s="260"/>
      <c r="LVC428" s="260"/>
      <c r="LVD428" s="260"/>
      <c r="LVE428" s="260"/>
      <c r="LVF428" s="260"/>
      <c r="LVG428" s="2"/>
      <c r="LVH428" s="2"/>
      <c r="LVI428" s="2"/>
      <c r="LVJ428" s="2"/>
      <c r="LVK428" s="2"/>
      <c r="LVL428" s="2"/>
      <c r="LVM428" s="2"/>
      <c r="LVN428" s="2"/>
      <c r="LVO428" s="2"/>
      <c r="LVP428" s="2"/>
      <c r="LVQ428" s="2"/>
      <c r="LVR428" s="2"/>
      <c r="LVS428" s="2"/>
      <c r="LVT428" s="2"/>
      <c r="LVU428" s="2"/>
      <c r="LVV428" s="260"/>
      <c r="LVW428" s="260"/>
      <c r="LVX428" s="260"/>
      <c r="LVY428" s="380"/>
      <c r="LVZ428" s="380"/>
      <c r="LWA428" s="380"/>
      <c r="LWB428" s="2"/>
      <c r="LWC428" s="405"/>
      <c r="LWD428" s="54"/>
      <c r="LWE428" s="239"/>
      <c r="LWF428" s="54"/>
      <c r="LWG428" s="232"/>
      <c r="LWH428" s="2"/>
      <c r="LWI428" s="2"/>
      <c r="LWJ428" s="2"/>
      <c r="LWK428" s="2"/>
      <c r="LWL428" s="260"/>
      <c r="LWM428" s="260"/>
      <c r="LWN428" s="260"/>
      <c r="LWO428" s="260"/>
      <c r="LWP428" s="260"/>
      <c r="LWQ428" s="260"/>
      <c r="LWR428" s="260"/>
      <c r="LWS428" s="260"/>
      <c r="LWT428" s="260"/>
      <c r="LWU428" s="260"/>
      <c r="LWV428" s="260"/>
      <c r="LWW428" s="260"/>
      <c r="LWX428" s="260"/>
      <c r="LWY428" s="2"/>
      <c r="LWZ428" s="2"/>
      <c r="LXA428" s="2"/>
      <c r="LXB428" s="2"/>
      <c r="LXC428" s="2"/>
      <c r="LXD428" s="2"/>
      <c r="LXE428" s="2"/>
      <c r="LXF428" s="2"/>
      <c r="LXG428" s="2"/>
      <c r="LXH428" s="2"/>
      <c r="LXI428" s="2"/>
      <c r="LXJ428" s="2"/>
      <c r="LXK428" s="2"/>
      <c r="LXL428" s="2"/>
      <c r="LXM428" s="2"/>
      <c r="LXN428" s="260"/>
      <c r="LXO428" s="260"/>
      <c r="LXP428" s="260"/>
      <c r="LXQ428" s="380"/>
      <c r="LXR428" s="380"/>
      <c r="LXS428" s="380"/>
      <c r="LXT428" s="2"/>
      <c r="LXU428" s="405"/>
      <c r="LXV428" s="54"/>
      <c r="LXW428" s="239"/>
      <c r="LXX428" s="54"/>
      <c r="LXY428" s="232"/>
      <c r="LXZ428" s="2"/>
      <c r="LYA428" s="2"/>
      <c r="LYB428" s="2"/>
      <c r="LYC428" s="2"/>
      <c r="LYD428" s="260"/>
      <c r="LYE428" s="260"/>
      <c r="LYF428" s="260"/>
      <c r="LYG428" s="260"/>
      <c r="LYH428" s="260"/>
      <c r="LYI428" s="260"/>
      <c r="LYJ428" s="260"/>
      <c r="LYK428" s="260"/>
      <c r="LYL428" s="260"/>
      <c r="LYM428" s="260"/>
      <c r="LYN428" s="260"/>
      <c r="LYO428" s="260"/>
      <c r="LYP428" s="260"/>
      <c r="LYQ428" s="2"/>
      <c r="LYR428" s="2"/>
      <c r="LYS428" s="2"/>
      <c r="LYT428" s="2"/>
      <c r="LYU428" s="2"/>
      <c r="LYV428" s="2"/>
      <c r="LYW428" s="2"/>
      <c r="LYX428" s="2"/>
      <c r="LYY428" s="2"/>
      <c r="LYZ428" s="2"/>
      <c r="LZA428" s="2"/>
      <c r="LZB428" s="2"/>
      <c r="LZC428" s="2"/>
      <c r="LZD428" s="2"/>
      <c r="LZE428" s="2"/>
      <c r="LZF428" s="260"/>
      <c r="LZG428" s="260"/>
      <c r="LZH428" s="260"/>
      <c r="LZI428" s="380"/>
      <c r="LZJ428" s="380"/>
      <c r="LZK428" s="380"/>
      <c r="LZL428" s="2"/>
      <c r="LZM428" s="405"/>
      <c r="LZN428" s="54"/>
      <c r="LZO428" s="239"/>
      <c r="LZP428" s="54"/>
      <c r="LZQ428" s="232"/>
      <c r="LZR428" s="2"/>
      <c r="LZS428" s="2"/>
      <c r="LZT428" s="2"/>
      <c r="LZU428" s="2"/>
      <c r="LZV428" s="260"/>
      <c r="LZW428" s="260"/>
      <c r="LZX428" s="260"/>
      <c r="LZY428" s="260"/>
      <c r="LZZ428" s="260"/>
      <c r="MAA428" s="260"/>
      <c r="MAB428" s="260"/>
      <c r="MAC428" s="260"/>
      <c r="MAD428" s="260"/>
      <c r="MAE428" s="260"/>
      <c r="MAF428" s="260"/>
      <c r="MAG428" s="260"/>
      <c r="MAH428" s="260"/>
      <c r="MAI428" s="2"/>
      <c r="MAJ428" s="2"/>
      <c r="MAK428" s="2"/>
      <c r="MAL428" s="2"/>
      <c r="MAM428" s="2"/>
      <c r="MAN428" s="2"/>
      <c r="MAO428" s="2"/>
      <c r="MAP428" s="2"/>
      <c r="MAQ428" s="2"/>
      <c r="MAR428" s="2"/>
      <c r="MAS428" s="2"/>
      <c r="MAT428" s="2"/>
      <c r="MAU428" s="2"/>
      <c r="MAV428" s="2"/>
      <c r="MAW428" s="2"/>
      <c r="MAX428" s="260"/>
      <c r="MAY428" s="260"/>
      <c r="MAZ428" s="260"/>
      <c r="MBA428" s="380"/>
      <c r="MBB428" s="380"/>
      <c r="MBC428" s="380"/>
      <c r="MBD428" s="2"/>
      <c r="MBE428" s="405"/>
      <c r="MBF428" s="54"/>
      <c r="MBG428" s="239"/>
      <c r="MBH428" s="54"/>
      <c r="MBI428" s="232"/>
      <c r="MBJ428" s="2"/>
      <c r="MBK428" s="2"/>
      <c r="MBL428" s="2"/>
      <c r="MBM428" s="2"/>
      <c r="MBN428" s="260"/>
      <c r="MBO428" s="260"/>
      <c r="MBP428" s="260"/>
      <c r="MBQ428" s="260"/>
      <c r="MBR428" s="260"/>
      <c r="MBS428" s="260"/>
      <c r="MBT428" s="260"/>
      <c r="MBU428" s="260"/>
      <c r="MBV428" s="260"/>
      <c r="MBW428" s="260"/>
      <c r="MBX428" s="260"/>
      <c r="MBY428" s="260"/>
      <c r="MBZ428" s="260"/>
      <c r="MCA428" s="2"/>
      <c r="MCB428" s="2"/>
      <c r="MCC428" s="2"/>
      <c r="MCD428" s="2"/>
      <c r="MCE428" s="2"/>
      <c r="MCF428" s="2"/>
      <c r="MCG428" s="2"/>
      <c r="MCH428" s="2"/>
      <c r="MCI428" s="2"/>
      <c r="MCJ428" s="2"/>
      <c r="MCK428" s="2"/>
      <c r="MCL428" s="2"/>
      <c r="MCM428" s="2"/>
      <c r="MCN428" s="2"/>
      <c r="MCO428" s="2"/>
      <c r="MCP428" s="260"/>
      <c r="MCQ428" s="260"/>
      <c r="MCR428" s="260"/>
      <c r="MCS428" s="380"/>
      <c r="MCT428" s="380"/>
      <c r="MCU428" s="380"/>
      <c r="MCV428" s="2"/>
      <c r="MCW428" s="405"/>
      <c r="MCX428" s="54"/>
      <c r="MCY428" s="239"/>
      <c r="MCZ428" s="54"/>
      <c r="MDA428" s="232"/>
      <c r="MDB428" s="2"/>
      <c r="MDC428" s="2"/>
      <c r="MDD428" s="2"/>
      <c r="MDE428" s="2"/>
      <c r="MDF428" s="260"/>
      <c r="MDG428" s="260"/>
      <c r="MDH428" s="260"/>
      <c r="MDI428" s="260"/>
      <c r="MDJ428" s="260"/>
      <c r="MDK428" s="260"/>
      <c r="MDL428" s="260"/>
      <c r="MDM428" s="260"/>
      <c r="MDN428" s="260"/>
      <c r="MDO428" s="260"/>
      <c r="MDP428" s="260"/>
      <c r="MDQ428" s="260"/>
      <c r="MDR428" s="260"/>
      <c r="MDS428" s="2"/>
      <c r="MDT428" s="2"/>
      <c r="MDU428" s="2"/>
      <c r="MDV428" s="2"/>
      <c r="MDW428" s="2"/>
      <c r="MDX428" s="2"/>
      <c r="MDY428" s="2"/>
      <c r="MDZ428" s="2"/>
      <c r="MEA428" s="2"/>
      <c r="MEB428" s="2"/>
      <c r="MEC428" s="2"/>
      <c r="MED428" s="2"/>
      <c r="MEE428" s="2"/>
      <c r="MEF428" s="2"/>
      <c r="MEG428" s="2"/>
      <c r="MEH428" s="260"/>
      <c r="MEI428" s="260"/>
      <c r="MEJ428" s="260"/>
      <c r="MEK428" s="380"/>
      <c r="MEL428" s="380"/>
      <c r="MEM428" s="380"/>
      <c r="MEN428" s="2"/>
      <c r="MEO428" s="405"/>
      <c r="MEP428" s="54"/>
      <c r="MEQ428" s="239"/>
      <c r="MER428" s="54"/>
      <c r="MES428" s="232"/>
      <c r="MET428" s="2"/>
      <c r="MEU428" s="2"/>
      <c r="MEV428" s="2"/>
      <c r="MEW428" s="2"/>
      <c r="MEX428" s="260"/>
      <c r="MEY428" s="260"/>
      <c r="MEZ428" s="260"/>
      <c r="MFA428" s="260"/>
      <c r="MFB428" s="260"/>
      <c r="MFC428" s="260"/>
      <c r="MFD428" s="260"/>
      <c r="MFE428" s="260"/>
      <c r="MFF428" s="260"/>
      <c r="MFG428" s="260"/>
      <c r="MFH428" s="260"/>
      <c r="MFI428" s="260"/>
      <c r="MFJ428" s="260"/>
      <c r="MFK428" s="2"/>
      <c r="MFL428" s="2"/>
      <c r="MFM428" s="2"/>
      <c r="MFN428" s="2"/>
      <c r="MFO428" s="2"/>
      <c r="MFP428" s="2"/>
      <c r="MFQ428" s="2"/>
      <c r="MFR428" s="2"/>
      <c r="MFS428" s="2"/>
      <c r="MFT428" s="2"/>
      <c r="MFU428" s="2"/>
      <c r="MFV428" s="2"/>
      <c r="MFW428" s="2"/>
      <c r="MFX428" s="2"/>
      <c r="MFY428" s="2"/>
      <c r="MFZ428" s="260"/>
      <c r="MGA428" s="260"/>
      <c r="MGB428" s="260"/>
      <c r="MGC428" s="380"/>
      <c r="MGD428" s="380"/>
      <c r="MGE428" s="380"/>
      <c r="MGF428" s="2"/>
      <c r="MGG428" s="405"/>
      <c r="MGH428" s="54"/>
      <c r="MGI428" s="239"/>
      <c r="MGJ428" s="54"/>
      <c r="MGK428" s="232"/>
      <c r="MGL428" s="2"/>
      <c r="MGM428" s="2"/>
      <c r="MGN428" s="2"/>
      <c r="MGO428" s="2"/>
      <c r="MGP428" s="260"/>
      <c r="MGQ428" s="260"/>
      <c r="MGR428" s="260"/>
      <c r="MGS428" s="260"/>
      <c r="MGT428" s="260"/>
      <c r="MGU428" s="260"/>
      <c r="MGV428" s="260"/>
      <c r="MGW428" s="260"/>
      <c r="MGX428" s="260"/>
      <c r="MGY428" s="260"/>
      <c r="MGZ428" s="260"/>
      <c r="MHA428" s="260"/>
      <c r="MHB428" s="260"/>
      <c r="MHC428" s="2"/>
      <c r="MHD428" s="2"/>
      <c r="MHE428" s="2"/>
      <c r="MHF428" s="2"/>
      <c r="MHG428" s="2"/>
      <c r="MHH428" s="2"/>
      <c r="MHI428" s="2"/>
      <c r="MHJ428" s="2"/>
      <c r="MHK428" s="2"/>
      <c r="MHL428" s="2"/>
      <c r="MHM428" s="2"/>
      <c r="MHN428" s="2"/>
      <c r="MHO428" s="2"/>
      <c r="MHP428" s="2"/>
      <c r="MHQ428" s="2"/>
      <c r="MHR428" s="260"/>
      <c r="MHS428" s="260"/>
      <c r="MHT428" s="260"/>
      <c r="MHU428" s="380"/>
      <c r="MHV428" s="380"/>
      <c r="MHW428" s="380"/>
      <c r="MHX428" s="2"/>
      <c r="MHY428" s="405"/>
      <c r="MHZ428" s="54"/>
      <c r="MIA428" s="239"/>
      <c r="MIB428" s="54"/>
      <c r="MIC428" s="232"/>
      <c r="MID428" s="2"/>
      <c r="MIE428" s="2"/>
      <c r="MIF428" s="2"/>
      <c r="MIG428" s="2"/>
      <c r="MIH428" s="260"/>
      <c r="MII428" s="260"/>
      <c r="MIJ428" s="260"/>
      <c r="MIK428" s="260"/>
      <c r="MIL428" s="260"/>
      <c r="MIM428" s="260"/>
      <c r="MIN428" s="260"/>
      <c r="MIO428" s="260"/>
      <c r="MIP428" s="260"/>
      <c r="MIQ428" s="260"/>
      <c r="MIR428" s="260"/>
      <c r="MIS428" s="260"/>
      <c r="MIT428" s="260"/>
      <c r="MIU428" s="2"/>
      <c r="MIV428" s="2"/>
      <c r="MIW428" s="2"/>
      <c r="MIX428" s="2"/>
      <c r="MIY428" s="2"/>
      <c r="MIZ428" s="2"/>
      <c r="MJA428" s="2"/>
      <c r="MJB428" s="2"/>
      <c r="MJC428" s="2"/>
      <c r="MJD428" s="2"/>
      <c r="MJE428" s="2"/>
      <c r="MJF428" s="2"/>
      <c r="MJG428" s="2"/>
      <c r="MJH428" s="2"/>
      <c r="MJI428" s="2"/>
      <c r="MJJ428" s="260"/>
      <c r="MJK428" s="260"/>
      <c r="MJL428" s="260"/>
      <c r="MJM428" s="380"/>
      <c r="MJN428" s="380"/>
      <c r="MJO428" s="380"/>
      <c r="MJP428" s="2"/>
      <c r="MJQ428" s="405"/>
      <c r="MJR428" s="54"/>
      <c r="MJS428" s="239"/>
      <c r="MJT428" s="54"/>
      <c r="MJU428" s="232"/>
      <c r="MJV428" s="2"/>
      <c r="MJW428" s="2"/>
      <c r="MJX428" s="2"/>
      <c r="MJY428" s="2"/>
      <c r="MJZ428" s="260"/>
      <c r="MKA428" s="260"/>
      <c r="MKB428" s="260"/>
      <c r="MKC428" s="260"/>
      <c r="MKD428" s="260"/>
      <c r="MKE428" s="260"/>
      <c r="MKF428" s="260"/>
      <c r="MKG428" s="260"/>
      <c r="MKH428" s="260"/>
      <c r="MKI428" s="260"/>
      <c r="MKJ428" s="260"/>
      <c r="MKK428" s="260"/>
      <c r="MKL428" s="260"/>
      <c r="MKM428" s="2"/>
      <c r="MKN428" s="2"/>
      <c r="MKO428" s="2"/>
      <c r="MKP428" s="2"/>
      <c r="MKQ428" s="2"/>
      <c r="MKR428" s="2"/>
      <c r="MKS428" s="2"/>
      <c r="MKT428" s="2"/>
      <c r="MKU428" s="2"/>
      <c r="MKV428" s="2"/>
      <c r="MKW428" s="2"/>
      <c r="MKX428" s="2"/>
      <c r="MKY428" s="2"/>
      <c r="MKZ428" s="2"/>
      <c r="MLA428" s="2"/>
      <c r="MLB428" s="260"/>
      <c r="MLC428" s="260"/>
      <c r="MLD428" s="260"/>
      <c r="MLE428" s="380"/>
      <c r="MLF428" s="380"/>
      <c r="MLG428" s="380"/>
      <c r="MLH428" s="2"/>
      <c r="MLI428" s="405"/>
      <c r="MLJ428" s="54"/>
      <c r="MLK428" s="239"/>
      <c r="MLL428" s="54"/>
      <c r="MLM428" s="232"/>
      <c r="MLN428" s="2"/>
      <c r="MLO428" s="2"/>
      <c r="MLP428" s="2"/>
      <c r="MLQ428" s="2"/>
      <c r="MLR428" s="260"/>
      <c r="MLS428" s="260"/>
      <c r="MLT428" s="260"/>
      <c r="MLU428" s="260"/>
      <c r="MLV428" s="260"/>
      <c r="MLW428" s="260"/>
      <c r="MLX428" s="260"/>
      <c r="MLY428" s="260"/>
      <c r="MLZ428" s="260"/>
      <c r="MMA428" s="260"/>
      <c r="MMB428" s="260"/>
      <c r="MMC428" s="260"/>
      <c r="MMD428" s="260"/>
      <c r="MME428" s="2"/>
      <c r="MMF428" s="2"/>
      <c r="MMG428" s="2"/>
      <c r="MMH428" s="2"/>
      <c r="MMI428" s="2"/>
      <c r="MMJ428" s="2"/>
      <c r="MMK428" s="2"/>
      <c r="MML428" s="2"/>
      <c r="MMM428" s="2"/>
      <c r="MMN428" s="2"/>
      <c r="MMO428" s="2"/>
      <c r="MMP428" s="2"/>
      <c r="MMQ428" s="2"/>
      <c r="MMR428" s="2"/>
      <c r="MMS428" s="2"/>
      <c r="MMT428" s="260"/>
      <c r="MMU428" s="260"/>
      <c r="MMV428" s="260"/>
      <c r="MMW428" s="380"/>
      <c r="MMX428" s="380"/>
      <c r="MMY428" s="380"/>
      <c r="MMZ428" s="2"/>
      <c r="MNA428" s="405"/>
      <c r="MNB428" s="54"/>
      <c r="MNC428" s="239"/>
      <c r="MND428" s="54"/>
      <c r="MNE428" s="232"/>
      <c r="MNF428" s="2"/>
      <c r="MNG428" s="2"/>
      <c r="MNH428" s="2"/>
      <c r="MNI428" s="2"/>
      <c r="MNJ428" s="260"/>
      <c r="MNK428" s="260"/>
      <c r="MNL428" s="260"/>
      <c r="MNM428" s="260"/>
      <c r="MNN428" s="260"/>
      <c r="MNO428" s="260"/>
      <c r="MNP428" s="260"/>
      <c r="MNQ428" s="260"/>
      <c r="MNR428" s="260"/>
      <c r="MNS428" s="260"/>
      <c r="MNT428" s="260"/>
      <c r="MNU428" s="260"/>
      <c r="MNV428" s="260"/>
      <c r="MNW428" s="2"/>
      <c r="MNX428" s="2"/>
      <c r="MNY428" s="2"/>
      <c r="MNZ428" s="2"/>
      <c r="MOA428" s="2"/>
      <c r="MOB428" s="2"/>
      <c r="MOC428" s="2"/>
      <c r="MOD428" s="2"/>
      <c r="MOE428" s="2"/>
      <c r="MOF428" s="2"/>
      <c r="MOG428" s="2"/>
      <c r="MOH428" s="2"/>
      <c r="MOI428" s="2"/>
      <c r="MOJ428" s="2"/>
      <c r="MOK428" s="2"/>
      <c r="MOL428" s="260"/>
      <c r="MOM428" s="260"/>
      <c r="MON428" s="260"/>
      <c r="MOO428" s="380"/>
      <c r="MOP428" s="380"/>
      <c r="MOQ428" s="380"/>
      <c r="MOR428" s="2"/>
      <c r="MOS428" s="405"/>
      <c r="MOT428" s="54"/>
      <c r="MOU428" s="239"/>
      <c r="MOV428" s="54"/>
      <c r="MOW428" s="232"/>
      <c r="MOX428" s="2"/>
      <c r="MOY428" s="2"/>
      <c r="MOZ428" s="2"/>
      <c r="MPA428" s="2"/>
      <c r="MPB428" s="260"/>
      <c r="MPC428" s="260"/>
      <c r="MPD428" s="260"/>
      <c r="MPE428" s="260"/>
      <c r="MPF428" s="260"/>
      <c r="MPG428" s="260"/>
      <c r="MPH428" s="260"/>
      <c r="MPI428" s="260"/>
      <c r="MPJ428" s="260"/>
      <c r="MPK428" s="260"/>
      <c r="MPL428" s="260"/>
      <c r="MPM428" s="260"/>
      <c r="MPN428" s="260"/>
      <c r="MPO428" s="2"/>
      <c r="MPP428" s="2"/>
      <c r="MPQ428" s="2"/>
      <c r="MPR428" s="2"/>
      <c r="MPS428" s="2"/>
      <c r="MPT428" s="2"/>
      <c r="MPU428" s="2"/>
      <c r="MPV428" s="2"/>
      <c r="MPW428" s="2"/>
      <c r="MPX428" s="2"/>
      <c r="MPY428" s="2"/>
      <c r="MPZ428" s="2"/>
      <c r="MQA428" s="2"/>
      <c r="MQB428" s="2"/>
      <c r="MQC428" s="2"/>
      <c r="MQD428" s="260"/>
      <c r="MQE428" s="260"/>
      <c r="MQF428" s="260"/>
      <c r="MQG428" s="380"/>
      <c r="MQH428" s="380"/>
      <c r="MQI428" s="380"/>
      <c r="MQJ428" s="2"/>
      <c r="MQK428" s="405"/>
      <c r="MQL428" s="54"/>
      <c r="MQM428" s="239"/>
      <c r="MQN428" s="54"/>
      <c r="MQO428" s="232"/>
      <c r="MQP428" s="2"/>
      <c r="MQQ428" s="2"/>
      <c r="MQR428" s="2"/>
      <c r="MQS428" s="2"/>
      <c r="MQT428" s="260"/>
      <c r="MQU428" s="260"/>
      <c r="MQV428" s="260"/>
      <c r="MQW428" s="260"/>
      <c r="MQX428" s="260"/>
      <c r="MQY428" s="260"/>
      <c r="MQZ428" s="260"/>
      <c r="MRA428" s="260"/>
      <c r="MRB428" s="260"/>
      <c r="MRC428" s="260"/>
      <c r="MRD428" s="260"/>
      <c r="MRE428" s="260"/>
      <c r="MRF428" s="260"/>
      <c r="MRG428" s="2"/>
      <c r="MRH428" s="2"/>
      <c r="MRI428" s="2"/>
      <c r="MRJ428" s="2"/>
      <c r="MRK428" s="2"/>
      <c r="MRL428" s="2"/>
      <c r="MRM428" s="2"/>
      <c r="MRN428" s="2"/>
      <c r="MRO428" s="2"/>
      <c r="MRP428" s="2"/>
      <c r="MRQ428" s="2"/>
      <c r="MRR428" s="2"/>
      <c r="MRS428" s="2"/>
      <c r="MRT428" s="2"/>
      <c r="MRU428" s="2"/>
      <c r="MRV428" s="260"/>
      <c r="MRW428" s="260"/>
      <c r="MRX428" s="260"/>
      <c r="MRY428" s="380"/>
      <c r="MRZ428" s="380"/>
      <c r="MSA428" s="380"/>
      <c r="MSB428" s="2"/>
      <c r="MSC428" s="405"/>
      <c r="MSD428" s="54"/>
      <c r="MSE428" s="239"/>
      <c r="MSF428" s="54"/>
      <c r="MSG428" s="232"/>
      <c r="MSH428" s="2"/>
      <c r="MSI428" s="2"/>
      <c r="MSJ428" s="2"/>
      <c r="MSK428" s="2"/>
      <c r="MSL428" s="260"/>
      <c r="MSM428" s="260"/>
      <c r="MSN428" s="260"/>
      <c r="MSO428" s="260"/>
      <c r="MSP428" s="260"/>
      <c r="MSQ428" s="260"/>
      <c r="MSR428" s="260"/>
      <c r="MSS428" s="260"/>
      <c r="MST428" s="260"/>
      <c r="MSU428" s="260"/>
      <c r="MSV428" s="260"/>
      <c r="MSW428" s="260"/>
      <c r="MSX428" s="260"/>
      <c r="MSY428" s="2"/>
      <c r="MSZ428" s="2"/>
      <c r="MTA428" s="2"/>
      <c r="MTB428" s="2"/>
      <c r="MTC428" s="2"/>
      <c r="MTD428" s="2"/>
      <c r="MTE428" s="2"/>
      <c r="MTF428" s="2"/>
      <c r="MTG428" s="2"/>
      <c r="MTH428" s="2"/>
      <c r="MTI428" s="2"/>
      <c r="MTJ428" s="2"/>
      <c r="MTK428" s="2"/>
      <c r="MTL428" s="2"/>
      <c r="MTM428" s="2"/>
      <c r="MTN428" s="260"/>
      <c r="MTO428" s="260"/>
      <c r="MTP428" s="260"/>
      <c r="MTQ428" s="380"/>
      <c r="MTR428" s="380"/>
      <c r="MTS428" s="380"/>
      <c r="MTT428" s="2"/>
      <c r="MTU428" s="405"/>
      <c r="MTV428" s="54"/>
      <c r="MTW428" s="239"/>
      <c r="MTX428" s="54"/>
      <c r="MTY428" s="232"/>
      <c r="MTZ428" s="2"/>
      <c r="MUA428" s="2"/>
      <c r="MUB428" s="2"/>
      <c r="MUC428" s="2"/>
      <c r="MUD428" s="260"/>
      <c r="MUE428" s="260"/>
      <c r="MUF428" s="260"/>
      <c r="MUG428" s="260"/>
      <c r="MUH428" s="260"/>
      <c r="MUI428" s="260"/>
      <c r="MUJ428" s="260"/>
      <c r="MUK428" s="260"/>
      <c r="MUL428" s="260"/>
      <c r="MUM428" s="260"/>
      <c r="MUN428" s="260"/>
      <c r="MUO428" s="260"/>
      <c r="MUP428" s="260"/>
      <c r="MUQ428" s="2"/>
      <c r="MUR428" s="2"/>
      <c r="MUS428" s="2"/>
      <c r="MUT428" s="2"/>
      <c r="MUU428" s="2"/>
      <c r="MUV428" s="2"/>
      <c r="MUW428" s="2"/>
      <c r="MUX428" s="2"/>
      <c r="MUY428" s="2"/>
      <c r="MUZ428" s="2"/>
      <c r="MVA428" s="2"/>
      <c r="MVB428" s="2"/>
      <c r="MVC428" s="2"/>
      <c r="MVD428" s="2"/>
      <c r="MVE428" s="2"/>
      <c r="MVF428" s="260"/>
      <c r="MVG428" s="260"/>
      <c r="MVH428" s="260"/>
      <c r="MVI428" s="380"/>
      <c r="MVJ428" s="380"/>
      <c r="MVK428" s="380"/>
      <c r="MVL428" s="2"/>
      <c r="MVM428" s="405"/>
      <c r="MVN428" s="54"/>
      <c r="MVO428" s="239"/>
      <c r="MVP428" s="54"/>
      <c r="MVQ428" s="232"/>
      <c r="MVR428" s="2"/>
      <c r="MVS428" s="2"/>
      <c r="MVT428" s="2"/>
      <c r="MVU428" s="2"/>
      <c r="MVV428" s="260"/>
      <c r="MVW428" s="260"/>
      <c r="MVX428" s="260"/>
      <c r="MVY428" s="260"/>
      <c r="MVZ428" s="260"/>
      <c r="MWA428" s="260"/>
      <c r="MWB428" s="260"/>
      <c r="MWC428" s="260"/>
      <c r="MWD428" s="260"/>
      <c r="MWE428" s="260"/>
      <c r="MWF428" s="260"/>
      <c r="MWG428" s="260"/>
      <c r="MWH428" s="260"/>
      <c r="MWI428" s="2"/>
      <c r="MWJ428" s="2"/>
      <c r="MWK428" s="2"/>
      <c r="MWL428" s="2"/>
      <c r="MWM428" s="2"/>
      <c r="MWN428" s="2"/>
      <c r="MWO428" s="2"/>
      <c r="MWP428" s="2"/>
      <c r="MWQ428" s="2"/>
      <c r="MWR428" s="2"/>
      <c r="MWS428" s="2"/>
      <c r="MWT428" s="2"/>
      <c r="MWU428" s="2"/>
      <c r="MWV428" s="2"/>
      <c r="MWW428" s="2"/>
      <c r="MWX428" s="260"/>
      <c r="MWY428" s="260"/>
      <c r="MWZ428" s="260"/>
      <c r="MXA428" s="380"/>
      <c r="MXB428" s="380"/>
      <c r="MXC428" s="380"/>
      <c r="MXD428" s="2"/>
      <c r="MXE428" s="405"/>
      <c r="MXF428" s="54"/>
      <c r="MXG428" s="239"/>
      <c r="MXH428" s="54"/>
      <c r="MXI428" s="232"/>
      <c r="MXJ428" s="2"/>
      <c r="MXK428" s="2"/>
      <c r="MXL428" s="2"/>
      <c r="MXM428" s="2"/>
      <c r="MXN428" s="260"/>
      <c r="MXO428" s="260"/>
      <c r="MXP428" s="260"/>
      <c r="MXQ428" s="260"/>
      <c r="MXR428" s="260"/>
      <c r="MXS428" s="260"/>
      <c r="MXT428" s="260"/>
      <c r="MXU428" s="260"/>
      <c r="MXV428" s="260"/>
      <c r="MXW428" s="260"/>
      <c r="MXX428" s="260"/>
      <c r="MXY428" s="260"/>
      <c r="MXZ428" s="260"/>
      <c r="MYA428" s="2"/>
      <c r="MYB428" s="2"/>
      <c r="MYC428" s="2"/>
      <c r="MYD428" s="2"/>
      <c r="MYE428" s="2"/>
      <c r="MYF428" s="2"/>
      <c r="MYG428" s="2"/>
      <c r="MYH428" s="2"/>
      <c r="MYI428" s="2"/>
      <c r="MYJ428" s="2"/>
      <c r="MYK428" s="2"/>
      <c r="MYL428" s="2"/>
      <c r="MYM428" s="2"/>
      <c r="MYN428" s="2"/>
      <c r="MYO428" s="2"/>
      <c r="MYP428" s="260"/>
      <c r="MYQ428" s="260"/>
      <c r="MYR428" s="260"/>
      <c r="MYS428" s="380"/>
      <c r="MYT428" s="380"/>
      <c r="MYU428" s="380"/>
      <c r="MYV428" s="2"/>
      <c r="MYW428" s="405"/>
      <c r="MYX428" s="54"/>
      <c r="MYY428" s="239"/>
      <c r="MYZ428" s="54"/>
      <c r="MZA428" s="232"/>
      <c r="MZB428" s="2"/>
      <c r="MZC428" s="2"/>
      <c r="MZD428" s="2"/>
      <c r="MZE428" s="2"/>
      <c r="MZF428" s="260"/>
      <c r="MZG428" s="260"/>
      <c r="MZH428" s="260"/>
      <c r="MZI428" s="260"/>
      <c r="MZJ428" s="260"/>
      <c r="MZK428" s="260"/>
      <c r="MZL428" s="260"/>
      <c r="MZM428" s="260"/>
      <c r="MZN428" s="260"/>
      <c r="MZO428" s="260"/>
      <c r="MZP428" s="260"/>
      <c r="MZQ428" s="260"/>
      <c r="MZR428" s="260"/>
      <c r="MZS428" s="2"/>
      <c r="MZT428" s="2"/>
      <c r="MZU428" s="2"/>
      <c r="MZV428" s="2"/>
      <c r="MZW428" s="2"/>
      <c r="MZX428" s="2"/>
      <c r="MZY428" s="2"/>
      <c r="MZZ428" s="2"/>
      <c r="NAA428" s="2"/>
      <c r="NAB428" s="2"/>
      <c r="NAC428" s="2"/>
      <c r="NAD428" s="2"/>
      <c r="NAE428" s="2"/>
      <c r="NAF428" s="2"/>
      <c r="NAG428" s="2"/>
      <c r="NAH428" s="260"/>
      <c r="NAI428" s="260"/>
      <c r="NAJ428" s="260"/>
      <c r="NAK428" s="380"/>
      <c r="NAL428" s="380"/>
      <c r="NAM428" s="380"/>
      <c r="NAN428" s="2"/>
      <c r="NAO428" s="405"/>
      <c r="NAP428" s="54"/>
      <c r="NAQ428" s="239"/>
      <c r="NAR428" s="54"/>
      <c r="NAS428" s="232"/>
      <c r="NAT428" s="2"/>
      <c r="NAU428" s="2"/>
      <c r="NAV428" s="2"/>
      <c r="NAW428" s="2"/>
      <c r="NAX428" s="260"/>
      <c r="NAY428" s="260"/>
      <c r="NAZ428" s="260"/>
      <c r="NBA428" s="260"/>
      <c r="NBB428" s="260"/>
      <c r="NBC428" s="260"/>
      <c r="NBD428" s="260"/>
      <c r="NBE428" s="260"/>
      <c r="NBF428" s="260"/>
      <c r="NBG428" s="260"/>
      <c r="NBH428" s="260"/>
      <c r="NBI428" s="260"/>
      <c r="NBJ428" s="260"/>
      <c r="NBK428" s="2"/>
      <c r="NBL428" s="2"/>
      <c r="NBM428" s="2"/>
      <c r="NBN428" s="2"/>
      <c r="NBO428" s="2"/>
      <c r="NBP428" s="2"/>
      <c r="NBQ428" s="2"/>
      <c r="NBR428" s="2"/>
      <c r="NBS428" s="2"/>
      <c r="NBT428" s="2"/>
      <c r="NBU428" s="2"/>
      <c r="NBV428" s="2"/>
      <c r="NBW428" s="2"/>
      <c r="NBX428" s="2"/>
      <c r="NBY428" s="2"/>
      <c r="NBZ428" s="260"/>
      <c r="NCA428" s="260"/>
      <c r="NCB428" s="260"/>
      <c r="NCC428" s="380"/>
      <c r="NCD428" s="380"/>
      <c r="NCE428" s="380"/>
      <c r="NCF428" s="2"/>
      <c r="NCG428" s="405"/>
      <c r="NCH428" s="54"/>
      <c r="NCI428" s="239"/>
      <c r="NCJ428" s="54"/>
      <c r="NCK428" s="232"/>
      <c r="NCL428" s="2"/>
      <c r="NCM428" s="2"/>
      <c r="NCN428" s="2"/>
      <c r="NCO428" s="2"/>
      <c r="NCP428" s="260"/>
      <c r="NCQ428" s="260"/>
      <c r="NCR428" s="260"/>
      <c r="NCS428" s="260"/>
      <c r="NCT428" s="260"/>
      <c r="NCU428" s="260"/>
      <c r="NCV428" s="260"/>
      <c r="NCW428" s="260"/>
      <c r="NCX428" s="260"/>
      <c r="NCY428" s="260"/>
      <c r="NCZ428" s="260"/>
      <c r="NDA428" s="260"/>
      <c r="NDB428" s="260"/>
      <c r="NDC428" s="2"/>
      <c r="NDD428" s="2"/>
      <c r="NDE428" s="2"/>
      <c r="NDF428" s="2"/>
      <c r="NDG428" s="2"/>
      <c r="NDH428" s="2"/>
      <c r="NDI428" s="2"/>
      <c r="NDJ428" s="2"/>
      <c r="NDK428" s="2"/>
      <c r="NDL428" s="2"/>
      <c r="NDM428" s="2"/>
      <c r="NDN428" s="2"/>
      <c r="NDO428" s="2"/>
      <c r="NDP428" s="2"/>
      <c r="NDQ428" s="2"/>
      <c r="NDR428" s="260"/>
      <c r="NDS428" s="260"/>
      <c r="NDT428" s="260"/>
      <c r="NDU428" s="380"/>
      <c r="NDV428" s="380"/>
      <c r="NDW428" s="380"/>
      <c r="NDX428" s="2"/>
      <c r="NDY428" s="405"/>
      <c r="NDZ428" s="54"/>
      <c r="NEA428" s="239"/>
      <c r="NEB428" s="54"/>
      <c r="NEC428" s="232"/>
      <c r="NED428" s="2"/>
      <c r="NEE428" s="2"/>
      <c r="NEF428" s="2"/>
      <c r="NEG428" s="2"/>
      <c r="NEH428" s="260"/>
      <c r="NEI428" s="260"/>
      <c r="NEJ428" s="260"/>
      <c r="NEK428" s="260"/>
      <c r="NEL428" s="260"/>
      <c r="NEM428" s="260"/>
      <c r="NEN428" s="260"/>
      <c r="NEO428" s="260"/>
      <c r="NEP428" s="260"/>
      <c r="NEQ428" s="260"/>
      <c r="NER428" s="260"/>
      <c r="NES428" s="260"/>
      <c r="NET428" s="260"/>
      <c r="NEU428" s="2"/>
      <c r="NEV428" s="2"/>
      <c r="NEW428" s="2"/>
      <c r="NEX428" s="2"/>
      <c r="NEY428" s="2"/>
      <c r="NEZ428" s="2"/>
      <c r="NFA428" s="2"/>
      <c r="NFB428" s="2"/>
      <c r="NFC428" s="2"/>
      <c r="NFD428" s="2"/>
      <c r="NFE428" s="2"/>
      <c r="NFF428" s="2"/>
      <c r="NFG428" s="2"/>
      <c r="NFH428" s="2"/>
      <c r="NFI428" s="2"/>
      <c r="NFJ428" s="260"/>
      <c r="NFK428" s="260"/>
      <c r="NFL428" s="260"/>
      <c r="NFM428" s="380"/>
      <c r="NFN428" s="380"/>
      <c r="NFO428" s="380"/>
      <c r="NFP428" s="2"/>
      <c r="NFQ428" s="405"/>
      <c r="NFR428" s="54"/>
      <c r="NFS428" s="239"/>
      <c r="NFT428" s="54"/>
      <c r="NFU428" s="232"/>
      <c r="NFV428" s="2"/>
      <c r="NFW428" s="2"/>
      <c r="NFX428" s="2"/>
      <c r="NFY428" s="2"/>
      <c r="NFZ428" s="260"/>
      <c r="NGA428" s="260"/>
      <c r="NGB428" s="260"/>
      <c r="NGC428" s="260"/>
      <c r="NGD428" s="260"/>
      <c r="NGE428" s="260"/>
      <c r="NGF428" s="260"/>
      <c r="NGG428" s="260"/>
      <c r="NGH428" s="260"/>
      <c r="NGI428" s="260"/>
      <c r="NGJ428" s="260"/>
      <c r="NGK428" s="260"/>
      <c r="NGL428" s="260"/>
      <c r="NGM428" s="2"/>
      <c r="NGN428" s="2"/>
      <c r="NGO428" s="2"/>
      <c r="NGP428" s="2"/>
      <c r="NGQ428" s="2"/>
      <c r="NGR428" s="2"/>
      <c r="NGS428" s="2"/>
      <c r="NGT428" s="2"/>
      <c r="NGU428" s="2"/>
      <c r="NGV428" s="2"/>
      <c r="NGW428" s="2"/>
      <c r="NGX428" s="2"/>
      <c r="NGY428" s="2"/>
      <c r="NGZ428" s="2"/>
      <c r="NHA428" s="2"/>
      <c r="NHB428" s="260"/>
      <c r="NHC428" s="260"/>
      <c r="NHD428" s="260"/>
      <c r="NHE428" s="380"/>
      <c r="NHF428" s="380"/>
      <c r="NHG428" s="380"/>
      <c r="NHH428" s="2"/>
      <c r="NHI428" s="405"/>
      <c r="NHJ428" s="54"/>
      <c r="NHK428" s="239"/>
      <c r="NHL428" s="54"/>
      <c r="NHM428" s="232"/>
      <c r="NHN428" s="2"/>
      <c r="NHO428" s="2"/>
      <c r="NHP428" s="2"/>
      <c r="NHQ428" s="2"/>
      <c r="NHR428" s="260"/>
      <c r="NHS428" s="260"/>
      <c r="NHT428" s="260"/>
      <c r="NHU428" s="260"/>
      <c r="NHV428" s="260"/>
      <c r="NHW428" s="260"/>
      <c r="NHX428" s="260"/>
      <c r="NHY428" s="260"/>
      <c r="NHZ428" s="260"/>
      <c r="NIA428" s="260"/>
      <c r="NIB428" s="260"/>
      <c r="NIC428" s="260"/>
      <c r="NID428" s="260"/>
      <c r="NIE428" s="2"/>
      <c r="NIF428" s="2"/>
      <c r="NIG428" s="2"/>
      <c r="NIH428" s="2"/>
      <c r="NII428" s="2"/>
      <c r="NIJ428" s="2"/>
      <c r="NIK428" s="2"/>
      <c r="NIL428" s="2"/>
      <c r="NIM428" s="2"/>
      <c r="NIN428" s="2"/>
      <c r="NIO428" s="2"/>
      <c r="NIP428" s="2"/>
      <c r="NIQ428" s="2"/>
      <c r="NIR428" s="2"/>
      <c r="NIS428" s="2"/>
      <c r="NIT428" s="260"/>
      <c r="NIU428" s="260"/>
      <c r="NIV428" s="260"/>
      <c r="NIW428" s="380"/>
      <c r="NIX428" s="380"/>
      <c r="NIY428" s="380"/>
      <c r="NIZ428" s="2"/>
      <c r="NJA428" s="405"/>
      <c r="NJB428" s="54"/>
      <c r="NJC428" s="239"/>
      <c r="NJD428" s="54"/>
      <c r="NJE428" s="232"/>
      <c r="NJF428" s="2"/>
      <c r="NJG428" s="2"/>
      <c r="NJH428" s="2"/>
      <c r="NJI428" s="2"/>
      <c r="NJJ428" s="260"/>
      <c r="NJK428" s="260"/>
      <c r="NJL428" s="260"/>
      <c r="NJM428" s="260"/>
      <c r="NJN428" s="260"/>
      <c r="NJO428" s="260"/>
      <c r="NJP428" s="260"/>
      <c r="NJQ428" s="260"/>
      <c r="NJR428" s="260"/>
      <c r="NJS428" s="260"/>
      <c r="NJT428" s="260"/>
      <c r="NJU428" s="260"/>
      <c r="NJV428" s="260"/>
      <c r="NJW428" s="2"/>
      <c r="NJX428" s="2"/>
      <c r="NJY428" s="2"/>
      <c r="NJZ428" s="2"/>
      <c r="NKA428" s="2"/>
      <c r="NKB428" s="2"/>
      <c r="NKC428" s="2"/>
      <c r="NKD428" s="2"/>
      <c r="NKE428" s="2"/>
      <c r="NKF428" s="2"/>
      <c r="NKG428" s="2"/>
      <c r="NKH428" s="2"/>
      <c r="NKI428" s="2"/>
      <c r="NKJ428" s="2"/>
      <c r="NKK428" s="2"/>
      <c r="NKL428" s="260"/>
      <c r="NKM428" s="260"/>
      <c r="NKN428" s="260"/>
      <c r="NKO428" s="380"/>
      <c r="NKP428" s="380"/>
      <c r="NKQ428" s="380"/>
      <c r="NKR428" s="2"/>
      <c r="NKS428" s="405"/>
      <c r="NKT428" s="54"/>
      <c r="NKU428" s="239"/>
      <c r="NKV428" s="54"/>
      <c r="NKW428" s="232"/>
      <c r="NKX428" s="2"/>
      <c r="NKY428" s="2"/>
      <c r="NKZ428" s="2"/>
      <c r="NLA428" s="2"/>
      <c r="NLB428" s="260"/>
      <c r="NLC428" s="260"/>
      <c r="NLD428" s="260"/>
      <c r="NLE428" s="260"/>
      <c r="NLF428" s="260"/>
      <c r="NLG428" s="260"/>
      <c r="NLH428" s="260"/>
      <c r="NLI428" s="260"/>
      <c r="NLJ428" s="260"/>
      <c r="NLK428" s="260"/>
      <c r="NLL428" s="260"/>
      <c r="NLM428" s="260"/>
      <c r="NLN428" s="260"/>
      <c r="NLO428" s="2"/>
      <c r="NLP428" s="2"/>
      <c r="NLQ428" s="2"/>
      <c r="NLR428" s="2"/>
      <c r="NLS428" s="2"/>
      <c r="NLT428" s="2"/>
      <c r="NLU428" s="2"/>
      <c r="NLV428" s="2"/>
      <c r="NLW428" s="2"/>
      <c r="NLX428" s="2"/>
      <c r="NLY428" s="2"/>
      <c r="NLZ428" s="2"/>
      <c r="NMA428" s="2"/>
      <c r="NMB428" s="2"/>
      <c r="NMC428" s="2"/>
      <c r="NMD428" s="260"/>
      <c r="NME428" s="260"/>
      <c r="NMF428" s="260"/>
      <c r="NMG428" s="380"/>
      <c r="NMH428" s="380"/>
      <c r="NMI428" s="380"/>
      <c r="NMJ428" s="2"/>
      <c r="NMK428" s="405"/>
      <c r="NML428" s="54"/>
      <c r="NMM428" s="239"/>
      <c r="NMN428" s="54"/>
      <c r="NMO428" s="232"/>
      <c r="NMP428" s="2"/>
      <c r="NMQ428" s="2"/>
      <c r="NMR428" s="2"/>
      <c r="NMS428" s="2"/>
      <c r="NMT428" s="260"/>
      <c r="NMU428" s="260"/>
      <c r="NMV428" s="260"/>
      <c r="NMW428" s="260"/>
      <c r="NMX428" s="260"/>
      <c r="NMY428" s="260"/>
      <c r="NMZ428" s="260"/>
      <c r="NNA428" s="260"/>
      <c r="NNB428" s="260"/>
      <c r="NNC428" s="260"/>
      <c r="NND428" s="260"/>
      <c r="NNE428" s="260"/>
      <c r="NNF428" s="260"/>
      <c r="NNG428" s="2"/>
      <c r="NNH428" s="2"/>
      <c r="NNI428" s="2"/>
      <c r="NNJ428" s="2"/>
      <c r="NNK428" s="2"/>
      <c r="NNL428" s="2"/>
      <c r="NNM428" s="2"/>
      <c r="NNN428" s="2"/>
      <c r="NNO428" s="2"/>
      <c r="NNP428" s="2"/>
      <c r="NNQ428" s="2"/>
      <c r="NNR428" s="2"/>
      <c r="NNS428" s="2"/>
      <c r="NNT428" s="2"/>
      <c r="NNU428" s="2"/>
      <c r="NNV428" s="260"/>
      <c r="NNW428" s="260"/>
      <c r="NNX428" s="260"/>
      <c r="NNY428" s="380"/>
      <c r="NNZ428" s="380"/>
      <c r="NOA428" s="380"/>
      <c r="NOB428" s="2"/>
      <c r="NOC428" s="405"/>
      <c r="NOD428" s="54"/>
      <c r="NOE428" s="239"/>
      <c r="NOF428" s="54"/>
      <c r="NOG428" s="232"/>
      <c r="NOH428" s="2"/>
      <c r="NOI428" s="2"/>
      <c r="NOJ428" s="2"/>
      <c r="NOK428" s="2"/>
      <c r="NOL428" s="260"/>
      <c r="NOM428" s="260"/>
      <c r="NON428" s="260"/>
      <c r="NOO428" s="260"/>
      <c r="NOP428" s="260"/>
      <c r="NOQ428" s="260"/>
      <c r="NOR428" s="260"/>
      <c r="NOS428" s="260"/>
      <c r="NOT428" s="260"/>
      <c r="NOU428" s="260"/>
      <c r="NOV428" s="260"/>
      <c r="NOW428" s="260"/>
      <c r="NOX428" s="260"/>
      <c r="NOY428" s="2"/>
      <c r="NOZ428" s="2"/>
      <c r="NPA428" s="2"/>
      <c r="NPB428" s="2"/>
      <c r="NPC428" s="2"/>
      <c r="NPD428" s="2"/>
      <c r="NPE428" s="2"/>
      <c r="NPF428" s="2"/>
      <c r="NPG428" s="2"/>
      <c r="NPH428" s="2"/>
      <c r="NPI428" s="2"/>
      <c r="NPJ428" s="2"/>
      <c r="NPK428" s="2"/>
      <c r="NPL428" s="2"/>
      <c r="NPM428" s="2"/>
      <c r="NPN428" s="260"/>
      <c r="NPO428" s="260"/>
      <c r="NPP428" s="260"/>
      <c r="NPQ428" s="380"/>
      <c r="NPR428" s="380"/>
      <c r="NPS428" s="380"/>
      <c r="NPT428" s="2"/>
      <c r="NPU428" s="405"/>
      <c r="NPV428" s="54"/>
      <c r="NPW428" s="239"/>
      <c r="NPX428" s="54"/>
      <c r="NPY428" s="232"/>
      <c r="NPZ428" s="2"/>
      <c r="NQA428" s="2"/>
      <c r="NQB428" s="2"/>
      <c r="NQC428" s="2"/>
      <c r="NQD428" s="260"/>
      <c r="NQE428" s="260"/>
      <c r="NQF428" s="260"/>
      <c r="NQG428" s="260"/>
      <c r="NQH428" s="260"/>
      <c r="NQI428" s="260"/>
      <c r="NQJ428" s="260"/>
      <c r="NQK428" s="260"/>
      <c r="NQL428" s="260"/>
      <c r="NQM428" s="260"/>
      <c r="NQN428" s="260"/>
      <c r="NQO428" s="260"/>
      <c r="NQP428" s="260"/>
      <c r="NQQ428" s="2"/>
      <c r="NQR428" s="2"/>
      <c r="NQS428" s="2"/>
      <c r="NQT428" s="2"/>
      <c r="NQU428" s="2"/>
      <c r="NQV428" s="2"/>
      <c r="NQW428" s="2"/>
      <c r="NQX428" s="2"/>
      <c r="NQY428" s="2"/>
      <c r="NQZ428" s="2"/>
      <c r="NRA428" s="2"/>
      <c r="NRB428" s="2"/>
      <c r="NRC428" s="2"/>
      <c r="NRD428" s="2"/>
      <c r="NRE428" s="2"/>
      <c r="NRF428" s="260"/>
      <c r="NRG428" s="260"/>
      <c r="NRH428" s="260"/>
      <c r="NRI428" s="380"/>
      <c r="NRJ428" s="380"/>
      <c r="NRK428" s="380"/>
      <c r="NRL428" s="2"/>
      <c r="NRM428" s="405"/>
      <c r="NRN428" s="54"/>
      <c r="NRO428" s="239"/>
      <c r="NRP428" s="54"/>
      <c r="NRQ428" s="232"/>
      <c r="NRR428" s="2"/>
      <c r="NRS428" s="2"/>
      <c r="NRT428" s="2"/>
      <c r="NRU428" s="2"/>
      <c r="NRV428" s="260"/>
      <c r="NRW428" s="260"/>
      <c r="NRX428" s="260"/>
      <c r="NRY428" s="260"/>
      <c r="NRZ428" s="260"/>
      <c r="NSA428" s="260"/>
      <c r="NSB428" s="260"/>
      <c r="NSC428" s="260"/>
      <c r="NSD428" s="260"/>
      <c r="NSE428" s="260"/>
      <c r="NSF428" s="260"/>
      <c r="NSG428" s="260"/>
      <c r="NSH428" s="260"/>
      <c r="NSI428" s="2"/>
      <c r="NSJ428" s="2"/>
      <c r="NSK428" s="2"/>
      <c r="NSL428" s="2"/>
      <c r="NSM428" s="2"/>
      <c r="NSN428" s="2"/>
      <c r="NSO428" s="2"/>
      <c r="NSP428" s="2"/>
      <c r="NSQ428" s="2"/>
      <c r="NSR428" s="2"/>
      <c r="NSS428" s="2"/>
      <c r="NST428" s="2"/>
      <c r="NSU428" s="2"/>
      <c r="NSV428" s="2"/>
      <c r="NSW428" s="2"/>
      <c r="NSX428" s="260"/>
      <c r="NSY428" s="260"/>
      <c r="NSZ428" s="260"/>
      <c r="NTA428" s="380"/>
      <c r="NTB428" s="380"/>
      <c r="NTC428" s="380"/>
      <c r="NTD428" s="2"/>
      <c r="NTE428" s="405"/>
      <c r="NTF428" s="54"/>
      <c r="NTG428" s="239"/>
      <c r="NTH428" s="54"/>
      <c r="NTI428" s="232"/>
      <c r="NTJ428" s="2"/>
      <c r="NTK428" s="2"/>
      <c r="NTL428" s="2"/>
      <c r="NTM428" s="2"/>
      <c r="NTN428" s="260"/>
      <c r="NTO428" s="260"/>
      <c r="NTP428" s="260"/>
      <c r="NTQ428" s="260"/>
      <c r="NTR428" s="260"/>
      <c r="NTS428" s="260"/>
      <c r="NTT428" s="260"/>
      <c r="NTU428" s="260"/>
      <c r="NTV428" s="260"/>
      <c r="NTW428" s="260"/>
      <c r="NTX428" s="260"/>
      <c r="NTY428" s="260"/>
      <c r="NTZ428" s="260"/>
      <c r="NUA428" s="2"/>
      <c r="NUB428" s="2"/>
      <c r="NUC428" s="2"/>
      <c r="NUD428" s="2"/>
      <c r="NUE428" s="2"/>
      <c r="NUF428" s="2"/>
      <c r="NUG428" s="2"/>
      <c r="NUH428" s="2"/>
      <c r="NUI428" s="2"/>
      <c r="NUJ428" s="2"/>
      <c r="NUK428" s="2"/>
      <c r="NUL428" s="2"/>
      <c r="NUM428" s="2"/>
      <c r="NUN428" s="2"/>
      <c r="NUO428" s="2"/>
      <c r="NUP428" s="260"/>
      <c r="NUQ428" s="260"/>
      <c r="NUR428" s="260"/>
      <c r="NUS428" s="380"/>
      <c r="NUT428" s="380"/>
      <c r="NUU428" s="380"/>
      <c r="NUV428" s="2"/>
      <c r="NUW428" s="405"/>
      <c r="NUX428" s="54"/>
      <c r="NUY428" s="239"/>
      <c r="NUZ428" s="54"/>
      <c r="NVA428" s="232"/>
      <c r="NVB428" s="2"/>
      <c r="NVC428" s="2"/>
      <c r="NVD428" s="2"/>
      <c r="NVE428" s="2"/>
      <c r="NVF428" s="260"/>
      <c r="NVG428" s="260"/>
      <c r="NVH428" s="260"/>
      <c r="NVI428" s="260"/>
      <c r="NVJ428" s="260"/>
      <c r="NVK428" s="260"/>
      <c r="NVL428" s="260"/>
      <c r="NVM428" s="260"/>
      <c r="NVN428" s="260"/>
      <c r="NVO428" s="260"/>
      <c r="NVP428" s="260"/>
      <c r="NVQ428" s="260"/>
      <c r="NVR428" s="260"/>
      <c r="NVS428" s="2"/>
      <c r="NVT428" s="2"/>
      <c r="NVU428" s="2"/>
      <c r="NVV428" s="2"/>
      <c r="NVW428" s="2"/>
      <c r="NVX428" s="2"/>
      <c r="NVY428" s="2"/>
      <c r="NVZ428" s="2"/>
      <c r="NWA428" s="2"/>
      <c r="NWB428" s="2"/>
      <c r="NWC428" s="2"/>
      <c r="NWD428" s="2"/>
      <c r="NWE428" s="2"/>
      <c r="NWF428" s="2"/>
      <c r="NWG428" s="2"/>
      <c r="NWH428" s="260"/>
      <c r="NWI428" s="260"/>
      <c r="NWJ428" s="260"/>
      <c r="NWK428" s="380"/>
      <c r="NWL428" s="380"/>
      <c r="NWM428" s="380"/>
      <c r="NWN428" s="2"/>
      <c r="NWO428" s="405"/>
      <c r="NWP428" s="54"/>
      <c r="NWQ428" s="239"/>
      <c r="NWR428" s="54"/>
      <c r="NWS428" s="232"/>
      <c r="NWT428" s="2"/>
      <c r="NWU428" s="2"/>
      <c r="NWV428" s="2"/>
      <c r="NWW428" s="2"/>
      <c r="NWX428" s="260"/>
      <c r="NWY428" s="260"/>
      <c r="NWZ428" s="260"/>
      <c r="NXA428" s="260"/>
      <c r="NXB428" s="260"/>
      <c r="NXC428" s="260"/>
      <c r="NXD428" s="260"/>
      <c r="NXE428" s="260"/>
      <c r="NXF428" s="260"/>
      <c r="NXG428" s="260"/>
      <c r="NXH428" s="260"/>
      <c r="NXI428" s="260"/>
      <c r="NXJ428" s="260"/>
      <c r="NXK428" s="2"/>
      <c r="NXL428" s="2"/>
      <c r="NXM428" s="2"/>
      <c r="NXN428" s="2"/>
      <c r="NXO428" s="2"/>
      <c r="NXP428" s="2"/>
      <c r="NXQ428" s="2"/>
      <c r="NXR428" s="2"/>
      <c r="NXS428" s="2"/>
      <c r="NXT428" s="2"/>
      <c r="NXU428" s="2"/>
      <c r="NXV428" s="2"/>
      <c r="NXW428" s="2"/>
      <c r="NXX428" s="2"/>
      <c r="NXY428" s="2"/>
      <c r="NXZ428" s="260"/>
      <c r="NYA428" s="260"/>
      <c r="NYB428" s="260"/>
      <c r="NYC428" s="380"/>
      <c r="NYD428" s="380"/>
      <c r="NYE428" s="380"/>
      <c r="NYF428" s="2"/>
      <c r="NYG428" s="405"/>
      <c r="NYH428" s="54"/>
      <c r="NYI428" s="239"/>
      <c r="NYJ428" s="54"/>
      <c r="NYK428" s="232"/>
      <c r="NYL428" s="2"/>
      <c r="NYM428" s="2"/>
      <c r="NYN428" s="2"/>
      <c r="NYO428" s="2"/>
      <c r="NYP428" s="260"/>
      <c r="NYQ428" s="260"/>
      <c r="NYR428" s="260"/>
      <c r="NYS428" s="260"/>
      <c r="NYT428" s="260"/>
      <c r="NYU428" s="260"/>
      <c r="NYV428" s="260"/>
      <c r="NYW428" s="260"/>
      <c r="NYX428" s="260"/>
      <c r="NYY428" s="260"/>
      <c r="NYZ428" s="260"/>
      <c r="NZA428" s="260"/>
      <c r="NZB428" s="260"/>
      <c r="NZC428" s="2"/>
      <c r="NZD428" s="2"/>
      <c r="NZE428" s="2"/>
      <c r="NZF428" s="2"/>
      <c r="NZG428" s="2"/>
      <c r="NZH428" s="2"/>
      <c r="NZI428" s="2"/>
      <c r="NZJ428" s="2"/>
      <c r="NZK428" s="2"/>
      <c r="NZL428" s="2"/>
      <c r="NZM428" s="2"/>
      <c r="NZN428" s="2"/>
      <c r="NZO428" s="2"/>
      <c r="NZP428" s="2"/>
      <c r="NZQ428" s="2"/>
      <c r="NZR428" s="260"/>
      <c r="NZS428" s="260"/>
      <c r="NZT428" s="260"/>
      <c r="NZU428" s="380"/>
      <c r="NZV428" s="380"/>
      <c r="NZW428" s="380"/>
      <c r="NZX428" s="2"/>
      <c r="NZY428" s="405"/>
      <c r="NZZ428" s="54"/>
      <c r="OAA428" s="239"/>
      <c r="OAB428" s="54"/>
      <c r="OAC428" s="232"/>
      <c r="OAD428" s="2"/>
      <c r="OAE428" s="2"/>
      <c r="OAF428" s="2"/>
      <c r="OAG428" s="2"/>
      <c r="OAH428" s="260"/>
      <c r="OAI428" s="260"/>
      <c r="OAJ428" s="260"/>
      <c r="OAK428" s="260"/>
      <c r="OAL428" s="260"/>
      <c r="OAM428" s="260"/>
      <c r="OAN428" s="260"/>
      <c r="OAO428" s="260"/>
      <c r="OAP428" s="260"/>
      <c r="OAQ428" s="260"/>
      <c r="OAR428" s="260"/>
      <c r="OAS428" s="260"/>
      <c r="OAT428" s="260"/>
      <c r="OAU428" s="2"/>
      <c r="OAV428" s="2"/>
      <c r="OAW428" s="2"/>
      <c r="OAX428" s="2"/>
      <c r="OAY428" s="2"/>
      <c r="OAZ428" s="2"/>
      <c r="OBA428" s="2"/>
      <c r="OBB428" s="2"/>
      <c r="OBC428" s="2"/>
      <c r="OBD428" s="2"/>
      <c r="OBE428" s="2"/>
      <c r="OBF428" s="2"/>
      <c r="OBG428" s="2"/>
      <c r="OBH428" s="2"/>
      <c r="OBI428" s="2"/>
      <c r="OBJ428" s="260"/>
      <c r="OBK428" s="260"/>
      <c r="OBL428" s="260"/>
      <c r="OBM428" s="380"/>
      <c r="OBN428" s="380"/>
      <c r="OBO428" s="380"/>
      <c r="OBP428" s="2"/>
      <c r="OBQ428" s="405"/>
      <c r="OBR428" s="54"/>
      <c r="OBS428" s="239"/>
      <c r="OBT428" s="54"/>
      <c r="OBU428" s="232"/>
      <c r="OBV428" s="2"/>
      <c r="OBW428" s="2"/>
      <c r="OBX428" s="2"/>
      <c r="OBY428" s="2"/>
      <c r="OBZ428" s="260"/>
      <c r="OCA428" s="260"/>
      <c r="OCB428" s="260"/>
      <c r="OCC428" s="260"/>
      <c r="OCD428" s="260"/>
      <c r="OCE428" s="260"/>
      <c r="OCF428" s="260"/>
      <c r="OCG428" s="260"/>
      <c r="OCH428" s="260"/>
      <c r="OCI428" s="260"/>
      <c r="OCJ428" s="260"/>
      <c r="OCK428" s="260"/>
      <c r="OCL428" s="260"/>
      <c r="OCM428" s="2"/>
      <c r="OCN428" s="2"/>
      <c r="OCO428" s="2"/>
      <c r="OCP428" s="2"/>
      <c r="OCQ428" s="2"/>
      <c r="OCR428" s="2"/>
      <c r="OCS428" s="2"/>
      <c r="OCT428" s="2"/>
      <c r="OCU428" s="2"/>
      <c r="OCV428" s="2"/>
      <c r="OCW428" s="2"/>
      <c r="OCX428" s="2"/>
      <c r="OCY428" s="2"/>
      <c r="OCZ428" s="2"/>
      <c r="ODA428" s="2"/>
      <c r="ODB428" s="260"/>
      <c r="ODC428" s="260"/>
      <c r="ODD428" s="260"/>
      <c r="ODE428" s="380"/>
      <c r="ODF428" s="380"/>
      <c r="ODG428" s="380"/>
      <c r="ODH428" s="2"/>
      <c r="ODI428" s="405"/>
      <c r="ODJ428" s="54"/>
      <c r="ODK428" s="239"/>
      <c r="ODL428" s="54"/>
      <c r="ODM428" s="232"/>
      <c r="ODN428" s="2"/>
      <c r="ODO428" s="2"/>
      <c r="ODP428" s="2"/>
      <c r="ODQ428" s="2"/>
      <c r="ODR428" s="260"/>
      <c r="ODS428" s="260"/>
      <c r="ODT428" s="260"/>
      <c r="ODU428" s="260"/>
      <c r="ODV428" s="260"/>
      <c r="ODW428" s="260"/>
      <c r="ODX428" s="260"/>
      <c r="ODY428" s="260"/>
      <c r="ODZ428" s="260"/>
      <c r="OEA428" s="260"/>
      <c r="OEB428" s="260"/>
      <c r="OEC428" s="260"/>
      <c r="OED428" s="260"/>
      <c r="OEE428" s="2"/>
      <c r="OEF428" s="2"/>
      <c r="OEG428" s="2"/>
      <c r="OEH428" s="2"/>
      <c r="OEI428" s="2"/>
      <c r="OEJ428" s="2"/>
      <c r="OEK428" s="2"/>
      <c r="OEL428" s="2"/>
      <c r="OEM428" s="2"/>
      <c r="OEN428" s="2"/>
      <c r="OEO428" s="2"/>
      <c r="OEP428" s="2"/>
      <c r="OEQ428" s="2"/>
      <c r="OER428" s="2"/>
      <c r="OES428" s="2"/>
      <c r="OET428" s="260"/>
      <c r="OEU428" s="260"/>
      <c r="OEV428" s="260"/>
      <c r="OEW428" s="380"/>
      <c r="OEX428" s="380"/>
      <c r="OEY428" s="380"/>
      <c r="OEZ428" s="2"/>
      <c r="OFA428" s="405"/>
      <c r="OFB428" s="54"/>
      <c r="OFC428" s="239"/>
      <c r="OFD428" s="54"/>
      <c r="OFE428" s="232"/>
      <c r="OFF428" s="2"/>
      <c r="OFG428" s="2"/>
      <c r="OFH428" s="2"/>
      <c r="OFI428" s="2"/>
      <c r="OFJ428" s="260"/>
      <c r="OFK428" s="260"/>
      <c r="OFL428" s="260"/>
      <c r="OFM428" s="260"/>
      <c r="OFN428" s="260"/>
      <c r="OFO428" s="260"/>
      <c r="OFP428" s="260"/>
      <c r="OFQ428" s="260"/>
      <c r="OFR428" s="260"/>
      <c r="OFS428" s="260"/>
      <c r="OFT428" s="260"/>
      <c r="OFU428" s="260"/>
      <c r="OFV428" s="260"/>
      <c r="OFW428" s="2"/>
      <c r="OFX428" s="2"/>
      <c r="OFY428" s="2"/>
      <c r="OFZ428" s="2"/>
      <c r="OGA428" s="2"/>
      <c r="OGB428" s="2"/>
      <c r="OGC428" s="2"/>
      <c r="OGD428" s="2"/>
      <c r="OGE428" s="2"/>
      <c r="OGF428" s="2"/>
      <c r="OGG428" s="2"/>
      <c r="OGH428" s="2"/>
      <c r="OGI428" s="2"/>
      <c r="OGJ428" s="2"/>
      <c r="OGK428" s="2"/>
      <c r="OGL428" s="260"/>
      <c r="OGM428" s="260"/>
      <c r="OGN428" s="260"/>
      <c r="OGO428" s="380"/>
      <c r="OGP428" s="380"/>
      <c r="OGQ428" s="380"/>
      <c r="OGR428" s="2"/>
      <c r="OGS428" s="405"/>
      <c r="OGT428" s="54"/>
      <c r="OGU428" s="239"/>
      <c r="OGV428" s="54"/>
      <c r="OGW428" s="232"/>
      <c r="OGX428" s="2"/>
      <c r="OGY428" s="2"/>
      <c r="OGZ428" s="2"/>
      <c r="OHA428" s="2"/>
      <c r="OHB428" s="260"/>
      <c r="OHC428" s="260"/>
      <c r="OHD428" s="260"/>
      <c r="OHE428" s="260"/>
      <c r="OHF428" s="260"/>
      <c r="OHG428" s="260"/>
      <c r="OHH428" s="260"/>
      <c r="OHI428" s="260"/>
      <c r="OHJ428" s="260"/>
      <c r="OHK428" s="260"/>
      <c r="OHL428" s="260"/>
      <c r="OHM428" s="260"/>
      <c r="OHN428" s="260"/>
      <c r="OHO428" s="2"/>
      <c r="OHP428" s="2"/>
      <c r="OHQ428" s="2"/>
      <c r="OHR428" s="2"/>
      <c r="OHS428" s="2"/>
      <c r="OHT428" s="2"/>
      <c r="OHU428" s="2"/>
      <c r="OHV428" s="2"/>
      <c r="OHW428" s="2"/>
      <c r="OHX428" s="2"/>
      <c r="OHY428" s="2"/>
      <c r="OHZ428" s="2"/>
      <c r="OIA428" s="2"/>
      <c r="OIB428" s="2"/>
      <c r="OIC428" s="2"/>
      <c r="OID428" s="260"/>
      <c r="OIE428" s="260"/>
      <c r="OIF428" s="260"/>
      <c r="OIG428" s="380"/>
      <c r="OIH428" s="380"/>
      <c r="OII428" s="380"/>
      <c r="OIJ428" s="2"/>
      <c r="OIK428" s="405"/>
      <c r="OIL428" s="54"/>
      <c r="OIM428" s="239"/>
      <c r="OIN428" s="54"/>
      <c r="OIO428" s="232"/>
      <c r="OIP428" s="2"/>
      <c r="OIQ428" s="2"/>
      <c r="OIR428" s="2"/>
      <c r="OIS428" s="2"/>
      <c r="OIT428" s="260"/>
      <c r="OIU428" s="260"/>
      <c r="OIV428" s="260"/>
      <c r="OIW428" s="260"/>
      <c r="OIX428" s="260"/>
      <c r="OIY428" s="260"/>
      <c r="OIZ428" s="260"/>
      <c r="OJA428" s="260"/>
      <c r="OJB428" s="260"/>
      <c r="OJC428" s="260"/>
      <c r="OJD428" s="260"/>
      <c r="OJE428" s="260"/>
      <c r="OJF428" s="260"/>
      <c r="OJG428" s="2"/>
      <c r="OJH428" s="2"/>
      <c r="OJI428" s="2"/>
      <c r="OJJ428" s="2"/>
      <c r="OJK428" s="2"/>
      <c r="OJL428" s="2"/>
      <c r="OJM428" s="2"/>
      <c r="OJN428" s="2"/>
      <c r="OJO428" s="2"/>
      <c r="OJP428" s="2"/>
      <c r="OJQ428" s="2"/>
      <c r="OJR428" s="2"/>
      <c r="OJS428" s="2"/>
      <c r="OJT428" s="2"/>
      <c r="OJU428" s="2"/>
      <c r="OJV428" s="260"/>
      <c r="OJW428" s="260"/>
      <c r="OJX428" s="260"/>
      <c r="OJY428" s="380"/>
      <c r="OJZ428" s="380"/>
      <c r="OKA428" s="380"/>
      <c r="OKB428" s="2"/>
      <c r="OKC428" s="405"/>
      <c r="OKD428" s="54"/>
      <c r="OKE428" s="239"/>
      <c r="OKF428" s="54"/>
      <c r="OKG428" s="232"/>
      <c r="OKH428" s="2"/>
      <c r="OKI428" s="2"/>
      <c r="OKJ428" s="2"/>
      <c r="OKK428" s="2"/>
      <c r="OKL428" s="260"/>
      <c r="OKM428" s="260"/>
      <c r="OKN428" s="260"/>
      <c r="OKO428" s="260"/>
      <c r="OKP428" s="260"/>
      <c r="OKQ428" s="260"/>
      <c r="OKR428" s="260"/>
      <c r="OKS428" s="260"/>
      <c r="OKT428" s="260"/>
      <c r="OKU428" s="260"/>
      <c r="OKV428" s="260"/>
      <c r="OKW428" s="260"/>
      <c r="OKX428" s="260"/>
      <c r="OKY428" s="2"/>
      <c r="OKZ428" s="2"/>
      <c r="OLA428" s="2"/>
      <c r="OLB428" s="2"/>
      <c r="OLC428" s="2"/>
      <c r="OLD428" s="2"/>
      <c r="OLE428" s="2"/>
      <c r="OLF428" s="2"/>
      <c r="OLG428" s="2"/>
      <c r="OLH428" s="2"/>
      <c r="OLI428" s="2"/>
      <c r="OLJ428" s="2"/>
      <c r="OLK428" s="2"/>
      <c r="OLL428" s="2"/>
      <c r="OLM428" s="2"/>
      <c r="OLN428" s="260"/>
      <c r="OLO428" s="260"/>
      <c r="OLP428" s="260"/>
      <c r="OLQ428" s="380"/>
      <c r="OLR428" s="380"/>
      <c r="OLS428" s="380"/>
      <c r="OLT428" s="2"/>
      <c r="OLU428" s="405"/>
      <c r="OLV428" s="54"/>
      <c r="OLW428" s="239"/>
      <c r="OLX428" s="54"/>
      <c r="OLY428" s="232"/>
      <c r="OLZ428" s="2"/>
      <c r="OMA428" s="2"/>
      <c r="OMB428" s="2"/>
      <c r="OMC428" s="2"/>
      <c r="OMD428" s="260"/>
      <c r="OME428" s="260"/>
      <c r="OMF428" s="260"/>
      <c r="OMG428" s="260"/>
      <c r="OMH428" s="260"/>
      <c r="OMI428" s="260"/>
      <c r="OMJ428" s="260"/>
      <c r="OMK428" s="260"/>
      <c r="OML428" s="260"/>
      <c r="OMM428" s="260"/>
      <c r="OMN428" s="260"/>
      <c r="OMO428" s="260"/>
      <c r="OMP428" s="260"/>
      <c r="OMQ428" s="2"/>
      <c r="OMR428" s="2"/>
      <c r="OMS428" s="2"/>
      <c r="OMT428" s="2"/>
      <c r="OMU428" s="2"/>
      <c r="OMV428" s="2"/>
      <c r="OMW428" s="2"/>
      <c r="OMX428" s="2"/>
      <c r="OMY428" s="2"/>
      <c r="OMZ428" s="2"/>
      <c r="ONA428" s="2"/>
      <c r="ONB428" s="2"/>
      <c r="ONC428" s="2"/>
      <c r="OND428" s="2"/>
      <c r="ONE428" s="2"/>
      <c r="ONF428" s="260"/>
      <c r="ONG428" s="260"/>
      <c r="ONH428" s="260"/>
      <c r="ONI428" s="380"/>
      <c r="ONJ428" s="380"/>
      <c r="ONK428" s="380"/>
      <c r="ONL428" s="2"/>
      <c r="ONM428" s="405"/>
      <c r="ONN428" s="54"/>
      <c r="ONO428" s="239"/>
      <c r="ONP428" s="54"/>
      <c r="ONQ428" s="232"/>
      <c r="ONR428" s="2"/>
      <c r="ONS428" s="2"/>
      <c r="ONT428" s="2"/>
      <c r="ONU428" s="2"/>
      <c r="ONV428" s="260"/>
      <c r="ONW428" s="260"/>
      <c r="ONX428" s="260"/>
      <c r="ONY428" s="260"/>
      <c r="ONZ428" s="260"/>
      <c r="OOA428" s="260"/>
      <c r="OOB428" s="260"/>
      <c r="OOC428" s="260"/>
      <c r="OOD428" s="260"/>
      <c r="OOE428" s="260"/>
      <c r="OOF428" s="260"/>
      <c r="OOG428" s="260"/>
      <c r="OOH428" s="260"/>
      <c r="OOI428" s="2"/>
      <c r="OOJ428" s="2"/>
      <c r="OOK428" s="2"/>
      <c r="OOL428" s="2"/>
      <c r="OOM428" s="2"/>
      <c r="OON428" s="2"/>
      <c r="OOO428" s="2"/>
      <c r="OOP428" s="2"/>
      <c r="OOQ428" s="2"/>
      <c r="OOR428" s="2"/>
      <c r="OOS428" s="2"/>
      <c r="OOT428" s="2"/>
      <c r="OOU428" s="2"/>
      <c r="OOV428" s="2"/>
      <c r="OOW428" s="2"/>
      <c r="OOX428" s="260"/>
      <c r="OOY428" s="260"/>
      <c r="OOZ428" s="260"/>
      <c r="OPA428" s="380"/>
      <c r="OPB428" s="380"/>
      <c r="OPC428" s="380"/>
      <c r="OPD428" s="2"/>
      <c r="OPE428" s="405"/>
      <c r="OPF428" s="54"/>
      <c r="OPG428" s="239"/>
      <c r="OPH428" s="54"/>
      <c r="OPI428" s="232"/>
      <c r="OPJ428" s="2"/>
      <c r="OPK428" s="2"/>
      <c r="OPL428" s="2"/>
      <c r="OPM428" s="2"/>
      <c r="OPN428" s="260"/>
      <c r="OPO428" s="260"/>
      <c r="OPP428" s="260"/>
      <c r="OPQ428" s="260"/>
      <c r="OPR428" s="260"/>
      <c r="OPS428" s="260"/>
      <c r="OPT428" s="260"/>
      <c r="OPU428" s="260"/>
      <c r="OPV428" s="260"/>
      <c r="OPW428" s="260"/>
      <c r="OPX428" s="260"/>
      <c r="OPY428" s="260"/>
      <c r="OPZ428" s="260"/>
      <c r="OQA428" s="2"/>
      <c r="OQB428" s="2"/>
      <c r="OQC428" s="2"/>
      <c r="OQD428" s="2"/>
      <c r="OQE428" s="2"/>
      <c r="OQF428" s="2"/>
      <c r="OQG428" s="2"/>
      <c r="OQH428" s="2"/>
      <c r="OQI428" s="2"/>
      <c r="OQJ428" s="2"/>
      <c r="OQK428" s="2"/>
      <c r="OQL428" s="2"/>
      <c r="OQM428" s="2"/>
      <c r="OQN428" s="2"/>
      <c r="OQO428" s="2"/>
      <c r="OQP428" s="260"/>
      <c r="OQQ428" s="260"/>
      <c r="OQR428" s="260"/>
      <c r="OQS428" s="380"/>
      <c r="OQT428" s="380"/>
      <c r="OQU428" s="380"/>
      <c r="OQV428" s="2"/>
      <c r="OQW428" s="405"/>
      <c r="OQX428" s="54"/>
      <c r="OQY428" s="239"/>
      <c r="OQZ428" s="54"/>
      <c r="ORA428" s="232"/>
      <c r="ORB428" s="2"/>
      <c r="ORC428" s="2"/>
      <c r="ORD428" s="2"/>
      <c r="ORE428" s="2"/>
      <c r="ORF428" s="260"/>
      <c r="ORG428" s="260"/>
      <c r="ORH428" s="260"/>
      <c r="ORI428" s="260"/>
      <c r="ORJ428" s="260"/>
      <c r="ORK428" s="260"/>
      <c r="ORL428" s="260"/>
      <c r="ORM428" s="260"/>
      <c r="ORN428" s="260"/>
      <c r="ORO428" s="260"/>
      <c r="ORP428" s="260"/>
      <c r="ORQ428" s="260"/>
      <c r="ORR428" s="260"/>
      <c r="ORS428" s="2"/>
      <c r="ORT428" s="2"/>
      <c r="ORU428" s="2"/>
      <c r="ORV428" s="2"/>
      <c r="ORW428" s="2"/>
      <c r="ORX428" s="2"/>
      <c r="ORY428" s="2"/>
      <c r="ORZ428" s="2"/>
      <c r="OSA428" s="2"/>
      <c r="OSB428" s="2"/>
      <c r="OSC428" s="2"/>
      <c r="OSD428" s="2"/>
      <c r="OSE428" s="2"/>
      <c r="OSF428" s="2"/>
      <c r="OSG428" s="2"/>
      <c r="OSH428" s="260"/>
      <c r="OSI428" s="260"/>
      <c r="OSJ428" s="260"/>
      <c r="OSK428" s="380"/>
      <c r="OSL428" s="380"/>
      <c r="OSM428" s="380"/>
      <c r="OSN428" s="2"/>
      <c r="OSO428" s="405"/>
      <c r="OSP428" s="54"/>
      <c r="OSQ428" s="239"/>
      <c r="OSR428" s="54"/>
      <c r="OSS428" s="232"/>
      <c r="OST428" s="2"/>
      <c r="OSU428" s="2"/>
      <c r="OSV428" s="2"/>
      <c r="OSW428" s="2"/>
      <c r="OSX428" s="260"/>
      <c r="OSY428" s="260"/>
      <c r="OSZ428" s="260"/>
      <c r="OTA428" s="260"/>
      <c r="OTB428" s="260"/>
      <c r="OTC428" s="260"/>
      <c r="OTD428" s="260"/>
      <c r="OTE428" s="260"/>
      <c r="OTF428" s="260"/>
      <c r="OTG428" s="260"/>
      <c r="OTH428" s="260"/>
      <c r="OTI428" s="260"/>
      <c r="OTJ428" s="260"/>
      <c r="OTK428" s="2"/>
      <c r="OTL428" s="2"/>
      <c r="OTM428" s="2"/>
      <c r="OTN428" s="2"/>
      <c r="OTO428" s="2"/>
      <c r="OTP428" s="2"/>
      <c r="OTQ428" s="2"/>
      <c r="OTR428" s="2"/>
      <c r="OTS428" s="2"/>
      <c r="OTT428" s="2"/>
      <c r="OTU428" s="2"/>
      <c r="OTV428" s="2"/>
      <c r="OTW428" s="2"/>
      <c r="OTX428" s="2"/>
      <c r="OTY428" s="2"/>
      <c r="OTZ428" s="260"/>
      <c r="OUA428" s="260"/>
      <c r="OUB428" s="260"/>
      <c r="OUC428" s="380"/>
      <c r="OUD428" s="380"/>
      <c r="OUE428" s="380"/>
      <c r="OUF428" s="2"/>
      <c r="OUG428" s="405"/>
      <c r="OUH428" s="54"/>
      <c r="OUI428" s="239"/>
      <c r="OUJ428" s="54"/>
      <c r="OUK428" s="232"/>
      <c r="OUL428" s="2"/>
      <c r="OUM428" s="2"/>
      <c r="OUN428" s="2"/>
      <c r="OUO428" s="2"/>
      <c r="OUP428" s="260"/>
      <c r="OUQ428" s="260"/>
      <c r="OUR428" s="260"/>
      <c r="OUS428" s="260"/>
      <c r="OUT428" s="260"/>
      <c r="OUU428" s="260"/>
      <c r="OUV428" s="260"/>
      <c r="OUW428" s="260"/>
      <c r="OUX428" s="260"/>
      <c r="OUY428" s="260"/>
      <c r="OUZ428" s="260"/>
      <c r="OVA428" s="260"/>
      <c r="OVB428" s="260"/>
      <c r="OVC428" s="2"/>
      <c r="OVD428" s="2"/>
      <c r="OVE428" s="2"/>
      <c r="OVF428" s="2"/>
      <c r="OVG428" s="2"/>
      <c r="OVH428" s="2"/>
      <c r="OVI428" s="2"/>
      <c r="OVJ428" s="2"/>
      <c r="OVK428" s="2"/>
      <c r="OVL428" s="2"/>
      <c r="OVM428" s="2"/>
      <c r="OVN428" s="2"/>
      <c r="OVO428" s="2"/>
      <c r="OVP428" s="2"/>
      <c r="OVQ428" s="2"/>
      <c r="OVR428" s="260"/>
      <c r="OVS428" s="260"/>
      <c r="OVT428" s="260"/>
      <c r="OVU428" s="380"/>
      <c r="OVV428" s="380"/>
      <c r="OVW428" s="380"/>
      <c r="OVX428" s="2"/>
      <c r="OVY428" s="405"/>
      <c r="OVZ428" s="54"/>
      <c r="OWA428" s="239"/>
      <c r="OWB428" s="54"/>
      <c r="OWC428" s="232"/>
      <c r="OWD428" s="2"/>
      <c r="OWE428" s="2"/>
      <c r="OWF428" s="2"/>
      <c r="OWG428" s="2"/>
      <c r="OWH428" s="260"/>
      <c r="OWI428" s="260"/>
      <c r="OWJ428" s="260"/>
      <c r="OWK428" s="260"/>
      <c r="OWL428" s="260"/>
      <c r="OWM428" s="260"/>
      <c r="OWN428" s="260"/>
      <c r="OWO428" s="260"/>
      <c r="OWP428" s="260"/>
      <c r="OWQ428" s="260"/>
      <c r="OWR428" s="260"/>
      <c r="OWS428" s="260"/>
      <c r="OWT428" s="260"/>
      <c r="OWU428" s="2"/>
      <c r="OWV428" s="2"/>
      <c r="OWW428" s="2"/>
      <c r="OWX428" s="2"/>
      <c r="OWY428" s="2"/>
      <c r="OWZ428" s="2"/>
      <c r="OXA428" s="2"/>
      <c r="OXB428" s="2"/>
      <c r="OXC428" s="2"/>
      <c r="OXD428" s="2"/>
      <c r="OXE428" s="2"/>
      <c r="OXF428" s="2"/>
      <c r="OXG428" s="2"/>
      <c r="OXH428" s="2"/>
      <c r="OXI428" s="2"/>
      <c r="OXJ428" s="260"/>
      <c r="OXK428" s="260"/>
      <c r="OXL428" s="260"/>
      <c r="OXM428" s="380"/>
      <c r="OXN428" s="380"/>
      <c r="OXO428" s="380"/>
      <c r="OXP428" s="2"/>
      <c r="OXQ428" s="405"/>
      <c r="OXR428" s="54"/>
      <c r="OXS428" s="239"/>
      <c r="OXT428" s="54"/>
      <c r="OXU428" s="232"/>
      <c r="OXV428" s="2"/>
      <c r="OXW428" s="2"/>
      <c r="OXX428" s="2"/>
      <c r="OXY428" s="2"/>
      <c r="OXZ428" s="260"/>
      <c r="OYA428" s="260"/>
      <c r="OYB428" s="260"/>
      <c r="OYC428" s="260"/>
      <c r="OYD428" s="260"/>
      <c r="OYE428" s="260"/>
      <c r="OYF428" s="260"/>
      <c r="OYG428" s="260"/>
      <c r="OYH428" s="260"/>
      <c r="OYI428" s="260"/>
      <c r="OYJ428" s="260"/>
      <c r="OYK428" s="260"/>
      <c r="OYL428" s="260"/>
      <c r="OYM428" s="2"/>
      <c r="OYN428" s="2"/>
      <c r="OYO428" s="2"/>
      <c r="OYP428" s="2"/>
      <c r="OYQ428" s="2"/>
      <c r="OYR428" s="2"/>
      <c r="OYS428" s="2"/>
      <c r="OYT428" s="2"/>
      <c r="OYU428" s="2"/>
      <c r="OYV428" s="2"/>
      <c r="OYW428" s="2"/>
      <c r="OYX428" s="2"/>
      <c r="OYY428" s="2"/>
      <c r="OYZ428" s="2"/>
      <c r="OZA428" s="2"/>
      <c r="OZB428" s="260"/>
      <c r="OZC428" s="260"/>
      <c r="OZD428" s="260"/>
      <c r="OZE428" s="380"/>
      <c r="OZF428" s="380"/>
      <c r="OZG428" s="380"/>
      <c r="OZH428" s="2"/>
      <c r="OZI428" s="405"/>
      <c r="OZJ428" s="54"/>
      <c r="OZK428" s="239"/>
      <c r="OZL428" s="54"/>
      <c r="OZM428" s="232"/>
      <c r="OZN428" s="2"/>
      <c r="OZO428" s="2"/>
      <c r="OZP428" s="2"/>
      <c r="OZQ428" s="2"/>
      <c r="OZR428" s="260"/>
      <c r="OZS428" s="260"/>
      <c r="OZT428" s="260"/>
      <c r="OZU428" s="260"/>
      <c r="OZV428" s="260"/>
      <c r="OZW428" s="260"/>
      <c r="OZX428" s="260"/>
      <c r="OZY428" s="260"/>
      <c r="OZZ428" s="260"/>
      <c r="PAA428" s="260"/>
      <c r="PAB428" s="260"/>
      <c r="PAC428" s="260"/>
      <c r="PAD428" s="260"/>
      <c r="PAE428" s="2"/>
      <c r="PAF428" s="2"/>
      <c r="PAG428" s="2"/>
      <c r="PAH428" s="2"/>
      <c r="PAI428" s="2"/>
      <c r="PAJ428" s="2"/>
      <c r="PAK428" s="2"/>
      <c r="PAL428" s="2"/>
      <c r="PAM428" s="2"/>
      <c r="PAN428" s="2"/>
      <c r="PAO428" s="2"/>
      <c r="PAP428" s="2"/>
      <c r="PAQ428" s="2"/>
      <c r="PAR428" s="2"/>
      <c r="PAS428" s="2"/>
      <c r="PAT428" s="260"/>
      <c r="PAU428" s="260"/>
      <c r="PAV428" s="260"/>
      <c r="PAW428" s="380"/>
      <c r="PAX428" s="380"/>
      <c r="PAY428" s="380"/>
      <c r="PAZ428" s="2"/>
      <c r="PBA428" s="405"/>
      <c r="PBB428" s="54"/>
      <c r="PBC428" s="239"/>
      <c r="PBD428" s="54"/>
      <c r="PBE428" s="232"/>
      <c r="PBF428" s="2"/>
      <c r="PBG428" s="2"/>
      <c r="PBH428" s="2"/>
      <c r="PBI428" s="2"/>
      <c r="PBJ428" s="260"/>
      <c r="PBK428" s="260"/>
      <c r="PBL428" s="260"/>
      <c r="PBM428" s="260"/>
      <c r="PBN428" s="260"/>
      <c r="PBO428" s="260"/>
      <c r="PBP428" s="260"/>
      <c r="PBQ428" s="260"/>
      <c r="PBR428" s="260"/>
      <c r="PBS428" s="260"/>
      <c r="PBT428" s="260"/>
      <c r="PBU428" s="260"/>
      <c r="PBV428" s="260"/>
      <c r="PBW428" s="2"/>
      <c r="PBX428" s="2"/>
      <c r="PBY428" s="2"/>
      <c r="PBZ428" s="2"/>
      <c r="PCA428" s="2"/>
      <c r="PCB428" s="2"/>
      <c r="PCC428" s="2"/>
      <c r="PCD428" s="2"/>
      <c r="PCE428" s="2"/>
      <c r="PCF428" s="2"/>
      <c r="PCG428" s="2"/>
      <c r="PCH428" s="2"/>
      <c r="PCI428" s="2"/>
      <c r="PCJ428" s="2"/>
      <c r="PCK428" s="2"/>
      <c r="PCL428" s="260"/>
      <c r="PCM428" s="260"/>
      <c r="PCN428" s="260"/>
      <c r="PCO428" s="380"/>
      <c r="PCP428" s="380"/>
      <c r="PCQ428" s="380"/>
      <c r="PCR428" s="2"/>
      <c r="PCS428" s="405"/>
      <c r="PCT428" s="54"/>
      <c r="PCU428" s="239"/>
      <c r="PCV428" s="54"/>
      <c r="PCW428" s="232"/>
      <c r="PCX428" s="2"/>
      <c r="PCY428" s="2"/>
      <c r="PCZ428" s="2"/>
      <c r="PDA428" s="2"/>
      <c r="PDB428" s="260"/>
      <c r="PDC428" s="260"/>
      <c r="PDD428" s="260"/>
      <c r="PDE428" s="260"/>
      <c r="PDF428" s="260"/>
      <c r="PDG428" s="260"/>
      <c r="PDH428" s="260"/>
      <c r="PDI428" s="260"/>
      <c r="PDJ428" s="260"/>
      <c r="PDK428" s="260"/>
      <c r="PDL428" s="260"/>
      <c r="PDM428" s="260"/>
      <c r="PDN428" s="260"/>
      <c r="PDO428" s="2"/>
      <c r="PDP428" s="2"/>
      <c r="PDQ428" s="2"/>
      <c r="PDR428" s="2"/>
      <c r="PDS428" s="2"/>
      <c r="PDT428" s="2"/>
      <c r="PDU428" s="2"/>
      <c r="PDV428" s="2"/>
      <c r="PDW428" s="2"/>
      <c r="PDX428" s="2"/>
      <c r="PDY428" s="2"/>
      <c r="PDZ428" s="2"/>
      <c r="PEA428" s="2"/>
      <c r="PEB428" s="2"/>
      <c r="PEC428" s="2"/>
      <c r="PED428" s="260"/>
      <c r="PEE428" s="260"/>
      <c r="PEF428" s="260"/>
      <c r="PEG428" s="380"/>
      <c r="PEH428" s="380"/>
      <c r="PEI428" s="380"/>
      <c r="PEJ428" s="2"/>
      <c r="PEK428" s="405"/>
      <c r="PEL428" s="54"/>
      <c r="PEM428" s="239"/>
      <c r="PEN428" s="54"/>
      <c r="PEO428" s="232"/>
      <c r="PEP428" s="2"/>
      <c r="PEQ428" s="2"/>
      <c r="PER428" s="2"/>
      <c r="PES428" s="2"/>
      <c r="PET428" s="260"/>
      <c r="PEU428" s="260"/>
      <c r="PEV428" s="260"/>
      <c r="PEW428" s="260"/>
      <c r="PEX428" s="260"/>
      <c r="PEY428" s="260"/>
      <c r="PEZ428" s="260"/>
      <c r="PFA428" s="260"/>
      <c r="PFB428" s="260"/>
      <c r="PFC428" s="260"/>
      <c r="PFD428" s="260"/>
      <c r="PFE428" s="260"/>
      <c r="PFF428" s="260"/>
      <c r="PFG428" s="2"/>
      <c r="PFH428" s="2"/>
      <c r="PFI428" s="2"/>
      <c r="PFJ428" s="2"/>
      <c r="PFK428" s="2"/>
      <c r="PFL428" s="2"/>
      <c r="PFM428" s="2"/>
      <c r="PFN428" s="2"/>
      <c r="PFO428" s="2"/>
      <c r="PFP428" s="2"/>
      <c r="PFQ428" s="2"/>
      <c r="PFR428" s="2"/>
      <c r="PFS428" s="2"/>
      <c r="PFT428" s="2"/>
      <c r="PFU428" s="2"/>
      <c r="PFV428" s="260"/>
      <c r="PFW428" s="260"/>
      <c r="PFX428" s="260"/>
      <c r="PFY428" s="380"/>
      <c r="PFZ428" s="380"/>
      <c r="PGA428" s="380"/>
      <c r="PGB428" s="2"/>
      <c r="PGC428" s="405"/>
      <c r="PGD428" s="54"/>
      <c r="PGE428" s="239"/>
      <c r="PGF428" s="54"/>
      <c r="PGG428" s="232"/>
      <c r="PGH428" s="2"/>
      <c r="PGI428" s="2"/>
      <c r="PGJ428" s="2"/>
      <c r="PGK428" s="2"/>
      <c r="PGL428" s="260"/>
      <c r="PGM428" s="260"/>
      <c r="PGN428" s="260"/>
      <c r="PGO428" s="260"/>
      <c r="PGP428" s="260"/>
      <c r="PGQ428" s="260"/>
      <c r="PGR428" s="260"/>
      <c r="PGS428" s="260"/>
      <c r="PGT428" s="260"/>
      <c r="PGU428" s="260"/>
      <c r="PGV428" s="260"/>
      <c r="PGW428" s="260"/>
      <c r="PGX428" s="260"/>
      <c r="PGY428" s="2"/>
      <c r="PGZ428" s="2"/>
      <c r="PHA428" s="2"/>
      <c r="PHB428" s="2"/>
      <c r="PHC428" s="2"/>
      <c r="PHD428" s="2"/>
      <c r="PHE428" s="2"/>
      <c r="PHF428" s="2"/>
      <c r="PHG428" s="2"/>
      <c r="PHH428" s="2"/>
      <c r="PHI428" s="2"/>
      <c r="PHJ428" s="2"/>
      <c r="PHK428" s="2"/>
      <c r="PHL428" s="2"/>
      <c r="PHM428" s="2"/>
      <c r="PHN428" s="260"/>
      <c r="PHO428" s="260"/>
      <c r="PHP428" s="260"/>
      <c r="PHQ428" s="380"/>
      <c r="PHR428" s="380"/>
      <c r="PHS428" s="380"/>
      <c r="PHT428" s="2"/>
      <c r="PHU428" s="405"/>
      <c r="PHV428" s="54"/>
      <c r="PHW428" s="239"/>
      <c r="PHX428" s="54"/>
      <c r="PHY428" s="232"/>
      <c r="PHZ428" s="2"/>
      <c r="PIA428" s="2"/>
      <c r="PIB428" s="2"/>
      <c r="PIC428" s="2"/>
      <c r="PID428" s="260"/>
      <c r="PIE428" s="260"/>
      <c r="PIF428" s="260"/>
      <c r="PIG428" s="260"/>
      <c r="PIH428" s="260"/>
      <c r="PII428" s="260"/>
      <c r="PIJ428" s="260"/>
      <c r="PIK428" s="260"/>
      <c r="PIL428" s="260"/>
      <c r="PIM428" s="260"/>
      <c r="PIN428" s="260"/>
      <c r="PIO428" s="260"/>
      <c r="PIP428" s="260"/>
      <c r="PIQ428" s="2"/>
      <c r="PIR428" s="2"/>
      <c r="PIS428" s="2"/>
      <c r="PIT428" s="2"/>
      <c r="PIU428" s="2"/>
      <c r="PIV428" s="2"/>
      <c r="PIW428" s="2"/>
      <c r="PIX428" s="2"/>
      <c r="PIY428" s="2"/>
      <c r="PIZ428" s="2"/>
      <c r="PJA428" s="2"/>
      <c r="PJB428" s="2"/>
      <c r="PJC428" s="2"/>
      <c r="PJD428" s="2"/>
      <c r="PJE428" s="2"/>
      <c r="PJF428" s="260"/>
      <c r="PJG428" s="260"/>
      <c r="PJH428" s="260"/>
      <c r="PJI428" s="380"/>
      <c r="PJJ428" s="380"/>
      <c r="PJK428" s="380"/>
      <c r="PJL428" s="2"/>
      <c r="PJM428" s="405"/>
      <c r="PJN428" s="54"/>
      <c r="PJO428" s="239"/>
      <c r="PJP428" s="54"/>
      <c r="PJQ428" s="232"/>
      <c r="PJR428" s="2"/>
      <c r="PJS428" s="2"/>
      <c r="PJT428" s="2"/>
      <c r="PJU428" s="2"/>
      <c r="PJV428" s="260"/>
      <c r="PJW428" s="260"/>
      <c r="PJX428" s="260"/>
      <c r="PJY428" s="260"/>
      <c r="PJZ428" s="260"/>
      <c r="PKA428" s="260"/>
      <c r="PKB428" s="260"/>
      <c r="PKC428" s="260"/>
      <c r="PKD428" s="260"/>
      <c r="PKE428" s="260"/>
      <c r="PKF428" s="260"/>
      <c r="PKG428" s="260"/>
      <c r="PKH428" s="260"/>
      <c r="PKI428" s="2"/>
      <c r="PKJ428" s="2"/>
      <c r="PKK428" s="2"/>
      <c r="PKL428" s="2"/>
      <c r="PKM428" s="2"/>
      <c r="PKN428" s="2"/>
      <c r="PKO428" s="2"/>
      <c r="PKP428" s="2"/>
      <c r="PKQ428" s="2"/>
      <c r="PKR428" s="2"/>
      <c r="PKS428" s="2"/>
      <c r="PKT428" s="2"/>
      <c r="PKU428" s="2"/>
      <c r="PKV428" s="2"/>
      <c r="PKW428" s="2"/>
      <c r="PKX428" s="260"/>
      <c r="PKY428" s="260"/>
      <c r="PKZ428" s="260"/>
      <c r="PLA428" s="380"/>
      <c r="PLB428" s="380"/>
      <c r="PLC428" s="380"/>
      <c r="PLD428" s="2"/>
      <c r="PLE428" s="405"/>
      <c r="PLF428" s="54"/>
      <c r="PLG428" s="239"/>
      <c r="PLH428" s="54"/>
      <c r="PLI428" s="232"/>
      <c r="PLJ428" s="2"/>
      <c r="PLK428" s="2"/>
      <c r="PLL428" s="2"/>
      <c r="PLM428" s="2"/>
      <c r="PLN428" s="260"/>
      <c r="PLO428" s="260"/>
      <c r="PLP428" s="260"/>
      <c r="PLQ428" s="260"/>
      <c r="PLR428" s="260"/>
      <c r="PLS428" s="260"/>
      <c r="PLT428" s="260"/>
      <c r="PLU428" s="260"/>
      <c r="PLV428" s="260"/>
      <c r="PLW428" s="260"/>
      <c r="PLX428" s="260"/>
      <c r="PLY428" s="260"/>
      <c r="PLZ428" s="260"/>
      <c r="PMA428" s="2"/>
      <c r="PMB428" s="2"/>
      <c r="PMC428" s="2"/>
      <c r="PMD428" s="2"/>
      <c r="PME428" s="2"/>
      <c r="PMF428" s="2"/>
      <c r="PMG428" s="2"/>
      <c r="PMH428" s="2"/>
      <c r="PMI428" s="2"/>
      <c r="PMJ428" s="2"/>
      <c r="PMK428" s="2"/>
      <c r="PML428" s="2"/>
      <c r="PMM428" s="2"/>
      <c r="PMN428" s="2"/>
      <c r="PMO428" s="2"/>
      <c r="PMP428" s="260"/>
      <c r="PMQ428" s="260"/>
      <c r="PMR428" s="260"/>
      <c r="PMS428" s="380"/>
      <c r="PMT428" s="380"/>
      <c r="PMU428" s="380"/>
      <c r="PMV428" s="2"/>
      <c r="PMW428" s="405"/>
      <c r="PMX428" s="54"/>
      <c r="PMY428" s="239"/>
      <c r="PMZ428" s="54"/>
      <c r="PNA428" s="232"/>
      <c r="PNB428" s="2"/>
      <c r="PNC428" s="2"/>
      <c r="PND428" s="2"/>
      <c r="PNE428" s="2"/>
      <c r="PNF428" s="260"/>
      <c r="PNG428" s="260"/>
      <c r="PNH428" s="260"/>
      <c r="PNI428" s="260"/>
      <c r="PNJ428" s="260"/>
      <c r="PNK428" s="260"/>
      <c r="PNL428" s="260"/>
      <c r="PNM428" s="260"/>
      <c r="PNN428" s="260"/>
      <c r="PNO428" s="260"/>
      <c r="PNP428" s="260"/>
      <c r="PNQ428" s="260"/>
      <c r="PNR428" s="260"/>
      <c r="PNS428" s="2"/>
      <c r="PNT428" s="2"/>
      <c r="PNU428" s="2"/>
      <c r="PNV428" s="2"/>
      <c r="PNW428" s="2"/>
      <c r="PNX428" s="2"/>
      <c r="PNY428" s="2"/>
      <c r="PNZ428" s="2"/>
      <c r="POA428" s="2"/>
      <c r="POB428" s="2"/>
      <c r="POC428" s="2"/>
      <c r="POD428" s="2"/>
      <c r="POE428" s="2"/>
      <c r="POF428" s="2"/>
      <c r="POG428" s="2"/>
      <c r="POH428" s="260"/>
      <c r="POI428" s="260"/>
      <c r="POJ428" s="260"/>
      <c r="POK428" s="380"/>
      <c r="POL428" s="380"/>
      <c r="POM428" s="380"/>
      <c r="PON428" s="2"/>
      <c r="POO428" s="405"/>
      <c r="POP428" s="54"/>
      <c r="POQ428" s="239"/>
      <c r="POR428" s="54"/>
      <c r="POS428" s="232"/>
      <c r="POT428" s="2"/>
      <c r="POU428" s="2"/>
      <c r="POV428" s="2"/>
      <c r="POW428" s="2"/>
      <c r="POX428" s="260"/>
      <c r="POY428" s="260"/>
      <c r="POZ428" s="260"/>
      <c r="PPA428" s="260"/>
      <c r="PPB428" s="260"/>
      <c r="PPC428" s="260"/>
      <c r="PPD428" s="260"/>
      <c r="PPE428" s="260"/>
      <c r="PPF428" s="260"/>
      <c r="PPG428" s="260"/>
      <c r="PPH428" s="260"/>
      <c r="PPI428" s="260"/>
      <c r="PPJ428" s="260"/>
      <c r="PPK428" s="2"/>
      <c r="PPL428" s="2"/>
      <c r="PPM428" s="2"/>
      <c r="PPN428" s="2"/>
      <c r="PPO428" s="2"/>
      <c r="PPP428" s="2"/>
      <c r="PPQ428" s="2"/>
      <c r="PPR428" s="2"/>
      <c r="PPS428" s="2"/>
      <c r="PPT428" s="2"/>
      <c r="PPU428" s="2"/>
      <c r="PPV428" s="2"/>
      <c r="PPW428" s="2"/>
      <c r="PPX428" s="2"/>
      <c r="PPY428" s="2"/>
      <c r="PPZ428" s="260"/>
      <c r="PQA428" s="260"/>
      <c r="PQB428" s="260"/>
      <c r="PQC428" s="380"/>
      <c r="PQD428" s="380"/>
      <c r="PQE428" s="380"/>
      <c r="PQF428" s="2"/>
      <c r="PQG428" s="405"/>
      <c r="PQH428" s="54"/>
      <c r="PQI428" s="239"/>
      <c r="PQJ428" s="54"/>
      <c r="PQK428" s="232"/>
      <c r="PQL428" s="2"/>
      <c r="PQM428" s="2"/>
      <c r="PQN428" s="2"/>
      <c r="PQO428" s="2"/>
      <c r="PQP428" s="260"/>
      <c r="PQQ428" s="260"/>
      <c r="PQR428" s="260"/>
      <c r="PQS428" s="260"/>
      <c r="PQT428" s="260"/>
      <c r="PQU428" s="260"/>
      <c r="PQV428" s="260"/>
      <c r="PQW428" s="260"/>
      <c r="PQX428" s="260"/>
      <c r="PQY428" s="260"/>
      <c r="PQZ428" s="260"/>
      <c r="PRA428" s="260"/>
      <c r="PRB428" s="260"/>
      <c r="PRC428" s="2"/>
      <c r="PRD428" s="2"/>
      <c r="PRE428" s="2"/>
      <c r="PRF428" s="2"/>
      <c r="PRG428" s="2"/>
      <c r="PRH428" s="2"/>
      <c r="PRI428" s="2"/>
      <c r="PRJ428" s="2"/>
      <c r="PRK428" s="2"/>
      <c r="PRL428" s="2"/>
      <c r="PRM428" s="2"/>
      <c r="PRN428" s="2"/>
      <c r="PRO428" s="2"/>
      <c r="PRP428" s="2"/>
      <c r="PRQ428" s="2"/>
      <c r="PRR428" s="260"/>
      <c r="PRS428" s="260"/>
      <c r="PRT428" s="260"/>
      <c r="PRU428" s="380"/>
      <c r="PRV428" s="380"/>
      <c r="PRW428" s="380"/>
      <c r="PRX428" s="2"/>
      <c r="PRY428" s="405"/>
      <c r="PRZ428" s="54"/>
      <c r="PSA428" s="239"/>
      <c r="PSB428" s="54"/>
      <c r="PSC428" s="232"/>
      <c r="PSD428" s="2"/>
      <c r="PSE428" s="2"/>
      <c r="PSF428" s="2"/>
      <c r="PSG428" s="2"/>
      <c r="PSH428" s="260"/>
      <c r="PSI428" s="260"/>
      <c r="PSJ428" s="260"/>
      <c r="PSK428" s="260"/>
      <c r="PSL428" s="260"/>
      <c r="PSM428" s="260"/>
      <c r="PSN428" s="260"/>
      <c r="PSO428" s="260"/>
      <c r="PSP428" s="260"/>
      <c r="PSQ428" s="260"/>
      <c r="PSR428" s="260"/>
      <c r="PSS428" s="260"/>
      <c r="PST428" s="260"/>
      <c r="PSU428" s="2"/>
      <c r="PSV428" s="2"/>
      <c r="PSW428" s="2"/>
      <c r="PSX428" s="2"/>
      <c r="PSY428" s="2"/>
      <c r="PSZ428" s="2"/>
      <c r="PTA428" s="2"/>
      <c r="PTB428" s="2"/>
      <c r="PTC428" s="2"/>
      <c r="PTD428" s="2"/>
      <c r="PTE428" s="2"/>
      <c r="PTF428" s="2"/>
      <c r="PTG428" s="2"/>
      <c r="PTH428" s="2"/>
      <c r="PTI428" s="2"/>
      <c r="PTJ428" s="260"/>
      <c r="PTK428" s="260"/>
      <c r="PTL428" s="260"/>
      <c r="PTM428" s="380"/>
      <c r="PTN428" s="380"/>
      <c r="PTO428" s="380"/>
      <c r="PTP428" s="2"/>
      <c r="PTQ428" s="405"/>
      <c r="PTR428" s="54"/>
      <c r="PTS428" s="239"/>
      <c r="PTT428" s="54"/>
      <c r="PTU428" s="232"/>
      <c r="PTV428" s="2"/>
      <c r="PTW428" s="2"/>
      <c r="PTX428" s="2"/>
      <c r="PTY428" s="2"/>
      <c r="PTZ428" s="260"/>
      <c r="PUA428" s="260"/>
      <c r="PUB428" s="260"/>
      <c r="PUC428" s="260"/>
      <c r="PUD428" s="260"/>
      <c r="PUE428" s="260"/>
      <c r="PUF428" s="260"/>
      <c r="PUG428" s="260"/>
      <c r="PUH428" s="260"/>
      <c r="PUI428" s="260"/>
      <c r="PUJ428" s="260"/>
      <c r="PUK428" s="260"/>
      <c r="PUL428" s="260"/>
      <c r="PUM428" s="2"/>
      <c r="PUN428" s="2"/>
      <c r="PUO428" s="2"/>
      <c r="PUP428" s="2"/>
      <c r="PUQ428" s="2"/>
      <c r="PUR428" s="2"/>
      <c r="PUS428" s="2"/>
      <c r="PUT428" s="2"/>
      <c r="PUU428" s="2"/>
      <c r="PUV428" s="2"/>
      <c r="PUW428" s="2"/>
      <c r="PUX428" s="2"/>
      <c r="PUY428" s="2"/>
      <c r="PUZ428" s="2"/>
      <c r="PVA428" s="2"/>
      <c r="PVB428" s="260"/>
      <c r="PVC428" s="260"/>
      <c r="PVD428" s="260"/>
      <c r="PVE428" s="380"/>
      <c r="PVF428" s="380"/>
      <c r="PVG428" s="380"/>
      <c r="PVH428" s="2"/>
      <c r="PVI428" s="405"/>
      <c r="PVJ428" s="54"/>
      <c r="PVK428" s="239"/>
      <c r="PVL428" s="54"/>
      <c r="PVM428" s="232"/>
      <c r="PVN428" s="2"/>
      <c r="PVO428" s="2"/>
      <c r="PVP428" s="2"/>
      <c r="PVQ428" s="2"/>
      <c r="PVR428" s="260"/>
      <c r="PVS428" s="260"/>
      <c r="PVT428" s="260"/>
      <c r="PVU428" s="260"/>
      <c r="PVV428" s="260"/>
      <c r="PVW428" s="260"/>
      <c r="PVX428" s="260"/>
      <c r="PVY428" s="260"/>
      <c r="PVZ428" s="260"/>
      <c r="PWA428" s="260"/>
      <c r="PWB428" s="260"/>
      <c r="PWC428" s="260"/>
      <c r="PWD428" s="260"/>
      <c r="PWE428" s="2"/>
      <c r="PWF428" s="2"/>
      <c r="PWG428" s="2"/>
      <c r="PWH428" s="2"/>
      <c r="PWI428" s="2"/>
      <c r="PWJ428" s="2"/>
      <c r="PWK428" s="2"/>
      <c r="PWL428" s="2"/>
      <c r="PWM428" s="2"/>
      <c r="PWN428" s="2"/>
      <c r="PWO428" s="2"/>
      <c r="PWP428" s="2"/>
      <c r="PWQ428" s="2"/>
      <c r="PWR428" s="2"/>
      <c r="PWS428" s="2"/>
      <c r="PWT428" s="260"/>
      <c r="PWU428" s="260"/>
      <c r="PWV428" s="260"/>
      <c r="PWW428" s="380"/>
      <c r="PWX428" s="380"/>
      <c r="PWY428" s="380"/>
      <c r="PWZ428" s="2"/>
      <c r="PXA428" s="405"/>
      <c r="PXB428" s="54"/>
      <c r="PXC428" s="239"/>
      <c r="PXD428" s="54"/>
      <c r="PXE428" s="232"/>
      <c r="PXF428" s="2"/>
      <c r="PXG428" s="2"/>
      <c r="PXH428" s="2"/>
      <c r="PXI428" s="2"/>
      <c r="PXJ428" s="260"/>
      <c r="PXK428" s="260"/>
      <c r="PXL428" s="260"/>
      <c r="PXM428" s="260"/>
      <c r="PXN428" s="260"/>
      <c r="PXO428" s="260"/>
      <c r="PXP428" s="260"/>
      <c r="PXQ428" s="260"/>
      <c r="PXR428" s="260"/>
      <c r="PXS428" s="260"/>
      <c r="PXT428" s="260"/>
      <c r="PXU428" s="260"/>
      <c r="PXV428" s="260"/>
      <c r="PXW428" s="2"/>
      <c r="PXX428" s="2"/>
      <c r="PXY428" s="2"/>
      <c r="PXZ428" s="2"/>
      <c r="PYA428" s="2"/>
      <c r="PYB428" s="2"/>
      <c r="PYC428" s="2"/>
      <c r="PYD428" s="2"/>
      <c r="PYE428" s="2"/>
      <c r="PYF428" s="2"/>
      <c r="PYG428" s="2"/>
      <c r="PYH428" s="2"/>
      <c r="PYI428" s="2"/>
      <c r="PYJ428" s="2"/>
      <c r="PYK428" s="2"/>
      <c r="PYL428" s="260"/>
      <c r="PYM428" s="260"/>
      <c r="PYN428" s="260"/>
      <c r="PYO428" s="380"/>
      <c r="PYP428" s="380"/>
      <c r="PYQ428" s="380"/>
      <c r="PYR428" s="2"/>
      <c r="PYS428" s="405"/>
      <c r="PYT428" s="54"/>
      <c r="PYU428" s="239"/>
      <c r="PYV428" s="54"/>
      <c r="PYW428" s="232"/>
      <c r="PYX428" s="2"/>
      <c r="PYY428" s="2"/>
      <c r="PYZ428" s="2"/>
      <c r="PZA428" s="2"/>
      <c r="PZB428" s="260"/>
      <c r="PZC428" s="260"/>
      <c r="PZD428" s="260"/>
      <c r="PZE428" s="260"/>
      <c r="PZF428" s="260"/>
      <c r="PZG428" s="260"/>
      <c r="PZH428" s="260"/>
      <c r="PZI428" s="260"/>
      <c r="PZJ428" s="260"/>
      <c r="PZK428" s="260"/>
      <c r="PZL428" s="260"/>
      <c r="PZM428" s="260"/>
      <c r="PZN428" s="260"/>
      <c r="PZO428" s="2"/>
      <c r="PZP428" s="2"/>
      <c r="PZQ428" s="2"/>
      <c r="PZR428" s="2"/>
      <c r="PZS428" s="2"/>
      <c r="PZT428" s="2"/>
      <c r="PZU428" s="2"/>
      <c r="PZV428" s="2"/>
      <c r="PZW428" s="2"/>
      <c r="PZX428" s="2"/>
      <c r="PZY428" s="2"/>
      <c r="PZZ428" s="2"/>
      <c r="QAA428" s="2"/>
      <c r="QAB428" s="2"/>
      <c r="QAC428" s="2"/>
      <c r="QAD428" s="260"/>
      <c r="QAE428" s="260"/>
      <c r="QAF428" s="260"/>
      <c r="QAG428" s="380"/>
      <c r="QAH428" s="380"/>
      <c r="QAI428" s="380"/>
      <c r="QAJ428" s="2"/>
      <c r="QAK428" s="405"/>
      <c r="QAL428" s="54"/>
      <c r="QAM428" s="239"/>
      <c r="QAN428" s="54"/>
      <c r="QAO428" s="232"/>
      <c r="QAP428" s="2"/>
      <c r="QAQ428" s="2"/>
      <c r="QAR428" s="2"/>
      <c r="QAS428" s="2"/>
      <c r="QAT428" s="260"/>
      <c r="QAU428" s="260"/>
      <c r="QAV428" s="260"/>
      <c r="QAW428" s="260"/>
      <c r="QAX428" s="260"/>
      <c r="QAY428" s="260"/>
      <c r="QAZ428" s="260"/>
      <c r="QBA428" s="260"/>
      <c r="QBB428" s="260"/>
      <c r="QBC428" s="260"/>
      <c r="QBD428" s="260"/>
      <c r="QBE428" s="260"/>
      <c r="QBF428" s="260"/>
      <c r="QBG428" s="2"/>
      <c r="QBH428" s="2"/>
      <c r="QBI428" s="2"/>
      <c r="QBJ428" s="2"/>
      <c r="QBK428" s="2"/>
      <c r="QBL428" s="2"/>
      <c r="QBM428" s="2"/>
      <c r="QBN428" s="2"/>
      <c r="QBO428" s="2"/>
      <c r="QBP428" s="2"/>
      <c r="QBQ428" s="2"/>
      <c r="QBR428" s="2"/>
      <c r="QBS428" s="2"/>
      <c r="QBT428" s="2"/>
      <c r="QBU428" s="2"/>
      <c r="QBV428" s="260"/>
      <c r="QBW428" s="260"/>
      <c r="QBX428" s="260"/>
      <c r="QBY428" s="380"/>
      <c r="QBZ428" s="380"/>
      <c r="QCA428" s="380"/>
      <c r="QCB428" s="2"/>
      <c r="QCC428" s="405"/>
      <c r="QCD428" s="54"/>
      <c r="QCE428" s="239"/>
      <c r="QCF428" s="54"/>
      <c r="QCG428" s="232"/>
      <c r="QCH428" s="2"/>
      <c r="QCI428" s="2"/>
      <c r="QCJ428" s="2"/>
      <c r="QCK428" s="2"/>
      <c r="QCL428" s="260"/>
      <c r="QCM428" s="260"/>
      <c r="QCN428" s="260"/>
      <c r="QCO428" s="260"/>
      <c r="QCP428" s="260"/>
      <c r="QCQ428" s="260"/>
      <c r="QCR428" s="260"/>
      <c r="QCS428" s="260"/>
      <c r="QCT428" s="260"/>
      <c r="QCU428" s="260"/>
      <c r="QCV428" s="260"/>
      <c r="QCW428" s="260"/>
      <c r="QCX428" s="260"/>
      <c r="QCY428" s="2"/>
      <c r="QCZ428" s="2"/>
      <c r="QDA428" s="2"/>
      <c r="QDB428" s="2"/>
      <c r="QDC428" s="2"/>
      <c r="QDD428" s="2"/>
      <c r="QDE428" s="2"/>
      <c r="QDF428" s="2"/>
      <c r="QDG428" s="2"/>
      <c r="QDH428" s="2"/>
      <c r="QDI428" s="2"/>
      <c r="QDJ428" s="2"/>
      <c r="QDK428" s="2"/>
      <c r="QDL428" s="2"/>
      <c r="QDM428" s="2"/>
      <c r="QDN428" s="260"/>
      <c r="QDO428" s="260"/>
      <c r="QDP428" s="260"/>
      <c r="QDQ428" s="380"/>
      <c r="QDR428" s="380"/>
      <c r="QDS428" s="380"/>
      <c r="QDT428" s="2"/>
      <c r="QDU428" s="405"/>
      <c r="QDV428" s="54"/>
      <c r="QDW428" s="239"/>
      <c r="QDX428" s="54"/>
      <c r="QDY428" s="232"/>
      <c r="QDZ428" s="2"/>
      <c r="QEA428" s="2"/>
      <c r="QEB428" s="2"/>
      <c r="QEC428" s="2"/>
      <c r="QED428" s="260"/>
      <c r="QEE428" s="260"/>
      <c r="QEF428" s="260"/>
      <c r="QEG428" s="260"/>
      <c r="QEH428" s="260"/>
      <c r="QEI428" s="260"/>
      <c r="QEJ428" s="260"/>
      <c r="QEK428" s="260"/>
      <c r="QEL428" s="260"/>
      <c r="QEM428" s="260"/>
      <c r="QEN428" s="260"/>
      <c r="QEO428" s="260"/>
      <c r="QEP428" s="260"/>
      <c r="QEQ428" s="2"/>
      <c r="QER428" s="2"/>
      <c r="QES428" s="2"/>
      <c r="QET428" s="2"/>
      <c r="QEU428" s="2"/>
      <c r="QEV428" s="2"/>
      <c r="QEW428" s="2"/>
      <c r="QEX428" s="2"/>
      <c r="QEY428" s="2"/>
      <c r="QEZ428" s="2"/>
      <c r="QFA428" s="2"/>
      <c r="QFB428" s="2"/>
      <c r="QFC428" s="2"/>
      <c r="QFD428" s="2"/>
      <c r="QFE428" s="2"/>
      <c r="QFF428" s="260"/>
      <c r="QFG428" s="260"/>
      <c r="QFH428" s="260"/>
      <c r="QFI428" s="380"/>
      <c r="QFJ428" s="380"/>
      <c r="QFK428" s="380"/>
      <c r="QFL428" s="2"/>
      <c r="QFM428" s="405"/>
      <c r="QFN428" s="54"/>
      <c r="QFO428" s="239"/>
      <c r="QFP428" s="54"/>
      <c r="QFQ428" s="232"/>
      <c r="QFR428" s="2"/>
      <c r="QFS428" s="2"/>
      <c r="QFT428" s="2"/>
      <c r="QFU428" s="2"/>
      <c r="QFV428" s="260"/>
      <c r="QFW428" s="260"/>
      <c r="QFX428" s="260"/>
      <c r="QFY428" s="260"/>
      <c r="QFZ428" s="260"/>
      <c r="QGA428" s="260"/>
      <c r="QGB428" s="260"/>
      <c r="QGC428" s="260"/>
      <c r="QGD428" s="260"/>
      <c r="QGE428" s="260"/>
      <c r="QGF428" s="260"/>
      <c r="QGG428" s="260"/>
      <c r="QGH428" s="260"/>
      <c r="QGI428" s="2"/>
      <c r="QGJ428" s="2"/>
      <c r="QGK428" s="2"/>
      <c r="QGL428" s="2"/>
      <c r="QGM428" s="2"/>
      <c r="QGN428" s="2"/>
      <c r="QGO428" s="2"/>
      <c r="QGP428" s="2"/>
      <c r="QGQ428" s="2"/>
      <c r="QGR428" s="2"/>
      <c r="QGS428" s="2"/>
      <c r="QGT428" s="2"/>
      <c r="QGU428" s="2"/>
      <c r="QGV428" s="2"/>
      <c r="QGW428" s="2"/>
      <c r="QGX428" s="260"/>
      <c r="QGY428" s="260"/>
      <c r="QGZ428" s="260"/>
      <c r="QHA428" s="380"/>
      <c r="QHB428" s="380"/>
      <c r="QHC428" s="380"/>
      <c r="QHD428" s="2"/>
      <c r="QHE428" s="405"/>
      <c r="QHF428" s="54"/>
      <c r="QHG428" s="239"/>
      <c r="QHH428" s="54"/>
      <c r="QHI428" s="232"/>
      <c r="QHJ428" s="2"/>
      <c r="QHK428" s="2"/>
      <c r="QHL428" s="2"/>
      <c r="QHM428" s="2"/>
      <c r="QHN428" s="260"/>
      <c r="QHO428" s="260"/>
      <c r="QHP428" s="260"/>
      <c r="QHQ428" s="260"/>
      <c r="QHR428" s="260"/>
      <c r="QHS428" s="260"/>
      <c r="QHT428" s="260"/>
      <c r="QHU428" s="260"/>
      <c r="QHV428" s="260"/>
      <c r="QHW428" s="260"/>
      <c r="QHX428" s="260"/>
      <c r="QHY428" s="260"/>
      <c r="QHZ428" s="260"/>
      <c r="QIA428" s="2"/>
      <c r="QIB428" s="2"/>
      <c r="QIC428" s="2"/>
      <c r="QID428" s="2"/>
      <c r="QIE428" s="2"/>
      <c r="QIF428" s="2"/>
      <c r="QIG428" s="2"/>
      <c r="QIH428" s="2"/>
      <c r="QII428" s="2"/>
      <c r="QIJ428" s="2"/>
      <c r="QIK428" s="2"/>
      <c r="QIL428" s="2"/>
      <c r="QIM428" s="2"/>
      <c r="QIN428" s="2"/>
      <c r="QIO428" s="2"/>
      <c r="QIP428" s="260"/>
      <c r="QIQ428" s="260"/>
      <c r="QIR428" s="260"/>
      <c r="QIS428" s="380"/>
      <c r="QIT428" s="380"/>
      <c r="QIU428" s="380"/>
      <c r="QIV428" s="2"/>
      <c r="QIW428" s="405"/>
      <c r="QIX428" s="54"/>
      <c r="QIY428" s="239"/>
      <c r="QIZ428" s="54"/>
      <c r="QJA428" s="232"/>
      <c r="QJB428" s="2"/>
      <c r="QJC428" s="2"/>
      <c r="QJD428" s="2"/>
      <c r="QJE428" s="2"/>
      <c r="QJF428" s="260"/>
      <c r="QJG428" s="260"/>
      <c r="QJH428" s="260"/>
      <c r="QJI428" s="260"/>
      <c r="QJJ428" s="260"/>
      <c r="QJK428" s="260"/>
      <c r="QJL428" s="260"/>
      <c r="QJM428" s="260"/>
      <c r="QJN428" s="260"/>
      <c r="QJO428" s="260"/>
      <c r="QJP428" s="260"/>
      <c r="QJQ428" s="260"/>
      <c r="QJR428" s="260"/>
      <c r="QJS428" s="2"/>
      <c r="QJT428" s="2"/>
      <c r="QJU428" s="2"/>
      <c r="QJV428" s="2"/>
      <c r="QJW428" s="2"/>
      <c r="QJX428" s="2"/>
      <c r="QJY428" s="2"/>
      <c r="QJZ428" s="2"/>
      <c r="QKA428" s="2"/>
      <c r="QKB428" s="2"/>
      <c r="QKC428" s="2"/>
      <c r="QKD428" s="2"/>
      <c r="QKE428" s="2"/>
      <c r="QKF428" s="2"/>
      <c r="QKG428" s="2"/>
      <c r="QKH428" s="260"/>
      <c r="QKI428" s="260"/>
      <c r="QKJ428" s="260"/>
      <c r="QKK428" s="380"/>
      <c r="QKL428" s="380"/>
      <c r="QKM428" s="380"/>
      <c r="QKN428" s="2"/>
      <c r="QKO428" s="405"/>
      <c r="QKP428" s="54"/>
      <c r="QKQ428" s="239"/>
      <c r="QKR428" s="54"/>
      <c r="QKS428" s="232"/>
      <c r="QKT428" s="2"/>
      <c r="QKU428" s="2"/>
      <c r="QKV428" s="2"/>
      <c r="QKW428" s="2"/>
      <c r="QKX428" s="260"/>
      <c r="QKY428" s="260"/>
      <c r="QKZ428" s="260"/>
      <c r="QLA428" s="260"/>
      <c r="QLB428" s="260"/>
      <c r="QLC428" s="260"/>
      <c r="QLD428" s="260"/>
      <c r="QLE428" s="260"/>
      <c r="QLF428" s="260"/>
      <c r="QLG428" s="260"/>
      <c r="QLH428" s="260"/>
      <c r="QLI428" s="260"/>
      <c r="QLJ428" s="260"/>
      <c r="QLK428" s="2"/>
      <c r="QLL428" s="2"/>
      <c r="QLM428" s="2"/>
      <c r="QLN428" s="2"/>
      <c r="QLO428" s="2"/>
      <c r="QLP428" s="2"/>
      <c r="QLQ428" s="2"/>
      <c r="QLR428" s="2"/>
      <c r="QLS428" s="2"/>
      <c r="QLT428" s="2"/>
      <c r="QLU428" s="2"/>
      <c r="QLV428" s="2"/>
      <c r="QLW428" s="2"/>
      <c r="QLX428" s="2"/>
      <c r="QLY428" s="2"/>
      <c r="QLZ428" s="260"/>
      <c r="QMA428" s="260"/>
      <c r="QMB428" s="260"/>
      <c r="QMC428" s="380"/>
      <c r="QMD428" s="380"/>
      <c r="QME428" s="380"/>
      <c r="QMF428" s="2"/>
      <c r="QMG428" s="405"/>
      <c r="QMH428" s="54"/>
      <c r="QMI428" s="239"/>
      <c r="QMJ428" s="54"/>
      <c r="QMK428" s="232"/>
      <c r="QML428" s="2"/>
      <c r="QMM428" s="2"/>
      <c r="QMN428" s="2"/>
      <c r="QMO428" s="2"/>
      <c r="QMP428" s="260"/>
      <c r="QMQ428" s="260"/>
      <c r="QMR428" s="260"/>
      <c r="QMS428" s="260"/>
      <c r="QMT428" s="260"/>
      <c r="QMU428" s="260"/>
      <c r="QMV428" s="260"/>
      <c r="QMW428" s="260"/>
      <c r="QMX428" s="260"/>
      <c r="QMY428" s="260"/>
      <c r="QMZ428" s="260"/>
      <c r="QNA428" s="260"/>
      <c r="QNB428" s="260"/>
      <c r="QNC428" s="2"/>
      <c r="QND428" s="2"/>
      <c r="QNE428" s="2"/>
      <c r="QNF428" s="2"/>
      <c r="QNG428" s="2"/>
      <c r="QNH428" s="2"/>
      <c r="QNI428" s="2"/>
      <c r="QNJ428" s="2"/>
      <c r="QNK428" s="2"/>
      <c r="QNL428" s="2"/>
      <c r="QNM428" s="2"/>
      <c r="QNN428" s="2"/>
      <c r="QNO428" s="2"/>
      <c r="QNP428" s="2"/>
      <c r="QNQ428" s="2"/>
      <c r="QNR428" s="260"/>
      <c r="QNS428" s="260"/>
      <c r="QNT428" s="260"/>
      <c r="QNU428" s="380"/>
      <c r="QNV428" s="380"/>
      <c r="QNW428" s="380"/>
      <c r="QNX428" s="2"/>
      <c r="QNY428" s="405"/>
      <c r="QNZ428" s="54"/>
      <c r="QOA428" s="239"/>
      <c r="QOB428" s="54"/>
      <c r="QOC428" s="232"/>
      <c r="QOD428" s="2"/>
      <c r="QOE428" s="2"/>
      <c r="QOF428" s="2"/>
      <c r="QOG428" s="2"/>
      <c r="QOH428" s="260"/>
      <c r="QOI428" s="260"/>
      <c r="QOJ428" s="260"/>
      <c r="QOK428" s="260"/>
      <c r="QOL428" s="260"/>
      <c r="QOM428" s="260"/>
      <c r="QON428" s="260"/>
      <c r="QOO428" s="260"/>
      <c r="QOP428" s="260"/>
      <c r="QOQ428" s="260"/>
      <c r="QOR428" s="260"/>
      <c r="QOS428" s="260"/>
      <c r="QOT428" s="260"/>
      <c r="QOU428" s="2"/>
      <c r="QOV428" s="2"/>
      <c r="QOW428" s="2"/>
      <c r="QOX428" s="2"/>
      <c r="QOY428" s="2"/>
      <c r="QOZ428" s="2"/>
      <c r="QPA428" s="2"/>
      <c r="QPB428" s="2"/>
      <c r="QPC428" s="2"/>
      <c r="QPD428" s="2"/>
      <c r="QPE428" s="2"/>
      <c r="QPF428" s="2"/>
      <c r="QPG428" s="2"/>
      <c r="QPH428" s="2"/>
      <c r="QPI428" s="2"/>
      <c r="QPJ428" s="260"/>
      <c r="QPK428" s="260"/>
      <c r="QPL428" s="260"/>
      <c r="QPM428" s="380"/>
      <c r="QPN428" s="380"/>
      <c r="QPO428" s="380"/>
      <c r="QPP428" s="2"/>
      <c r="QPQ428" s="405"/>
      <c r="QPR428" s="54"/>
      <c r="QPS428" s="239"/>
      <c r="QPT428" s="54"/>
      <c r="QPU428" s="232"/>
      <c r="QPV428" s="2"/>
      <c r="QPW428" s="2"/>
      <c r="QPX428" s="2"/>
      <c r="QPY428" s="2"/>
      <c r="QPZ428" s="260"/>
      <c r="QQA428" s="260"/>
      <c r="QQB428" s="260"/>
      <c r="QQC428" s="260"/>
      <c r="QQD428" s="260"/>
      <c r="QQE428" s="260"/>
      <c r="QQF428" s="260"/>
      <c r="QQG428" s="260"/>
      <c r="QQH428" s="260"/>
      <c r="QQI428" s="260"/>
      <c r="QQJ428" s="260"/>
      <c r="QQK428" s="260"/>
      <c r="QQL428" s="260"/>
      <c r="QQM428" s="2"/>
      <c r="QQN428" s="2"/>
      <c r="QQO428" s="2"/>
      <c r="QQP428" s="2"/>
      <c r="QQQ428" s="2"/>
      <c r="QQR428" s="2"/>
      <c r="QQS428" s="2"/>
      <c r="QQT428" s="2"/>
      <c r="QQU428" s="2"/>
      <c r="QQV428" s="2"/>
      <c r="QQW428" s="2"/>
      <c r="QQX428" s="2"/>
      <c r="QQY428" s="2"/>
      <c r="QQZ428" s="2"/>
      <c r="QRA428" s="2"/>
      <c r="QRB428" s="260"/>
      <c r="QRC428" s="260"/>
      <c r="QRD428" s="260"/>
      <c r="QRE428" s="380"/>
      <c r="QRF428" s="380"/>
      <c r="QRG428" s="380"/>
      <c r="QRH428" s="2"/>
      <c r="QRI428" s="405"/>
      <c r="QRJ428" s="54"/>
      <c r="QRK428" s="239"/>
      <c r="QRL428" s="54"/>
      <c r="QRM428" s="232"/>
      <c r="QRN428" s="2"/>
      <c r="QRO428" s="2"/>
      <c r="QRP428" s="2"/>
      <c r="QRQ428" s="2"/>
      <c r="QRR428" s="260"/>
      <c r="QRS428" s="260"/>
      <c r="QRT428" s="260"/>
      <c r="QRU428" s="260"/>
      <c r="QRV428" s="260"/>
      <c r="QRW428" s="260"/>
      <c r="QRX428" s="260"/>
      <c r="QRY428" s="260"/>
      <c r="QRZ428" s="260"/>
      <c r="QSA428" s="260"/>
      <c r="QSB428" s="260"/>
      <c r="QSC428" s="260"/>
      <c r="QSD428" s="260"/>
      <c r="QSE428" s="2"/>
      <c r="QSF428" s="2"/>
      <c r="QSG428" s="2"/>
      <c r="QSH428" s="2"/>
      <c r="QSI428" s="2"/>
      <c r="QSJ428" s="2"/>
      <c r="QSK428" s="2"/>
      <c r="QSL428" s="2"/>
      <c r="QSM428" s="2"/>
      <c r="QSN428" s="2"/>
      <c r="QSO428" s="2"/>
      <c r="QSP428" s="2"/>
      <c r="QSQ428" s="2"/>
      <c r="QSR428" s="2"/>
      <c r="QSS428" s="2"/>
      <c r="QST428" s="260"/>
      <c r="QSU428" s="260"/>
      <c r="QSV428" s="260"/>
      <c r="QSW428" s="380"/>
      <c r="QSX428" s="380"/>
      <c r="QSY428" s="380"/>
      <c r="QSZ428" s="2"/>
      <c r="QTA428" s="405"/>
      <c r="QTB428" s="54"/>
      <c r="QTC428" s="239"/>
      <c r="QTD428" s="54"/>
      <c r="QTE428" s="232"/>
      <c r="QTF428" s="2"/>
      <c r="QTG428" s="2"/>
      <c r="QTH428" s="2"/>
      <c r="QTI428" s="2"/>
      <c r="QTJ428" s="260"/>
      <c r="QTK428" s="260"/>
      <c r="QTL428" s="260"/>
      <c r="QTM428" s="260"/>
      <c r="QTN428" s="260"/>
      <c r="QTO428" s="260"/>
      <c r="QTP428" s="260"/>
      <c r="QTQ428" s="260"/>
      <c r="QTR428" s="260"/>
      <c r="QTS428" s="260"/>
      <c r="QTT428" s="260"/>
      <c r="QTU428" s="260"/>
      <c r="QTV428" s="260"/>
      <c r="QTW428" s="2"/>
      <c r="QTX428" s="2"/>
      <c r="QTY428" s="2"/>
      <c r="QTZ428" s="2"/>
      <c r="QUA428" s="2"/>
      <c r="QUB428" s="2"/>
      <c r="QUC428" s="2"/>
      <c r="QUD428" s="2"/>
      <c r="QUE428" s="2"/>
      <c r="QUF428" s="2"/>
      <c r="QUG428" s="2"/>
      <c r="QUH428" s="2"/>
      <c r="QUI428" s="2"/>
      <c r="QUJ428" s="2"/>
      <c r="QUK428" s="2"/>
      <c r="QUL428" s="260"/>
      <c r="QUM428" s="260"/>
      <c r="QUN428" s="260"/>
      <c r="QUO428" s="380"/>
      <c r="QUP428" s="380"/>
      <c r="QUQ428" s="380"/>
      <c r="QUR428" s="2"/>
      <c r="QUS428" s="405"/>
      <c r="QUT428" s="54"/>
      <c r="QUU428" s="239"/>
      <c r="QUV428" s="54"/>
      <c r="QUW428" s="232"/>
      <c r="QUX428" s="2"/>
      <c r="QUY428" s="2"/>
      <c r="QUZ428" s="2"/>
      <c r="QVA428" s="2"/>
      <c r="QVB428" s="260"/>
      <c r="QVC428" s="260"/>
      <c r="QVD428" s="260"/>
      <c r="QVE428" s="260"/>
      <c r="QVF428" s="260"/>
      <c r="QVG428" s="260"/>
      <c r="QVH428" s="260"/>
      <c r="QVI428" s="260"/>
      <c r="QVJ428" s="260"/>
      <c r="QVK428" s="260"/>
      <c r="QVL428" s="260"/>
      <c r="QVM428" s="260"/>
      <c r="QVN428" s="260"/>
      <c r="QVO428" s="2"/>
      <c r="QVP428" s="2"/>
      <c r="QVQ428" s="2"/>
      <c r="QVR428" s="2"/>
      <c r="QVS428" s="2"/>
      <c r="QVT428" s="2"/>
      <c r="QVU428" s="2"/>
      <c r="QVV428" s="2"/>
      <c r="QVW428" s="2"/>
      <c r="QVX428" s="2"/>
      <c r="QVY428" s="2"/>
      <c r="QVZ428" s="2"/>
      <c r="QWA428" s="2"/>
      <c r="QWB428" s="2"/>
      <c r="QWC428" s="2"/>
      <c r="QWD428" s="260"/>
      <c r="QWE428" s="260"/>
      <c r="QWF428" s="260"/>
      <c r="QWG428" s="380"/>
      <c r="QWH428" s="380"/>
      <c r="QWI428" s="380"/>
      <c r="QWJ428" s="2"/>
      <c r="QWK428" s="405"/>
      <c r="QWL428" s="54"/>
      <c r="QWM428" s="239"/>
      <c r="QWN428" s="54"/>
      <c r="QWO428" s="232"/>
      <c r="QWP428" s="2"/>
      <c r="QWQ428" s="2"/>
      <c r="QWR428" s="2"/>
      <c r="QWS428" s="2"/>
      <c r="QWT428" s="260"/>
      <c r="QWU428" s="260"/>
      <c r="QWV428" s="260"/>
      <c r="QWW428" s="260"/>
      <c r="QWX428" s="260"/>
      <c r="QWY428" s="260"/>
      <c r="QWZ428" s="260"/>
      <c r="QXA428" s="260"/>
      <c r="QXB428" s="260"/>
      <c r="QXC428" s="260"/>
      <c r="QXD428" s="260"/>
      <c r="QXE428" s="260"/>
      <c r="QXF428" s="260"/>
      <c r="QXG428" s="2"/>
      <c r="QXH428" s="2"/>
      <c r="QXI428" s="2"/>
      <c r="QXJ428" s="2"/>
      <c r="QXK428" s="2"/>
      <c r="QXL428" s="2"/>
      <c r="QXM428" s="2"/>
      <c r="QXN428" s="2"/>
      <c r="QXO428" s="2"/>
      <c r="QXP428" s="2"/>
      <c r="QXQ428" s="2"/>
      <c r="QXR428" s="2"/>
      <c r="QXS428" s="2"/>
      <c r="QXT428" s="2"/>
      <c r="QXU428" s="2"/>
      <c r="QXV428" s="260"/>
      <c r="QXW428" s="260"/>
      <c r="QXX428" s="260"/>
      <c r="QXY428" s="380"/>
      <c r="QXZ428" s="380"/>
      <c r="QYA428" s="380"/>
      <c r="QYB428" s="2"/>
      <c r="QYC428" s="405"/>
      <c r="QYD428" s="54"/>
      <c r="QYE428" s="239"/>
      <c r="QYF428" s="54"/>
      <c r="QYG428" s="232"/>
      <c r="QYH428" s="2"/>
      <c r="QYI428" s="2"/>
      <c r="QYJ428" s="2"/>
      <c r="QYK428" s="2"/>
      <c r="QYL428" s="260"/>
      <c r="QYM428" s="260"/>
      <c r="QYN428" s="260"/>
      <c r="QYO428" s="260"/>
      <c r="QYP428" s="260"/>
      <c r="QYQ428" s="260"/>
      <c r="QYR428" s="260"/>
      <c r="QYS428" s="260"/>
      <c r="QYT428" s="260"/>
      <c r="QYU428" s="260"/>
      <c r="QYV428" s="260"/>
      <c r="QYW428" s="260"/>
      <c r="QYX428" s="260"/>
      <c r="QYY428" s="2"/>
      <c r="QYZ428" s="2"/>
      <c r="QZA428" s="2"/>
      <c r="QZB428" s="2"/>
      <c r="QZC428" s="2"/>
      <c r="QZD428" s="2"/>
      <c r="QZE428" s="2"/>
      <c r="QZF428" s="2"/>
      <c r="QZG428" s="2"/>
      <c r="QZH428" s="2"/>
      <c r="QZI428" s="2"/>
      <c r="QZJ428" s="2"/>
      <c r="QZK428" s="2"/>
      <c r="QZL428" s="2"/>
      <c r="QZM428" s="2"/>
      <c r="QZN428" s="260"/>
      <c r="QZO428" s="260"/>
      <c r="QZP428" s="260"/>
      <c r="QZQ428" s="380"/>
      <c r="QZR428" s="380"/>
      <c r="QZS428" s="380"/>
      <c r="QZT428" s="2"/>
      <c r="QZU428" s="405"/>
      <c r="QZV428" s="54"/>
      <c r="QZW428" s="239"/>
      <c r="QZX428" s="54"/>
      <c r="QZY428" s="232"/>
      <c r="QZZ428" s="2"/>
      <c r="RAA428" s="2"/>
      <c r="RAB428" s="2"/>
      <c r="RAC428" s="2"/>
      <c r="RAD428" s="260"/>
      <c r="RAE428" s="260"/>
      <c r="RAF428" s="260"/>
      <c r="RAG428" s="260"/>
      <c r="RAH428" s="260"/>
      <c r="RAI428" s="260"/>
      <c r="RAJ428" s="260"/>
      <c r="RAK428" s="260"/>
      <c r="RAL428" s="260"/>
      <c r="RAM428" s="260"/>
      <c r="RAN428" s="260"/>
      <c r="RAO428" s="260"/>
      <c r="RAP428" s="260"/>
      <c r="RAQ428" s="2"/>
      <c r="RAR428" s="2"/>
      <c r="RAS428" s="2"/>
      <c r="RAT428" s="2"/>
      <c r="RAU428" s="2"/>
      <c r="RAV428" s="2"/>
      <c r="RAW428" s="2"/>
      <c r="RAX428" s="2"/>
      <c r="RAY428" s="2"/>
      <c r="RAZ428" s="2"/>
      <c r="RBA428" s="2"/>
      <c r="RBB428" s="2"/>
      <c r="RBC428" s="2"/>
      <c r="RBD428" s="2"/>
      <c r="RBE428" s="2"/>
      <c r="RBF428" s="260"/>
      <c r="RBG428" s="260"/>
      <c r="RBH428" s="260"/>
      <c r="RBI428" s="380"/>
      <c r="RBJ428" s="380"/>
      <c r="RBK428" s="380"/>
      <c r="RBL428" s="2"/>
      <c r="RBM428" s="405"/>
      <c r="RBN428" s="54"/>
      <c r="RBO428" s="239"/>
      <c r="RBP428" s="54"/>
      <c r="RBQ428" s="232"/>
      <c r="RBR428" s="2"/>
      <c r="RBS428" s="2"/>
      <c r="RBT428" s="2"/>
      <c r="RBU428" s="2"/>
      <c r="RBV428" s="260"/>
      <c r="RBW428" s="260"/>
      <c r="RBX428" s="260"/>
      <c r="RBY428" s="260"/>
      <c r="RBZ428" s="260"/>
      <c r="RCA428" s="260"/>
      <c r="RCB428" s="260"/>
      <c r="RCC428" s="260"/>
      <c r="RCD428" s="260"/>
      <c r="RCE428" s="260"/>
      <c r="RCF428" s="260"/>
      <c r="RCG428" s="260"/>
      <c r="RCH428" s="260"/>
      <c r="RCI428" s="2"/>
      <c r="RCJ428" s="2"/>
      <c r="RCK428" s="2"/>
      <c r="RCL428" s="2"/>
      <c r="RCM428" s="2"/>
      <c r="RCN428" s="2"/>
      <c r="RCO428" s="2"/>
      <c r="RCP428" s="2"/>
      <c r="RCQ428" s="2"/>
      <c r="RCR428" s="2"/>
      <c r="RCS428" s="2"/>
      <c r="RCT428" s="2"/>
      <c r="RCU428" s="2"/>
      <c r="RCV428" s="2"/>
      <c r="RCW428" s="2"/>
      <c r="RCX428" s="260"/>
      <c r="RCY428" s="260"/>
      <c r="RCZ428" s="260"/>
      <c r="RDA428" s="380"/>
      <c r="RDB428" s="380"/>
      <c r="RDC428" s="380"/>
      <c r="RDD428" s="2"/>
      <c r="RDE428" s="405"/>
      <c r="RDF428" s="54"/>
      <c r="RDG428" s="239"/>
      <c r="RDH428" s="54"/>
      <c r="RDI428" s="232"/>
      <c r="RDJ428" s="2"/>
      <c r="RDK428" s="2"/>
      <c r="RDL428" s="2"/>
      <c r="RDM428" s="2"/>
      <c r="RDN428" s="260"/>
      <c r="RDO428" s="260"/>
      <c r="RDP428" s="260"/>
      <c r="RDQ428" s="260"/>
      <c r="RDR428" s="260"/>
      <c r="RDS428" s="260"/>
      <c r="RDT428" s="260"/>
      <c r="RDU428" s="260"/>
      <c r="RDV428" s="260"/>
      <c r="RDW428" s="260"/>
      <c r="RDX428" s="260"/>
      <c r="RDY428" s="260"/>
      <c r="RDZ428" s="260"/>
      <c r="REA428" s="2"/>
      <c r="REB428" s="2"/>
      <c r="REC428" s="2"/>
      <c r="RED428" s="2"/>
      <c r="REE428" s="2"/>
      <c r="REF428" s="2"/>
      <c r="REG428" s="2"/>
      <c r="REH428" s="2"/>
      <c r="REI428" s="2"/>
      <c r="REJ428" s="2"/>
      <c r="REK428" s="2"/>
      <c r="REL428" s="2"/>
      <c r="REM428" s="2"/>
      <c r="REN428" s="2"/>
      <c r="REO428" s="2"/>
      <c r="REP428" s="260"/>
      <c r="REQ428" s="260"/>
      <c r="RER428" s="260"/>
      <c r="RES428" s="380"/>
      <c r="RET428" s="380"/>
      <c r="REU428" s="380"/>
      <c r="REV428" s="2"/>
      <c r="REW428" s="405"/>
      <c r="REX428" s="54"/>
      <c r="REY428" s="239"/>
      <c r="REZ428" s="54"/>
      <c r="RFA428" s="232"/>
      <c r="RFB428" s="2"/>
      <c r="RFC428" s="2"/>
      <c r="RFD428" s="2"/>
      <c r="RFE428" s="2"/>
      <c r="RFF428" s="260"/>
      <c r="RFG428" s="260"/>
      <c r="RFH428" s="260"/>
      <c r="RFI428" s="260"/>
      <c r="RFJ428" s="260"/>
      <c r="RFK428" s="260"/>
      <c r="RFL428" s="260"/>
      <c r="RFM428" s="260"/>
      <c r="RFN428" s="260"/>
      <c r="RFO428" s="260"/>
      <c r="RFP428" s="260"/>
      <c r="RFQ428" s="260"/>
      <c r="RFR428" s="260"/>
      <c r="RFS428" s="2"/>
      <c r="RFT428" s="2"/>
      <c r="RFU428" s="2"/>
      <c r="RFV428" s="2"/>
      <c r="RFW428" s="2"/>
      <c r="RFX428" s="2"/>
      <c r="RFY428" s="2"/>
      <c r="RFZ428" s="2"/>
      <c r="RGA428" s="2"/>
      <c r="RGB428" s="2"/>
      <c r="RGC428" s="2"/>
      <c r="RGD428" s="2"/>
      <c r="RGE428" s="2"/>
      <c r="RGF428" s="2"/>
      <c r="RGG428" s="2"/>
      <c r="RGH428" s="260"/>
      <c r="RGI428" s="260"/>
      <c r="RGJ428" s="260"/>
      <c r="RGK428" s="380"/>
      <c r="RGL428" s="380"/>
      <c r="RGM428" s="380"/>
      <c r="RGN428" s="2"/>
      <c r="RGO428" s="405"/>
      <c r="RGP428" s="54"/>
      <c r="RGQ428" s="239"/>
      <c r="RGR428" s="54"/>
      <c r="RGS428" s="232"/>
      <c r="RGT428" s="2"/>
      <c r="RGU428" s="2"/>
      <c r="RGV428" s="2"/>
      <c r="RGW428" s="2"/>
      <c r="RGX428" s="260"/>
      <c r="RGY428" s="260"/>
      <c r="RGZ428" s="260"/>
      <c r="RHA428" s="260"/>
      <c r="RHB428" s="260"/>
      <c r="RHC428" s="260"/>
      <c r="RHD428" s="260"/>
      <c r="RHE428" s="260"/>
      <c r="RHF428" s="260"/>
      <c r="RHG428" s="260"/>
      <c r="RHH428" s="260"/>
      <c r="RHI428" s="260"/>
      <c r="RHJ428" s="260"/>
      <c r="RHK428" s="2"/>
      <c r="RHL428" s="2"/>
      <c r="RHM428" s="2"/>
      <c r="RHN428" s="2"/>
      <c r="RHO428" s="2"/>
      <c r="RHP428" s="2"/>
      <c r="RHQ428" s="2"/>
      <c r="RHR428" s="2"/>
      <c r="RHS428" s="2"/>
      <c r="RHT428" s="2"/>
      <c r="RHU428" s="2"/>
      <c r="RHV428" s="2"/>
      <c r="RHW428" s="2"/>
      <c r="RHX428" s="2"/>
      <c r="RHY428" s="2"/>
      <c r="RHZ428" s="260"/>
      <c r="RIA428" s="260"/>
      <c r="RIB428" s="260"/>
      <c r="RIC428" s="380"/>
      <c r="RID428" s="380"/>
      <c r="RIE428" s="380"/>
      <c r="RIF428" s="2"/>
      <c r="RIG428" s="405"/>
      <c r="RIH428" s="54"/>
      <c r="RII428" s="239"/>
      <c r="RIJ428" s="54"/>
      <c r="RIK428" s="232"/>
      <c r="RIL428" s="2"/>
      <c r="RIM428" s="2"/>
      <c r="RIN428" s="2"/>
      <c r="RIO428" s="2"/>
      <c r="RIP428" s="260"/>
      <c r="RIQ428" s="260"/>
      <c r="RIR428" s="260"/>
      <c r="RIS428" s="260"/>
      <c r="RIT428" s="260"/>
      <c r="RIU428" s="260"/>
      <c r="RIV428" s="260"/>
      <c r="RIW428" s="260"/>
      <c r="RIX428" s="260"/>
      <c r="RIY428" s="260"/>
      <c r="RIZ428" s="260"/>
      <c r="RJA428" s="260"/>
      <c r="RJB428" s="260"/>
      <c r="RJC428" s="2"/>
      <c r="RJD428" s="2"/>
      <c r="RJE428" s="2"/>
      <c r="RJF428" s="2"/>
      <c r="RJG428" s="2"/>
      <c r="RJH428" s="2"/>
      <c r="RJI428" s="2"/>
      <c r="RJJ428" s="2"/>
      <c r="RJK428" s="2"/>
      <c r="RJL428" s="2"/>
      <c r="RJM428" s="2"/>
      <c r="RJN428" s="2"/>
      <c r="RJO428" s="2"/>
      <c r="RJP428" s="2"/>
      <c r="RJQ428" s="2"/>
      <c r="RJR428" s="260"/>
      <c r="RJS428" s="260"/>
      <c r="RJT428" s="260"/>
      <c r="RJU428" s="380"/>
      <c r="RJV428" s="380"/>
      <c r="RJW428" s="380"/>
      <c r="RJX428" s="2"/>
      <c r="RJY428" s="405"/>
      <c r="RJZ428" s="54"/>
      <c r="RKA428" s="239"/>
      <c r="RKB428" s="54"/>
      <c r="RKC428" s="232"/>
      <c r="RKD428" s="2"/>
      <c r="RKE428" s="2"/>
      <c r="RKF428" s="2"/>
      <c r="RKG428" s="2"/>
      <c r="RKH428" s="260"/>
      <c r="RKI428" s="260"/>
      <c r="RKJ428" s="260"/>
      <c r="RKK428" s="260"/>
      <c r="RKL428" s="260"/>
      <c r="RKM428" s="260"/>
      <c r="RKN428" s="260"/>
      <c r="RKO428" s="260"/>
      <c r="RKP428" s="260"/>
      <c r="RKQ428" s="260"/>
      <c r="RKR428" s="260"/>
      <c r="RKS428" s="260"/>
      <c r="RKT428" s="260"/>
      <c r="RKU428" s="2"/>
      <c r="RKV428" s="2"/>
      <c r="RKW428" s="2"/>
      <c r="RKX428" s="2"/>
      <c r="RKY428" s="2"/>
      <c r="RKZ428" s="2"/>
      <c r="RLA428" s="2"/>
      <c r="RLB428" s="2"/>
      <c r="RLC428" s="2"/>
      <c r="RLD428" s="2"/>
      <c r="RLE428" s="2"/>
      <c r="RLF428" s="2"/>
      <c r="RLG428" s="2"/>
      <c r="RLH428" s="2"/>
      <c r="RLI428" s="2"/>
      <c r="RLJ428" s="260"/>
      <c r="RLK428" s="260"/>
      <c r="RLL428" s="260"/>
      <c r="RLM428" s="380"/>
      <c r="RLN428" s="380"/>
      <c r="RLO428" s="380"/>
      <c r="RLP428" s="2"/>
      <c r="RLQ428" s="405"/>
      <c r="RLR428" s="54"/>
      <c r="RLS428" s="239"/>
      <c r="RLT428" s="54"/>
      <c r="RLU428" s="232"/>
      <c r="RLV428" s="2"/>
      <c r="RLW428" s="2"/>
      <c r="RLX428" s="2"/>
      <c r="RLY428" s="2"/>
      <c r="RLZ428" s="260"/>
      <c r="RMA428" s="260"/>
      <c r="RMB428" s="260"/>
      <c r="RMC428" s="260"/>
      <c r="RMD428" s="260"/>
      <c r="RME428" s="260"/>
      <c r="RMF428" s="260"/>
      <c r="RMG428" s="260"/>
      <c r="RMH428" s="260"/>
      <c r="RMI428" s="260"/>
      <c r="RMJ428" s="260"/>
      <c r="RMK428" s="260"/>
      <c r="RML428" s="260"/>
      <c r="RMM428" s="2"/>
      <c r="RMN428" s="2"/>
      <c r="RMO428" s="2"/>
      <c r="RMP428" s="2"/>
      <c r="RMQ428" s="2"/>
      <c r="RMR428" s="2"/>
      <c r="RMS428" s="2"/>
      <c r="RMT428" s="2"/>
      <c r="RMU428" s="2"/>
      <c r="RMV428" s="2"/>
      <c r="RMW428" s="2"/>
      <c r="RMX428" s="2"/>
      <c r="RMY428" s="2"/>
      <c r="RMZ428" s="2"/>
      <c r="RNA428" s="2"/>
      <c r="RNB428" s="260"/>
      <c r="RNC428" s="260"/>
      <c r="RND428" s="260"/>
      <c r="RNE428" s="380"/>
      <c r="RNF428" s="380"/>
      <c r="RNG428" s="380"/>
      <c r="RNH428" s="2"/>
      <c r="RNI428" s="405"/>
      <c r="RNJ428" s="54"/>
      <c r="RNK428" s="239"/>
      <c r="RNL428" s="54"/>
      <c r="RNM428" s="232"/>
      <c r="RNN428" s="2"/>
      <c r="RNO428" s="2"/>
      <c r="RNP428" s="2"/>
      <c r="RNQ428" s="2"/>
      <c r="RNR428" s="260"/>
      <c r="RNS428" s="260"/>
      <c r="RNT428" s="260"/>
      <c r="RNU428" s="260"/>
      <c r="RNV428" s="260"/>
      <c r="RNW428" s="260"/>
      <c r="RNX428" s="260"/>
      <c r="RNY428" s="260"/>
      <c r="RNZ428" s="260"/>
      <c r="ROA428" s="260"/>
      <c r="ROB428" s="260"/>
      <c r="ROC428" s="260"/>
      <c r="ROD428" s="260"/>
      <c r="ROE428" s="2"/>
      <c r="ROF428" s="2"/>
      <c r="ROG428" s="2"/>
      <c r="ROH428" s="2"/>
      <c r="ROI428" s="2"/>
      <c r="ROJ428" s="2"/>
      <c r="ROK428" s="2"/>
      <c r="ROL428" s="2"/>
      <c r="ROM428" s="2"/>
      <c r="RON428" s="2"/>
      <c r="ROO428" s="2"/>
      <c r="ROP428" s="2"/>
      <c r="ROQ428" s="2"/>
      <c r="ROR428" s="2"/>
      <c r="ROS428" s="2"/>
      <c r="ROT428" s="260"/>
      <c r="ROU428" s="260"/>
      <c r="ROV428" s="260"/>
      <c r="ROW428" s="380"/>
      <c r="ROX428" s="380"/>
      <c r="ROY428" s="380"/>
      <c r="ROZ428" s="2"/>
      <c r="RPA428" s="405"/>
      <c r="RPB428" s="54"/>
      <c r="RPC428" s="239"/>
      <c r="RPD428" s="54"/>
      <c r="RPE428" s="232"/>
      <c r="RPF428" s="2"/>
      <c r="RPG428" s="2"/>
      <c r="RPH428" s="2"/>
      <c r="RPI428" s="2"/>
      <c r="RPJ428" s="260"/>
      <c r="RPK428" s="260"/>
      <c r="RPL428" s="260"/>
      <c r="RPM428" s="260"/>
      <c r="RPN428" s="260"/>
      <c r="RPO428" s="260"/>
      <c r="RPP428" s="260"/>
      <c r="RPQ428" s="260"/>
      <c r="RPR428" s="260"/>
      <c r="RPS428" s="260"/>
      <c r="RPT428" s="260"/>
      <c r="RPU428" s="260"/>
      <c r="RPV428" s="260"/>
      <c r="RPW428" s="2"/>
      <c r="RPX428" s="2"/>
      <c r="RPY428" s="2"/>
      <c r="RPZ428" s="2"/>
      <c r="RQA428" s="2"/>
      <c r="RQB428" s="2"/>
      <c r="RQC428" s="2"/>
      <c r="RQD428" s="2"/>
      <c r="RQE428" s="2"/>
      <c r="RQF428" s="2"/>
      <c r="RQG428" s="2"/>
      <c r="RQH428" s="2"/>
      <c r="RQI428" s="2"/>
      <c r="RQJ428" s="2"/>
      <c r="RQK428" s="2"/>
      <c r="RQL428" s="260"/>
      <c r="RQM428" s="260"/>
      <c r="RQN428" s="260"/>
      <c r="RQO428" s="380"/>
      <c r="RQP428" s="380"/>
      <c r="RQQ428" s="380"/>
      <c r="RQR428" s="2"/>
      <c r="RQS428" s="405"/>
      <c r="RQT428" s="54"/>
      <c r="RQU428" s="239"/>
      <c r="RQV428" s="54"/>
      <c r="RQW428" s="232"/>
      <c r="RQX428" s="2"/>
      <c r="RQY428" s="2"/>
      <c r="RQZ428" s="2"/>
      <c r="RRA428" s="2"/>
      <c r="RRB428" s="260"/>
      <c r="RRC428" s="260"/>
      <c r="RRD428" s="260"/>
      <c r="RRE428" s="260"/>
      <c r="RRF428" s="260"/>
      <c r="RRG428" s="260"/>
      <c r="RRH428" s="260"/>
      <c r="RRI428" s="260"/>
      <c r="RRJ428" s="260"/>
      <c r="RRK428" s="260"/>
      <c r="RRL428" s="260"/>
      <c r="RRM428" s="260"/>
      <c r="RRN428" s="260"/>
      <c r="RRO428" s="2"/>
      <c r="RRP428" s="2"/>
      <c r="RRQ428" s="2"/>
      <c r="RRR428" s="2"/>
      <c r="RRS428" s="2"/>
      <c r="RRT428" s="2"/>
      <c r="RRU428" s="2"/>
      <c r="RRV428" s="2"/>
      <c r="RRW428" s="2"/>
      <c r="RRX428" s="2"/>
      <c r="RRY428" s="2"/>
      <c r="RRZ428" s="2"/>
      <c r="RSA428" s="2"/>
      <c r="RSB428" s="2"/>
      <c r="RSC428" s="2"/>
      <c r="RSD428" s="260"/>
      <c r="RSE428" s="260"/>
      <c r="RSF428" s="260"/>
      <c r="RSG428" s="380"/>
      <c r="RSH428" s="380"/>
      <c r="RSI428" s="380"/>
      <c r="RSJ428" s="2"/>
      <c r="RSK428" s="405"/>
      <c r="RSL428" s="54"/>
      <c r="RSM428" s="239"/>
      <c r="RSN428" s="54"/>
      <c r="RSO428" s="232"/>
      <c r="RSP428" s="2"/>
      <c r="RSQ428" s="2"/>
      <c r="RSR428" s="2"/>
      <c r="RSS428" s="2"/>
      <c r="RST428" s="260"/>
      <c r="RSU428" s="260"/>
      <c r="RSV428" s="260"/>
      <c r="RSW428" s="260"/>
      <c r="RSX428" s="260"/>
      <c r="RSY428" s="260"/>
      <c r="RSZ428" s="260"/>
      <c r="RTA428" s="260"/>
      <c r="RTB428" s="260"/>
      <c r="RTC428" s="260"/>
      <c r="RTD428" s="260"/>
      <c r="RTE428" s="260"/>
      <c r="RTF428" s="260"/>
      <c r="RTG428" s="2"/>
      <c r="RTH428" s="2"/>
      <c r="RTI428" s="2"/>
      <c r="RTJ428" s="2"/>
      <c r="RTK428" s="2"/>
      <c r="RTL428" s="2"/>
      <c r="RTM428" s="2"/>
      <c r="RTN428" s="2"/>
      <c r="RTO428" s="2"/>
      <c r="RTP428" s="2"/>
      <c r="RTQ428" s="2"/>
      <c r="RTR428" s="2"/>
      <c r="RTS428" s="2"/>
      <c r="RTT428" s="2"/>
      <c r="RTU428" s="2"/>
      <c r="RTV428" s="260"/>
      <c r="RTW428" s="260"/>
      <c r="RTX428" s="260"/>
      <c r="RTY428" s="380"/>
      <c r="RTZ428" s="380"/>
      <c r="RUA428" s="380"/>
      <c r="RUB428" s="2"/>
      <c r="RUC428" s="405"/>
      <c r="RUD428" s="54"/>
      <c r="RUE428" s="239"/>
      <c r="RUF428" s="54"/>
      <c r="RUG428" s="232"/>
      <c r="RUH428" s="2"/>
      <c r="RUI428" s="2"/>
      <c r="RUJ428" s="2"/>
      <c r="RUK428" s="2"/>
      <c r="RUL428" s="260"/>
      <c r="RUM428" s="260"/>
      <c r="RUN428" s="260"/>
      <c r="RUO428" s="260"/>
      <c r="RUP428" s="260"/>
      <c r="RUQ428" s="260"/>
      <c r="RUR428" s="260"/>
      <c r="RUS428" s="260"/>
      <c r="RUT428" s="260"/>
      <c r="RUU428" s="260"/>
      <c r="RUV428" s="260"/>
      <c r="RUW428" s="260"/>
      <c r="RUX428" s="260"/>
      <c r="RUY428" s="2"/>
      <c r="RUZ428" s="2"/>
      <c r="RVA428" s="2"/>
      <c r="RVB428" s="2"/>
      <c r="RVC428" s="2"/>
      <c r="RVD428" s="2"/>
      <c r="RVE428" s="2"/>
      <c r="RVF428" s="2"/>
      <c r="RVG428" s="2"/>
      <c r="RVH428" s="2"/>
      <c r="RVI428" s="2"/>
      <c r="RVJ428" s="2"/>
      <c r="RVK428" s="2"/>
      <c r="RVL428" s="2"/>
      <c r="RVM428" s="2"/>
      <c r="RVN428" s="260"/>
      <c r="RVO428" s="260"/>
      <c r="RVP428" s="260"/>
      <c r="RVQ428" s="380"/>
      <c r="RVR428" s="380"/>
      <c r="RVS428" s="380"/>
      <c r="RVT428" s="2"/>
      <c r="RVU428" s="405"/>
      <c r="RVV428" s="54"/>
      <c r="RVW428" s="239"/>
      <c r="RVX428" s="54"/>
      <c r="RVY428" s="232"/>
      <c r="RVZ428" s="2"/>
      <c r="RWA428" s="2"/>
      <c r="RWB428" s="2"/>
      <c r="RWC428" s="2"/>
      <c r="RWD428" s="260"/>
      <c r="RWE428" s="260"/>
      <c r="RWF428" s="260"/>
      <c r="RWG428" s="260"/>
      <c r="RWH428" s="260"/>
      <c r="RWI428" s="260"/>
      <c r="RWJ428" s="260"/>
      <c r="RWK428" s="260"/>
      <c r="RWL428" s="260"/>
      <c r="RWM428" s="260"/>
      <c r="RWN428" s="260"/>
      <c r="RWO428" s="260"/>
      <c r="RWP428" s="260"/>
      <c r="RWQ428" s="2"/>
      <c r="RWR428" s="2"/>
      <c r="RWS428" s="2"/>
      <c r="RWT428" s="2"/>
      <c r="RWU428" s="2"/>
      <c r="RWV428" s="2"/>
      <c r="RWW428" s="2"/>
      <c r="RWX428" s="2"/>
      <c r="RWY428" s="2"/>
      <c r="RWZ428" s="2"/>
      <c r="RXA428" s="2"/>
      <c r="RXB428" s="2"/>
      <c r="RXC428" s="2"/>
      <c r="RXD428" s="2"/>
      <c r="RXE428" s="2"/>
      <c r="RXF428" s="260"/>
      <c r="RXG428" s="260"/>
      <c r="RXH428" s="260"/>
      <c r="RXI428" s="380"/>
      <c r="RXJ428" s="380"/>
      <c r="RXK428" s="380"/>
      <c r="RXL428" s="2"/>
      <c r="RXM428" s="405"/>
      <c r="RXN428" s="54"/>
      <c r="RXO428" s="239"/>
      <c r="RXP428" s="54"/>
      <c r="RXQ428" s="232"/>
      <c r="RXR428" s="2"/>
      <c r="RXS428" s="2"/>
      <c r="RXT428" s="2"/>
      <c r="RXU428" s="2"/>
      <c r="RXV428" s="260"/>
      <c r="RXW428" s="260"/>
      <c r="RXX428" s="260"/>
      <c r="RXY428" s="260"/>
      <c r="RXZ428" s="260"/>
      <c r="RYA428" s="260"/>
      <c r="RYB428" s="260"/>
      <c r="RYC428" s="260"/>
      <c r="RYD428" s="260"/>
      <c r="RYE428" s="260"/>
      <c r="RYF428" s="260"/>
      <c r="RYG428" s="260"/>
      <c r="RYH428" s="260"/>
      <c r="RYI428" s="2"/>
      <c r="RYJ428" s="2"/>
      <c r="RYK428" s="2"/>
      <c r="RYL428" s="2"/>
      <c r="RYM428" s="2"/>
      <c r="RYN428" s="2"/>
      <c r="RYO428" s="2"/>
      <c r="RYP428" s="2"/>
      <c r="RYQ428" s="2"/>
      <c r="RYR428" s="2"/>
      <c r="RYS428" s="2"/>
      <c r="RYT428" s="2"/>
      <c r="RYU428" s="2"/>
      <c r="RYV428" s="2"/>
      <c r="RYW428" s="2"/>
      <c r="RYX428" s="260"/>
      <c r="RYY428" s="260"/>
      <c r="RYZ428" s="260"/>
      <c r="RZA428" s="380"/>
      <c r="RZB428" s="380"/>
      <c r="RZC428" s="380"/>
      <c r="RZD428" s="2"/>
      <c r="RZE428" s="405"/>
      <c r="RZF428" s="54"/>
      <c r="RZG428" s="239"/>
      <c r="RZH428" s="54"/>
      <c r="RZI428" s="232"/>
      <c r="RZJ428" s="2"/>
      <c r="RZK428" s="2"/>
      <c r="RZL428" s="2"/>
      <c r="RZM428" s="2"/>
      <c r="RZN428" s="260"/>
      <c r="RZO428" s="260"/>
      <c r="RZP428" s="260"/>
      <c r="RZQ428" s="260"/>
      <c r="RZR428" s="260"/>
      <c r="RZS428" s="260"/>
      <c r="RZT428" s="260"/>
      <c r="RZU428" s="260"/>
      <c r="RZV428" s="260"/>
      <c r="RZW428" s="260"/>
      <c r="RZX428" s="260"/>
      <c r="RZY428" s="260"/>
      <c r="RZZ428" s="260"/>
      <c r="SAA428" s="2"/>
      <c r="SAB428" s="2"/>
      <c r="SAC428" s="2"/>
      <c r="SAD428" s="2"/>
      <c r="SAE428" s="2"/>
      <c r="SAF428" s="2"/>
      <c r="SAG428" s="2"/>
      <c r="SAH428" s="2"/>
      <c r="SAI428" s="2"/>
      <c r="SAJ428" s="2"/>
      <c r="SAK428" s="2"/>
      <c r="SAL428" s="2"/>
      <c r="SAM428" s="2"/>
      <c r="SAN428" s="2"/>
      <c r="SAO428" s="2"/>
      <c r="SAP428" s="260"/>
      <c r="SAQ428" s="260"/>
      <c r="SAR428" s="260"/>
      <c r="SAS428" s="380"/>
      <c r="SAT428" s="380"/>
      <c r="SAU428" s="380"/>
      <c r="SAV428" s="2"/>
      <c r="SAW428" s="405"/>
      <c r="SAX428" s="54"/>
      <c r="SAY428" s="239"/>
      <c r="SAZ428" s="54"/>
      <c r="SBA428" s="232"/>
      <c r="SBB428" s="2"/>
      <c r="SBC428" s="2"/>
      <c r="SBD428" s="2"/>
      <c r="SBE428" s="2"/>
      <c r="SBF428" s="260"/>
      <c r="SBG428" s="260"/>
      <c r="SBH428" s="260"/>
      <c r="SBI428" s="260"/>
      <c r="SBJ428" s="260"/>
      <c r="SBK428" s="260"/>
      <c r="SBL428" s="260"/>
      <c r="SBM428" s="260"/>
      <c r="SBN428" s="260"/>
      <c r="SBO428" s="260"/>
      <c r="SBP428" s="260"/>
      <c r="SBQ428" s="260"/>
      <c r="SBR428" s="260"/>
      <c r="SBS428" s="2"/>
      <c r="SBT428" s="2"/>
      <c r="SBU428" s="2"/>
      <c r="SBV428" s="2"/>
      <c r="SBW428" s="2"/>
      <c r="SBX428" s="2"/>
      <c r="SBY428" s="2"/>
      <c r="SBZ428" s="2"/>
      <c r="SCA428" s="2"/>
      <c r="SCB428" s="2"/>
      <c r="SCC428" s="2"/>
      <c r="SCD428" s="2"/>
      <c r="SCE428" s="2"/>
      <c r="SCF428" s="2"/>
      <c r="SCG428" s="2"/>
      <c r="SCH428" s="260"/>
      <c r="SCI428" s="260"/>
      <c r="SCJ428" s="260"/>
      <c r="SCK428" s="380"/>
      <c r="SCL428" s="380"/>
      <c r="SCM428" s="380"/>
      <c r="SCN428" s="2"/>
      <c r="SCO428" s="405"/>
      <c r="SCP428" s="54"/>
      <c r="SCQ428" s="239"/>
      <c r="SCR428" s="54"/>
      <c r="SCS428" s="232"/>
      <c r="SCT428" s="2"/>
      <c r="SCU428" s="2"/>
      <c r="SCV428" s="2"/>
      <c r="SCW428" s="2"/>
      <c r="SCX428" s="260"/>
      <c r="SCY428" s="260"/>
      <c r="SCZ428" s="260"/>
      <c r="SDA428" s="260"/>
      <c r="SDB428" s="260"/>
      <c r="SDC428" s="260"/>
      <c r="SDD428" s="260"/>
      <c r="SDE428" s="260"/>
      <c r="SDF428" s="260"/>
      <c r="SDG428" s="260"/>
      <c r="SDH428" s="260"/>
      <c r="SDI428" s="260"/>
      <c r="SDJ428" s="260"/>
      <c r="SDK428" s="2"/>
      <c r="SDL428" s="2"/>
      <c r="SDM428" s="2"/>
      <c r="SDN428" s="2"/>
      <c r="SDO428" s="2"/>
      <c r="SDP428" s="2"/>
      <c r="SDQ428" s="2"/>
      <c r="SDR428" s="2"/>
      <c r="SDS428" s="2"/>
      <c r="SDT428" s="2"/>
      <c r="SDU428" s="2"/>
      <c r="SDV428" s="2"/>
      <c r="SDW428" s="2"/>
      <c r="SDX428" s="2"/>
      <c r="SDY428" s="2"/>
      <c r="SDZ428" s="260"/>
      <c r="SEA428" s="260"/>
      <c r="SEB428" s="260"/>
      <c r="SEC428" s="380"/>
      <c r="SED428" s="380"/>
      <c r="SEE428" s="380"/>
      <c r="SEF428" s="2"/>
      <c r="SEG428" s="405"/>
      <c r="SEH428" s="54"/>
      <c r="SEI428" s="239"/>
      <c r="SEJ428" s="54"/>
      <c r="SEK428" s="232"/>
      <c r="SEL428" s="2"/>
      <c r="SEM428" s="2"/>
      <c r="SEN428" s="2"/>
      <c r="SEO428" s="2"/>
      <c r="SEP428" s="260"/>
      <c r="SEQ428" s="260"/>
      <c r="SER428" s="260"/>
      <c r="SES428" s="260"/>
      <c r="SET428" s="260"/>
      <c r="SEU428" s="260"/>
      <c r="SEV428" s="260"/>
      <c r="SEW428" s="260"/>
      <c r="SEX428" s="260"/>
      <c r="SEY428" s="260"/>
      <c r="SEZ428" s="260"/>
      <c r="SFA428" s="260"/>
      <c r="SFB428" s="260"/>
      <c r="SFC428" s="2"/>
      <c r="SFD428" s="2"/>
      <c r="SFE428" s="2"/>
      <c r="SFF428" s="2"/>
      <c r="SFG428" s="2"/>
      <c r="SFH428" s="2"/>
      <c r="SFI428" s="2"/>
      <c r="SFJ428" s="2"/>
      <c r="SFK428" s="2"/>
      <c r="SFL428" s="2"/>
      <c r="SFM428" s="2"/>
      <c r="SFN428" s="2"/>
      <c r="SFO428" s="2"/>
      <c r="SFP428" s="2"/>
      <c r="SFQ428" s="2"/>
      <c r="SFR428" s="260"/>
      <c r="SFS428" s="260"/>
      <c r="SFT428" s="260"/>
      <c r="SFU428" s="380"/>
      <c r="SFV428" s="380"/>
      <c r="SFW428" s="380"/>
      <c r="SFX428" s="2"/>
      <c r="SFY428" s="405"/>
      <c r="SFZ428" s="54"/>
      <c r="SGA428" s="239"/>
      <c r="SGB428" s="54"/>
      <c r="SGC428" s="232"/>
      <c r="SGD428" s="2"/>
      <c r="SGE428" s="2"/>
      <c r="SGF428" s="2"/>
      <c r="SGG428" s="2"/>
      <c r="SGH428" s="260"/>
      <c r="SGI428" s="260"/>
      <c r="SGJ428" s="260"/>
      <c r="SGK428" s="260"/>
      <c r="SGL428" s="260"/>
      <c r="SGM428" s="260"/>
      <c r="SGN428" s="260"/>
      <c r="SGO428" s="260"/>
      <c r="SGP428" s="260"/>
      <c r="SGQ428" s="260"/>
      <c r="SGR428" s="260"/>
      <c r="SGS428" s="260"/>
      <c r="SGT428" s="260"/>
      <c r="SGU428" s="2"/>
      <c r="SGV428" s="2"/>
      <c r="SGW428" s="2"/>
      <c r="SGX428" s="2"/>
      <c r="SGY428" s="2"/>
      <c r="SGZ428" s="2"/>
      <c r="SHA428" s="2"/>
      <c r="SHB428" s="2"/>
      <c r="SHC428" s="2"/>
      <c r="SHD428" s="2"/>
      <c r="SHE428" s="2"/>
      <c r="SHF428" s="2"/>
      <c r="SHG428" s="2"/>
      <c r="SHH428" s="2"/>
      <c r="SHI428" s="2"/>
      <c r="SHJ428" s="260"/>
      <c r="SHK428" s="260"/>
      <c r="SHL428" s="260"/>
      <c r="SHM428" s="380"/>
      <c r="SHN428" s="380"/>
      <c r="SHO428" s="380"/>
      <c r="SHP428" s="2"/>
      <c r="SHQ428" s="405"/>
      <c r="SHR428" s="54"/>
      <c r="SHS428" s="239"/>
      <c r="SHT428" s="54"/>
      <c r="SHU428" s="232"/>
      <c r="SHV428" s="2"/>
      <c r="SHW428" s="2"/>
      <c r="SHX428" s="2"/>
      <c r="SHY428" s="2"/>
      <c r="SHZ428" s="260"/>
      <c r="SIA428" s="260"/>
      <c r="SIB428" s="260"/>
      <c r="SIC428" s="260"/>
      <c r="SID428" s="260"/>
      <c r="SIE428" s="260"/>
      <c r="SIF428" s="260"/>
      <c r="SIG428" s="260"/>
      <c r="SIH428" s="260"/>
      <c r="SII428" s="260"/>
      <c r="SIJ428" s="260"/>
      <c r="SIK428" s="260"/>
      <c r="SIL428" s="260"/>
      <c r="SIM428" s="2"/>
      <c r="SIN428" s="2"/>
      <c r="SIO428" s="2"/>
      <c r="SIP428" s="2"/>
      <c r="SIQ428" s="2"/>
      <c r="SIR428" s="2"/>
      <c r="SIS428" s="2"/>
      <c r="SIT428" s="2"/>
      <c r="SIU428" s="2"/>
      <c r="SIV428" s="2"/>
      <c r="SIW428" s="2"/>
      <c r="SIX428" s="2"/>
      <c r="SIY428" s="2"/>
      <c r="SIZ428" s="2"/>
      <c r="SJA428" s="2"/>
      <c r="SJB428" s="260"/>
      <c r="SJC428" s="260"/>
      <c r="SJD428" s="260"/>
      <c r="SJE428" s="380"/>
      <c r="SJF428" s="380"/>
      <c r="SJG428" s="380"/>
      <c r="SJH428" s="2"/>
      <c r="SJI428" s="405"/>
      <c r="SJJ428" s="54"/>
      <c r="SJK428" s="239"/>
      <c r="SJL428" s="54"/>
      <c r="SJM428" s="232"/>
      <c r="SJN428" s="2"/>
      <c r="SJO428" s="2"/>
      <c r="SJP428" s="2"/>
      <c r="SJQ428" s="2"/>
      <c r="SJR428" s="260"/>
      <c r="SJS428" s="260"/>
      <c r="SJT428" s="260"/>
      <c r="SJU428" s="260"/>
      <c r="SJV428" s="260"/>
      <c r="SJW428" s="260"/>
      <c r="SJX428" s="260"/>
      <c r="SJY428" s="260"/>
      <c r="SJZ428" s="260"/>
      <c r="SKA428" s="260"/>
      <c r="SKB428" s="260"/>
      <c r="SKC428" s="260"/>
      <c r="SKD428" s="260"/>
      <c r="SKE428" s="2"/>
      <c r="SKF428" s="2"/>
      <c r="SKG428" s="2"/>
      <c r="SKH428" s="2"/>
      <c r="SKI428" s="2"/>
      <c r="SKJ428" s="2"/>
      <c r="SKK428" s="2"/>
      <c r="SKL428" s="2"/>
      <c r="SKM428" s="2"/>
      <c r="SKN428" s="2"/>
      <c r="SKO428" s="2"/>
      <c r="SKP428" s="2"/>
      <c r="SKQ428" s="2"/>
      <c r="SKR428" s="2"/>
      <c r="SKS428" s="2"/>
      <c r="SKT428" s="260"/>
      <c r="SKU428" s="260"/>
      <c r="SKV428" s="260"/>
      <c r="SKW428" s="380"/>
      <c r="SKX428" s="380"/>
      <c r="SKY428" s="380"/>
      <c r="SKZ428" s="2"/>
      <c r="SLA428" s="405"/>
      <c r="SLB428" s="54"/>
      <c r="SLC428" s="239"/>
      <c r="SLD428" s="54"/>
      <c r="SLE428" s="232"/>
      <c r="SLF428" s="2"/>
      <c r="SLG428" s="2"/>
      <c r="SLH428" s="2"/>
      <c r="SLI428" s="2"/>
      <c r="SLJ428" s="260"/>
      <c r="SLK428" s="260"/>
      <c r="SLL428" s="260"/>
      <c r="SLM428" s="260"/>
      <c r="SLN428" s="260"/>
      <c r="SLO428" s="260"/>
      <c r="SLP428" s="260"/>
      <c r="SLQ428" s="260"/>
      <c r="SLR428" s="260"/>
      <c r="SLS428" s="260"/>
      <c r="SLT428" s="260"/>
      <c r="SLU428" s="260"/>
      <c r="SLV428" s="260"/>
      <c r="SLW428" s="2"/>
      <c r="SLX428" s="2"/>
      <c r="SLY428" s="2"/>
      <c r="SLZ428" s="2"/>
      <c r="SMA428" s="2"/>
      <c r="SMB428" s="2"/>
      <c r="SMC428" s="2"/>
      <c r="SMD428" s="2"/>
      <c r="SME428" s="2"/>
      <c r="SMF428" s="2"/>
      <c r="SMG428" s="2"/>
      <c r="SMH428" s="2"/>
      <c r="SMI428" s="2"/>
      <c r="SMJ428" s="2"/>
      <c r="SMK428" s="2"/>
      <c r="SML428" s="260"/>
      <c r="SMM428" s="260"/>
      <c r="SMN428" s="260"/>
      <c r="SMO428" s="380"/>
      <c r="SMP428" s="380"/>
      <c r="SMQ428" s="380"/>
      <c r="SMR428" s="2"/>
      <c r="SMS428" s="405"/>
      <c r="SMT428" s="54"/>
      <c r="SMU428" s="239"/>
      <c r="SMV428" s="54"/>
      <c r="SMW428" s="232"/>
      <c r="SMX428" s="2"/>
      <c r="SMY428" s="2"/>
      <c r="SMZ428" s="2"/>
      <c r="SNA428" s="2"/>
      <c r="SNB428" s="260"/>
      <c r="SNC428" s="260"/>
      <c r="SND428" s="260"/>
      <c r="SNE428" s="260"/>
      <c r="SNF428" s="260"/>
      <c r="SNG428" s="260"/>
      <c r="SNH428" s="260"/>
      <c r="SNI428" s="260"/>
      <c r="SNJ428" s="260"/>
      <c r="SNK428" s="260"/>
      <c r="SNL428" s="260"/>
      <c r="SNM428" s="260"/>
      <c r="SNN428" s="260"/>
      <c r="SNO428" s="2"/>
      <c r="SNP428" s="2"/>
      <c r="SNQ428" s="2"/>
      <c r="SNR428" s="2"/>
      <c r="SNS428" s="2"/>
      <c r="SNT428" s="2"/>
      <c r="SNU428" s="2"/>
      <c r="SNV428" s="2"/>
      <c r="SNW428" s="2"/>
      <c r="SNX428" s="2"/>
      <c r="SNY428" s="2"/>
      <c r="SNZ428" s="2"/>
      <c r="SOA428" s="2"/>
      <c r="SOB428" s="2"/>
      <c r="SOC428" s="2"/>
      <c r="SOD428" s="260"/>
      <c r="SOE428" s="260"/>
      <c r="SOF428" s="260"/>
      <c r="SOG428" s="380"/>
      <c r="SOH428" s="380"/>
      <c r="SOI428" s="380"/>
      <c r="SOJ428" s="2"/>
      <c r="SOK428" s="405"/>
      <c r="SOL428" s="54"/>
      <c r="SOM428" s="239"/>
      <c r="SON428" s="54"/>
      <c r="SOO428" s="232"/>
      <c r="SOP428" s="2"/>
      <c r="SOQ428" s="2"/>
      <c r="SOR428" s="2"/>
      <c r="SOS428" s="2"/>
      <c r="SOT428" s="260"/>
      <c r="SOU428" s="260"/>
      <c r="SOV428" s="260"/>
      <c r="SOW428" s="260"/>
      <c r="SOX428" s="260"/>
      <c r="SOY428" s="260"/>
      <c r="SOZ428" s="260"/>
      <c r="SPA428" s="260"/>
      <c r="SPB428" s="260"/>
      <c r="SPC428" s="260"/>
      <c r="SPD428" s="260"/>
      <c r="SPE428" s="260"/>
      <c r="SPF428" s="260"/>
      <c r="SPG428" s="2"/>
      <c r="SPH428" s="2"/>
      <c r="SPI428" s="2"/>
      <c r="SPJ428" s="2"/>
      <c r="SPK428" s="2"/>
      <c r="SPL428" s="2"/>
      <c r="SPM428" s="2"/>
      <c r="SPN428" s="2"/>
      <c r="SPO428" s="2"/>
      <c r="SPP428" s="2"/>
      <c r="SPQ428" s="2"/>
      <c r="SPR428" s="2"/>
      <c r="SPS428" s="2"/>
      <c r="SPT428" s="2"/>
      <c r="SPU428" s="2"/>
      <c r="SPV428" s="260"/>
      <c r="SPW428" s="260"/>
      <c r="SPX428" s="260"/>
      <c r="SPY428" s="380"/>
      <c r="SPZ428" s="380"/>
      <c r="SQA428" s="380"/>
      <c r="SQB428" s="2"/>
      <c r="SQC428" s="405"/>
      <c r="SQD428" s="54"/>
      <c r="SQE428" s="239"/>
      <c r="SQF428" s="54"/>
      <c r="SQG428" s="232"/>
      <c r="SQH428" s="2"/>
      <c r="SQI428" s="2"/>
      <c r="SQJ428" s="2"/>
      <c r="SQK428" s="2"/>
      <c r="SQL428" s="260"/>
      <c r="SQM428" s="260"/>
      <c r="SQN428" s="260"/>
      <c r="SQO428" s="260"/>
      <c r="SQP428" s="260"/>
      <c r="SQQ428" s="260"/>
      <c r="SQR428" s="260"/>
      <c r="SQS428" s="260"/>
      <c r="SQT428" s="260"/>
      <c r="SQU428" s="260"/>
      <c r="SQV428" s="260"/>
      <c r="SQW428" s="260"/>
      <c r="SQX428" s="260"/>
      <c r="SQY428" s="2"/>
      <c r="SQZ428" s="2"/>
      <c r="SRA428" s="2"/>
      <c r="SRB428" s="2"/>
      <c r="SRC428" s="2"/>
      <c r="SRD428" s="2"/>
      <c r="SRE428" s="2"/>
      <c r="SRF428" s="2"/>
      <c r="SRG428" s="2"/>
      <c r="SRH428" s="2"/>
      <c r="SRI428" s="2"/>
      <c r="SRJ428" s="2"/>
      <c r="SRK428" s="2"/>
      <c r="SRL428" s="2"/>
      <c r="SRM428" s="2"/>
      <c r="SRN428" s="260"/>
      <c r="SRO428" s="260"/>
      <c r="SRP428" s="260"/>
      <c r="SRQ428" s="380"/>
      <c r="SRR428" s="380"/>
      <c r="SRS428" s="380"/>
      <c r="SRT428" s="2"/>
      <c r="SRU428" s="405"/>
      <c r="SRV428" s="54"/>
      <c r="SRW428" s="239"/>
      <c r="SRX428" s="54"/>
      <c r="SRY428" s="232"/>
      <c r="SRZ428" s="2"/>
      <c r="SSA428" s="2"/>
      <c r="SSB428" s="2"/>
      <c r="SSC428" s="2"/>
      <c r="SSD428" s="260"/>
      <c r="SSE428" s="260"/>
      <c r="SSF428" s="260"/>
      <c r="SSG428" s="260"/>
      <c r="SSH428" s="260"/>
      <c r="SSI428" s="260"/>
      <c r="SSJ428" s="260"/>
      <c r="SSK428" s="260"/>
      <c r="SSL428" s="260"/>
      <c r="SSM428" s="260"/>
      <c r="SSN428" s="260"/>
      <c r="SSO428" s="260"/>
      <c r="SSP428" s="260"/>
      <c r="SSQ428" s="2"/>
      <c r="SSR428" s="2"/>
      <c r="SSS428" s="2"/>
      <c r="SST428" s="2"/>
      <c r="SSU428" s="2"/>
      <c r="SSV428" s="2"/>
      <c r="SSW428" s="2"/>
      <c r="SSX428" s="2"/>
      <c r="SSY428" s="2"/>
      <c r="SSZ428" s="2"/>
      <c r="STA428" s="2"/>
      <c r="STB428" s="2"/>
      <c r="STC428" s="2"/>
      <c r="STD428" s="2"/>
      <c r="STE428" s="2"/>
      <c r="STF428" s="260"/>
      <c r="STG428" s="260"/>
      <c r="STH428" s="260"/>
      <c r="STI428" s="380"/>
      <c r="STJ428" s="380"/>
      <c r="STK428" s="380"/>
      <c r="STL428" s="2"/>
      <c r="STM428" s="405"/>
      <c r="STN428" s="54"/>
      <c r="STO428" s="239"/>
      <c r="STP428" s="54"/>
      <c r="STQ428" s="232"/>
      <c r="STR428" s="2"/>
      <c r="STS428" s="2"/>
      <c r="STT428" s="2"/>
      <c r="STU428" s="2"/>
      <c r="STV428" s="260"/>
      <c r="STW428" s="260"/>
      <c r="STX428" s="260"/>
      <c r="STY428" s="260"/>
      <c r="STZ428" s="260"/>
      <c r="SUA428" s="260"/>
      <c r="SUB428" s="260"/>
      <c r="SUC428" s="260"/>
      <c r="SUD428" s="260"/>
      <c r="SUE428" s="260"/>
      <c r="SUF428" s="260"/>
      <c r="SUG428" s="260"/>
      <c r="SUH428" s="260"/>
      <c r="SUI428" s="2"/>
      <c r="SUJ428" s="2"/>
      <c r="SUK428" s="2"/>
      <c r="SUL428" s="2"/>
      <c r="SUM428" s="2"/>
      <c r="SUN428" s="2"/>
      <c r="SUO428" s="2"/>
      <c r="SUP428" s="2"/>
      <c r="SUQ428" s="2"/>
      <c r="SUR428" s="2"/>
      <c r="SUS428" s="2"/>
      <c r="SUT428" s="2"/>
      <c r="SUU428" s="2"/>
      <c r="SUV428" s="2"/>
      <c r="SUW428" s="2"/>
      <c r="SUX428" s="260"/>
      <c r="SUY428" s="260"/>
      <c r="SUZ428" s="260"/>
      <c r="SVA428" s="380"/>
      <c r="SVB428" s="380"/>
      <c r="SVC428" s="380"/>
      <c r="SVD428" s="2"/>
      <c r="SVE428" s="405"/>
      <c r="SVF428" s="54"/>
      <c r="SVG428" s="239"/>
      <c r="SVH428" s="54"/>
      <c r="SVI428" s="232"/>
      <c r="SVJ428" s="2"/>
      <c r="SVK428" s="2"/>
      <c r="SVL428" s="2"/>
      <c r="SVM428" s="2"/>
      <c r="SVN428" s="260"/>
      <c r="SVO428" s="260"/>
      <c r="SVP428" s="260"/>
      <c r="SVQ428" s="260"/>
      <c r="SVR428" s="260"/>
      <c r="SVS428" s="260"/>
      <c r="SVT428" s="260"/>
      <c r="SVU428" s="260"/>
      <c r="SVV428" s="260"/>
      <c r="SVW428" s="260"/>
      <c r="SVX428" s="260"/>
      <c r="SVY428" s="260"/>
      <c r="SVZ428" s="260"/>
      <c r="SWA428" s="2"/>
      <c r="SWB428" s="2"/>
      <c r="SWC428" s="2"/>
      <c r="SWD428" s="2"/>
      <c r="SWE428" s="2"/>
      <c r="SWF428" s="2"/>
      <c r="SWG428" s="2"/>
      <c r="SWH428" s="2"/>
      <c r="SWI428" s="2"/>
      <c r="SWJ428" s="2"/>
      <c r="SWK428" s="2"/>
      <c r="SWL428" s="2"/>
      <c r="SWM428" s="2"/>
      <c r="SWN428" s="2"/>
      <c r="SWO428" s="2"/>
      <c r="SWP428" s="260"/>
      <c r="SWQ428" s="260"/>
      <c r="SWR428" s="260"/>
      <c r="SWS428" s="380"/>
      <c r="SWT428" s="380"/>
      <c r="SWU428" s="380"/>
      <c r="SWV428" s="2"/>
      <c r="SWW428" s="405"/>
      <c r="SWX428" s="54"/>
      <c r="SWY428" s="239"/>
      <c r="SWZ428" s="54"/>
      <c r="SXA428" s="232"/>
      <c r="SXB428" s="2"/>
      <c r="SXC428" s="2"/>
      <c r="SXD428" s="2"/>
      <c r="SXE428" s="2"/>
      <c r="SXF428" s="260"/>
      <c r="SXG428" s="260"/>
      <c r="SXH428" s="260"/>
      <c r="SXI428" s="260"/>
      <c r="SXJ428" s="260"/>
      <c r="SXK428" s="260"/>
      <c r="SXL428" s="260"/>
      <c r="SXM428" s="260"/>
      <c r="SXN428" s="260"/>
      <c r="SXO428" s="260"/>
      <c r="SXP428" s="260"/>
      <c r="SXQ428" s="260"/>
      <c r="SXR428" s="260"/>
      <c r="SXS428" s="2"/>
      <c r="SXT428" s="2"/>
      <c r="SXU428" s="2"/>
      <c r="SXV428" s="2"/>
      <c r="SXW428" s="2"/>
      <c r="SXX428" s="2"/>
      <c r="SXY428" s="2"/>
      <c r="SXZ428" s="2"/>
      <c r="SYA428" s="2"/>
      <c r="SYB428" s="2"/>
      <c r="SYC428" s="2"/>
      <c r="SYD428" s="2"/>
      <c r="SYE428" s="2"/>
      <c r="SYF428" s="2"/>
      <c r="SYG428" s="2"/>
      <c r="SYH428" s="260"/>
      <c r="SYI428" s="260"/>
      <c r="SYJ428" s="260"/>
      <c r="SYK428" s="380"/>
      <c r="SYL428" s="380"/>
      <c r="SYM428" s="380"/>
      <c r="SYN428" s="2"/>
      <c r="SYO428" s="405"/>
      <c r="SYP428" s="54"/>
      <c r="SYQ428" s="239"/>
      <c r="SYR428" s="54"/>
      <c r="SYS428" s="232"/>
      <c r="SYT428" s="2"/>
      <c r="SYU428" s="2"/>
      <c r="SYV428" s="2"/>
      <c r="SYW428" s="2"/>
      <c r="SYX428" s="260"/>
      <c r="SYY428" s="260"/>
      <c r="SYZ428" s="260"/>
      <c r="SZA428" s="260"/>
      <c r="SZB428" s="260"/>
      <c r="SZC428" s="260"/>
      <c r="SZD428" s="260"/>
      <c r="SZE428" s="260"/>
      <c r="SZF428" s="260"/>
      <c r="SZG428" s="260"/>
      <c r="SZH428" s="260"/>
      <c r="SZI428" s="260"/>
      <c r="SZJ428" s="260"/>
      <c r="SZK428" s="2"/>
      <c r="SZL428" s="2"/>
      <c r="SZM428" s="2"/>
      <c r="SZN428" s="2"/>
      <c r="SZO428" s="2"/>
      <c r="SZP428" s="2"/>
      <c r="SZQ428" s="2"/>
      <c r="SZR428" s="2"/>
      <c r="SZS428" s="2"/>
      <c r="SZT428" s="2"/>
      <c r="SZU428" s="2"/>
      <c r="SZV428" s="2"/>
      <c r="SZW428" s="2"/>
      <c r="SZX428" s="2"/>
      <c r="SZY428" s="2"/>
      <c r="SZZ428" s="260"/>
      <c r="TAA428" s="260"/>
      <c r="TAB428" s="260"/>
      <c r="TAC428" s="380"/>
      <c r="TAD428" s="380"/>
      <c r="TAE428" s="380"/>
      <c r="TAF428" s="2"/>
      <c r="TAG428" s="405"/>
      <c r="TAH428" s="54"/>
      <c r="TAI428" s="239"/>
      <c r="TAJ428" s="54"/>
      <c r="TAK428" s="232"/>
      <c r="TAL428" s="2"/>
      <c r="TAM428" s="2"/>
      <c r="TAN428" s="2"/>
      <c r="TAO428" s="2"/>
      <c r="TAP428" s="260"/>
      <c r="TAQ428" s="260"/>
      <c r="TAR428" s="260"/>
      <c r="TAS428" s="260"/>
      <c r="TAT428" s="260"/>
      <c r="TAU428" s="260"/>
      <c r="TAV428" s="260"/>
      <c r="TAW428" s="260"/>
      <c r="TAX428" s="260"/>
      <c r="TAY428" s="260"/>
      <c r="TAZ428" s="260"/>
      <c r="TBA428" s="260"/>
      <c r="TBB428" s="260"/>
      <c r="TBC428" s="2"/>
      <c r="TBD428" s="2"/>
      <c r="TBE428" s="2"/>
      <c r="TBF428" s="2"/>
      <c r="TBG428" s="2"/>
      <c r="TBH428" s="2"/>
      <c r="TBI428" s="2"/>
      <c r="TBJ428" s="2"/>
      <c r="TBK428" s="2"/>
      <c r="TBL428" s="2"/>
      <c r="TBM428" s="2"/>
      <c r="TBN428" s="2"/>
      <c r="TBO428" s="2"/>
      <c r="TBP428" s="2"/>
      <c r="TBQ428" s="2"/>
      <c r="TBR428" s="260"/>
      <c r="TBS428" s="260"/>
      <c r="TBT428" s="260"/>
      <c r="TBU428" s="380"/>
      <c r="TBV428" s="380"/>
      <c r="TBW428" s="380"/>
      <c r="TBX428" s="2"/>
      <c r="TBY428" s="405"/>
      <c r="TBZ428" s="54"/>
      <c r="TCA428" s="239"/>
      <c r="TCB428" s="54"/>
      <c r="TCC428" s="232"/>
      <c r="TCD428" s="2"/>
      <c r="TCE428" s="2"/>
      <c r="TCF428" s="2"/>
      <c r="TCG428" s="2"/>
      <c r="TCH428" s="260"/>
      <c r="TCI428" s="260"/>
      <c r="TCJ428" s="260"/>
      <c r="TCK428" s="260"/>
      <c r="TCL428" s="260"/>
      <c r="TCM428" s="260"/>
      <c r="TCN428" s="260"/>
      <c r="TCO428" s="260"/>
      <c r="TCP428" s="260"/>
      <c r="TCQ428" s="260"/>
      <c r="TCR428" s="260"/>
      <c r="TCS428" s="260"/>
      <c r="TCT428" s="260"/>
      <c r="TCU428" s="2"/>
      <c r="TCV428" s="2"/>
      <c r="TCW428" s="2"/>
      <c r="TCX428" s="2"/>
      <c r="TCY428" s="2"/>
      <c r="TCZ428" s="2"/>
      <c r="TDA428" s="2"/>
      <c r="TDB428" s="2"/>
      <c r="TDC428" s="2"/>
      <c r="TDD428" s="2"/>
      <c r="TDE428" s="2"/>
      <c r="TDF428" s="2"/>
      <c r="TDG428" s="2"/>
      <c r="TDH428" s="2"/>
      <c r="TDI428" s="2"/>
      <c r="TDJ428" s="260"/>
      <c r="TDK428" s="260"/>
      <c r="TDL428" s="260"/>
      <c r="TDM428" s="380"/>
      <c r="TDN428" s="380"/>
      <c r="TDO428" s="380"/>
      <c r="TDP428" s="2"/>
      <c r="TDQ428" s="405"/>
      <c r="TDR428" s="54"/>
      <c r="TDS428" s="239"/>
      <c r="TDT428" s="54"/>
      <c r="TDU428" s="232"/>
      <c r="TDV428" s="2"/>
      <c r="TDW428" s="2"/>
      <c r="TDX428" s="2"/>
      <c r="TDY428" s="2"/>
      <c r="TDZ428" s="260"/>
      <c r="TEA428" s="260"/>
      <c r="TEB428" s="260"/>
      <c r="TEC428" s="260"/>
      <c r="TED428" s="260"/>
      <c r="TEE428" s="260"/>
      <c r="TEF428" s="260"/>
      <c r="TEG428" s="260"/>
      <c r="TEH428" s="260"/>
      <c r="TEI428" s="260"/>
      <c r="TEJ428" s="260"/>
      <c r="TEK428" s="260"/>
      <c r="TEL428" s="260"/>
      <c r="TEM428" s="2"/>
      <c r="TEN428" s="2"/>
      <c r="TEO428" s="2"/>
      <c r="TEP428" s="2"/>
      <c r="TEQ428" s="2"/>
      <c r="TER428" s="2"/>
      <c r="TES428" s="2"/>
      <c r="TET428" s="2"/>
      <c r="TEU428" s="2"/>
      <c r="TEV428" s="2"/>
      <c r="TEW428" s="2"/>
      <c r="TEX428" s="2"/>
      <c r="TEY428" s="2"/>
      <c r="TEZ428" s="2"/>
      <c r="TFA428" s="2"/>
      <c r="TFB428" s="260"/>
      <c r="TFC428" s="260"/>
      <c r="TFD428" s="260"/>
      <c r="TFE428" s="380"/>
      <c r="TFF428" s="380"/>
      <c r="TFG428" s="380"/>
      <c r="TFH428" s="2"/>
      <c r="TFI428" s="405"/>
      <c r="TFJ428" s="54"/>
      <c r="TFK428" s="239"/>
      <c r="TFL428" s="54"/>
      <c r="TFM428" s="232"/>
      <c r="TFN428" s="2"/>
      <c r="TFO428" s="2"/>
      <c r="TFP428" s="2"/>
      <c r="TFQ428" s="2"/>
      <c r="TFR428" s="260"/>
      <c r="TFS428" s="260"/>
      <c r="TFT428" s="260"/>
      <c r="TFU428" s="260"/>
      <c r="TFV428" s="260"/>
      <c r="TFW428" s="260"/>
      <c r="TFX428" s="260"/>
      <c r="TFY428" s="260"/>
      <c r="TFZ428" s="260"/>
      <c r="TGA428" s="260"/>
      <c r="TGB428" s="260"/>
      <c r="TGC428" s="260"/>
      <c r="TGD428" s="260"/>
      <c r="TGE428" s="2"/>
      <c r="TGF428" s="2"/>
      <c r="TGG428" s="2"/>
      <c r="TGH428" s="2"/>
      <c r="TGI428" s="2"/>
      <c r="TGJ428" s="2"/>
      <c r="TGK428" s="2"/>
      <c r="TGL428" s="2"/>
      <c r="TGM428" s="2"/>
      <c r="TGN428" s="2"/>
      <c r="TGO428" s="2"/>
      <c r="TGP428" s="2"/>
      <c r="TGQ428" s="2"/>
      <c r="TGR428" s="2"/>
      <c r="TGS428" s="2"/>
      <c r="TGT428" s="260"/>
      <c r="TGU428" s="260"/>
      <c r="TGV428" s="260"/>
      <c r="TGW428" s="380"/>
      <c r="TGX428" s="380"/>
      <c r="TGY428" s="380"/>
      <c r="TGZ428" s="2"/>
      <c r="THA428" s="405"/>
      <c r="THB428" s="54"/>
      <c r="THC428" s="239"/>
      <c r="THD428" s="54"/>
      <c r="THE428" s="232"/>
      <c r="THF428" s="2"/>
      <c r="THG428" s="2"/>
      <c r="THH428" s="2"/>
      <c r="THI428" s="2"/>
      <c r="THJ428" s="260"/>
      <c r="THK428" s="260"/>
      <c r="THL428" s="260"/>
      <c r="THM428" s="260"/>
      <c r="THN428" s="260"/>
      <c r="THO428" s="260"/>
      <c r="THP428" s="260"/>
      <c r="THQ428" s="260"/>
      <c r="THR428" s="260"/>
      <c r="THS428" s="260"/>
      <c r="THT428" s="260"/>
      <c r="THU428" s="260"/>
      <c r="THV428" s="260"/>
      <c r="THW428" s="2"/>
      <c r="THX428" s="2"/>
      <c r="THY428" s="2"/>
      <c r="THZ428" s="2"/>
      <c r="TIA428" s="2"/>
      <c r="TIB428" s="2"/>
      <c r="TIC428" s="2"/>
      <c r="TID428" s="2"/>
      <c r="TIE428" s="2"/>
      <c r="TIF428" s="2"/>
      <c r="TIG428" s="2"/>
      <c r="TIH428" s="2"/>
      <c r="TII428" s="2"/>
      <c r="TIJ428" s="2"/>
      <c r="TIK428" s="2"/>
      <c r="TIL428" s="260"/>
      <c r="TIM428" s="260"/>
      <c r="TIN428" s="260"/>
      <c r="TIO428" s="380"/>
      <c r="TIP428" s="380"/>
      <c r="TIQ428" s="380"/>
      <c r="TIR428" s="2"/>
      <c r="TIS428" s="405"/>
      <c r="TIT428" s="54"/>
      <c r="TIU428" s="239"/>
      <c r="TIV428" s="54"/>
      <c r="TIW428" s="232"/>
      <c r="TIX428" s="2"/>
      <c r="TIY428" s="2"/>
      <c r="TIZ428" s="2"/>
      <c r="TJA428" s="2"/>
      <c r="TJB428" s="260"/>
      <c r="TJC428" s="260"/>
      <c r="TJD428" s="260"/>
      <c r="TJE428" s="260"/>
      <c r="TJF428" s="260"/>
      <c r="TJG428" s="260"/>
      <c r="TJH428" s="260"/>
      <c r="TJI428" s="260"/>
      <c r="TJJ428" s="260"/>
      <c r="TJK428" s="260"/>
      <c r="TJL428" s="260"/>
      <c r="TJM428" s="260"/>
      <c r="TJN428" s="260"/>
      <c r="TJO428" s="2"/>
      <c r="TJP428" s="2"/>
      <c r="TJQ428" s="2"/>
      <c r="TJR428" s="2"/>
      <c r="TJS428" s="2"/>
      <c r="TJT428" s="2"/>
      <c r="TJU428" s="2"/>
      <c r="TJV428" s="2"/>
      <c r="TJW428" s="2"/>
      <c r="TJX428" s="2"/>
      <c r="TJY428" s="2"/>
      <c r="TJZ428" s="2"/>
      <c r="TKA428" s="2"/>
      <c r="TKB428" s="2"/>
      <c r="TKC428" s="2"/>
      <c r="TKD428" s="260"/>
      <c r="TKE428" s="260"/>
      <c r="TKF428" s="260"/>
      <c r="TKG428" s="380"/>
      <c r="TKH428" s="380"/>
      <c r="TKI428" s="380"/>
      <c r="TKJ428" s="2"/>
      <c r="TKK428" s="405"/>
      <c r="TKL428" s="54"/>
      <c r="TKM428" s="239"/>
      <c r="TKN428" s="54"/>
      <c r="TKO428" s="232"/>
      <c r="TKP428" s="2"/>
      <c r="TKQ428" s="2"/>
      <c r="TKR428" s="2"/>
      <c r="TKS428" s="2"/>
      <c r="TKT428" s="260"/>
      <c r="TKU428" s="260"/>
      <c r="TKV428" s="260"/>
      <c r="TKW428" s="260"/>
      <c r="TKX428" s="260"/>
      <c r="TKY428" s="260"/>
      <c r="TKZ428" s="260"/>
      <c r="TLA428" s="260"/>
      <c r="TLB428" s="260"/>
      <c r="TLC428" s="260"/>
      <c r="TLD428" s="260"/>
      <c r="TLE428" s="260"/>
      <c r="TLF428" s="260"/>
      <c r="TLG428" s="2"/>
      <c r="TLH428" s="2"/>
      <c r="TLI428" s="2"/>
      <c r="TLJ428" s="2"/>
      <c r="TLK428" s="2"/>
      <c r="TLL428" s="2"/>
      <c r="TLM428" s="2"/>
      <c r="TLN428" s="2"/>
      <c r="TLO428" s="2"/>
      <c r="TLP428" s="2"/>
      <c r="TLQ428" s="2"/>
      <c r="TLR428" s="2"/>
      <c r="TLS428" s="2"/>
      <c r="TLT428" s="2"/>
      <c r="TLU428" s="2"/>
      <c r="TLV428" s="260"/>
      <c r="TLW428" s="260"/>
      <c r="TLX428" s="260"/>
      <c r="TLY428" s="380"/>
      <c r="TLZ428" s="380"/>
      <c r="TMA428" s="380"/>
      <c r="TMB428" s="2"/>
      <c r="TMC428" s="405"/>
      <c r="TMD428" s="54"/>
      <c r="TME428" s="239"/>
      <c r="TMF428" s="54"/>
      <c r="TMG428" s="232"/>
      <c r="TMH428" s="2"/>
      <c r="TMI428" s="2"/>
      <c r="TMJ428" s="2"/>
      <c r="TMK428" s="2"/>
      <c r="TML428" s="260"/>
      <c r="TMM428" s="260"/>
      <c r="TMN428" s="260"/>
      <c r="TMO428" s="260"/>
      <c r="TMP428" s="260"/>
      <c r="TMQ428" s="260"/>
      <c r="TMR428" s="260"/>
      <c r="TMS428" s="260"/>
      <c r="TMT428" s="260"/>
      <c r="TMU428" s="260"/>
      <c r="TMV428" s="260"/>
      <c r="TMW428" s="260"/>
      <c r="TMX428" s="260"/>
      <c r="TMY428" s="2"/>
      <c r="TMZ428" s="2"/>
      <c r="TNA428" s="2"/>
      <c r="TNB428" s="2"/>
      <c r="TNC428" s="2"/>
      <c r="TND428" s="2"/>
      <c r="TNE428" s="2"/>
      <c r="TNF428" s="2"/>
      <c r="TNG428" s="2"/>
      <c r="TNH428" s="2"/>
      <c r="TNI428" s="2"/>
      <c r="TNJ428" s="2"/>
      <c r="TNK428" s="2"/>
      <c r="TNL428" s="2"/>
      <c r="TNM428" s="2"/>
      <c r="TNN428" s="260"/>
      <c r="TNO428" s="260"/>
      <c r="TNP428" s="260"/>
      <c r="TNQ428" s="380"/>
      <c r="TNR428" s="380"/>
      <c r="TNS428" s="380"/>
      <c r="TNT428" s="2"/>
      <c r="TNU428" s="405"/>
      <c r="TNV428" s="54"/>
      <c r="TNW428" s="239"/>
      <c r="TNX428" s="54"/>
      <c r="TNY428" s="232"/>
      <c r="TNZ428" s="2"/>
      <c r="TOA428" s="2"/>
      <c r="TOB428" s="2"/>
      <c r="TOC428" s="2"/>
      <c r="TOD428" s="260"/>
      <c r="TOE428" s="260"/>
      <c r="TOF428" s="260"/>
      <c r="TOG428" s="260"/>
      <c r="TOH428" s="260"/>
      <c r="TOI428" s="260"/>
      <c r="TOJ428" s="260"/>
      <c r="TOK428" s="260"/>
      <c r="TOL428" s="260"/>
      <c r="TOM428" s="260"/>
      <c r="TON428" s="260"/>
      <c r="TOO428" s="260"/>
      <c r="TOP428" s="260"/>
      <c r="TOQ428" s="2"/>
      <c r="TOR428" s="2"/>
      <c r="TOS428" s="2"/>
      <c r="TOT428" s="2"/>
      <c r="TOU428" s="2"/>
      <c r="TOV428" s="2"/>
      <c r="TOW428" s="2"/>
      <c r="TOX428" s="2"/>
      <c r="TOY428" s="2"/>
      <c r="TOZ428" s="2"/>
      <c r="TPA428" s="2"/>
      <c r="TPB428" s="2"/>
      <c r="TPC428" s="2"/>
      <c r="TPD428" s="2"/>
      <c r="TPE428" s="2"/>
      <c r="TPF428" s="260"/>
      <c r="TPG428" s="260"/>
      <c r="TPH428" s="260"/>
      <c r="TPI428" s="380"/>
      <c r="TPJ428" s="380"/>
      <c r="TPK428" s="380"/>
      <c r="TPL428" s="2"/>
      <c r="TPM428" s="405"/>
      <c r="TPN428" s="54"/>
      <c r="TPO428" s="239"/>
      <c r="TPP428" s="54"/>
      <c r="TPQ428" s="232"/>
      <c r="TPR428" s="2"/>
      <c r="TPS428" s="2"/>
      <c r="TPT428" s="2"/>
      <c r="TPU428" s="2"/>
      <c r="TPV428" s="260"/>
      <c r="TPW428" s="260"/>
      <c r="TPX428" s="260"/>
      <c r="TPY428" s="260"/>
      <c r="TPZ428" s="260"/>
      <c r="TQA428" s="260"/>
      <c r="TQB428" s="260"/>
      <c r="TQC428" s="260"/>
      <c r="TQD428" s="260"/>
      <c r="TQE428" s="260"/>
      <c r="TQF428" s="260"/>
      <c r="TQG428" s="260"/>
      <c r="TQH428" s="260"/>
      <c r="TQI428" s="2"/>
      <c r="TQJ428" s="2"/>
      <c r="TQK428" s="2"/>
      <c r="TQL428" s="2"/>
      <c r="TQM428" s="2"/>
      <c r="TQN428" s="2"/>
      <c r="TQO428" s="2"/>
      <c r="TQP428" s="2"/>
      <c r="TQQ428" s="2"/>
      <c r="TQR428" s="2"/>
      <c r="TQS428" s="2"/>
      <c r="TQT428" s="2"/>
      <c r="TQU428" s="2"/>
      <c r="TQV428" s="2"/>
      <c r="TQW428" s="2"/>
      <c r="TQX428" s="260"/>
      <c r="TQY428" s="260"/>
      <c r="TQZ428" s="260"/>
      <c r="TRA428" s="380"/>
      <c r="TRB428" s="380"/>
      <c r="TRC428" s="380"/>
      <c r="TRD428" s="2"/>
      <c r="TRE428" s="405"/>
      <c r="TRF428" s="54"/>
      <c r="TRG428" s="239"/>
      <c r="TRH428" s="54"/>
      <c r="TRI428" s="232"/>
      <c r="TRJ428" s="2"/>
      <c r="TRK428" s="2"/>
      <c r="TRL428" s="2"/>
      <c r="TRM428" s="2"/>
      <c r="TRN428" s="260"/>
      <c r="TRO428" s="260"/>
      <c r="TRP428" s="260"/>
      <c r="TRQ428" s="260"/>
      <c r="TRR428" s="260"/>
      <c r="TRS428" s="260"/>
      <c r="TRT428" s="260"/>
      <c r="TRU428" s="260"/>
      <c r="TRV428" s="260"/>
      <c r="TRW428" s="260"/>
      <c r="TRX428" s="260"/>
      <c r="TRY428" s="260"/>
      <c r="TRZ428" s="260"/>
      <c r="TSA428" s="2"/>
      <c r="TSB428" s="2"/>
      <c r="TSC428" s="2"/>
      <c r="TSD428" s="2"/>
      <c r="TSE428" s="2"/>
      <c r="TSF428" s="2"/>
      <c r="TSG428" s="2"/>
      <c r="TSH428" s="2"/>
      <c r="TSI428" s="2"/>
      <c r="TSJ428" s="2"/>
      <c r="TSK428" s="2"/>
      <c r="TSL428" s="2"/>
      <c r="TSM428" s="2"/>
      <c r="TSN428" s="2"/>
      <c r="TSO428" s="2"/>
      <c r="TSP428" s="260"/>
      <c r="TSQ428" s="260"/>
      <c r="TSR428" s="260"/>
      <c r="TSS428" s="380"/>
      <c r="TST428" s="380"/>
      <c r="TSU428" s="380"/>
      <c r="TSV428" s="2"/>
      <c r="TSW428" s="405"/>
      <c r="TSX428" s="54"/>
      <c r="TSY428" s="239"/>
      <c r="TSZ428" s="54"/>
      <c r="TTA428" s="232"/>
      <c r="TTB428" s="2"/>
      <c r="TTC428" s="2"/>
      <c r="TTD428" s="2"/>
      <c r="TTE428" s="2"/>
      <c r="TTF428" s="260"/>
      <c r="TTG428" s="260"/>
      <c r="TTH428" s="260"/>
      <c r="TTI428" s="260"/>
      <c r="TTJ428" s="260"/>
      <c r="TTK428" s="260"/>
      <c r="TTL428" s="260"/>
      <c r="TTM428" s="260"/>
      <c r="TTN428" s="260"/>
      <c r="TTO428" s="260"/>
      <c r="TTP428" s="260"/>
      <c r="TTQ428" s="260"/>
      <c r="TTR428" s="260"/>
      <c r="TTS428" s="2"/>
      <c r="TTT428" s="2"/>
      <c r="TTU428" s="2"/>
      <c r="TTV428" s="2"/>
      <c r="TTW428" s="2"/>
      <c r="TTX428" s="2"/>
      <c r="TTY428" s="2"/>
      <c r="TTZ428" s="2"/>
      <c r="TUA428" s="2"/>
      <c r="TUB428" s="2"/>
      <c r="TUC428" s="2"/>
      <c r="TUD428" s="2"/>
      <c r="TUE428" s="2"/>
      <c r="TUF428" s="2"/>
      <c r="TUG428" s="2"/>
      <c r="TUH428" s="260"/>
      <c r="TUI428" s="260"/>
      <c r="TUJ428" s="260"/>
      <c r="TUK428" s="380"/>
      <c r="TUL428" s="380"/>
      <c r="TUM428" s="380"/>
      <c r="TUN428" s="2"/>
      <c r="TUO428" s="405"/>
      <c r="TUP428" s="54"/>
      <c r="TUQ428" s="239"/>
      <c r="TUR428" s="54"/>
      <c r="TUS428" s="232"/>
      <c r="TUT428" s="2"/>
      <c r="TUU428" s="2"/>
      <c r="TUV428" s="2"/>
      <c r="TUW428" s="2"/>
      <c r="TUX428" s="260"/>
      <c r="TUY428" s="260"/>
      <c r="TUZ428" s="260"/>
      <c r="TVA428" s="260"/>
      <c r="TVB428" s="260"/>
      <c r="TVC428" s="260"/>
      <c r="TVD428" s="260"/>
      <c r="TVE428" s="260"/>
      <c r="TVF428" s="260"/>
      <c r="TVG428" s="260"/>
      <c r="TVH428" s="260"/>
      <c r="TVI428" s="260"/>
      <c r="TVJ428" s="260"/>
      <c r="TVK428" s="2"/>
      <c r="TVL428" s="2"/>
      <c r="TVM428" s="2"/>
      <c r="TVN428" s="2"/>
      <c r="TVO428" s="2"/>
      <c r="TVP428" s="2"/>
      <c r="TVQ428" s="2"/>
      <c r="TVR428" s="2"/>
      <c r="TVS428" s="2"/>
      <c r="TVT428" s="2"/>
      <c r="TVU428" s="2"/>
      <c r="TVV428" s="2"/>
      <c r="TVW428" s="2"/>
      <c r="TVX428" s="2"/>
      <c r="TVY428" s="2"/>
      <c r="TVZ428" s="260"/>
      <c r="TWA428" s="260"/>
      <c r="TWB428" s="260"/>
      <c r="TWC428" s="380"/>
      <c r="TWD428" s="380"/>
      <c r="TWE428" s="380"/>
      <c r="TWF428" s="2"/>
      <c r="TWG428" s="405"/>
      <c r="TWH428" s="54"/>
      <c r="TWI428" s="239"/>
      <c r="TWJ428" s="54"/>
      <c r="TWK428" s="232"/>
      <c r="TWL428" s="2"/>
      <c r="TWM428" s="2"/>
      <c r="TWN428" s="2"/>
      <c r="TWO428" s="2"/>
      <c r="TWP428" s="260"/>
      <c r="TWQ428" s="260"/>
      <c r="TWR428" s="260"/>
      <c r="TWS428" s="260"/>
      <c r="TWT428" s="260"/>
      <c r="TWU428" s="260"/>
      <c r="TWV428" s="260"/>
      <c r="TWW428" s="260"/>
      <c r="TWX428" s="260"/>
      <c r="TWY428" s="260"/>
      <c r="TWZ428" s="260"/>
      <c r="TXA428" s="260"/>
      <c r="TXB428" s="260"/>
      <c r="TXC428" s="2"/>
      <c r="TXD428" s="2"/>
      <c r="TXE428" s="2"/>
      <c r="TXF428" s="2"/>
      <c r="TXG428" s="2"/>
      <c r="TXH428" s="2"/>
      <c r="TXI428" s="2"/>
      <c r="TXJ428" s="2"/>
      <c r="TXK428" s="2"/>
      <c r="TXL428" s="2"/>
      <c r="TXM428" s="2"/>
      <c r="TXN428" s="2"/>
      <c r="TXO428" s="2"/>
      <c r="TXP428" s="2"/>
      <c r="TXQ428" s="2"/>
      <c r="TXR428" s="260"/>
      <c r="TXS428" s="260"/>
      <c r="TXT428" s="260"/>
      <c r="TXU428" s="380"/>
      <c r="TXV428" s="380"/>
      <c r="TXW428" s="380"/>
      <c r="TXX428" s="2"/>
      <c r="TXY428" s="405"/>
      <c r="TXZ428" s="54"/>
      <c r="TYA428" s="239"/>
      <c r="TYB428" s="54"/>
      <c r="TYC428" s="232"/>
      <c r="TYD428" s="2"/>
      <c r="TYE428" s="2"/>
      <c r="TYF428" s="2"/>
      <c r="TYG428" s="2"/>
      <c r="TYH428" s="260"/>
      <c r="TYI428" s="260"/>
      <c r="TYJ428" s="260"/>
      <c r="TYK428" s="260"/>
      <c r="TYL428" s="260"/>
      <c r="TYM428" s="260"/>
      <c r="TYN428" s="260"/>
      <c r="TYO428" s="260"/>
      <c r="TYP428" s="260"/>
      <c r="TYQ428" s="260"/>
      <c r="TYR428" s="260"/>
      <c r="TYS428" s="260"/>
      <c r="TYT428" s="260"/>
      <c r="TYU428" s="2"/>
      <c r="TYV428" s="2"/>
      <c r="TYW428" s="2"/>
      <c r="TYX428" s="2"/>
      <c r="TYY428" s="2"/>
      <c r="TYZ428" s="2"/>
      <c r="TZA428" s="2"/>
      <c r="TZB428" s="2"/>
      <c r="TZC428" s="2"/>
      <c r="TZD428" s="2"/>
      <c r="TZE428" s="2"/>
      <c r="TZF428" s="2"/>
      <c r="TZG428" s="2"/>
      <c r="TZH428" s="2"/>
      <c r="TZI428" s="2"/>
      <c r="TZJ428" s="260"/>
      <c r="TZK428" s="260"/>
      <c r="TZL428" s="260"/>
      <c r="TZM428" s="380"/>
      <c r="TZN428" s="380"/>
      <c r="TZO428" s="380"/>
      <c r="TZP428" s="2"/>
      <c r="TZQ428" s="405"/>
      <c r="TZR428" s="54"/>
      <c r="TZS428" s="239"/>
      <c r="TZT428" s="54"/>
      <c r="TZU428" s="232"/>
      <c r="TZV428" s="2"/>
      <c r="TZW428" s="2"/>
      <c r="TZX428" s="2"/>
      <c r="TZY428" s="2"/>
      <c r="TZZ428" s="260"/>
      <c r="UAA428" s="260"/>
      <c r="UAB428" s="260"/>
      <c r="UAC428" s="260"/>
      <c r="UAD428" s="260"/>
      <c r="UAE428" s="260"/>
      <c r="UAF428" s="260"/>
      <c r="UAG428" s="260"/>
      <c r="UAH428" s="260"/>
      <c r="UAI428" s="260"/>
      <c r="UAJ428" s="260"/>
      <c r="UAK428" s="260"/>
      <c r="UAL428" s="260"/>
      <c r="UAM428" s="2"/>
      <c r="UAN428" s="2"/>
      <c r="UAO428" s="2"/>
      <c r="UAP428" s="2"/>
      <c r="UAQ428" s="2"/>
      <c r="UAR428" s="2"/>
      <c r="UAS428" s="2"/>
      <c r="UAT428" s="2"/>
      <c r="UAU428" s="2"/>
      <c r="UAV428" s="2"/>
      <c r="UAW428" s="2"/>
      <c r="UAX428" s="2"/>
      <c r="UAY428" s="2"/>
      <c r="UAZ428" s="2"/>
      <c r="UBA428" s="2"/>
      <c r="UBB428" s="260"/>
      <c r="UBC428" s="260"/>
      <c r="UBD428" s="260"/>
      <c r="UBE428" s="380"/>
      <c r="UBF428" s="380"/>
      <c r="UBG428" s="380"/>
      <c r="UBH428" s="2"/>
      <c r="UBI428" s="405"/>
      <c r="UBJ428" s="54"/>
      <c r="UBK428" s="239"/>
      <c r="UBL428" s="54"/>
      <c r="UBM428" s="232"/>
      <c r="UBN428" s="2"/>
      <c r="UBO428" s="2"/>
      <c r="UBP428" s="2"/>
      <c r="UBQ428" s="2"/>
      <c r="UBR428" s="260"/>
      <c r="UBS428" s="260"/>
      <c r="UBT428" s="260"/>
      <c r="UBU428" s="260"/>
      <c r="UBV428" s="260"/>
      <c r="UBW428" s="260"/>
      <c r="UBX428" s="260"/>
      <c r="UBY428" s="260"/>
      <c r="UBZ428" s="260"/>
      <c r="UCA428" s="260"/>
      <c r="UCB428" s="260"/>
      <c r="UCC428" s="260"/>
      <c r="UCD428" s="260"/>
      <c r="UCE428" s="2"/>
      <c r="UCF428" s="2"/>
      <c r="UCG428" s="2"/>
      <c r="UCH428" s="2"/>
      <c r="UCI428" s="2"/>
      <c r="UCJ428" s="2"/>
      <c r="UCK428" s="2"/>
      <c r="UCL428" s="2"/>
      <c r="UCM428" s="2"/>
      <c r="UCN428" s="2"/>
      <c r="UCO428" s="2"/>
      <c r="UCP428" s="2"/>
      <c r="UCQ428" s="2"/>
      <c r="UCR428" s="2"/>
      <c r="UCS428" s="2"/>
      <c r="UCT428" s="260"/>
      <c r="UCU428" s="260"/>
      <c r="UCV428" s="260"/>
      <c r="UCW428" s="380"/>
      <c r="UCX428" s="380"/>
      <c r="UCY428" s="380"/>
      <c r="UCZ428" s="2"/>
      <c r="UDA428" s="405"/>
      <c r="UDB428" s="54"/>
      <c r="UDC428" s="239"/>
      <c r="UDD428" s="54"/>
      <c r="UDE428" s="232"/>
      <c r="UDF428" s="2"/>
      <c r="UDG428" s="2"/>
      <c r="UDH428" s="2"/>
      <c r="UDI428" s="2"/>
      <c r="UDJ428" s="260"/>
      <c r="UDK428" s="260"/>
      <c r="UDL428" s="260"/>
      <c r="UDM428" s="260"/>
      <c r="UDN428" s="260"/>
      <c r="UDO428" s="260"/>
      <c r="UDP428" s="260"/>
      <c r="UDQ428" s="260"/>
      <c r="UDR428" s="260"/>
      <c r="UDS428" s="260"/>
      <c r="UDT428" s="260"/>
      <c r="UDU428" s="260"/>
      <c r="UDV428" s="260"/>
      <c r="UDW428" s="2"/>
      <c r="UDX428" s="2"/>
      <c r="UDY428" s="2"/>
      <c r="UDZ428" s="2"/>
      <c r="UEA428" s="2"/>
      <c r="UEB428" s="2"/>
      <c r="UEC428" s="2"/>
      <c r="UED428" s="2"/>
      <c r="UEE428" s="2"/>
      <c r="UEF428" s="2"/>
      <c r="UEG428" s="2"/>
      <c r="UEH428" s="2"/>
      <c r="UEI428" s="2"/>
      <c r="UEJ428" s="2"/>
      <c r="UEK428" s="2"/>
      <c r="UEL428" s="260"/>
      <c r="UEM428" s="260"/>
      <c r="UEN428" s="260"/>
      <c r="UEO428" s="380"/>
      <c r="UEP428" s="380"/>
      <c r="UEQ428" s="380"/>
      <c r="UER428" s="2"/>
      <c r="UES428" s="405"/>
      <c r="UET428" s="54"/>
      <c r="UEU428" s="239"/>
      <c r="UEV428" s="54"/>
      <c r="UEW428" s="232"/>
      <c r="UEX428" s="2"/>
      <c r="UEY428" s="2"/>
      <c r="UEZ428" s="2"/>
      <c r="UFA428" s="2"/>
      <c r="UFB428" s="260"/>
      <c r="UFC428" s="260"/>
      <c r="UFD428" s="260"/>
      <c r="UFE428" s="260"/>
      <c r="UFF428" s="260"/>
      <c r="UFG428" s="260"/>
      <c r="UFH428" s="260"/>
      <c r="UFI428" s="260"/>
      <c r="UFJ428" s="260"/>
      <c r="UFK428" s="260"/>
      <c r="UFL428" s="260"/>
      <c r="UFM428" s="260"/>
      <c r="UFN428" s="260"/>
      <c r="UFO428" s="2"/>
      <c r="UFP428" s="2"/>
      <c r="UFQ428" s="2"/>
      <c r="UFR428" s="2"/>
      <c r="UFS428" s="2"/>
      <c r="UFT428" s="2"/>
      <c r="UFU428" s="2"/>
      <c r="UFV428" s="2"/>
      <c r="UFW428" s="2"/>
      <c r="UFX428" s="2"/>
      <c r="UFY428" s="2"/>
      <c r="UFZ428" s="2"/>
      <c r="UGA428" s="2"/>
      <c r="UGB428" s="2"/>
      <c r="UGC428" s="2"/>
      <c r="UGD428" s="260"/>
      <c r="UGE428" s="260"/>
      <c r="UGF428" s="260"/>
      <c r="UGG428" s="380"/>
      <c r="UGH428" s="380"/>
      <c r="UGI428" s="380"/>
      <c r="UGJ428" s="2"/>
      <c r="UGK428" s="405"/>
      <c r="UGL428" s="54"/>
      <c r="UGM428" s="239"/>
      <c r="UGN428" s="54"/>
      <c r="UGO428" s="232"/>
      <c r="UGP428" s="2"/>
      <c r="UGQ428" s="2"/>
      <c r="UGR428" s="2"/>
      <c r="UGS428" s="2"/>
      <c r="UGT428" s="260"/>
      <c r="UGU428" s="260"/>
      <c r="UGV428" s="260"/>
      <c r="UGW428" s="260"/>
      <c r="UGX428" s="260"/>
      <c r="UGY428" s="260"/>
      <c r="UGZ428" s="260"/>
      <c r="UHA428" s="260"/>
      <c r="UHB428" s="260"/>
      <c r="UHC428" s="260"/>
      <c r="UHD428" s="260"/>
      <c r="UHE428" s="260"/>
      <c r="UHF428" s="260"/>
      <c r="UHG428" s="2"/>
      <c r="UHH428" s="2"/>
      <c r="UHI428" s="2"/>
      <c r="UHJ428" s="2"/>
      <c r="UHK428" s="2"/>
      <c r="UHL428" s="2"/>
      <c r="UHM428" s="2"/>
      <c r="UHN428" s="2"/>
      <c r="UHO428" s="2"/>
      <c r="UHP428" s="2"/>
      <c r="UHQ428" s="2"/>
      <c r="UHR428" s="2"/>
      <c r="UHS428" s="2"/>
      <c r="UHT428" s="2"/>
      <c r="UHU428" s="2"/>
      <c r="UHV428" s="260"/>
      <c r="UHW428" s="260"/>
      <c r="UHX428" s="260"/>
      <c r="UHY428" s="380"/>
      <c r="UHZ428" s="380"/>
      <c r="UIA428" s="380"/>
      <c r="UIB428" s="2"/>
      <c r="UIC428" s="405"/>
      <c r="UID428" s="54"/>
      <c r="UIE428" s="239"/>
      <c r="UIF428" s="54"/>
      <c r="UIG428" s="232"/>
      <c r="UIH428" s="2"/>
      <c r="UII428" s="2"/>
      <c r="UIJ428" s="2"/>
      <c r="UIK428" s="2"/>
      <c r="UIL428" s="260"/>
      <c r="UIM428" s="260"/>
      <c r="UIN428" s="260"/>
      <c r="UIO428" s="260"/>
      <c r="UIP428" s="260"/>
      <c r="UIQ428" s="260"/>
      <c r="UIR428" s="260"/>
      <c r="UIS428" s="260"/>
      <c r="UIT428" s="260"/>
      <c r="UIU428" s="260"/>
      <c r="UIV428" s="260"/>
      <c r="UIW428" s="260"/>
      <c r="UIX428" s="260"/>
      <c r="UIY428" s="2"/>
      <c r="UIZ428" s="2"/>
      <c r="UJA428" s="2"/>
      <c r="UJB428" s="2"/>
      <c r="UJC428" s="2"/>
      <c r="UJD428" s="2"/>
      <c r="UJE428" s="2"/>
      <c r="UJF428" s="2"/>
      <c r="UJG428" s="2"/>
      <c r="UJH428" s="2"/>
      <c r="UJI428" s="2"/>
      <c r="UJJ428" s="2"/>
      <c r="UJK428" s="2"/>
      <c r="UJL428" s="2"/>
      <c r="UJM428" s="2"/>
      <c r="UJN428" s="260"/>
      <c r="UJO428" s="260"/>
      <c r="UJP428" s="260"/>
      <c r="UJQ428" s="380"/>
      <c r="UJR428" s="380"/>
      <c r="UJS428" s="380"/>
      <c r="UJT428" s="2"/>
      <c r="UJU428" s="405"/>
      <c r="UJV428" s="54"/>
      <c r="UJW428" s="239"/>
      <c r="UJX428" s="54"/>
      <c r="UJY428" s="232"/>
      <c r="UJZ428" s="2"/>
      <c r="UKA428" s="2"/>
      <c r="UKB428" s="2"/>
      <c r="UKC428" s="2"/>
      <c r="UKD428" s="260"/>
      <c r="UKE428" s="260"/>
      <c r="UKF428" s="260"/>
      <c r="UKG428" s="260"/>
      <c r="UKH428" s="260"/>
      <c r="UKI428" s="260"/>
      <c r="UKJ428" s="260"/>
      <c r="UKK428" s="260"/>
      <c r="UKL428" s="260"/>
      <c r="UKM428" s="260"/>
      <c r="UKN428" s="260"/>
      <c r="UKO428" s="260"/>
      <c r="UKP428" s="260"/>
      <c r="UKQ428" s="2"/>
      <c r="UKR428" s="2"/>
      <c r="UKS428" s="2"/>
      <c r="UKT428" s="2"/>
      <c r="UKU428" s="2"/>
      <c r="UKV428" s="2"/>
      <c r="UKW428" s="2"/>
      <c r="UKX428" s="2"/>
      <c r="UKY428" s="2"/>
      <c r="UKZ428" s="2"/>
      <c r="ULA428" s="2"/>
      <c r="ULB428" s="2"/>
      <c r="ULC428" s="2"/>
      <c r="ULD428" s="2"/>
      <c r="ULE428" s="2"/>
      <c r="ULF428" s="260"/>
      <c r="ULG428" s="260"/>
      <c r="ULH428" s="260"/>
      <c r="ULI428" s="380"/>
      <c r="ULJ428" s="380"/>
      <c r="ULK428" s="380"/>
      <c r="ULL428" s="2"/>
      <c r="ULM428" s="405"/>
      <c r="ULN428" s="54"/>
      <c r="ULO428" s="239"/>
      <c r="ULP428" s="54"/>
      <c r="ULQ428" s="232"/>
      <c r="ULR428" s="2"/>
      <c r="ULS428" s="2"/>
      <c r="ULT428" s="2"/>
      <c r="ULU428" s="2"/>
      <c r="ULV428" s="260"/>
      <c r="ULW428" s="260"/>
      <c r="ULX428" s="260"/>
      <c r="ULY428" s="260"/>
      <c r="ULZ428" s="260"/>
      <c r="UMA428" s="260"/>
      <c r="UMB428" s="260"/>
      <c r="UMC428" s="260"/>
      <c r="UMD428" s="260"/>
      <c r="UME428" s="260"/>
      <c r="UMF428" s="260"/>
      <c r="UMG428" s="260"/>
      <c r="UMH428" s="260"/>
      <c r="UMI428" s="2"/>
      <c r="UMJ428" s="2"/>
      <c r="UMK428" s="2"/>
      <c r="UML428" s="2"/>
      <c r="UMM428" s="2"/>
      <c r="UMN428" s="2"/>
      <c r="UMO428" s="2"/>
      <c r="UMP428" s="2"/>
      <c r="UMQ428" s="2"/>
      <c r="UMR428" s="2"/>
      <c r="UMS428" s="2"/>
      <c r="UMT428" s="2"/>
      <c r="UMU428" s="2"/>
      <c r="UMV428" s="2"/>
      <c r="UMW428" s="2"/>
      <c r="UMX428" s="260"/>
      <c r="UMY428" s="260"/>
      <c r="UMZ428" s="260"/>
      <c r="UNA428" s="380"/>
      <c r="UNB428" s="380"/>
      <c r="UNC428" s="380"/>
      <c r="UND428" s="2"/>
      <c r="UNE428" s="405"/>
      <c r="UNF428" s="54"/>
      <c r="UNG428" s="239"/>
      <c r="UNH428" s="54"/>
      <c r="UNI428" s="232"/>
      <c r="UNJ428" s="2"/>
      <c r="UNK428" s="2"/>
      <c r="UNL428" s="2"/>
      <c r="UNM428" s="2"/>
      <c r="UNN428" s="260"/>
      <c r="UNO428" s="260"/>
      <c r="UNP428" s="260"/>
      <c r="UNQ428" s="260"/>
      <c r="UNR428" s="260"/>
      <c r="UNS428" s="260"/>
      <c r="UNT428" s="260"/>
      <c r="UNU428" s="260"/>
      <c r="UNV428" s="260"/>
      <c r="UNW428" s="260"/>
      <c r="UNX428" s="260"/>
      <c r="UNY428" s="260"/>
      <c r="UNZ428" s="260"/>
      <c r="UOA428" s="2"/>
      <c r="UOB428" s="2"/>
      <c r="UOC428" s="2"/>
      <c r="UOD428" s="2"/>
      <c r="UOE428" s="2"/>
      <c r="UOF428" s="2"/>
      <c r="UOG428" s="2"/>
      <c r="UOH428" s="2"/>
      <c r="UOI428" s="2"/>
      <c r="UOJ428" s="2"/>
      <c r="UOK428" s="2"/>
      <c r="UOL428" s="2"/>
      <c r="UOM428" s="2"/>
      <c r="UON428" s="2"/>
      <c r="UOO428" s="2"/>
      <c r="UOP428" s="260"/>
      <c r="UOQ428" s="260"/>
      <c r="UOR428" s="260"/>
      <c r="UOS428" s="380"/>
      <c r="UOT428" s="380"/>
      <c r="UOU428" s="380"/>
      <c r="UOV428" s="2"/>
      <c r="UOW428" s="405"/>
      <c r="UOX428" s="54"/>
      <c r="UOY428" s="239"/>
      <c r="UOZ428" s="54"/>
      <c r="UPA428" s="232"/>
      <c r="UPB428" s="2"/>
      <c r="UPC428" s="2"/>
      <c r="UPD428" s="2"/>
      <c r="UPE428" s="2"/>
      <c r="UPF428" s="260"/>
      <c r="UPG428" s="260"/>
      <c r="UPH428" s="260"/>
      <c r="UPI428" s="260"/>
      <c r="UPJ428" s="260"/>
      <c r="UPK428" s="260"/>
      <c r="UPL428" s="260"/>
      <c r="UPM428" s="260"/>
      <c r="UPN428" s="260"/>
      <c r="UPO428" s="260"/>
      <c r="UPP428" s="260"/>
      <c r="UPQ428" s="260"/>
      <c r="UPR428" s="260"/>
      <c r="UPS428" s="2"/>
      <c r="UPT428" s="2"/>
      <c r="UPU428" s="2"/>
      <c r="UPV428" s="2"/>
      <c r="UPW428" s="2"/>
      <c r="UPX428" s="2"/>
      <c r="UPY428" s="2"/>
      <c r="UPZ428" s="2"/>
      <c r="UQA428" s="2"/>
      <c r="UQB428" s="2"/>
      <c r="UQC428" s="2"/>
      <c r="UQD428" s="2"/>
      <c r="UQE428" s="2"/>
      <c r="UQF428" s="2"/>
      <c r="UQG428" s="2"/>
      <c r="UQH428" s="260"/>
      <c r="UQI428" s="260"/>
      <c r="UQJ428" s="260"/>
      <c r="UQK428" s="380"/>
      <c r="UQL428" s="380"/>
      <c r="UQM428" s="380"/>
      <c r="UQN428" s="2"/>
      <c r="UQO428" s="405"/>
      <c r="UQP428" s="54"/>
      <c r="UQQ428" s="239"/>
      <c r="UQR428" s="54"/>
      <c r="UQS428" s="232"/>
      <c r="UQT428" s="2"/>
      <c r="UQU428" s="2"/>
      <c r="UQV428" s="2"/>
      <c r="UQW428" s="2"/>
      <c r="UQX428" s="260"/>
      <c r="UQY428" s="260"/>
      <c r="UQZ428" s="260"/>
      <c r="URA428" s="260"/>
      <c r="URB428" s="260"/>
      <c r="URC428" s="260"/>
      <c r="URD428" s="260"/>
      <c r="URE428" s="260"/>
      <c r="URF428" s="260"/>
      <c r="URG428" s="260"/>
      <c r="URH428" s="260"/>
      <c r="URI428" s="260"/>
      <c r="URJ428" s="260"/>
      <c r="URK428" s="2"/>
      <c r="URL428" s="2"/>
      <c r="URM428" s="2"/>
      <c r="URN428" s="2"/>
      <c r="URO428" s="2"/>
      <c r="URP428" s="2"/>
      <c r="URQ428" s="2"/>
      <c r="URR428" s="2"/>
      <c r="URS428" s="2"/>
      <c r="URT428" s="2"/>
      <c r="URU428" s="2"/>
      <c r="URV428" s="2"/>
      <c r="URW428" s="2"/>
      <c r="URX428" s="2"/>
      <c r="URY428" s="2"/>
      <c r="URZ428" s="260"/>
      <c r="USA428" s="260"/>
      <c r="USB428" s="260"/>
      <c r="USC428" s="380"/>
      <c r="USD428" s="380"/>
      <c r="USE428" s="380"/>
      <c r="USF428" s="2"/>
      <c r="USG428" s="405"/>
      <c r="USH428" s="54"/>
      <c r="USI428" s="239"/>
      <c r="USJ428" s="54"/>
      <c r="USK428" s="232"/>
      <c r="USL428" s="2"/>
      <c r="USM428" s="2"/>
      <c r="USN428" s="2"/>
      <c r="USO428" s="2"/>
      <c r="USP428" s="260"/>
      <c r="USQ428" s="260"/>
      <c r="USR428" s="260"/>
      <c r="USS428" s="260"/>
      <c r="UST428" s="260"/>
      <c r="USU428" s="260"/>
      <c r="USV428" s="260"/>
      <c r="USW428" s="260"/>
      <c r="USX428" s="260"/>
      <c r="USY428" s="260"/>
      <c r="USZ428" s="260"/>
      <c r="UTA428" s="260"/>
      <c r="UTB428" s="260"/>
      <c r="UTC428" s="2"/>
      <c r="UTD428" s="2"/>
      <c r="UTE428" s="2"/>
      <c r="UTF428" s="2"/>
      <c r="UTG428" s="2"/>
      <c r="UTH428" s="2"/>
      <c r="UTI428" s="2"/>
      <c r="UTJ428" s="2"/>
      <c r="UTK428" s="2"/>
      <c r="UTL428" s="2"/>
      <c r="UTM428" s="2"/>
      <c r="UTN428" s="2"/>
      <c r="UTO428" s="2"/>
      <c r="UTP428" s="2"/>
      <c r="UTQ428" s="2"/>
      <c r="UTR428" s="260"/>
      <c r="UTS428" s="260"/>
      <c r="UTT428" s="260"/>
      <c r="UTU428" s="380"/>
      <c r="UTV428" s="380"/>
      <c r="UTW428" s="380"/>
      <c r="UTX428" s="2"/>
      <c r="UTY428" s="405"/>
      <c r="UTZ428" s="54"/>
      <c r="UUA428" s="239"/>
      <c r="UUB428" s="54"/>
      <c r="UUC428" s="232"/>
      <c r="UUD428" s="2"/>
      <c r="UUE428" s="2"/>
      <c r="UUF428" s="2"/>
      <c r="UUG428" s="2"/>
      <c r="UUH428" s="260"/>
      <c r="UUI428" s="260"/>
      <c r="UUJ428" s="260"/>
      <c r="UUK428" s="260"/>
      <c r="UUL428" s="260"/>
      <c r="UUM428" s="260"/>
      <c r="UUN428" s="260"/>
      <c r="UUO428" s="260"/>
      <c r="UUP428" s="260"/>
      <c r="UUQ428" s="260"/>
      <c r="UUR428" s="260"/>
      <c r="UUS428" s="260"/>
      <c r="UUT428" s="260"/>
      <c r="UUU428" s="2"/>
      <c r="UUV428" s="2"/>
      <c r="UUW428" s="2"/>
      <c r="UUX428" s="2"/>
      <c r="UUY428" s="2"/>
      <c r="UUZ428" s="2"/>
      <c r="UVA428" s="2"/>
      <c r="UVB428" s="2"/>
      <c r="UVC428" s="2"/>
      <c r="UVD428" s="2"/>
      <c r="UVE428" s="2"/>
      <c r="UVF428" s="2"/>
      <c r="UVG428" s="2"/>
      <c r="UVH428" s="2"/>
      <c r="UVI428" s="2"/>
      <c r="UVJ428" s="260"/>
      <c r="UVK428" s="260"/>
      <c r="UVL428" s="260"/>
      <c r="UVM428" s="380"/>
      <c r="UVN428" s="380"/>
      <c r="UVO428" s="380"/>
      <c r="UVP428" s="2"/>
      <c r="UVQ428" s="405"/>
      <c r="UVR428" s="54"/>
      <c r="UVS428" s="239"/>
      <c r="UVT428" s="54"/>
      <c r="UVU428" s="232"/>
      <c r="UVV428" s="2"/>
      <c r="UVW428" s="2"/>
      <c r="UVX428" s="2"/>
      <c r="UVY428" s="2"/>
      <c r="UVZ428" s="260"/>
      <c r="UWA428" s="260"/>
      <c r="UWB428" s="260"/>
      <c r="UWC428" s="260"/>
      <c r="UWD428" s="260"/>
      <c r="UWE428" s="260"/>
      <c r="UWF428" s="260"/>
      <c r="UWG428" s="260"/>
      <c r="UWH428" s="260"/>
      <c r="UWI428" s="260"/>
      <c r="UWJ428" s="260"/>
      <c r="UWK428" s="260"/>
      <c r="UWL428" s="260"/>
      <c r="UWM428" s="2"/>
      <c r="UWN428" s="2"/>
      <c r="UWO428" s="2"/>
      <c r="UWP428" s="2"/>
      <c r="UWQ428" s="2"/>
      <c r="UWR428" s="2"/>
      <c r="UWS428" s="2"/>
      <c r="UWT428" s="2"/>
      <c r="UWU428" s="2"/>
      <c r="UWV428" s="2"/>
      <c r="UWW428" s="2"/>
      <c r="UWX428" s="2"/>
      <c r="UWY428" s="2"/>
      <c r="UWZ428" s="2"/>
      <c r="UXA428" s="2"/>
      <c r="UXB428" s="260"/>
      <c r="UXC428" s="260"/>
      <c r="UXD428" s="260"/>
      <c r="UXE428" s="380"/>
      <c r="UXF428" s="380"/>
      <c r="UXG428" s="380"/>
      <c r="UXH428" s="2"/>
      <c r="UXI428" s="405"/>
      <c r="UXJ428" s="54"/>
      <c r="UXK428" s="239"/>
      <c r="UXL428" s="54"/>
      <c r="UXM428" s="232"/>
      <c r="UXN428" s="2"/>
      <c r="UXO428" s="2"/>
      <c r="UXP428" s="2"/>
      <c r="UXQ428" s="2"/>
      <c r="UXR428" s="260"/>
      <c r="UXS428" s="260"/>
      <c r="UXT428" s="260"/>
      <c r="UXU428" s="260"/>
      <c r="UXV428" s="260"/>
      <c r="UXW428" s="260"/>
      <c r="UXX428" s="260"/>
      <c r="UXY428" s="260"/>
      <c r="UXZ428" s="260"/>
      <c r="UYA428" s="260"/>
      <c r="UYB428" s="260"/>
      <c r="UYC428" s="260"/>
      <c r="UYD428" s="260"/>
      <c r="UYE428" s="2"/>
      <c r="UYF428" s="2"/>
      <c r="UYG428" s="2"/>
      <c r="UYH428" s="2"/>
      <c r="UYI428" s="2"/>
      <c r="UYJ428" s="2"/>
      <c r="UYK428" s="2"/>
      <c r="UYL428" s="2"/>
      <c r="UYM428" s="2"/>
      <c r="UYN428" s="2"/>
      <c r="UYO428" s="2"/>
      <c r="UYP428" s="2"/>
      <c r="UYQ428" s="2"/>
      <c r="UYR428" s="2"/>
      <c r="UYS428" s="2"/>
      <c r="UYT428" s="260"/>
      <c r="UYU428" s="260"/>
      <c r="UYV428" s="260"/>
      <c r="UYW428" s="380"/>
      <c r="UYX428" s="380"/>
      <c r="UYY428" s="380"/>
      <c r="UYZ428" s="2"/>
      <c r="UZA428" s="405"/>
      <c r="UZB428" s="54"/>
      <c r="UZC428" s="239"/>
      <c r="UZD428" s="54"/>
      <c r="UZE428" s="232"/>
      <c r="UZF428" s="2"/>
      <c r="UZG428" s="2"/>
      <c r="UZH428" s="2"/>
      <c r="UZI428" s="2"/>
      <c r="UZJ428" s="260"/>
      <c r="UZK428" s="260"/>
      <c r="UZL428" s="260"/>
      <c r="UZM428" s="260"/>
      <c r="UZN428" s="260"/>
      <c r="UZO428" s="260"/>
      <c r="UZP428" s="260"/>
      <c r="UZQ428" s="260"/>
      <c r="UZR428" s="260"/>
      <c r="UZS428" s="260"/>
      <c r="UZT428" s="260"/>
      <c r="UZU428" s="260"/>
      <c r="UZV428" s="260"/>
      <c r="UZW428" s="2"/>
      <c r="UZX428" s="2"/>
      <c r="UZY428" s="2"/>
      <c r="UZZ428" s="2"/>
      <c r="VAA428" s="2"/>
      <c r="VAB428" s="2"/>
      <c r="VAC428" s="2"/>
      <c r="VAD428" s="2"/>
      <c r="VAE428" s="2"/>
      <c r="VAF428" s="2"/>
      <c r="VAG428" s="2"/>
      <c r="VAH428" s="2"/>
      <c r="VAI428" s="2"/>
      <c r="VAJ428" s="2"/>
      <c r="VAK428" s="2"/>
      <c r="VAL428" s="260"/>
      <c r="VAM428" s="260"/>
      <c r="VAN428" s="260"/>
      <c r="VAO428" s="380"/>
      <c r="VAP428" s="380"/>
      <c r="VAQ428" s="380"/>
      <c r="VAR428" s="2"/>
      <c r="VAS428" s="405"/>
      <c r="VAT428" s="54"/>
      <c r="VAU428" s="239"/>
      <c r="VAV428" s="54"/>
      <c r="VAW428" s="232"/>
      <c r="VAX428" s="2"/>
      <c r="VAY428" s="2"/>
      <c r="VAZ428" s="2"/>
      <c r="VBA428" s="2"/>
      <c r="VBB428" s="260"/>
      <c r="VBC428" s="260"/>
      <c r="VBD428" s="260"/>
      <c r="VBE428" s="260"/>
      <c r="VBF428" s="260"/>
      <c r="VBG428" s="260"/>
      <c r="VBH428" s="260"/>
      <c r="VBI428" s="260"/>
      <c r="VBJ428" s="260"/>
      <c r="VBK428" s="260"/>
      <c r="VBL428" s="260"/>
      <c r="VBM428" s="260"/>
      <c r="VBN428" s="260"/>
      <c r="VBO428" s="2"/>
      <c r="VBP428" s="2"/>
      <c r="VBQ428" s="2"/>
      <c r="VBR428" s="2"/>
      <c r="VBS428" s="2"/>
      <c r="VBT428" s="2"/>
      <c r="VBU428" s="2"/>
      <c r="VBV428" s="2"/>
      <c r="VBW428" s="2"/>
      <c r="VBX428" s="2"/>
      <c r="VBY428" s="2"/>
      <c r="VBZ428" s="2"/>
      <c r="VCA428" s="2"/>
      <c r="VCB428" s="2"/>
      <c r="VCC428" s="2"/>
      <c r="VCD428" s="260"/>
      <c r="VCE428" s="260"/>
      <c r="VCF428" s="260"/>
      <c r="VCG428" s="380"/>
      <c r="VCH428" s="380"/>
      <c r="VCI428" s="380"/>
      <c r="VCJ428" s="2"/>
      <c r="VCK428" s="405"/>
      <c r="VCL428" s="54"/>
      <c r="VCM428" s="239"/>
      <c r="VCN428" s="54"/>
      <c r="VCO428" s="232"/>
      <c r="VCP428" s="2"/>
      <c r="VCQ428" s="2"/>
      <c r="VCR428" s="2"/>
      <c r="VCS428" s="2"/>
      <c r="VCT428" s="260"/>
      <c r="VCU428" s="260"/>
      <c r="VCV428" s="260"/>
      <c r="VCW428" s="260"/>
      <c r="VCX428" s="260"/>
      <c r="VCY428" s="260"/>
      <c r="VCZ428" s="260"/>
      <c r="VDA428" s="260"/>
      <c r="VDB428" s="260"/>
      <c r="VDC428" s="260"/>
      <c r="VDD428" s="260"/>
      <c r="VDE428" s="260"/>
      <c r="VDF428" s="260"/>
      <c r="VDG428" s="2"/>
      <c r="VDH428" s="2"/>
      <c r="VDI428" s="2"/>
      <c r="VDJ428" s="2"/>
      <c r="VDK428" s="2"/>
      <c r="VDL428" s="2"/>
      <c r="VDM428" s="2"/>
      <c r="VDN428" s="2"/>
      <c r="VDO428" s="2"/>
      <c r="VDP428" s="2"/>
      <c r="VDQ428" s="2"/>
      <c r="VDR428" s="2"/>
      <c r="VDS428" s="2"/>
      <c r="VDT428" s="2"/>
      <c r="VDU428" s="2"/>
      <c r="VDV428" s="260"/>
      <c r="VDW428" s="260"/>
      <c r="VDX428" s="260"/>
      <c r="VDY428" s="380"/>
      <c r="VDZ428" s="380"/>
      <c r="VEA428" s="380"/>
      <c r="VEB428" s="2"/>
      <c r="VEC428" s="405"/>
      <c r="VED428" s="54"/>
      <c r="VEE428" s="239"/>
      <c r="VEF428" s="54"/>
      <c r="VEG428" s="232"/>
      <c r="VEH428" s="2"/>
      <c r="VEI428" s="2"/>
      <c r="VEJ428" s="2"/>
      <c r="VEK428" s="2"/>
      <c r="VEL428" s="260"/>
      <c r="VEM428" s="260"/>
      <c r="VEN428" s="260"/>
      <c r="VEO428" s="260"/>
      <c r="VEP428" s="260"/>
      <c r="VEQ428" s="260"/>
      <c r="VER428" s="260"/>
      <c r="VES428" s="260"/>
      <c r="VET428" s="260"/>
      <c r="VEU428" s="260"/>
      <c r="VEV428" s="260"/>
      <c r="VEW428" s="260"/>
      <c r="VEX428" s="260"/>
      <c r="VEY428" s="2"/>
      <c r="VEZ428" s="2"/>
      <c r="VFA428" s="2"/>
      <c r="VFB428" s="2"/>
      <c r="VFC428" s="2"/>
      <c r="VFD428" s="2"/>
      <c r="VFE428" s="2"/>
      <c r="VFF428" s="2"/>
      <c r="VFG428" s="2"/>
      <c r="VFH428" s="2"/>
      <c r="VFI428" s="2"/>
      <c r="VFJ428" s="2"/>
      <c r="VFK428" s="2"/>
      <c r="VFL428" s="2"/>
      <c r="VFM428" s="2"/>
      <c r="VFN428" s="260"/>
      <c r="VFO428" s="260"/>
      <c r="VFP428" s="260"/>
      <c r="VFQ428" s="380"/>
      <c r="VFR428" s="380"/>
      <c r="VFS428" s="380"/>
      <c r="VFT428" s="2"/>
      <c r="VFU428" s="405"/>
      <c r="VFV428" s="54"/>
      <c r="VFW428" s="239"/>
      <c r="VFX428" s="54"/>
      <c r="VFY428" s="232"/>
      <c r="VFZ428" s="2"/>
      <c r="VGA428" s="2"/>
      <c r="VGB428" s="2"/>
      <c r="VGC428" s="2"/>
      <c r="VGD428" s="260"/>
      <c r="VGE428" s="260"/>
      <c r="VGF428" s="260"/>
      <c r="VGG428" s="260"/>
      <c r="VGH428" s="260"/>
      <c r="VGI428" s="260"/>
      <c r="VGJ428" s="260"/>
      <c r="VGK428" s="260"/>
      <c r="VGL428" s="260"/>
      <c r="VGM428" s="260"/>
      <c r="VGN428" s="260"/>
      <c r="VGO428" s="260"/>
      <c r="VGP428" s="260"/>
      <c r="VGQ428" s="2"/>
      <c r="VGR428" s="2"/>
      <c r="VGS428" s="2"/>
      <c r="VGT428" s="2"/>
      <c r="VGU428" s="2"/>
      <c r="VGV428" s="2"/>
      <c r="VGW428" s="2"/>
      <c r="VGX428" s="2"/>
      <c r="VGY428" s="2"/>
      <c r="VGZ428" s="2"/>
      <c r="VHA428" s="2"/>
      <c r="VHB428" s="2"/>
      <c r="VHC428" s="2"/>
      <c r="VHD428" s="2"/>
      <c r="VHE428" s="2"/>
      <c r="VHF428" s="260"/>
      <c r="VHG428" s="260"/>
      <c r="VHH428" s="260"/>
      <c r="VHI428" s="380"/>
      <c r="VHJ428" s="380"/>
      <c r="VHK428" s="380"/>
      <c r="VHL428" s="2"/>
      <c r="VHM428" s="405"/>
      <c r="VHN428" s="54"/>
      <c r="VHO428" s="239"/>
      <c r="VHP428" s="54"/>
      <c r="VHQ428" s="232"/>
      <c r="VHR428" s="2"/>
      <c r="VHS428" s="2"/>
      <c r="VHT428" s="2"/>
      <c r="VHU428" s="2"/>
      <c r="VHV428" s="260"/>
      <c r="VHW428" s="260"/>
      <c r="VHX428" s="260"/>
      <c r="VHY428" s="260"/>
      <c r="VHZ428" s="260"/>
      <c r="VIA428" s="260"/>
      <c r="VIB428" s="260"/>
      <c r="VIC428" s="260"/>
      <c r="VID428" s="260"/>
      <c r="VIE428" s="260"/>
      <c r="VIF428" s="260"/>
      <c r="VIG428" s="260"/>
      <c r="VIH428" s="260"/>
      <c r="VII428" s="2"/>
      <c r="VIJ428" s="2"/>
      <c r="VIK428" s="2"/>
      <c r="VIL428" s="2"/>
      <c r="VIM428" s="2"/>
      <c r="VIN428" s="2"/>
      <c r="VIO428" s="2"/>
      <c r="VIP428" s="2"/>
      <c r="VIQ428" s="2"/>
      <c r="VIR428" s="2"/>
      <c r="VIS428" s="2"/>
      <c r="VIT428" s="2"/>
      <c r="VIU428" s="2"/>
      <c r="VIV428" s="2"/>
      <c r="VIW428" s="2"/>
      <c r="VIX428" s="260"/>
      <c r="VIY428" s="260"/>
      <c r="VIZ428" s="260"/>
      <c r="VJA428" s="380"/>
      <c r="VJB428" s="380"/>
      <c r="VJC428" s="380"/>
      <c r="VJD428" s="2"/>
      <c r="VJE428" s="405"/>
      <c r="VJF428" s="54"/>
      <c r="VJG428" s="239"/>
      <c r="VJH428" s="54"/>
      <c r="VJI428" s="232"/>
      <c r="VJJ428" s="2"/>
      <c r="VJK428" s="2"/>
      <c r="VJL428" s="2"/>
      <c r="VJM428" s="2"/>
      <c r="VJN428" s="260"/>
      <c r="VJO428" s="260"/>
      <c r="VJP428" s="260"/>
      <c r="VJQ428" s="260"/>
      <c r="VJR428" s="260"/>
      <c r="VJS428" s="260"/>
      <c r="VJT428" s="260"/>
      <c r="VJU428" s="260"/>
      <c r="VJV428" s="260"/>
      <c r="VJW428" s="260"/>
      <c r="VJX428" s="260"/>
      <c r="VJY428" s="260"/>
      <c r="VJZ428" s="260"/>
      <c r="VKA428" s="2"/>
      <c r="VKB428" s="2"/>
      <c r="VKC428" s="2"/>
      <c r="VKD428" s="2"/>
      <c r="VKE428" s="2"/>
      <c r="VKF428" s="2"/>
      <c r="VKG428" s="2"/>
      <c r="VKH428" s="2"/>
      <c r="VKI428" s="2"/>
      <c r="VKJ428" s="2"/>
      <c r="VKK428" s="2"/>
      <c r="VKL428" s="2"/>
      <c r="VKM428" s="2"/>
      <c r="VKN428" s="2"/>
      <c r="VKO428" s="2"/>
      <c r="VKP428" s="260"/>
      <c r="VKQ428" s="260"/>
      <c r="VKR428" s="260"/>
      <c r="VKS428" s="380"/>
      <c r="VKT428" s="380"/>
      <c r="VKU428" s="380"/>
      <c r="VKV428" s="2"/>
      <c r="VKW428" s="405"/>
      <c r="VKX428" s="54"/>
      <c r="VKY428" s="239"/>
      <c r="VKZ428" s="54"/>
      <c r="VLA428" s="232"/>
      <c r="VLB428" s="2"/>
      <c r="VLC428" s="2"/>
      <c r="VLD428" s="2"/>
      <c r="VLE428" s="2"/>
      <c r="VLF428" s="260"/>
      <c r="VLG428" s="260"/>
      <c r="VLH428" s="260"/>
      <c r="VLI428" s="260"/>
      <c r="VLJ428" s="260"/>
      <c r="VLK428" s="260"/>
      <c r="VLL428" s="260"/>
      <c r="VLM428" s="260"/>
      <c r="VLN428" s="260"/>
      <c r="VLO428" s="260"/>
      <c r="VLP428" s="260"/>
      <c r="VLQ428" s="260"/>
      <c r="VLR428" s="260"/>
      <c r="VLS428" s="2"/>
      <c r="VLT428" s="2"/>
      <c r="VLU428" s="2"/>
      <c r="VLV428" s="2"/>
      <c r="VLW428" s="2"/>
      <c r="VLX428" s="2"/>
      <c r="VLY428" s="2"/>
      <c r="VLZ428" s="2"/>
      <c r="VMA428" s="2"/>
      <c r="VMB428" s="2"/>
      <c r="VMC428" s="2"/>
      <c r="VMD428" s="2"/>
      <c r="VME428" s="2"/>
      <c r="VMF428" s="2"/>
      <c r="VMG428" s="2"/>
      <c r="VMH428" s="260"/>
      <c r="VMI428" s="260"/>
      <c r="VMJ428" s="260"/>
      <c r="VMK428" s="380"/>
      <c r="VML428" s="380"/>
      <c r="VMM428" s="380"/>
      <c r="VMN428" s="2"/>
      <c r="VMO428" s="405"/>
      <c r="VMP428" s="54"/>
      <c r="VMQ428" s="239"/>
      <c r="VMR428" s="54"/>
      <c r="VMS428" s="232"/>
      <c r="VMT428" s="2"/>
      <c r="VMU428" s="2"/>
      <c r="VMV428" s="2"/>
      <c r="VMW428" s="2"/>
      <c r="VMX428" s="260"/>
      <c r="VMY428" s="260"/>
      <c r="VMZ428" s="260"/>
      <c r="VNA428" s="260"/>
      <c r="VNB428" s="260"/>
      <c r="VNC428" s="260"/>
      <c r="VND428" s="260"/>
      <c r="VNE428" s="260"/>
      <c r="VNF428" s="260"/>
      <c r="VNG428" s="260"/>
      <c r="VNH428" s="260"/>
      <c r="VNI428" s="260"/>
      <c r="VNJ428" s="260"/>
      <c r="VNK428" s="2"/>
      <c r="VNL428" s="2"/>
      <c r="VNM428" s="2"/>
      <c r="VNN428" s="2"/>
      <c r="VNO428" s="2"/>
      <c r="VNP428" s="2"/>
      <c r="VNQ428" s="2"/>
      <c r="VNR428" s="2"/>
      <c r="VNS428" s="2"/>
      <c r="VNT428" s="2"/>
      <c r="VNU428" s="2"/>
      <c r="VNV428" s="2"/>
      <c r="VNW428" s="2"/>
      <c r="VNX428" s="2"/>
      <c r="VNY428" s="2"/>
      <c r="VNZ428" s="260"/>
      <c r="VOA428" s="260"/>
      <c r="VOB428" s="260"/>
      <c r="VOC428" s="380"/>
      <c r="VOD428" s="380"/>
      <c r="VOE428" s="380"/>
      <c r="VOF428" s="2"/>
      <c r="VOG428" s="405"/>
      <c r="VOH428" s="54"/>
      <c r="VOI428" s="239"/>
      <c r="VOJ428" s="54"/>
      <c r="VOK428" s="232"/>
      <c r="VOL428" s="2"/>
      <c r="VOM428" s="2"/>
      <c r="VON428" s="2"/>
      <c r="VOO428" s="2"/>
      <c r="VOP428" s="260"/>
      <c r="VOQ428" s="260"/>
      <c r="VOR428" s="260"/>
      <c r="VOS428" s="260"/>
      <c r="VOT428" s="260"/>
      <c r="VOU428" s="260"/>
      <c r="VOV428" s="260"/>
      <c r="VOW428" s="260"/>
      <c r="VOX428" s="260"/>
      <c r="VOY428" s="260"/>
      <c r="VOZ428" s="260"/>
      <c r="VPA428" s="260"/>
      <c r="VPB428" s="260"/>
      <c r="VPC428" s="2"/>
      <c r="VPD428" s="2"/>
      <c r="VPE428" s="2"/>
      <c r="VPF428" s="2"/>
      <c r="VPG428" s="2"/>
      <c r="VPH428" s="2"/>
      <c r="VPI428" s="2"/>
      <c r="VPJ428" s="2"/>
      <c r="VPK428" s="2"/>
      <c r="VPL428" s="2"/>
      <c r="VPM428" s="2"/>
      <c r="VPN428" s="2"/>
      <c r="VPO428" s="2"/>
      <c r="VPP428" s="2"/>
      <c r="VPQ428" s="2"/>
      <c r="VPR428" s="260"/>
      <c r="VPS428" s="260"/>
      <c r="VPT428" s="260"/>
      <c r="VPU428" s="380"/>
      <c r="VPV428" s="380"/>
      <c r="VPW428" s="380"/>
      <c r="VPX428" s="2"/>
      <c r="VPY428" s="405"/>
      <c r="VPZ428" s="54"/>
      <c r="VQA428" s="239"/>
      <c r="VQB428" s="54"/>
      <c r="VQC428" s="232"/>
      <c r="VQD428" s="2"/>
      <c r="VQE428" s="2"/>
      <c r="VQF428" s="2"/>
      <c r="VQG428" s="2"/>
      <c r="VQH428" s="260"/>
      <c r="VQI428" s="260"/>
      <c r="VQJ428" s="260"/>
      <c r="VQK428" s="260"/>
      <c r="VQL428" s="260"/>
      <c r="VQM428" s="260"/>
      <c r="VQN428" s="260"/>
      <c r="VQO428" s="260"/>
      <c r="VQP428" s="260"/>
      <c r="VQQ428" s="260"/>
      <c r="VQR428" s="260"/>
      <c r="VQS428" s="260"/>
      <c r="VQT428" s="260"/>
      <c r="VQU428" s="2"/>
      <c r="VQV428" s="2"/>
      <c r="VQW428" s="2"/>
      <c r="VQX428" s="2"/>
      <c r="VQY428" s="2"/>
      <c r="VQZ428" s="2"/>
      <c r="VRA428" s="2"/>
      <c r="VRB428" s="2"/>
      <c r="VRC428" s="2"/>
      <c r="VRD428" s="2"/>
      <c r="VRE428" s="2"/>
      <c r="VRF428" s="2"/>
      <c r="VRG428" s="2"/>
      <c r="VRH428" s="2"/>
      <c r="VRI428" s="2"/>
      <c r="VRJ428" s="260"/>
      <c r="VRK428" s="260"/>
      <c r="VRL428" s="260"/>
      <c r="VRM428" s="380"/>
      <c r="VRN428" s="380"/>
      <c r="VRO428" s="380"/>
      <c r="VRP428" s="2"/>
      <c r="VRQ428" s="405"/>
      <c r="VRR428" s="54"/>
      <c r="VRS428" s="239"/>
      <c r="VRT428" s="54"/>
      <c r="VRU428" s="232"/>
      <c r="VRV428" s="2"/>
      <c r="VRW428" s="2"/>
      <c r="VRX428" s="2"/>
      <c r="VRY428" s="2"/>
      <c r="VRZ428" s="260"/>
      <c r="VSA428" s="260"/>
      <c r="VSB428" s="260"/>
      <c r="VSC428" s="260"/>
      <c r="VSD428" s="260"/>
      <c r="VSE428" s="260"/>
      <c r="VSF428" s="260"/>
      <c r="VSG428" s="260"/>
      <c r="VSH428" s="260"/>
      <c r="VSI428" s="260"/>
      <c r="VSJ428" s="260"/>
      <c r="VSK428" s="260"/>
      <c r="VSL428" s="260"/>
      <c r="VSM428" s="2"/>
      <c r="VSN428" s="2"/>
      <c r="VSO428" s="2"/>
      <c r="VSP428" s="2"/>
      <c r="VSQ428" s="2"/>
      <c r="VSR428" s="2"/>
      <c r="VSS428" s="2"/>
      <c r="VST428" s="2"/>
      <c r="VSU428" s="2"/>
      <c r="VSV428" s="2"/>
      <c r="VSW428" s="2"/>
      <c r="VSX428" s="2"/>
      <c r="VSY428" s="2"/>
      <c r="VSZ428" s="2"/>
      <c r="VTA428" s="2"/>
      <c r="VTB428" s="260"/>
      <c r="VTC428" s="260"/>
      <c r="VTD428" s="260"/>
      <c r="VTE428" s="380"/>
      <c r="VTF428" s="380"/>
      <c r="VTG428" s="380"/>
      <c r="VTH428" s="2"/>
      <c r="VTI428" s="405"/>
      <c r="VTJ428" s="54"/>
      <c r="VTK428" s="239"/>
      <c r="VTL428" s="54"/>
      <c r="VTM428" s="232"/>
      <c r="VTN428" s="2"/>
      <c r="VTO428" s="2"/>
      <c r="VTP428" s="2"/>
      <c r="VTQ428" s="2"/>
      <c r="VTR428" s="260"/>
      <c r="VTS428" s="260"/>
      <c r="VTT428" s="260"/>
      <c r="VTU428" s="260"/>
      <c r="VTV428" s="260"/>
      <c r="VTW428" s="260"/>
      <c r="VTX428" s="260"/>
      <c r="VTY428" s="260"/>
      <c r="VTZ428" s="260"/>
      <c r="VUA428" s="260"/>
      <c r="VUB428" s="260"/>
      <c r="VUC428" s="260"/>
      <c r="VUD428" s="260"/>
      <c r="VUE428" s="2"/>
      <c r="VUF428" s="2"/>
      <c r="VUG428" s="2"/>
      <c r="VUH428" s="2"/>
      <c r="VUI428" s="2"/>
      <c r="VUJ428" s="2"/>
      <c r="VUK428" s="2"/>
      <c r="VUL428" s="2"/>
      <c r="VUM428" s="2"/>
      <c r="VUN428" s="2"/>
      <c r="VUO428" s="2"/>
      <c r="VUP428" s="2"/>
      <c r="VUQ428" s="2"/>
      <c r="VUR428" s="2"/>
      <c r="VUS428" s="2"/>
      <c r="VUT428" s="260"/>
      <c r="VUU428" s="260"/>
      <c r="VUV428" s="260"/>
      <c r="VUW428" s="380"/>
      <c r="VUX428" s="380"/>
      <c r="VUY428" s="380"/>
      <c r="VUZ428" s="2"/>
      <c r="VVA428" s="405"/>
      <c r="VVB428" s="54"/>
      <c r="VVC428" s="239"/>
      <c r="VVD428" s="54"/>
      <c r="VVE428" s="232"/>
      <c r="VVF428" s="2"/>
      <c r="VVG428" s="2"/>
      <c r="VVH428" s="2"/>
      <c r="VVI428" s="2"/>
      <c r="VVJ428" s="260"/>
      <c r="VVK428" s="260"/>
      <c r="VVL428" s="260"/>
      <c r="VVM428" s="260"/>
      <c r="VVN428" s="260"/>
      <c r="VVO428" s="260"/>
      <c r="VVP428" s="260"/>
      <c r="VVQ428" s="260"/>
      <c r="VVR428" s="260"/>
      <c r="VVS428" s="260"/>
      <c r="VVT428" s="260"/>
      <c r="VVU428" s="260"/>
      <c r="VVV428" s="260"/>
      <c r="VVW428" s="2"/>
      <c r="VVX428" s="2"/>
      <c r="VVY428" s="2"/>
      <c r="VVZ428" s="2"/>
      <c r="VWA428" s="2"/>
      <c r="VWB428" s="2"/>
      <c r="VWC428" s="2"/>
      <c r="VWD428" s="2"/>
      <c r="VWE428" s="2"/>
      <c r="VWF428" s="2"/>
      <c r="VWG428" s="2"/>
      <c r="VWH428" s="2"/>
      <c r="VWI428" s="2"/>
      <c r="VWJ428" s="2"/>
      <c r="VWK428" s="2"/>
      <c r="VWL428" s="260"/>
      <c r="VWM428" s="260"/>
      <c r="VWN428" s="260"/>
      <c r="VWO428" s="380"/>
      <c r="VWP428" s="380"/>
      <c r="VWQ428" s="380"/>
      <c r="VWR428" s="2"/>
      <c r="VWS428" s="405"/>
      <c r="VWT428" s="54"/>
      <c r="VWU428" s="239"/>
      <c r="VWV428" s="54"/>
      <c r="VWW428" s="232"/>
      <c r="VWX428" s="2"/>
      <c r="VWY428" s="2"/>
      <c r="VWZ428" s="2"/>
      <c r="VXA428" s="2"/>
      <c r="VXB428" s="260"/>
      <c r="VXC428" s="260"/>
      <c r="VXD428" s="260"/>
      <c r="VXE428" s="260"/>
      <c r="VXF428" s="260"/>
      <c r="VXG428" s="260"/>
      <c r="VXH428" s="260"/>
      <c r="VXI428" s="260"/>
      <c r="VXJ428" s="260"/>
      <c r="VXK428" s="260"/>
      <c r="VXL428" s="260"/>
      <c r="VXM428" s="260"/>
      <c r="VXN428" s="260"/>
      <c r="VXO428" s="2"/>
      <c r="VXP428" s="2"/>
      <c r="VXQ428" s="2"/>
      <c r="VXR428" s="2"/>
      <c r="VXS428" s="2"/>
      <c r="VXT428" s="2"/>
      <c r="VXU428" s="2"/>
      <c r="VXV428" s="2"/>
      <c r="VXW428" s="2"/>
      <c r="VXX428" s="2"/>
      <c r="VXY428" s="2"/>
      <c r="VXZ428" s="2"/>
      <c r="VYA428" s="2"/>
      <c r="VYB428" s="2"/>
      <c r="VYC428" s="2"/>
      <c r="VYD428" s="260"/>
      <c r="VYE428" s="260"/>
      <c r="VYF428" s="260"/>
      <c r="VYG428" s="380"/>
      <c r="VYH428" s="380"/>
      <c r="VYI428" s="380"/>
      <c r="VYJ428" s="2"/>
      <c r="VYK428" s="405"/>
      <c r="VYL428" s="54"/>
      <c r="VYM428" s="239"/>
      <c r="VYN428" s="54"/>
      <c r="VYO428" s="232"/>
      <c r="VYP428" s="2"/>
      <c r="VYQ428" s="2"/>
      <c r="VYR428" s="2"/>
      <c r="VYS428" s="2"/>
      <c r="VYT428" s="260"/>
      <c r="VYU428" s="260"/>
      <c r="VYV428" s="260"/>
      <c r="VYW428" s="260"/>
      <c r="VYX428" s="260"/>
      <c r="VYY428" s="260"/>
      <c r="VYZ428" s="260"/>
      <c r="VZA428" s="260"/>
      <c r="VZB428" s="260"/>
      <c r="VZC428" s="260"/>
      <c r="VZD428" s="260"/>
      <c r="VZE428" s="260"/>
      <c r="VZF428" s="260"/>
      <c r="VZG428" s="2"/>
      <c r="VZH428" s="2"/>
      <c r="VZI428" s="2"/>
      <c r="VZJ428" s="2"/>
      <c r="VZK428" s="2"/>
      <c r="VZL428" s="2"/>
      <c r="VZM428" s="2"/>
      <c r="VZN428" s="2"/>
      <c r="VZO428" s="2"/>
      <c r="VZP428" s="2"/>
      <c r="VZQ428" s="2"/>
      <c r="VZR428" s="2"/>
      <c r="VZS428" s="2"/>
      <c r="VZT428" s="2"/>
      <c r="VZU428" s="2"/>
      <c r="VZV428" s="260"/>
      <c r="VZW428" s="260"/>
      <c r="VZX428" s="260"/>
      <c r="VZY428" s="380"/>
      <c r="VZZ428" s="380"/>
      <c r="WAA428" s="380"/>
      <c r="WAB428" s="2"/>
      <c r="WAC428" s="405"/>
      <c r="WAD428" s="54"/>
      <c r="WAE428" s="239"/>
      <c r="WAF428" s="54"/>
      <c r="WAG428" s="232"/>
      <c r="WAH428" s="2"/>
      <c r="WAI428" s="2"/>
      <c r="WAJ428" s="2"/>
      <c r="WAK428" s="2"/>
      <c r="WAL428" s="260"/>
      <c r="WAM428" s="260"/>
      <c r="WAN428" s="260"/>
      <c r="WAO428" s="260"/>
      <c r="WAP428" s="260"/>
      <c r="WAQ428" s="260"/>
      <c r="WAR428" s="260"/>
      <c r="WAS428" s="260"/>
      <c r="WAT428" s="260"/>
      <c r="WAU428" s="260"/>
      <c r="WAV428" s="260"/>
      <c r="WAW428" s="260"/>
      <c r="WAX428" s="260"/>
      <c r="WAY428" s="2"/>
      <c r="WAZ428" s="2"/>
      <c r="WBA428" s="2"/>
      <c r="WBB428" s="2"/>
      <c r="WBC428" s="2"/>
      <c r="WBD428" s="2"/>
      <c r="WBE428" s="2"/>
      <c r="WBF428" s="2"/>
      <c r="WBG428" s="2"/>
      <c r="WBH428" s="2"/>
      <c r="WBI428" s="2"/>
      <c r="WBJ428" s="2"/>
      <c r="WBK428" s="2"/>
      <c r="WBL428" s="2"/>
      <c r="WBM428" s="2"/>
      <c r="WBN428" s="260"/>
      <c r="WBO428" s="260"/>
      <c r="WBP428" s="260"/>
      <c r="WBQ428" s="380"/>
      <c r="WBR428" s="380"/>
      <c r="WBS428" s="380"/>
      <c r="WBT428" s="2"/>
      <c r="WBU428" s="405"/>
      <c r="WBV428" s="54"/>
      <c r="WBW428" s="239"/>
      <c r="WBX428" s="54"/>
      <c r="WBY428" s="232"/>
      <c r="WBZ428" s="2"/>
      <c r="WCA428" s="2"/>
      <c r="WCB428" s="2"/>
      <c r="WCC428" s="2"/>
      <c r="WCD428" s="260"/>
      <c r="WCE428" s="260"/>
      <c r="WCF428" s="260"/>
      <c r="WCG428" s="260"/>
      <c r="WCH428" s="260"/>
      <c r="WCI428" s="260"/>
      <c r="WCJ428" s="260"/>
      <c r="WCK428" s="260"/>
      <c r="WCL428" s="260"/>
      <c r="WCM428" s="260"/>
      <c r="WCN428" s="260"/>
      <c r="WCO428" s="260"/>
      <c r="WCP428" s="260"/>
      <c r="WCQ428" s="2"/>
      <c r="WCR428" s="2"/>
      <c r="WCS428" s="2"/>
      <c r="WCT428" s="2"/>
      <c r="WCU428" s="2"/>
      <c r="WCV428" s="2"/>
      <c r="WCW428" s="2"/>
      <c r="WCX428" s="2"/>
      <c r="WCY428" s="2"/>
      <c r="WCZ428" s="2"/>
      <c r="WDA428" s="2"/>
      <c r="WDB428" s="2"/>
      <c r="WDC428" s="2"/>
      <c r="WDD428" s="2"/>
      <c r="WDE428" s="2"/>
      <c r="WDF428" s="260"/>
      <c r="WDG428" s="260"/>
      <c r="WDH428" s="260"/>
      <c r="WDI428" s="380"/>
      <c r="WDJ428" s="380"/>
      <c r="WDK428" s="380"/>
      <c r="WDL428" s="2"/>
      <c r="WDM428" s="405"/>
      <c r="WDN428" s="54"/>
      <c r="WDO428" s="239"/>
      <c r="WDP428" s="54"/>
      <c r="WDQ428" s="232"/>
      <c r="WDR428" s="2"/>
      <c r="WDS428" s="2"/>
      <c r="WDT428" s="2"/>
      <c r="WDU428" s="2"/>
      <c r="WDV428" s="260"/>
      <c r="WDW428" s="260"/>
      <c r="WDX428" s="260"/>
      <c r="WDY428" s="260"/>
      <c r="WDZ428" s="260"/>
      <c r="WEA428" s="260"/>
      <c r="WEB428" s="260"/>
      <c r="WEC428" s="260"/>
      <c r="WED428" s="260"/>
      <c r="WEE428" s="260"/>
      <c r="WEF428" s="260"/>
      <c r="WEG428" s="260"/>
      <c r="WEH428" s="260"/>
      <c r="WEI428" s="2"/>
      <c r="WEJ428" s="2"/>
      <c r="WEK428" s="2"/>
      <c r="WEL428" s="2"/>
      <c r="WEM428" s="2"/>
      <c r="WEN428" s="2"/>
      <c r="WEO428" s="2"/>
      <c r="WEP428" s="2"/>
      <c r="WEQ428" s="2"/>
      <c r="WER428" s="2"/>
      <c r="WES428" s="2"/>
      <c r="WET428" s="2"/>
      <c r="WEU428" s="2"/>
      <c r="WEV428" s="2"/>
      <c r="WEW428" s="2"/>
      <c r="WEX428" s="260"/>
      <c r="WEY428" s="260"/>
      <c r="WEZ428" s="260"/>
      <c r="WFA428" s="380"/>
      <c r="WFB428" s="380"/>
      <c r="WFC428" s="380"/>
      <c r="WFD428" s="2"/>
      <c r="WFE428" s="405"/>
      <c r="WFF428" s="54"/>
      <c r="WFG428" s="239"/>
      <c r="WFH428" s="54"/>
      <c r="WFI428" s="232"/>
      <c r="WFJ428" s="2"/>
      <c r="WFK428" s="2"/>
      <c r="WFL428" s="2"/>
      <c r="WFM428" s="2"/>
      <c r="WFN428" s="260"/>
      <c r="WFO428" s="260"/>
      <c r="WFP428" s="260"/>
      <c r="WFQ428" s="260"/>
      <c r="WFR428" s="260"/>
      <c r="WFS428" s="260"/>
      <c r="WFT428" s="260"/>
      <c r="WFU428" s="260"/>
      <c r="WFV428" s="260"/>
      <c r="WFW428" s="260"/>
      <c r="WFX428" s="260"/>
      <c r="WFY428" s="260"/>
      <c r="WFZ428" s="260"/>
      <c r="WGA428" s="2"/>
      <c r="WGB428" s="2"/>
      <c r="WGC428" s="2"/>
      <c r="WGD428" s="2"/>
      <c r="WGE428" s="2"/>
      <c r="WGF428" s="2"/>
      <c r="WGG428" s="2"/>
      <c r="WGH428" s="2"/>
      <c r="WGI428" s="2"/>
      <c r="WGJ428" s="2"/>
      <c r="WGK428" s="2"/>
      <c r="WGL428" s="2"/>
      <c r="WGM428" s="2"/>
      <c r="WGN428" s="2"/>
      <c r="WGO428" s="2"/>
      <c r="WGP428" s="260"/>
      <c r="WGQ428" s="260"/>
      <c r="WGR428" s="260"/>
      <c r="WGS428" s="380"/>
      <c r="WGT428" s="380"/>
      <c r="WGU428" s="380"/>
      <c r="WGV428" s="2"/>
      <c r="WGW428" s="405"/>
      <c r="WGX428" s="54"/>
      <c r="WGY428" s="239"/>
      <c r="WGZ428" s="54"/>
      <c r="WHA428" s="232"/>
      <c r="WHB428" s="2"/>
      <c r="WHC428" s="2"/>
      <c r="WHD428" s="2"/>
      <c r="WHE428" s="2"/>
      <c r="WHF428" s="260"/>
      <c r="WHG428" s="260"/>
      <c r="WHH428" s="260"/>
      <c r="WHI428" s="260"/>
      <c r="WHJ428" s="260"/>
      <c r="WHK428" s="260"/>
      <c r="WHL428" s="260"/>
      <c r="WHM428" s="260"/>
      <c r="WHN428" s="260"/>
      <c r="WHO428" s="260"/>
      <c r="WHP428" s="260"/>
      <c r="WHQ428" s="260"/>
      <c r="WHR428" s="260"/>
      <c r="WHS428" s="2"/>
      <c r="WHT428" s="2"/>
      <c r="WHU428" s="2"/>
      <c r="WHV428" s="2"/>
      <c r="WHW428" s="2"/>
      <c r="WHX428" s="2"/>
      <c r="WHY428" s="2"/>
      <c r="WHZ428" s="2"/>
      <c r="WIA428" s="2"/>
      <c r="WIB428" s="2"/>
      <c r="WIC428" s="2"/>
      <c r="WID428" s="2"/>
      <c r="WIE428" s="2"/>
      <c r="WIF428" s="2"/>
      <c r="WIG428" s="2"/>
      <c r="WIH428" s="260"/>
      <c r="WII428" s="260"/>
      <c r="WIJ428" s="260"/>
      <c r="WIK428" s="380"/>
      <c r="WIL428" s="380"/>
      <c r="WIM428" s="380"/>
      <c r="WIN428" s="2"/>
      <c r="WIO428" s="405"/>
      <c r="WIP428" s="54"/>
      <c r="WIQ428" s="239"/>
      <c r="WIR428" s="54"/>
      <c r="WIS428" s="232"/>
      <c r="WIT428" s="2"/>
      <c r="WIU428" s="2"/>
      <c r="WIV428" s="2"/>
      <c r="WIW428" s="2"/>
      <c r="WIX428" s="260"/>
      <c r="WIY428" s="260"/>
      <c r="WIZ428" s="260"/>
      <c r="WJA428" s="260"/>
      <c r="WJB428" s="260"/>
      <c r="WJC428" s="260"/>
      <c r="WJD428" s="260"/>
      <c r="WJE428" s="260"/>
      <c r="WJF428" s="260"/>
      <c r="WJG428" s="260"/>
      <c r="WJH428" s="260"/>
      <c r="WJI428" s="260"/>
      <c r="WJJ428" s="260"/>
      <c r="WJK428" s="2"/>
      <c r="WJL428" s="2"/>
      <c r="WJM428" s="2"/>
      <c r="WJN428" s="2"/>
      <c r="WJO428" s="2"/>
      <c r="WJP428" s="2"/>
      <c r="WJQ428" s="2"/>
      <c r="WJR428" s="2"/>
      <c r="WJS428" s="2"/>
      <c r="WJT428" s="2"/>
      <c r="WJU428" s="2"/>
      <c r="WJV428" s="2"/>
      <c r="WJW428" s="2"/>
      <c r="WJX428" s="2"/>
      <c r="WJY428" s="2"/>
      <c r="WJZ428" s="260"/>
      <c r="WKA428" s="260"/>
      <c r="WKB428" s="260"/>
      <c r="WKC428" s="380"/>
      <c r="WKD428" s="380"/>
      <c r="WKE428" s="380"/>
      <c r="WKF428" s="2"/>
      <c r="WKG428" s="405"/>
      <c r="WKH428" s="54"/>
      <c r="WKI428" s="239"/>
      <c r="WKJ428" s="54"/>
      <c r="WKK428" s="232"/>
      <c r="WKL428" s="2"/>
      <c r="WKM428" s="2"/>
      <c r="WKN428" s="2"/>
      <c r="WKO428" s="2"/>
      <c r="WKP428" s="260"/>
      <c r="WKQ428" s="260"/>
      <c r="WKR428" s="260"/>
      <c r="WKS428" s="260"/>
      <c r="WKT428" s="260"/>
      <c r="WKU428" s="260"/>
      <c r="WKV428" s="260"/>
      <c r="WKW428" s="260"/>
      <c r="WKX428" s="260"/>
      <c r="WKY428" s="260"/>
      <c r="WKZ428" s="260"/>
      <c r="WLA428" s="260"/>
      <c r="WLB428" s="260"/>
      <c r="WLC428" s="2"/>
      <c r="WLD428" s="2"/>
      <c r="WLE428" s="2"/>
      <c r="WLF428" s="2"/>
      <c r="WLG428" s="2"/>
      <c r="WLH428" s="2"/>
      <c r="WLI428" s="2"/>
      <c r="WLJ428" s="2"/>
      <c r="WLK428" s="2"/>
      <c r="WLL428" s="2"/>
      <c r="WLM428" s="2"/>
      <c r="WLN428" s="2"/>
      <c r="WLO428" s="2"/>
      <c r="WLP428" s="2"/>
      <c r="WLQ428" s="2"/>
      <c r="WLR428" s="260"/>
      <c r="WLS428" s="260"/>
      <c r="WLT428" s="260"/>
      <c r="WLU428" s="380"/>
      <c r="WLV428" s="380"/>
      <c r="WLW428" s="380"/>
      <c r="WLX428" s="2"/>
      <c r="WLY428" s="405"/>
      <c r="WLZ428" s="54"/>
      <c r="WMA428" s="239"/>
      <c r="WMB428" s="54"/>
      <c r="WMC428" s="232"/>
      <c r="WMD428" s="2"/>
      <c r="WME428" s="2"/>
      <c r="WMF428" s="2"/>
      <c r="WMG428" s="2"/>
      <c r="WMH428" s="260"/>
      <c r="WMI428" s="260"/>
      <c r="WMJ428" s="260"/>
      <c r="WMK428" s="260"/>
      <c r="WML428" s="260"/>
      <c r="WMM428" s="260"/>
      <c r="WMN428" s="260"/>
      <c r="WMO428" s="260"/>
      <c r="WMP428" s="260"/>
      <c r="WMQ428" s="260"/>
      <c r="WMR428" s="260"/>
      <c r="WMS428" s="260"/>
      <c r="WMT428" s="260"/>
      <c r="WMU428" s="2"/>
      <c r="WMV428" s="2"/>
      <c r="WMW428" s="2"/>
      <c r="WMX428" s="2"/>
      <c r="WMY428" s="2"/>
      <c r="WMZ428" s="2"/>
      <c r="WNA428" s="2"/>
      <c r="WNB428" s="2"/>
      <c r="WNC428" s="2"/>
      <c r="WND428" s="2"/>
      <c r="WNE428" s="2"/>
      <c r="WNF428" s="2"/>
      <c r="WNG428" s="2"/>
      <c r="WNH428" s="2"/>
      <c r="WNI428" s="2"/>
      <c r="WNJ428" s="260"/>
      <c r="WNK428" s="260"/>
      <c r="WNL428" s="260"/>
      <c r="WNM428" s="380"/>
      <c r="WNN428" s="380"/>
      <c r="WNO428" s="380"/>
      <c r="WNP428" s="2"/>
      <c r="WNQ428" s="405"/>
      <c r="WNR428" s="54"/>
      <c r="WNS428" s="239"/>
      <c r="WNT428" s="54"/>
      <c r="WNU428" s="232"/>
      <c r="WNV428" s="2"/>
      <c r="WNW428" s="2"/>
      <c r="WNX428" s="2"/>
      <c r="WNY428" s="2"/>
      <c r="WNZ428" s="260"/>
      <c r="WOA428" s="260"/>
      <c r="WOB428" s="260"/>
      <c r="WOC428" s="260"/>
      <c r="WOD428" s="260"/>
      <c r="WOE428" s="260"/>
      <c r="WOF428" s="260"/>
      <c r="WOG428" s="260"/>
      <c r="WOH428" s="260"/>
      <c r="WOI428" s="260"/>
      <c r="WOJ428" s="260"/>
      <c r="WOK428" s="260"/>
      <c r="WOL428" s="260"/>
      <c r="WOM428" s="2"/>
      <c r="WON428" s="2"/>
      <c r="WOO428" s="2"/>
      <c r="WOP428" s="2"/>
      <c r="WOQ428" s="2"/>
      <c r="WOR428" s="2"/>
      <c r="WOS428" s="2"/>
      <c r="WOT428" s="2"/>
      <c r="WOU428" s="2"/>
      <c r="WOV428" s="2"/>
      <c r="WOW428" s="2"/>
      <c r="WOX428" s="2"/>
      <c r="WOY428" s="2"/>
      <c r="WOZ428" s="2"/>
      <c r="WPA428" s="2"/>
      <c r="WPB428" s="260"/>
      <c r="WPC428" s="260"/>
      <c r="WPD428" s="260"/>
      <c r="WPE428" s="380"/>
      <c r="WPF428" s="380"/>
      <c r="WPG428" s="380"/>
      <c r="WPH428" s="2"/>
      <c r="WPI428" s="405"/>
      <c r="WPJ428" s="54"/>
      <c r="WPK428" s="239"/>
      <c r="WPL428" s="54"/>
      <c r="WPM428" s="232"/>
      <c r="WPN428" s="2"/>
      <c r="WPO428" s="2"/>
      <c r="WPP428" s="2"/>
      <c r="WPQ428" s="2"/>
      <c r="WPR428" s="260"/>
      <c r="WPS428" s="260"/>
      <c r="WPT428" s="260"/>
      <c r="WPU428" s="260"/>
      <c r="WPV428" s="260"/>
      <c r="WPW428" s="260"/>
      <c r="WPX428" s="260"/>
      <c r="WPY428" s="260"/>
      <c r="WPZ428" s="260"/>
      <c r="WQA428" s="260"/>
      <c r="WQB428" s="260"/>
      <c r="WQC428" s="260"/>
      <c r="WQD428" s="260"/>
      <c r="WQE428" s="2"/>
      <c r="WQF428" s="2"/>
      <c r="WQG428" s="2"/>
      <c r="WQH428" s="2"/>
      <c r="WQI428" s="2"/>
      <c r="WQJ428" s="2"/>
      <c r="WQK428" s="2"/>
      <c r="WQL428" s="2"/>
      <c r="WQM428" s="2"/>
      <c r="WQN428" s="2"/>
      <c r="WQO428" s="2"/>
      <c r="WQP428" s="2"/>
      <c r="WQQ428" s="2"/>
      <c r="WQR428" s="2"/>
      <c r="WQS428" s="2"/>
      <c r="WQT428" s="260"/>
      <c r="WQU428" s="260"/>
      <c r="WQV428" s="260"/>
      <c r="WQW428" s="380"/>
      <c r="WQX428" s="380"/>
      <c r="WQY428" s="380"/>
      <c r="WQZ428" s="2"/>
      <c r="WRA428" s="405"/>
      <c r="WRB428" s="54"/>
      <c r="WRC428" s="239"/>
      <c r="WRD428" s="54"/>
      <c r="WRE428" s="232"/>
      <c r="WRF428" s="2"/>
      <c r="WRG428" s="2"/>
      <c r="WRH428" s="2"/>
      <c r="WRI428" s="2"/>
      <c r="WRJ428" s="260"/>
      <c r="WRK428" s="260"/>
      <c r="WRL428" s="260"/>
      <c r="WRM428" s="260"/>
      <c r="WRN428" s="260"/>
      <c r="WRO428" s="260"/>
      <c r="WRP428" s="260"/>
      <c r="WRQ428" s="260"/>
      <c r="WRR428" s="260"/>
      <c r="WRS428" s="260"/>
      <c r="WRT428" s="260"/>
      <c r="WRU428" s="260"/>
      <c r="WRV428" s="260"/>
      <c r="WRW428" s="2"/>
      <c r="WRX428" s="2"/>
      <c r="WRY428" s="2"/>
      <c r="WRZ428" s="2"/>
      <c r="WSA428" s="2"/>
      <c r="WSB428" s="2"/>
      <c r="WSC428" s="2"/>
      <c r="WSD428" s="2"/>
      <c r="WSE428" s="2"/>
      <c r="WSF428" s="2"/>
      <c r="WSG428" s="2"/>
      <c r="WSH428" s="2"/>
      <c r="WSI428" s="2"/>
      <c r="WSJ428" s="2"/>
      <c r="WSK428" s="2"/>
      <c r="WSL428" s="260"/>
      <c r="WSM428" s="260"/>
      <c r="WSN428" s="260"/>
      <c r="WSO428" s="380"/>
      <c r="WSP428" s="380"/>
      <c r="WSQ428" s="380"/>
      <c r="WSR428" s="2"/>
      <c r="WSS428" s="405"/>
      <c r="WST428" s="54"/>
      <c r="WSU428" s="239"/>
      <c r="WSV428" s="54"/>
      <c r="WSW428" s="232"/>
      <c r="WSX428" s="2"/>
      <c r="WSY428" s="2"/>
      <c r="WSZ428" s="2"/>
      <c r="WTA428" s="2"/>
      <c r="WTB428" s="260"/>
      <c r="WTC428" s="260"/>
      <c r="WTD428" s="260"/>
      <c r="WTE428" s="260"/>
      <c r="WTF428" s="260"/>
      <c r="WTG428" s="260"/>
      <c r="WTH428" s="260"/>
      <c r="WTI428" s="260"/>
      <c r="WTJ428" s="260"/>
      <c r="WTK428" s="260"/>
      <c r="WTL428" s="260"/>
      <c r="WTM428" s="260"/>
      <c r="WTN428" s="260"/>
      <c r="WTO428" s="2"/>
      <c r="WTP428" s="2"/>
      <c r="WTQ428" s="2"/>
      <c r="WTR428" s="2"/>
      <c r="WTS428" s="2"/>
      <c r="WTT428" s="2"/>
      <c r="WTU428" s="2"/>
      <c r="WTV428" s="2"/>
      <c r="WTW428" s="2"/>
      <c r="WTX428" s="2"/>
      <c r="WTY428" s="2"/>
      <c r="WTZ428" s="2"/>
      <c r="WUA428" s="2"/>
      <c r="WUB428" s="2"/>
      <c r="WUC428" s="2"/>
      <c r="WUD428" s="260"/>
      <c r="WUE428" s="260"/>
      <c r="WUF428" s="260"/>
      <c r="WUG428" s="380"/>
      <c r="WUH428" s="380"/>
      <c r="WUI428" s="380"/>
      <c r="WUJ428" s="2"/>
      <c r="WUK428" s="405"/>
      <c r="WUL428" s="54"/>
      <c r="WUM428" s="239"/>
      <c r="WUN428" s="54"/>
      <c r="WUO428" s="232"/>
      <c r="WUP428" s="2"/>
      <c r="WUQ428" s="2"/>
      <c r="WUR428" s="2"/>
      <c r="WUS428" s="2"/>
      <c r="WUT428" s="260"/>
      <c r="WUU428" s="260"/>
      <c r="WUV428" s="260"/>
      <c r="WUW428" s="260"/>
      <c r="WUX428" s="260"/>
      <c r="WUY428" s="260"/>
      <c r="WUZ428" s="260"/>
      <c r="WVA428" s="260"/>
      <c r="WVB428" s="260"/>
      <c r="WVC428" s="260"/>
      <c r="WVD428" s="260"/>
      <c r="WVE428" s="260"/>
      <c r="WVF428" s="260"/>
      <c r="WVG428" s="2"/>
      <c r="WVH428" s="2"/>
      <c r="WVI428" s="2"/>
      <c r="WVJ428" s="2"/>
      <c r="WVK428" s="2"/>
      <c r="WVL428" s="2"/>
      <c r="WVM428" s="2"/>
      <c r="WVN428" s="2"/>
      <c r="WVO428" s="2"/>
      <c r="WVP428" s="2"/>
      <c r="WVQ428" s="2"/>
      <c r="WVR428" s="2"/>
      <c r="WVS428" s="2"/>
      <c r="WVT428" s="2"/>
      <c r="WVU428" s="2"/>
      <c r="WVV428" s="260"/>
      <c r="WVW428" s="260"/>
      <c r="WVX428" s="260"/>
      <c r="WVY428" s="380"/>
      <c r="WVZ428" s="380"/>
      <c r="WWA428" s="380"/>
      <c r="WWB428" s="2"/>
      <c r="WWC428" s="405"/>
      <c r="WWD428" s="54"/>
      <c r="WWE428" s="239"/>
      <c r="WWF428" s="54"/>
      <c r="WWG428" s="232"/>
      <c r="WWH428" s="2"/>
      <c r="WWI428" s="2"/>
      <c r="WWJ428" s="2"/>
      <c r="WWK428" s="2"/>
      <c r="WWL428" s="260"/>
      <c r="WWM428" s="260"/>
      <c r="WWN428" s="260"/>
      <c r="WWO428" s="260"/>
      <c r="WWP428" s="260"/>
      <c r="WWQ428" s="260"/>
      <c r="WWR428" s="260"/>
      <c r="WWS428" s="260"/>
      <c r="WWT428" s="260"/>
      <c r="WWU428" s="260"/>
      <c r="WWV428" s="260"/>
      <c r="WWW428" s="260"/>
      <c r="WWX428" s="260"/>
      <c r="WWY428" s="2"/>
      <c r="WWZ428" s="2"/>
      <c r="WXA428" s="2"/>
      <c r="WXB428" s="2"/>
      <c r="WXC428" s="2"/>
      <c r="WXD428" s="2"/>
      <c r="WXE428" s="2"/>
      <c r="WXF428" s="2"/>
      <c r="WXG428" s="2"/>
      <c r="WXH428" s="2"/>
      <c r="WXI428" s="2"/>
      <c r="WXJ428" s="2"/>
      <c r="WXK428" s="2"/>
      <c r="WXL428" s="2"/>
      <c r="WXM428" s="2"/>
      <c r="WXN428" s="260"/>
      <c r="WXO428" s="260"/>
      <c r="WXP428" s="260"/>
      <c r="WXQ428" s="380"/>
      <c r="WXR428" s="380"/>
      <c r="WXS428" s="380"/>
      <c r="WXT428" s="2"/>
      <c r="WXU428" s="405"/>
      <c r="WXV428" s="54"/>
      <c r="WXW428" s="239"/>
      <c r="WXX428" s="54"/>
      <c r="WXY428" s="232"/>
      <c r="WXZ428" s="2"/>
      <c r="WYA428" s="2"/>
      <c r="WYB428" s="2"/>
      <c r="WYC428" s="2"/>
      <c r="WYD428" s="260"/>
      <c r="WYE428" s="260"/>
      <c r="WYF428" s="260"/>
      <c r="WYG428" s="260"/>
      <c r="WYH428" s="260"/>
      <c r="WYI428" s="260"/>
      <c r="WYJ428" s="260"/>
      <c r="WYK428" s="260"/>
      <c r="WYL428" s="260"/>
      <c r="WYM428" s="260"/>
      <c r="WYN428" s="260"/>
      <c r="WYO428" s="260"/>
      <c r="WYP428" s="260"/>
      <c r="WYQ428" s="2"/>
      <c r="WYR428" s="2"/>
      <c r="WYS428" s="2"/>
      <c r="WYT428" s="2"/>
      <c r="WYU428" s="2"/>
      <c r="WYV428" s="2"/>
      <c r="WYW428" s="2"/>
      <c r="WYX428" s="2"/>
      <c r="WYY428" s="2"/>
      <c r="WYZ428" s="2"/>
      <c r="WZA428" s="2"/>
      <c r="WZB428" s="2"/>
      <c r="WZC428" s="2"/>
      <c r="WZD428" s="2"/>
      <c r="WZE428" s="2"/>
      <c r="WZF428" s="260"/>
      <c r="WZG428" s="260"/>
      <c r="WZH428" s="260"/>
      <c r="WZI428" s="380"/>
      <c r="WZJ428" s="380"/>
      <c r="WZK428" s="380"/>
      <c r="WZL428" s="2"/>
      <c r="WZM428" s="405"/>
      <c r="WZN428" s="54"/>
      <c r="WZO428" s="239"/>
      <c r="WZP428" s="54"/>
      <c r="WZQ428" s="232"/>
      <c r="WZR428" s="2"/>
      <c r="WZS428" s="2"/>
      <c r="WZT428" s="2"/>
      <c r="WZU428" s="2"/>
      <c r="WZV428" s="260"/>
      <c r="WZW428" s="260"/>
      <c r="WZX428" s="260"/>
      <c r="WZY428" s="260"/>
      <c r="WZZ428" s="260"/>
      <c r="XAA428" s="260"/>
      <c r="XAB428" s="260"/>
      <c r="XAC428" s="260"/>
      <c r="XAD428" s="260"/>
      <c r="XAE428" s="260"/>
      <c r="XAF428" s="260"/>
      <c r="XAG428" s="260"/>
      <c r="XAH428" s="260"/>
      <c r="XAI428" s="2"/>
      <c r="XAJ428" s="2"/>
      <c r="XAK428" s="2"/>
      <c r="XAL428" s="2"/>
      <c r="XAM428" s="2"/>
      <c r="XAN428" s="2"/>
      <c r="XAO428" s="2"/>
      <c r="XAP428" s="2"/>
      <c r="XAQ428" s="2"/>
      <c r="XAR428" s="2"/>
      <c r="XAS428" s="2"/>
      <c r="XAT428" s="2"/>
      <c r="XAU428" s="2"/>
      <c r="XAV428" s="2"/>
      <c r="XAW428" s="2"/>
      <c r="XAX428" s="260"/>
      <c r="XAY428" s="260"/>
      <c r="XAZ428" s="260"/>
      <c r="XBA428" s="380"/>
      <c r="XBB428" s="380"/>
      <c r="XBC428" s="380"/>
      <c r="XBD428" s="2"/>
      <c r="XBE428" s="405"/>
      <c r="XBF428" s="54"/>
      <c r="XBG428" s="239"/>
      <c r="XBH428" s="54"/>
      <c r="XBI428" s="232"/>
      <c r="XBJ428" s="2"/>
      <c r="XBK428" s="2"/>
      <c r="XBL428" s="2"/>
      <c r="XBM428" s="2"/>
      <c r="XBN428" s="260"/>
      <c r="XBO428" s="260"/>
      <c r="XBP428" s="260"/>
      <c r="XBQ428" s="260"/>
      <c r="XBR428" s="260"/>
      <c r="XBS428" s="260"/>
      <c r="XBT428" s="260"/>
      <c r="XBU428" s="260"/>
      <c r="XBV428" s="260"/>
      <c r="XBW428" s="260"/>
      <c r="XBX428" s="260"/>
      <c r="XBY428" s="260"/>
      <c r="XBZ428" s="260"/>
      <c r="XCA428" s="2"/>
      <c r="XCB428" s="2"/>
      <c r="XCC428" s="2"/>
      <c r="XCD428" s="2"/>
      <c r="XCE428" s="2"/>
      <c r="XCF428" s="2"/>
      <c r="XCG428" s="2"/>
      <c r="XCH428" s="2"/>
      <c r="XCI428" s="2"/>
      <c r="XCJ428" s="2"/>
      <c r="XCK428" s="2"/>
      <c r="XCL428" s="2"/>
      <c r="XCM428" s="2"/>
      <c r="XCN428" s="2"/>
      <c r="XCO428" s="2"/>
      <c r="XCP428" s="260"/>
      <c r="XCQ428" s="260"/>
      <c r="XCR428" s="260"/>
      <c r="XCS428" s="380"/>
      <c r="XCT428" s="380"/>
      <c r="XCU428" s="380"/>
      <c r="XCV428" s="2"/>
      <c r="XCW428" s="405"/>
      <c r="XCX428" s="54"/>
      <c r="XCY428" s="239"/>
      <c r="XCZ428" s="54"/>
      <c r="XDA428" s="232"/>
      <c r="XDB428" s="2"/>
      <c r="XDC428" s="2"/>
      <c r="XDD428" s="2"/>
      <c r="XDE428" s="2"/>
      <c r="XDF428" s="260"/>
      <c r="XDG428" s="260"/>
      <c r="XDH428" s="260"/>
      <c r="XDI428" s="260"/>
      <c r="XDJ428" s="260"/>
      <c r="XDK428" s="260"/>
      <c r="XDL428" s="260"/>
      <c r="XDM428" s="260"/>
      <c r="XDN428" s="260"/>
      <c r="XDO428" s="260"/>
      <c r="XDP428" s="260"/>
      <c r="XDQ428" s="260"/>
      <c r="XDR428" s="260"/>
      <c r="XDS428" s="2"/>
      <c r="XDT428" s="2"/>
      <c r="XDU428" s="2"/>
      <c r="XDV428" s="2"/>
      <c r="XDW428" s="2"/>
      <c r="XDX428" s="2"/>
      <c r="XDY428" s="2"/>
      <c r="XDZ428" s="2"/>
      <c r="XEA428" s="2"/>
      <c r="XEB428" s="2"/>
      <c r="XEC428" s="2"/>
      <c r="XED428" s="2"/>
      <c r="XEE428" s="2"/>
      <c r="XEF428" s="2"/>
      <c r="XEG428" s="2"/>
      <c r="XEH428" s="260"/>
      <c r="XEI428" s="260"/>
      <c r="XEJ428" s="260"/>
      <c r="XEK428" s="380"/>
      <c r="XEL428" s="380"/>
      <c r="XEM428" s="380"/>
      <c r="XEN428" s="2"/>
      <c r="XEO428" s="405"/>
      <c r="XEP428" s="54"/>
      <c r="XEQ428" s="239"/>
      <c r="XER428" s="54"/>
      <c r="XES428" s="232"/>
      <c r="XET428" s="2"/>
      <c r="XEU428" s="2"/>
      <c r="XEV428" s="2"/>
      <c r="XEW428" s="2"/>
      <c r="XEX428" s="260"/>
      <c r="XEY428" s="260"/>
      <c r="XEZ428" s="260"/>
      <c r="XFA428" s="260"/>
      <c r="XFB428" s="260"/>
      <c r="XFC428" s="260"/>
      <c r="XFD428" s="260"/>
    </row>
    <row r="429" spans="1:16384" customFormat="1" ht="18" customHeight="1" x14ac:dyDescent="0.25">
      <c r="A429" s="405" t="s">
        <v>19</v>
      </c>
      <c r="B429" s="54"/>
      <c r="C429" s="239" t="s">
        <v>1137</v>
      </c>
      <c r="D429" s="54" t="s">
        <v>197</v>
      </c>
      <c r="E429" s="232">
        <v>140</v>
      </c>
      <c r="F429" s="2" t="s">
        <v>844</v>
      </c>
      <c r="G429" s="2" t="s">
        <v>435</v>
      </c>
      <c r="H429" s="2" t="s">
        <v>436</v>
      </c>
      <c r="I429" s="2"/>
      <c r="J429" s="260">
        <v>1280799</v>
      </c>
      <c r="K429" s="260">
        <v>1290445</v>
      </c>
      <c r="L429" s="260"/>
      <c r="M429" s="260"/>
      <c r="N429" s="260"/>
      <c r="O429" s="260"/>
      <c r="P429" s="260"/>
      <c r="Q429" s="260"/>
      <c r="R429" s="260"/>
      <c r="S429" s="260"/>
      <c r="T429" s="260"/>
      <c r="U429" s="260"/>
      <c r="V429" s="260"/>
      <c r="W429" s="2"/>
      <c r="X429" s="2"/>
      <c r="Y429" s="2">
        <f t="shared" si="214"/>
        <v>9646</v>
      </c>
      <c r="Z429" s="2" t="str">
        <f t="shared" si="215"/>
        <v/>
      </c>
      <c r="AA429" s="2" t="str">
        <f t="shared" si="216"/>
        <v/>
      </c>
      <c r="AB429" s="2" t="str">
        <f t="shared" si="217"/>
        <v/>
      </c>
      <c r="AC429" s="2" t="str">
        <f t="shared" si="203"/>
        <v/>
      </c>
      <c r="AD429" s="2" t="str">
        <f t="shared" si="204"/>
        <v/>
      </c>
      <c r="AE429" s="2" t="str">
        <f t="shared" si="205"/>
        <v/>
      </c>
      <c r="AF429" s="2" t="str">
        <f t="shared" si="206"/>
        <v/>
      </c>
      <c r="AG429" s="2" t="str">
        <f t="shared" si="207"/>
        <v/>
      </c>
      <c r="AH429" s="2" t="str">
        <f t="shared" si="208"/>
        <v/>
      </c>
      <c r="AI429" s="2" t="str">
        <f t="shared" si="209"/>
        <v/>
      </c>
      <c r="AJ429" s="2" t="str">
        <f t="shared" si="210"/>
        <v/>
      </c>
      <c r="AK429" s="2">
        <v>1</v>
      </c>
      <c r="AL429" s="260">
        <f t="shared" ca="1" si="218"/>
        <v>0</v>
      </c>
      <c r="AM429" s="260">
        <f t="shared" ca="1" si="219"/>
        <v>0</v>
      </c>
      <c r="AN429" s="260" t="str">
        <f ca="1">IF(AND(Tabla7[[#This Row],[UltLec]]&lt;&gt;0,Tabla7[[#This Row],[PenLect]]&lt;&gt;0),(AM429-AL429)*Tabla7[[#This Row],[RT]],"N/A")</f>
        <v>N/A</v>
      </c>
      <c r="AO429" s="380" t="s">
        <v>813</v>
      </c>
      <c r="AP429" s="380" t="s">
        <v>1076</v>
      </c>
      <c r="AQ429" s="380" t="s">
        <v>771</v>
      </c>
      <c r="AR429" s="2">
        <f t="shared" si="220"/>
        <v>0</v>
      </c>
      <c r="AT429" s="2" t="e">
        <f t="shared" ca="1" si="213"/>
        <v>#VALUE!</v>
      </c>
    </row>
    <row r="430" spans="1:16384" customFormat="1" ht="18.75" customHeight="1" x14ac:dyDescent="0.25">
      <c r="A430" s="291" t="s">
        <v>19</v>
      </c>
      <c r="B430" s="54">
        <v>476</v>
      </c>
      <c r="C430" s="239" t="s">
        <v>1144</v>
      </c>
      <c r="D430" s="54" t="s">
        <v>197</v>
      </c>
      <c r="E430" s="232">
        <v>39783</v>
      </c>
      <c r="F430" s="2" t="s">
        <v>212</v>
      </c>
      <c r="G430" s="2" t="s">
        <v>213</v>
      </c>
      <c r="H430" s="2"/>
      <c r="I430" s="2"/>
      <c r="J430" s="260">
        <v>177979</v>
      </c>
      <c r="K430" s="260">
        <v>178704</v>
      </c>
      <c r="L430" s="260"/>
      <c r="M430" s="260"/>
      <c r="N430" s="260"/>
      <c r="O430" s="260"/>
      <c r="P430" s="260"/>
      <c r="Q430" s="260"/>
      <c r="R430" s="260"/>
      <c r="S430" s="260"/>
      <c r="T430" s="260"/>
      <c r="U430" s="260"/>
      <c r="V430" s="260"/>
      <c r="W430" s="2"/>
      <c r="X430" s="2"/>
      <c r="Y430" s="2">
        <f t="shared" si="214"/>
        <v>725</v>
      </c>
      <c r="Z430" s="2" t="str">
        <f t="shared" si="215"/>
        <v/>
      </c>
      <c r="AA430" s="2" t="str">
        <f t="shared" si="216"/>
        <v/>
      </c>
      <c r="AB430" s="2" t="str">
        <f t="shared" si="217"/>
        <v/>
      </c>
      <c r="AC430" s="2" t="str">
        <f t="shared" si="203"/>
        <v/>
      </c>
      <c r="AD430" s="2" t="str">
        <f t="shared" si="204"/>
        <v/>
      </c>
      <c r="AE430" s="2" t="str">
        <f t="shared" si="205"/>
        <v/>
      </c>
      <c r="AF430" s="2" t="str">
        <f t="shared" si="206"/>
        <v/>
      </c>
      <c r="AG430" s="2" t="str">
        <f t="shared" si="207"/>
        <v/>
      </c>
      <c r="AH430" s="2" t="str">
        <f t="shared" si="208"/>
        <v/>
      </c>
      <c r="AI430" s="2" t="str">
        <f t="shared" si="209"/>
        <v/>
      </c>
      <c r="AJ430" s="2" t="str">
        <f t="shared" si="210"/>
        <v/>
      </c>
      <c r="AK430" s="2">
        <v>1</v>
      </c>
      <c r="AL430" s="260">
        <f t="shared" ca="1" si="218"/>
        <v>0</v>
      </c>
      <c r="AM430" s="260">
        <f t="shared" ca="1" si="219"/>
        <v>0</v>
      </c>
      <c r="AN430" s="260" t="str">
        <f ca="1">IF(AND(Tabla7[[#This Row],[UltLec]]&lt;&gt;0,Tabla7[[#This Row],[PenLect]]&lt;&gt;0),(AM430-AL430)*Tabla7[[#This Row],[RT]],"N/A")</f>
        <v>N/A</v>
      </c>
      <c r="AO430" s="380" t="s">
        <v>813</v>
      </c>
      <c r="AP430" s="380" t="s">
        <v>1075</v>
      </c>
      <c r="AQ430" s="380" t="s">
        <v>1074</v>
      </c>
      <c r="AR430" s="2">
        <f t="shared" si="220"/>
        <v>0</v>
      </c>
      <c r="AT430" s="2" t="e">
        <f t="shared" ca="1" si="213"/>
        <v>#VALUE!</v>
      </c>
    </row>
    <row r="431" spans="1:16384" customFormat="1" ht="18.75" customHeight="1" x14ac:dyDescent="0.25">
      <c r="A431" s="291" t="s">
        <v>19</v>
      </c>
      <c r="B431" s="54">
        <v>1710</v>
      </c>
      <c r="C431" s="239" t="s">
        <v>1304</v>
      </c>
      <c r="D431" s="54" t="s">
        <v>197</v>
      </c>
      <c r="E431" s="232">
        <v>39662</v>
      </c>
      <c r="F431" s="2" t="s">
        <v>1305</v>
      </c>
      <c r="G431" s="2" t="s">
        <v>1239</v>
      </c>
      <c r="H431" s="2"/>
      <c r="I431" s="2" t="s">
        <v>1306</v>
      </c>
      <c r="J431" s="260">
        <v>527</v>
      </c>
      <c r="K431" s="260">
        <v>536</v>
      </c>
      <c r="L431" s="260"/>
      <c r="M431" s="260"/>
      <c r="N431" s="260"/>
      <c r="O431" s="260"/>
      <c r="P431" s="308"/>
      <c r="Q431" s="260"/>
      <c r="R431" s="260"/>
      <c r="S431" s="260"/>
      <c r="T431" s="260"/>
      <c r="U431" s="260"/>
      <c r="V431" s="260"/>
      <c r="W431" s="2"/>
      <c r="X431" s="2"/>
      <c r="Y431" s="2">
        <f t="shared" si="214"/>
        <v>9</v>
      </c>
      <c r="Z431" s="2" t="str">
        <f t="shared" si="215"/>
        <v/>
      </c>
      <c r="AA431" s="2" t="str">
        <f t="shared" si="216"/>
        <v/>
      </c>
      <c r="AB431" s="2" t="str">
        <f t="shared" si="217"/>
        <v/>
      </c>
      <c r="AC431" s="2" t="str">
        <f t="shared" si="203"/>
        <v/>
      </c>
      <c r="AD431" s="2" t="str">
        <f t="shared" si="204"/>
        <v/>
      </c>
      <c r="AE431" s="2" t="str">
        <f t="shared" si="205"/>
        <v/>
      </c>
      <c r="AF431" s="2" t="str">
        <f t="shared" si="206"/>
        <v/>
      </c>
      <c r="AG431" s="2" t="str">
        <f t="shared" si="207"/>
        <v/>
      </c>
      <c r="AH431" s="2" t="str">
        <f t="shared" si="208"/>
        <v/>
      </c>
      <c r="AI431" s="2" t="str">
        <f t="shared" si="209"/>
        <v/>
      </c>
      <c r="AJ431" s="2" t="str">
        <f t="shared" si="210"/>
        <v/>
      </c>
      <c r="AK431" s="2">
        <v>1</v>
      </c>
      <c r="AL431" s="260">
        <f t="shared" ca="1" si="218"/>
        <v>0</v>
      </c>
      <c r="AM431" s="260">
        <f t="shared" ca="1" si="219"/>
        <v>0</v>
      </c>
      <c r="AN431" s="260" t="str">
        <f ca="1">IF(AND(Tabla7[[#This Row],[UltLec]]&lt;&gt;0,Tabla7[[#This Row],[PenLect]]&lt;&gt;0),(AM431-AL431)*Tabla7[[#This Row],[RT]],"N/A")</f>
        <v>N/A</v>
      </c>
      <c r="AO431" s="380" t="s">
        <v>813</v>
      </c>
      <c r="AP431" s="380" t="s">
        <v>1075</v>
      </c>
      <c r="AQ431" s="380" t="s">
        <v>1074</v>
      </c>
      <c r="AR431" s="2">
        <f t="shared" si="220"/>
        <v>0</v>
      </c>
      <c r="AT431" s="2" t="e">
        <f t="shared" ca="1" si="213"/>
        <v>#VALUE!</v>
      </c>
    </row>
    <row r="432" spans="1:16384" customFormat="1" ht="18.75" customHeight="1" x14ac:dyDescent="0.25">
      <c r="A432" s="291" t="s">
        <v>19</v>
      </c>
      <c r="B432" s="54"/>
      <c r="C432" s="239" t="s">
        <v>167</v>
      </c>
      <c r="D432" s="54" t="s">
        <v>197</v>
      </c>
      <c r="E432" s="232">
        <v>39927</v>
      </c>
      <c r="F432" s="2" t="s">
        <v>1367</v>
      </c>
      <c r="G432" s="2" t="s">
        <v>1239</v>
      </c>
      <c r="H432" s="2" t="s">
        <v>1368</v>
      </c>
      <c r="I432" s="2" t="s">
        <v>1369</v>
      </c>
      <c r="J432" s="260">
        <v>63118</v>
      </c>
      <c r="K432" s="260">
        <v>65628</v>
      </c>
      <c r="L432" s="260"/>
      <c r="M432" s="260"/>
      <c r="N432" s="260"/>
      <c r="O432" s="260"/>
      <c r="P432" s="260"/>
      <c r="Q432" s="260"/>
      <c r="R432" s="260"/>
      <c r="S432" s="260"/>
      <c r="T432" s="260"/>
      <c r="U432" s="260"/>
      <c r="V432" s="260"/>
      <c r="W432" s="2"/>
      <c r="X432" s="2"/>
      <c r="Y432" s="2">
        <f t="shared" si="214"/>
        <v>2510</v>
      </c>
      <c r="Z432" s="2" t="str">
        <f t="shared" si="215"/>
        <v/>
      </c>
      <c r="AA432" s="2" t="str">
        <f t="shared" si="216"/>
        <v/>
      </c>
      <c r="AB432" s="2" t="str">
        <f t="shared" si="217"/>
        <v/>
      </c>
      <c r="AC432" s="2" t="str">
        <f t="shared" si="203"/>
        <v/>
      </c>
      <c r="AD432" s="2" t="str">
        <f t="shared" si="204"/>
        <v/>
      </c>
      <c r="AE432" s="2" t="str">
        <f t="shared" si="205"/>
        <v/>
      </c>
      <c r="AF432" s="2" t="str">
        <f t="shared" si="206"/>
        <v/>
      </c>
      <c r="AG432" s="2" t="str">
        <f t="shared" si="207"/>
        <v/>
      </c>
      <c r="AH432" s="2" t="str">
        <f t="shared" si="208"/>
        <v/>
      </c>
      <c r="AI432" s="2" t="str">
        <f t="shared" si="209"/>
        <v/>
      </c>
      <c r="AJ432" s="2" t="str">
        <f t="shared" si="210"/>
        <v/>
      </c>
      <c r="AK432" s="2">
        <v>1</v>
      </c>
      <c r="AL432" s="260">
        <f t="shared" ca="1" si="218"/>
        <v>0</v>
      </c>
      <c r="AM432" s="260">
        <f t="shared" ca="1" si="219"/>
        <v>0</v>
      </c>
      <c r="AN432" s="260" t="str">
        <f ca="1">IF(AND(Tabla7[[#This Row],[UltLec]]&lt;&gt;0,Tabla7[[#This Row],[PenLect]]&lt;&gt;0),(AM432-AL432)*Tabla7[[#This Row],[RT]],"N/A")</f>
        <v>N/A</v>
      </c>
      <c r="AO432" s="380" t="s">
        <v>813</v>
      </c>
      <c r="AP432" s="380" t="s">
        <v>1075</v>
      </c>
      <c r="AQ432" s="380" t="s">
        <v>1074</v>
      </c>
      <c r="AR432" s="2">
        <f t="shared" si="220"/>
        <v>0</v>
      </c>
      <c r="AT432" s="2" t="e">
        <f t="shared" ca="1" si="213"/>
        <v>#VALUE!</v>
      </c>
    </row>
    <row r="433" spans="1:46" ht="18.75" customHeight="1" x14ac:dyDescent="0.25">
      <c r="A433" s="291" t="s">
        <v>19</v>
      </c>
      <c r="B433" s="54">
        <v>1433</v>
      </c>
      <c r="C433" s="239" t="s">
        <v>1175</v>
      </c>
      <c r="D433" s="54" t="s">
        <v>197</v>
      </c>
      <c r="E433" s="232">
        <v>39372</v>
      </c>
      <c r="F433" s="2" t="s">
        <v>1613</v>
      </c>
      <c r="G433" s="2" t="s">
        <v>906</v>
      </c>
      <c r="H433" s="2" t="s">
        <v>853</v>
      </c>
      <c r="I433" s="2" t="s">
        <v>1612</v>
      </c>
      <c r="J433" s="260">
        <v>27561</v>
      </c>
      <c r="K433" s="260">
        <v>28113</v>
      </c>
      <c r="L433" s="260"/>
      <c r="O433" s="260"/>
      <c r="P433" s="260"/>
      <c r="Q433" s="260"/>
      <c r="R433" s="260"/>
      <c r="S433" s="260"/>
      <c r="U433" s="260"/>
      <c r="V433" s="260"/>
      <c r="W433" s="2"/>
      <c r="X433" s="2"/>
      <c r="Y433" s="2">
        <f t="shared" si="214"/>
        <v>552</v>
      </c>
      <c r="Z433" s="2" t="str">
        <f t="shared" si="215"/>
        <v/>
      </c>
      <c r="AA433" s="2" t="str">
        <f t="shared" si="216"/>
        <v/>
      </c>
      <c r="AB433" s="2" t="str">
        <f t="shared" si="217"/>
        <v/>
      </c>
      <c r="AC433" s="2" t="str">
        <f t="shared" si="203"/>
        <v/>
      </c>
      <c r="AD433" s="2" t="str">
        <f t="shared" si="204"/>
        <v/>
      </c>
      <c r="AE433" s="2" t="str">
        <f t="shared" si="205"/>
        <v/>
      </c>
      <c r="AF433" s="2" t="str">
        <f t="shared" si="206"/>
        <v/>
      </c>
      <c r="AG433" s="2" t="str">
        <f t="shared" si="207"/>
        <v/>
      </c>
      <c r="AH433" s="2" t="str">
        <f t="shared" si="208"/>
        <v/>
      </c>
      <c r="AI433" s="2" t="str">
        <f t="shared" si="209"/>
        <v/>
      </c>
      <c r="AJ433" s="2" t="str">
        <f t="shared" si="210"/>
        <v/>
      </c>
      <c r="AK433" s="2">
        <v>1</v>
      </c>
      <c r="AL433" s="260">
        <f t="shared" ca="1" si="218"/>
        <v>0</v>
      </c>
      <c r="AM433" s="260">
        <f t="shared" ca="1" si="219"/>
        <v>0</v>
      </c>
      <c r="AN433" s="260" t="str">
        <f ca="1">IF(AND(Tabla7[[#This Row],[UltLec]]&lt;&gt;0,Tabla7[[#This Row],[PenLect]]&lt;&gt;0),(AM433-AL433)*Tabla7[[#This Row],[RT]],"N/A")</f>
        <v>N/A</v>
      </c>
      <c r="AO433" s="380" t="s">
        <v>813</v>
      </c>
      <c r="AP433" s="380" t="s">
        <v>1075</v>
      </c>
      <c r="AQ433" s="380" t="s">
        <v>1074</v>
      </c>
      <c r="AR433" s="2">
        <f t="shared" si="220"/>
        <v>0</v>
      </c>
      <c r="AT433" s="2" t="e">
        <f t="shared" ca="1" si="213"/>
        <v>#VALUE!</v>
      </c>
    </row>
    <row r="434" spans="1:46" ht="18.75" hidden="1" customHeight="1" x14ac:dyDescent="0.25">
      <c r="A434" s="409" t="s">
        <v>1080</v>
      </c>
      <c r="B434" s="273">
        <v>1449</v>
      </c>
      <c r="C434" s="481" t="s">
        <v>1508</v>
      </c>
      <c r="D434" s="376" t="s">
        <v>197</v>
      </c>
      <c r="E434" s="274">
        <v>39931</v>
      </c>
      <c r="F434" s="434" t="s">
        <v>204</v>
      </c>
      <c r="G434" s="434" t="s">
        <v>904</v>
      </c>
      <c r="H434" s="434" t="s">
        <v>812</v>
      </c>
      <c r="I434" s="434" t="s">
        <v>1509</v>
      </c>
      <c r="J434" s="434"/>
      <c r="K434" s="434"/>
      <c r="L434" s="434"/>
      <c r="M434" s="434"/>
      <c r="N434" s="434"/>
      <c r="O434" s="434"/>
      <c r="P434" s="434"/>
      <c r="Q434" s="434"/>
      <c r="R434" s="434"/>
      <c r="S434" s="434"/>
      <c r="T434" s="434"/>
      <c r="U434" s="434"/>
      <c r="V434" s="434"/>
      <c r="W434" s="434"/>
      <c r="X434" s="434"/>
      <c r="Y434" s="434" t="str">
        <f t="shared" si="214"/>
        <v/>
      </c>
      <c r="Z434" s="434" t="str">
        <f t="shared" si="215"/>
        <v/>
      </c>
      <c r="AA434" s="434" t="str">
        <f t="shared" si="216"/>
        <v/>
      </c>
      <c r="AB434" s="434" t="str">
        <f t="shared" si="217"/>
        <v/>
      </c>
      <c r="AC434" s="434" t="str">
        <f t="shared" si="203"/>
        <v/>
      </c>
      <c r="AD434" s="434" t="str">
        <f t="shared" si="204"/>
        <v/>
      </c>
      <c r="AE434" s="434" t="str">
        <f t="shared" si="205"/>
        <v/>
      </c>
      <c r="AF434" s="434" t="str">
        <f t="shared" si="206"/>
        <v/>
      </c>
      <c r="AG434" s="434" t="str">
        <f t="shared" si="207"/>
        <v/>
      </c>
      <c r="AH434" s="434" t="str">
        <f t="shared" si="208"/>
        <v/>
      </c>
      <c r="AI434" s="434" t="str">
        <f t="shared" si="209"/>
        <v/>
      </c>
      <c r="AJ434" s="434" t="str">
        <f t="shared" si="210"/>
        <v/>
      </c>
      <c r="AK434" s="434">
        <v>1</v>
      </c>
      <c r="AL434" s="434">
        <f t="shared" ca="1" si="218"/>
        <v>0</v>
      </c>
      <c r="AM434" s="434">
        <f t="shared" ca="1" si="219"/>
        <v>0</v>
      </c>
      <c r="AN434" s="434" t="str">
        <f ca="1">IF(AND(Tabla7[[#This Row],[UltLec]]&lt;&gt;0,Tabla7[[#This Row],[PenLect]]&lt;&gt;0),(AM434-AL434)*Tabla7[[#This Row],[RT]],"N/A")</f>
        <v>N/A</v>
      </c>
      <c r="AO434" s="434" t="s">
        <v>1160</v>
      </c>
      <c r="AP434" s="434" t="s">
        <v>1075</v>
      </c>
      <c r="AQ434" s="434" t="s">
        <v>1074</v>
      </c>
      <c r="AR434" s="434">
        <f t="shared" si="220"/>
        <v>0</v>
      </c>
      <c r="AT434" s="2" t="e">
        <f t="shared" ca="1" si="213"/>
        <v>#VALUE!</v>
      </c>
    </row>
    <row r="435" spans="1:46" ht="18.75" customHeight="1" x14ac:dyDescent="0.25">
      <c r="A435" s="291" t="s">
        <v>19</v>
      </c>
      <c r="B435" s="54"/>
      <c r="C435" s="239" t="s">
        <v>828</v>
      </c>
      <c r="D435" s="54" t="s">
        <v>197</v>
      </c>
      <c r="E435" s="232">
        <v>39477</v>
      </c>
      <c r="F435" s="2" t="s">
        <v>206</v>
      </c>
      <c r="G435" s="2" t="s">
        <v>903</v>
      </c>
      <c r="H435" s="2"/>
      <c r="I435" s="2" t="s">
        <v>854</v>
      </c>
      <c r="J435" s="260">
        <v>77004</v>
      </c>
      <c r="K435" s="260">
        <v>77968</v>
      </c>
      <c r="L435" s="260"/>
      <c r="O435" s="260"/>
      <c r="P435" s="260"/>
      <c r="Q435" s="260"/>
      <c r="R435" s="260"/>
      <c r="S435" s="260"/>
      <c r="U435" s="260"/>
      <c r="V435" s="260"/>
      <c r="W435" s="2"/>
      <c r="X435" s="2"/>
      <c r="Y435" s="2">
        <f t="shared" si="214"/>
        <v>964</v>
      </c>
      <c r="Z435" s="2" t="str">
        <f t="shared" si="215"/>
        <v/>
      </c>
      <c r="AA435" s="2" t="str">
        <f t="shared" si="216"/>
        <v/>
      </c>
      <c r="AB435" s="2" t="str">
        <f t="shared" si="217"/>
        <v/>
      </c>
      <c r="AC435" s="2" t="str">
        <f t="shared" ref="AC435:AC498" si="221">IF(OR(ISBLANK(O435),ISBLANK(N435)),"",IF(AND(O435&gt;=N435,O435-N435&lt;=O435),(O435-N435)*$AK435,"!!!!"))</f>
        <v/>
      </c>
      <c r="AD435" s="2" t="str">
        <f t="shared" ref="AD435:AD498" si="222">IF(OR(ISBLANK(P435),ISBLANK(O435)),"",IF(AND(P435&gt;=O435,P435-O435&lt;=P435),(P435-O435)*$AK435,"!!!!"))</f>
        <v/>
      </c>
      <c r="AE435" s="2" t="str">
        <f t="shared" ref="AE435:AE498" si="223">IF(OR(ISBLANK(Q435),ISBLANK(P435)),"",IF(AND(Q435&gt;=P435,Q435-P435&lt;=Q435),(Q435-P435)*$AK435,"!!!!"))</f>
        <v/>
      </c>
      <c r="AF435" s="2" t="str">
        <f t="shared" ref="AF435:AF498" si="224">IF(OR(ISBLANK(R435),ISBLANK(Q435)),"",IF(AND(R435&gt;=Q435,R435-Q435&lt;=R435),(R435-Q435)*$AK435,"!!!!"))</f>
        <v/>
      </c>
      <c r="AG435" s="2" t="str">
        <f t="shared" ref="AG435:AG498" si="225">IF(OR(ISBLANK(S435),ISBLANK(R435)),"",IF(AND(S435&gt;=R435,S435-R435&lt;=S435),(S435-R435)*$AK435,"!!!!"))</f>
        <v/>
      </c>
      <c r="AH435" s="2" t="str">
        <f t="shared" ref="AH435:AH498" si="226">IF(OR(ISBLANK(T435),ISBLANK(S435)),"",IF(AND(T435&gt;=S435,T435-S435&lt;=T435),(T435-S435)*$AK435,"!!!!"))</f>
        <v/>
      </c>
      <c r="AI435" s="2" t="str">
        <f t="shared" ref="AI435:AI498" si="227">IF(OR(ISBLANK(U435),ISBLANK(T435)),"",IF(AND(U435&gt;=T435,U435-T435&lt;=U435),(U435-T435)*$AK435,"!!!!"))</f>
        <v/>
      </c>
      <c r="AJ435" s="2" t="str">
        <f t="shared" ref="AJ435:AJ498" si="228">IF(OR(ISBLANK(V435),ISBLANK(U435)),"",IF(AND(V435&gt;=U435,V435-U435&lt;=V435),(V435-U435)*$AK435,"!!!!"))</f>
        <v/>
      </c>
      <c r="AK435" s="2">
        <v>1</v>
      </c>
      <c r="AL435" s="260">
        <f t="shared" ca="1" si="218"/>
        <v>0</v>
      </c>
      <c r="AM435" s="260">
        <f t="shared" ca="1" si="219"/>
        <v>0</v>
      </c>
      <c r="AN435" s="260" t="str">
        <f ca="1">IF(AND(Tabla7[[#This Row],[UltLec]]&lt;&gt;0,Tabla7[[#This Row],[PenLect]]&lt;&gt;0),(AM435-AL435)*Tabla7[[#This Row],[RT]],"N/A")</f>
        <v>N/A</v>
      </c>
      <c r="AO435" s="380" t="s">
        <v>813</v>
      </c>
      <c r="AP435" s="380" t="s">
        <v>1075</v>
      </c>
      <c r="AQ435" s="380" t="s">
        <v>1074</v>
      </c>
      <c r="AR435" s="2">
        <f t="shared" si="220"/>
        <v>0</v>
      </c>
      <c r="AT435" s="2" t="e">
        <f t="shared" ca="1" si="213"/>
        <v>#VALUE!</v>
      </c>
    </row>
    <row r="436" spans="1:46" ht="18.75" hidden="1" customHeight="1" x14ac:dyDescent="0.25">
      <c r="A436" s="418" t="s">
        <v>1080</v>
      </c>
      <c r="B436" s="274"/>
      <c r="C436" s="286" t="s">
        <v>828</v>
      </c>
      <c r="D436" s="274" t="s">
        <v>197</v>
      </c>
      <c r="E436" s="274">
        <v>39477</v>
      </c>
      <c r="F436" s="275" t="s">
        <v>206</v>
      </c>
      <c r="G436" s="275" t="s">
        <v>101</v>
      </c>
      <c r="H436" s="275"/>
      <c r="I436" s="275"/>
      <c r="J436" s="277"/>
      <c r="K436" s="277"/>
      <c r="L436" s="277"/>
      <c r="M436" s="277"/>
      <c r="N436" s="277"/>
      <c r="O436" s="277"/>
      <c r="P436" s="277"/>
      <c r="Q436" s="277"/>
      <c r="R436" s="277"/>
      <c r="S436" s="277"/>
      <c r="T436" s="277"/>
      <c r="U436" s="277"/>
      <c r="V436" s="277"/>
      <c r="W436" s="275"/>
      <c r="X436" s="275"/>
      <c r="Y436" s="275" t="str">
        <f t="shared" si="214"/>
        <v/>
      </c>
      <c r="Z436" s="275" t="str">
        <f t="shared" si="215"/>
        <v/>
      </c>
      <c r="AA436" s="275" t="str">
        <f t="shared" si="216"/>
        <v/>
      </c>
      <c r="AB436" s="275" t="str">
        <f t="shared" si="217"/>
        <v/>
      </c>
      <c r="AC436" s="275" t="str">
        <f t="shared" si="221"/>
        <v/>
      </c>
      <c r="AD436" s="275" t="str">
        <f t="shared" si="222"/>
        <v/>
      </c>
      <c r="AE436" s="275" t="str">
        <f t="shared" si="223"/>
        <v/>
      </c>
      <c r="AF436" s="275" t="str">
        <f t="shared" si="224"/>
        <v/>
      </c>
      <c r="AG436" s="275" t="str">
        <f t="shared" si="225"/>
        <v/>
      </c>
      <c r="AH436" s="275" t="str">
        <f t="shared" si="226"/>
        <v/>
      </c>
      <c r="AI436" s="275" t="str">
        <f t="shared" si="227"/>
        <v/>
      </c>
      <c r="AJ436" s="275" t="str">
        <f t="shared" si="228"/>
        <v/>
      </c>
      <c r="AK436" s="275">
        <v>1</v>
      </c>
      <c r="AL436" s="277">
        <f t="shared" ca="1" si="218"/>
        <v>0</v>
      </c>
      <c r="AM436" s="277">
        <f t="shared" ca="1" si="219"/>
        <v>0</v>
      </c>
      <c r="AN436" s="277" t="str">
        <f ca="1">IF(AND(Tabla7[[#This Row],[UltLec]]&lt;&gt;0,Tabla7[[#This Row],[PenLect]]&lt;&gt;0),(AM436-AL436)*Tabla7[[#This Row],[RT]],"N/A")</f>
        <v>N/A</v>
      </c>
      <c r="AO436" s="393" t="s">
        <v>1160</v>
      </c>
      <c r="AP436" s="393" t="s">
        <v>1075</v>
      </c>
      <c r="AQ436" s="393" t="s">
        <v>1074</v>
      </c>
      <c r="AR436" s="275">
        <f t="shared" si="220"/>
        <v>0</v>
      </c>
      <c r="AT436" s="2" t="e">
        <f t="shared" ca="1" si="213"/>
        <v>#VALUE!</v>
      </c>
    </row>
    <row r="437" spans="1:46" ht="18" customHeight="1" x14ac:dyDescent="0.25">
      <c r="A437" s="291" t="s">
        <v>19</v>
      </c>
      <c r="B437" s="54"/>
      <c r="C437" s="239" t="s">
        <v>991</v>
      </c>
      <c r="D437" s="54" t="s">
        <v>197</v>
      </c>
      <c r="E437" s="232">
        <v>39308</v>
      </c>
      <c r="F437" s="2" t="s">
        <v>109</v>
      </c>
      <c r="G437" s="2" t="s">
        <v>1213</v>
      </c>
      <c r="H437" s="2"/>
      <c r="I437" s="2" t="s">
        <v>994</v>
      </c>
      <c r="J437" s="260">
        <v>66076</v>
      </c>
      <c r="K437" s="260">
        <v>67715</v>
      </c>
      <c r="L437" s="260"/>
      <c r="O437" s="260"/>
      <c r="P437" s="260"/>
      <c r="Q437" s="260"/>
      <c r="R437" s="260"/>
      <c r="S437" s="260"/>
      <c r="U437" s="260"/>
      <c r="V437" s="260"/>
      <c r="W437" s="2"/>
      <c r="X437" s="2"/>
      <c r="Y437" s="2">
        <f t="shared" si="214"/>
        <v>1639</v>
      </c>
      <c r="Z437" s="2" t="str">
        <f t="shared" si="215"/>
        <v/>
      </c>
      <c r="AA437" s="2" t="str">
        <f t="shared" si="216"/>
        <v/>
      </c>
      <c r="AB437" s="2" t="str">
        <f t="shared" si="217"/>
        <v/>
      </c>
      <c r="AC437" s="2" t="str">
        <f t="shared" si="221"/>
        <v/>
      </c>
      <c r="AD437" s="2" t="str">
        <f t="shared" si="222"/>
        <v/>
      </c>
      <c r="AE437" s="2" t="str">
        <f t="shared" si="223"/>
        <v/>
      </c>
      <c r="AF437" s="2" t="str">
        <f t="shared" si="224"/>
        <v/>
      </c>
      <c r="AG437" s="2" t="str">
        <f t="shared" si="225"/>
        <v/>
      </c>
      <c r="AH437" s="2" t="str">
        <f t="shared" si="226"/>
        <v/>
      </c>
      <c r="AI437" s="2" t="str">
        <f t="shared" si="227"/>
        <v/>
      </c>
      <c r="AJ437" s="2" t="str">
        <f t="shared" si="228"/>
        <v/>
      </c>
      <c r="AK437" s="2">
        <v>1</v>
      </c>
      <c r="AL437" s="260">
        <f t="shared" ca="1" si="218"/>
        <v>0</v>
      </c>
      <c r="AM437" s="260">
        <f t="shared" ca="1" si="219"/>
        <v>0</v>
      </c>
      <c r="AN437" s="260" t="str">
        <f ca="1">IF(AND(Tabla7[[#This Row],[UltLec]]&lt;&gt;0,Tabla7[[#This Row],[PenLect]]&lt;&gt;0),(AM437-AL437)*Tabla7[[#This Row],[RT]],"N/A")</f>
        <v>N/A</v>
      </c>
      <c r="AO437" s="380" t="s">
        <v>813</v>
      </c>
      <c r="AP437" s="380" t="s">
        <v>1075</v>
      </c>
      <c r="AQ437" s="380" t="s">
        <v>1074</v>
      </c>
      <c r="AR437" s="2">
        <f t="shared" si="220"/>
        <v>0</v>
      </c>
      <c r="AT437" s="2" t="e">
        <f t="shared" ca="1" si="213"/>
        <v>#VALUE!</v>
      </c>
    </row>
    <row r="438" spans="1:46" ht="18" customHeight="1" x14ac:dyDescent="0.25">
      <c r="A438" s="407" t="s">
        <v>19</v>
      </c>
      <c r="B438" s="54"/>
      <c r="C438" s="420" t="s">
        <v>993</v>
      </c>
      <c r="D438" s="374" t="s">
        <v>197</v>
      </c>
      <c r="E438" s="375">
        <v>39587</v>
      </c>
      <c r="F438" s="2" t="s">
        <v>992</v>
      </c>
      <c r="G438" s="2" t="s">
        <v>1214</v>
      </c>
      <c r="H438" s="2"/>
      <c r="I438" s="2" t="s">
        <v>994</v>
      </c>
      <c r="J438" s="260">
        <v>129432</v>
      </c>
      <c r="K438" s="260">
        <v>132739</v>
      </c>
      <c r="L438" s="260"/>
      <c r="O438" s="260"/>
      <c r="P438" s="260"/>
      <c r="Q438" s="260"/>
      <c r="R438" s="260"/>
      <c r="S438" s="260"/>
      <c r="U438" s="260"/>
      <c r="V438" s="260"/>
      <c r="W438" s="2"/>
      <c r="X438" s="2"/>
      <c r="Y438" s="2">
        <f t="shared" si="214"/>
        <v>3307</v>
      </c>
      <c r="Z438" s="2" t="str">
        <f t="shared" si="215"/>
        <v/>
      </c>
      <c r="AA438" s="2" t="str">
        <f t="shared" si="216"/>
        <v/>
      </c>
      <c r="AB438" s="2" t="str">
        <f t="shared" si="217"/>
        <v/>
      </c>
      <c r="AC438" s="2" t="str">
        <f t="shared" si="221"/>
        <v/>
      </c>
      <c r="AD438" s="2" t="str">
        <f t="shared" si="222"/>
        <v/>
      </c>
      <c r="AE438" s="2" t="str">
        <f t="shared" si="223"/>
        <v/>
      </c>
      <c r="AF438" s="2" t="str">
        <f t="shared" si="224"/>
        <v/>
      </c>
      <c r="AG438" s="2" t="str">
        <f t="shared" si="225"/>
        <v/>
      </c>
      <c r="AH438" s="2" t="str">
        <f t="shared" si="226"/>
        <v/>
      </c>
      <c r="AI438" s="2" t="str">
        <f t="shared" si="227"/>
        <v/>
      </c>
      <c r="AJ438" s="2" t="str">
        <f t="shared" si="228"/>
        <v/>
      </c>
      <c r="AK438" s="2">
        <v>1</v>
      </c>
      <c r="AL438" s="260">
        <f t="shared" ca="1" si="218"/>
        <v>0</v>
      </c>
      <c r="AM438" s="260">
        <f t="shared" ca="1" si="219"/>
        <v>0</v>
      </c>
      <c r="AN438" s="260" t="str">
        <f ca="1">IF(AND(Tabla7[[#This Row],[UltLec]]&lt;&gt;0,Tabla7[[#This Row],[PenLect]]&lt;&gt;0),(AM438-AL438)*Tabla7[[#This Row],[RT]],"N/A")</f>
        <v>N/A</v>
      </c>
      <c r="AO438" s="380" t="s">
        <v>813</v>
      </c>
      <c r="AP438" s="380" t="s">
        <v>1075</v>
      </c>
      <c r="AQ438" s="380" t="s">
        <v>1074</v>
      </c>
      <c r="AR438" s="2">
        <f t="shared" si="220"/>
        <v>0</v>
      </c>
      <c r="AT438" s="2" t="e">
        <f t="shared" ca="1" si="213"/>
        <v>#VALUE!</v>
      </c>
    </row>
    <row r="439" spans="1:46" ht="18" customHeight="1" x14ac:dyDescent="0.25">
      <c r="A439" s="405" t="s">
        <v>19</v>
      </c>
      <c r="B439" s="54"/>
      <c r="C439" s="239" t="s">
        <v>1140</v>
      </c>
      <c r="D439" s="54" t="s">
        <v>197</v>
      </c>
      <c r="E439" s="232">
        <v>39313</v>
      </c>
      <c r="F439" s="2" t="s">
        <v>1141</v>
      </c>
      <c r="G439" s="2" t="s">
        <v>1215</v>
      </c>
      <c r="H439" s="2"/>
      <c r="I439" s="2" t="s">
        <v>1142</v>
      </c>
      <c r="J439" s="260">
        <v>74293</v>
      </c>
      <c r="K439" s="260">
        <v>75900</v>
      </c>
      <c r="L439" s="260"/>
      <c r="O439" s="260"/>
      <c r="P439" s="260"/>
      <c r="Q439" s="260"/>
      <c r="R439" s="260"/>
      <c r="S439" s="260"/>
      <c r="U439" s="260"/>
      <c r="V439" s="260"/>
      <c r="W439" s="2"/>
      <c r="X439" s="2"/>
      <c r="Y439" s="2">
        <f t="shared" si="214"/>
        <v>1607</v>
      </c>
      <c r="Z439" s="2" t="str">
        <f t="shared" si="215"/>
        <v/>
      </c>
      <c r="AA439" s="2" t="str">
        <f t="shared" si="216"/>
        <v/>
      </c>
      <c r="AB439" s="2" t="str">
        <f t="shared" si="217"/>
        <v/>
      </c>
      <c r="AC439" s="2" t="str">
        <f t="shared" si="221"/>
        <v/>
      </c>
      <c r="AD439" s="2" t="str">
        <f t="shared" si="222"/>
        <v/>
      </c>
      <c r="AE439" s="2" t="str">
        <f t="shared" si="223"/>
        <v/>
      </c>
      <c r="AF439" s="2" t="str">
        <f t="shared" si="224"/>
        <v/>
      </c>
      <c r="AG439" s="2" t="str">
        <f t="shared" si="225"/>
        <v/>
      </c>
      <c r="AH439" s="2" t="str">
        <f t="shared" si="226"/>
        <v/>
      </c>
      <c r="AI439" s="2" t="str">
        <f t="shared" si="227"/>
        <v/>
      </c>
      <c r="AJ439" s="2" t="str">
        <f t="shared" si="228"/>
        <v/>
      </c>
      <c r="AK439" s="2">
        <v>1</v>
      </c>
      <c r="AL439" s="260">
        <f t="shared" ca="1" si="218"/>
        <v>0</v>
      </c>
      <c r="AM439" s="260">
        <f t="shared" ca="1" si="219"/>
        <v>0</v>
      </c>
      <c r="AN439" s="260" t="str">
        <f ca="1">IF(AND(Tabla7[[#This Row],[UltLec]]&lt;&gt;0,Tabla7[[#This Row],[PenLect]]&lt;&gt;0),(AM439-AL439)*Tabla7[[#This Row],[RT]],"N/A")</f>
        <v>N/A</v>
      </c>
      <c r="AO439" s="380" t="s">
        <v>813</v>
      </c>
      <c r="AP439" s="380" t="s">
        <v>1075</v>
      </c>
      <c r="AQ439" s="380" t="s">
        <v>1074</v>
      </c>
      <c r="AR439" s="2">
        <f t="shared" si="220"/>
        <v>0</v>
      </c>
      <c r="AT439" s="2" t="e">
        <f t="shared" ca="1" si="213"/>
        <v>#VALUE!</v>
      </c>
    </row>
    <row r="440" spans="1:46" ht="18" customHeight="1" x14ac:dyDescent="0.25">
      <c r="A440" s="405" t="s">
        <v>19</v>
      </c>
      <c r="B440" s="54"/>
      <c r="C440" s="239" t="s">
        <v>1017</v>
      </c>
      <c r="D440" s="54" t="s">
        <v>197</v>
      </c>
      <c r="E440" s="232">
        <v>39578</v>
      </c>
      <c r="F440" s="2" t="s">
        <v>1016</v>
      </c>
      <c r="G440" s="2" t="s">
        <v>1216</v>
      </c>
      <c r="H440" s="2"/>
      <c r="I440" s="2" t="s">
        <v>1018</v>
      </c>
      <c r="J440" s="260">
        <v>86260</v>
      </c>
      <c r="K440" s="260">
        <v>88365</v>
      </c>
      <c r="L440" s="260"/>
      <c r="O440" s="260"/>
      <c r="P440" s="260"/>
      <c r="Q440" s="260"/>
      <c r="R440" s="260"/>
      <c r="S440" s="260"/>
      <c r="U440" s="260"/>
      <c r="V440" s="260"/>
      <c r="W440" s="2"/>
      <c r="X440" s="2"/>
      <c r="Y440" s="2">
        <f t="shared" si="214"/>
        <v>2105</v>
      </c>
      <c r="Z440" s="2" t="str">
        <f t="shared" si="215"/>
        <v/>
      </c>
      <c r="AA440" s="2" t="str">
        <f t="shared" si="216"/>
        <v/>
      </c>
      <c r="AB440" s="2" t="str">
        <f t="shared" si="217"/>
        <v/>
      </c>
      <c r="AC440" s="2" t="str">
        <f t="shared" si="221"/>
        <v/>
      </c>
      <c r="AD440" s="2" t="str">
        <f t="shared" si="222"/>
        <v/>
      </c>
      <c r="AE440" s="2" t="str">
        <f t="shared" si="223"/>
        <v/>
      </c>
      <c r="AF440" s="2" t="str">
        <f t="shared" si="224"/>
        <v/>
      </c>
      <c r="AG440" s="2" t="str">
        <f t="shared" si="225"/>
        <v/>
      </c>
      <c r="AH440" s="2" t="str">
        <f t="shared" si="226"/>
        <v/>
      </c>
      <c r="AI440" s="2" t="str">
        <f t="shared" si="227"/>
        <v/>
      </c>
      <c r="AJ440" s="2" t="str">
        <f t="shared" si="228"/>
        <v/>
      </c>
      <c r="AK440" s="2">
        <v>1</v>
      </c>
      <c r="AL440" s="260">
        <f t="shared" ca="1" si="218"/>
        <v>0</v>
      </c>
      <c r="AM440" s="260">
        <f t="shared" ca="1" si="219"/>
        <v>0</v>
      </c>
      <c r="AN440" s="260" t="str">
        <f ca="1">IF(AND(Tabla7[[#This Row],[UltLec]]&lt;&gt;0,Tabla7[[#This Row],[PenLect]]&lt;&gt;0),(AM440-AL440)*Tabla7[[#This Row],[RT]],"N/A")</f>
        <v>N/A</v>
      </c>
      <c r="AO440" s="380" t="s">
        <v>813</v>
      </c>
      <c r="AP440" s="380" t="s">
        <v>1075</v>
      </c>
      <c r="AQ440" s="380" t="s">
        <v>1074</v>
      </c>
      <c r="AR440" s="2">
        <f t="shared" si="220"/>
        <v>0</v>
      </c>
      <c r="AT440" s="2" t="e">
        <f t="shared" ca="1" si="213"/>
        <v>#VALUE!</v>
      </c>
    </row>
    <row r="441" spans="1:46" ht="18" hidden="1" customHeight="1" x14ac:dyDescent="0.25">
      <c r="A441" s="418" t="s">
        <v>1080</v>
      </c>
      <c r="B441" s="273"/>
      <c r="C441" s="367" t="s">
        <v>967</v>
      </c>
      <c r="D441" s="273" t="s">
        <v>197</v>
      </c>
      <c r="E441" s="377">
        <v>30000</v>
      </c>
      <c r="F441" s="275" t="s">
        <v>968</v>
      </c>
      <c r="G441" s="275" t="s">
        <v>905</v>
      </c>
      <c r="H441" s="275"/>
      <c r="I441" s="275" t="s">
        <v>975</v>
      </c>
      <c r="J441" s="275"/>
      <c r="K441" s="275"/>
      <c r="L441" s="275"/>
      <c r="M441" s="275"/>
      <c r="N441" s="275"/>
      <c r="O441" s="275"/>
      <c r="P441" s="275"/>
      <c r="Q441" s="275"/>
      <c r="R441" s="275"/>
      <c r="S441" s="275"/>
      <c r="T441" s="275"/>
      <c r="U441" s="275"/>
      <c r="V441" s="275"/>
      <c r="W441" s="275"/>
      <c r="X441" s="275"/>
      <c r="Y441" s="275" t="str">
        <f t="shared" si="214"/>
        <v/>
      </c>
      <c r="Z441" s="275" t="str">
        <f t="shared" si="215"/>
        <v/>
      </c>
      <c r="AA441" s="275" t="str">
        <f t="shared" si="216"/>
        <v/>
      </c>
      <c r="AB441" s="275" t="str">
        <f t="shared" si="217"/>
        <v/>
      </c>
      <c r="AC441" s="275" t="str">
        <f t="shared" si="221"/>
        <v/>
      </c>
      <c r="AD441" s="275" t="str">
        <f t="shared" si="222"/>
        <v/>
      </c>
      <c r="AE441" s="275" t="str">
        <f t="shared" si="223"/>
        <v/>
      </c>
      <c r="AF441" s="275" t="str">
        <f t="shared" si="224"/>
        <v/>
      </c>
      <c r="AG441" s="275" t="str">
        <f t="shared" si="225"/>
        <v/>
      </c>
      <c r="AH441" s="275" t="str">
        <f t="shared" si="226"/>
        <v/>
      </c>
      <c r="AI441" s="275" t="str">
        <f t="shared" si="227"/>
        <v/>
      </c>
      <c r="AJ441" s="275" t="str">
        <f t="shared" si="228"/>
        <v/>
      </c>
      <c r="AK441" s="275">
        <v>1</v>
      </c>
      <c r="AL441" s="277">
        <f t="shared" ca="1" si="218"/>
        <v>0</v>
      </c>
      <c r="AM441" s="277">
        <f t="shared" ca="1" si="219"/>
        <v>0</v>
      </c>
      <c r="AN441" s="277" t="str">
        <f ca="1">IF(AND(Tabla7[[#This Row],[UltLec]]&lt;&gt;0,Tabla7[[#This Row],[PenLect]]&lt;&gt;0),(AM441-AL441)*Tabla7[[#This Row],[RT]],"N/A")</f>
        <v>N/A</v>
      </c>
      <c r="AO441" s="393" t="s">
        <v>1160</v>
      </c>
      <c r="AP441" s="393" t="s">
        <v>1075</v>
      </c>
      <c r="AQ441" s="393" t="s">
        <v>1074</v>
      </c>
      <c r="AR441" s="275">
        <f t="shared" si="220"/>
        <v>0</v>
      </c>
      <c r="AT441" s="2" t="e">
        <f t="shared" ca="1" si="213"/>
        <v>#VALUE!</v>
      </c>
    </row>
    <row r="442" spans="1:46" ht="18" customHeight="1" x14ac:dyDescent="0.25">
      <c r="A442" s="291" t="s">
        <v>19</v>
      </c>
      <c r="B442" s="54"/>
      <c r="C442" s="239" t="s">
        <v>967</v>
      </c>
      <c r="D442" s="54" t="s">
        <v>197</v>
      </c>
      <c r="E442" s="375">
        <v>39581</v>
      </c>
      <c r="F442" s="2" t="s">
        <v>1227</v>
      </c>
      <c r="G442" s="2" t="s">
        <v>979</v>
      </c>
      <c r="H442" s="2"/>
      <c r="I442" s="2" t="s">
        <v>1078</v>
      </c>
      <c r="J442" s="260">
        <v>94901</v>
      </c>
      <c r="K442" s="260">
        <v>95372</v>
      </c>
      <c r="L442" s="260"/>
      <c r="O442" s="260"/>
      <c r="P442" s="260"/>
      <c r="Q442" s="260"/>
      <c r="R442" s="260"/>
      <c r="S442" s="260"/>
      <c r="U442" s="260"/>
      <c r="V442" s="260"/>
      <c r="W442" s="2"/>
      <c r="X442" s="2"/>
      <c r="Y442" s="2">
        <f t="shared" si="214"/>
        <v>471</v>
      </c>
      <c r="Z442" s="2" t="str">
        <f t="shared" si="215"/>
        <v/>
      </c>
      <c r="AA442" s="2" t="str">
        <f t="shared" si="216"/>
        <v/>
      </c>
      <c r="AB442" s="2" t="str">
        <f t="shared" si="217"/>
        <v/>
      </c>
      <c r="AC442" s="2" t="str">
        <f t="shared" si="221"/>
        <v/>
      </c>
      <c r="AD442" s="2" t="str">
        <f t="shared" si="222"/>
        <v/>
      </c>
      <c r="AE442" s="2" t="str">
        <f t="shared" si="223"/>
        <v/>
      </c>
      <c r="AF442" s="2" t="str">
        <f t="shared" si="224"/>
        <v/>
      </c>
      <c r="AG442" s="2" t="str">
        <f t="shared" si="225"/>
        <v/>
      </c>
      <c r="AH442" s="2" t="str">
        <f t="shared" si="226"/>
        <v/>
      </c>
      <c r="AI442" s="2" t="str">
        <f t="shared" si="227"/>
        <v/>
      </c>
      <c r="AJ442" s="2" t="str">
        <f t="shared" si="228"/>
        <v/>
      </c>
      <c r="AK442" s="2">
        <v>1</v>
      </c>
      <c r="AL442" s="260">
        <f t="shared" ca="1" si="218"/>
        <v>0</v>
      </c>
      <c r="AM442" s="260">
        <f t="shared" ca="1" si="219"/>
        <v>0</v>
      </c>
      <c r="AN442" s="260" t="str">
        <f ca="1">IF(AND(Tabla7[[#This Row],[UltLec]]&lt;&gt;0,Tabla7[[#This Row],[PenLect]]&lt;&gt;0),(AM442-AL442)*Tabla7[[#This Row],[RT]],"N/A")</f>
        <v>N/A</v>
      </c>
      <c r="AO442" s="380" t="s">
        <v>813</v>
      </c>
      <c r="AP442" s="380" t="s">
        <v>1075</v>
      </c>
      <c r="AQ442" s="380" t="s">
        <v>1074</v>
      </c>
      <c r="AR442" s="2">
        <f t="shared" si="220"/>
        <v>0</v>
      </c>
      <c r="AT442" s="2" t="e">
        <f t="shared" ca="1" si="213"/>
        <v>#VALUE!</v>
      </c>
    </row>
    <row r="443" spans="1:46" ht="18" customHeight="1" x14ac:dyDescent="0.25">
      <c r="A443" s="291" t="s">
        <v>19</v>
      </c>
      <c r="B443" s="54"/>
      <c r="C443" s="239" t="s">
        <v>1402</v>
      </c>
      <c r="D443" s="54" t="s">
        <v>197</v>
      </c>
      <c r="E443" s="375">
        <v>39467</v>
      </c>
      <c r="F443" s="2" t="s">
        <v>1403</v>
      </c>
      <c r="G443" s="2" t="s">
        <v>979</v>
      </c>
      <c r="H443" s="2" t="s">
        <v>1404</v>
      </c>
      <c r="I443" s="2"/>
      <c r="J443" s="260">
        <v>50083</v>
      </c>
      <c r="K443" s="260">
        <v>50788</v>
      </c>
      <c r="L443" s="260"/>
      <c r="O443" s="260"/>
      <c r="P443" s="260"/>
      <c r="Q443" s="260"/>
      <c r="R443" s="260"/>
      <c r="S443" s="260"/>
      <c r="U443" s="260"/>
      <c r="V443" s="260"/>
      <c r="W443" s="2"/>
      <c r="X443" s="2"/>
      <c r="Y443" s="2">
        <f t="shared" si="214"/>
        <v>705</v>
      </c>
      <c r="Z443" s="2" t="str">
        <f t="shared" si="215"/>
        <v/>
      </c>
      <c r="AA443" s="2" t="str">
        <f t="shared" si="216"/>
        <v/>
      </c>
      <c r="AB443" s="2" t="str">
        <f t="shared" si="217"/>
        <v/>
      </c>
      <c r="AC443" s="2" t="str">
        <f t="shared" si="221"/>
        <v/>
      </c>
      <c r="AD443" s="2" t="str">
        <f t="shared" si="222"/>
        <v/>
      </c>
      <c r="AE443" s="2" t="str">
        <f t="shared" si="223"/>
        <v/>
      </c>
      <c r="AF443" s="2" t="str">
        <f t="shared" si="224"/>
        <v/>
      </c>
      <c r="AG443" s="2" t="str">
        <f t="shared" si="225"/>
        <v/>
      </c>
      <c r="AH443" s="2" t="str">
        <f t="shared" si="226"/>
        <v/>
      </c>
      <c r="AI443" s="2" t="str">
        <f t="shared" si="227"/>
        <v/>
      </c>
      <c r="AJ443" s="2" t="str">
        <f t="shared" si="228"/>
        <v/>
      </c>
      <c r="AK443" s="2">
        <v>1</v>
      </c>
      <c r="AL443" s="260">
        <f t="shared" ca="1" si="218"/>
        <v>0</v>
      </c>
      <c r="AM443" s="260">
        <f t="shared" ca="1" si="219"/>
        <v>0</v>
      </c>
      <c r="AN443" s="260" t="str">
        <f ca="1">IF(AND(Tabla7[[#This Row],[UltLec]]&lt;&gt;0,Tabla7[[#This Row],[PenLect]]&lt;&gt;0),(AM443-AL443)*Tabla7[[#This Row],[RT]],"N/A")</f>
        <v>N/A</v>
      </c>
      <c r="AO443" s="380" t="s">
        <v>813</v>
      </c>
      <c r="AP443" s="380" t="s">
        <v>1075</v>
      </c>
      <c r="AQ443" s="380" t="s">
        <v>1074</v>
      </c>
      <c r="AR443" s="2">
        <f t="shared" si="220"/>
        <v>0</v>
      </c>
      <c r="AT443" s="2" t="e">
        <f t="shared" ca="1" si="213"/>
        <v>#VALUE!</v>
      </c>
    </row>
    <row r="444" spans="1:46" ht="18" customHeight="1" x14ac:dyDescent="0.25">
      <c r="A444" s="407" t="s">
        <v>19</v>
      </c>
      <c r="B444" s="54">
        <v>36497</v>
      </c>
      <c r="C444" s="420" t="s">
        <v>198</v>
      </c>
      <c r="D444" s="374" t="s">
        <v>197</v>
      </c>
      <c r="E444" s="375">
        <v>39439</v>
      </c>
      <c r="F444" s="2" t="s">
        <v>969</v>
      </c>
      <c r="G444" s="2" t="s">
        <v>199</v>
      </c>
      <c r="H444" s="2"/>
      <c r="I444" s="2"/>
      <c r="J444" s="260">
        <v>8701</v>
      </c>
      <c r="K444" s="260">
        <v>8742</v>
      </c>
      <c r="L444" s="260"/>
      <c r="O444" s="260"/>
      <c r="P444" s="260"/>
      <c r="Q444" s="260"/>
      <c r="R444" s="260"/>
      <c r="S444" s="260"/>
      <c r="U444" s="260"/>
      <c r="V444" s="260"/>
      <c r="W444" s="2"/>
      <c r="X444" s="2"/>
      <c r="Y444" s="2">
        <f t="shared" si="214"/>
        <v>41</v>
      </c>
      <c r="Z444" s="2" t="str">
        <f t="shared" si="215"/>
        <v/>
      </c>
      <c r="AA444" s="2" t="str">
        <f t="shared" si="216"/>
        <v/>
      </c>
      <c r="AB444" s="2" t="str">
        <f t="shared" si="217"/>
        <v/>
      </c>
      <c r="AC444" s="2" t="str">
        <f t="shared" si="221"/>
        <v/>
      </c>
      <c r="AD444" s="2" t="str">
        <f t="shared" si="222"/>
        <v/>
      </c>
      <c r="AE444" s="2" t="str">
        <f t="shared" si="223"/>
        <v/>
      </c>
      <c r="AF444" s="2" t="str">
        <f t="shared" si="224"/>
        <v/>
      </c>
      <c r="AG444" s="2" t="str">
        <f t="shared" si="225"/>
        <v/>
      </c>
      <c r="AH444" s="2" t="str">
        <f t="shared" si="226"/>
        <v/>
      </c>
      <c r="AI444" s="2" t="str">
        <f t="shared" si="227"/>
        <v/>
      </c>
      <c r="AJ444" s="2" t="str">
        <f t="shared" si="228"/>
        <v/>
      </c>
      <c r="AK444" s="2">
        <v>1</v>
      </c>
      <c r="AL444" s="260">
        <f t="shared" ca="1" si="218"/>
        <v>0</v>
      </c>
      <c r="AM444" s="260">
        <f t="shared" ca="1" si="219"/>
        <v>0</v>
      </c>
      <c r="AN444" s="260" t="str">
        <f ca="1">IF(AND(Tabla7[[#This Row],[UltLec]]&lt;&gt;0,Tabla7[[#This Row],[PenLect]]&lt;&gt;0),(AM444-AL444)*Tabla7[[#This Row],[RT]],"N/A")</f>
        <v>N/A</v>
      </c>
      <c r="AO444" s="380" t="s">
        <v>813</v>
      </c>
      <c r="AP444" s="380" t="s">
        <v>1075</v>
      </c>
      <c r="AQ444" s="380" t="s">
        <v>1074</v>
      </c>
      <c r="AR444" s="2">
        <f t="shared" si="220"/>
        <v>0</v>
      </c>
      <c r="AT444" s="2" t="e">
        <f t="shared" ca="1" si="213"/>
        <v>#VALUE!</v>
      </c>
    </row>
    <row r="445" spans="1:46" ht="18" customHeight="1" x14ac:dyDescent="0.25">
      <c r="A445" s="405" t="s">
        <v>19</v>
      </c>
      <c r="B445" s="54"/>
      <c r="C445" s="239" t="s">
        <v>209</v>
      </c>
      <c r="D445" s="54" t="s">
        <v>197</v>
      </c>
      <c r="E445" s="232">
        <v>39793</v>
      </c>
      <c r="F445" s="2" t="s">
        <v>210</v>
      </c>
      <c r="G445" s="2" t="s">
        <v>211</v>
      </c>
      <c r="H445" s="2"/>
      <c r="I445" s="2"/>
      <c r="J445" s="260">
        <v>91505</v>
      </c>
      <c r="K445" s="260">
        <v>91916</v>
      </c>
      <c r="L445" s="260"/>
      <c r="O445" s="260"/>
      <c r="P445" s="260"/>
      <c r="Q445" s="260"/>
      <c r="R445" s="260"/>
      <c r="S445" s="260"/>
      <c r="U445" s="260"/>
      <c r="V445" s="260"/>
      <c r="W445" s="2"/>
      <c r="X445" s="2"/>
      <c r="Y445" s="2">
        <f t="shared" si="214"/>
        <v>411</v>
      </c>
      <c r="Z445" s="2" t="str">
        <f t="shared" si="215"/>
        <v/>
      </c>
      <c r="AA445" s="2" t="str">
        <f t="shared" si="216"/>
        <v/>
      </c>
      <c r="AB445" s="2" t="str">
        <f t="shared" si="217"/>
        <v/>
      </c>
      <c r="AC445" s="2" t="str">
        <f t="shared" si="221"/>
        <v/>
      </c>
      <c r="AD445" s="2" t="str">
        <f t="shared" si="222"/>
        <v/>
      </c>
      <c r="AE445" s="2" t="str">
        <f t="shared" si="223"/>
        <v/>
      </c>
      <c r="AF445" s="2" t="str">
        <f t="shared" si="224"/>
        <v/>
      </c>
      <c r="AG445" s="2" t="str">
        <f t="shared" si="225"/>
        <v/>
      </c>
      <c r="AH445" s="2" t="str">
        <f t="shared" si="226"/>
        <v/>
      </c>
      <c r="AI445" s="2" t="str">
        <f t="shared" si="227"/>
        <v/>
      </c>
      <c r="AJ445" s="2" t="str">
        <f t="shared" si="228"/>
        <v/>
      </c>
      <c r="AK445" s="2">
        <v>1</v>
      </c>
      <c r="AL445" s="260">
        <f t="shared" ca="1" si="218"/>
        <v>0</v>
      </c>
      <c r="AM445" s="260">
        <f t="shared" ca="1" si="219"/>
        <v>0</v>
      </c>
      <c r="AN445" s="260" t="str">
        <f ca="1">IF(AND(Tabla7[[#This Row],[UltLec]]&lt;&gt;0,Tabla7[[#This Row],[PenLect]]&lt;&gt;0),(AM445-AL445)*Tabla7[[#This Row],[RT]],"N/A")</f>
        <v>N/A</v>
      </c>
      <c r="AO445" s="380" t="s">
        <v>813</v>
      </c>
      <c r="AP445" s="380" t="s">
        <v>1075</v>
      </c>
      <c r="AQ445" s="380" t="s">
        <v>1074</v>
      </c>
      <c r="AR445" s="2">
        <f t="shared" si="220"/>
        <v>0</v>
      </c>
      <c r="AT445" s="2" t="e">
        <f t="shared" ca="1" si="213"/>
        <v>#VALUE!</v>
      </c>
    </row>
    <row r="446" spans="1:46" ht="18" customHeight="1" x14ac:dyDescent="0.25">
      <c r="A446" s="291" t="s">
        <v>19</v>
      </c>
      <c r="B446" s="54">
        <v>1386</v>
      </c>
      <c r="C446" s="239" t="s">
        <v>203</v>
      </c>
      <c r="D446" s="54" t="s">
        <v>197</v>
      </c>
      <c r="E446" s="375">
        <v>39238</v>
      </c>
      <c r="F446" s="2" t="s">
        <v>204</v>
      </c>
      <c r="G446" s="2" t="s">
        <v>912</v>
      </c>
      <c r="H446" s="2"/>
      <c r="I446" s="2"/>
      <c r="J446" s="260">
        <v>209567</v>
      </c>
      <c r="K446" s="260">
        <v>210491</v>
      </c>
      <c r="L446" s="260"/>
      <c r="O446" s="260"/>
      <c r="P446" s="260"/>
      <c r="Q446" s="260"/>
      <c r="R446" s="260"/>
      <c r="S446" s="260"/>
      <c r="U446" s="260"/>
      <c r="V446" s="260"/>
      <c r="W446" s="2"/>
      <c r="X446" s="2"/>
      <c r="Y446" s="2">
        <f t="shared" si="214"/>
        <v>924</v>
      </c>
      <c r="Z446" s="2" t="str">
        <f t="shared" si="215"/>
        <v/>
      </c>
      <c r="AA446" s="2" t="str">
        <f t="shared" si="216"/>
        <v/>
      </c>
      <c r="AB446" s="2" t="str">
        <f t="shared" si="217"/>
        <v/>
      </c>
      <c r="AC446" s="2" t="str">
        <f t="shared" si="221"/>
        <v/>
      </c>
      <c r="AD446" s="2" t="str">
        <f t="shared" si="222"/>
        <v/>
      </c>
      <c r="AE446" s="2" t="str">
        <f t="shared" si="223"/>
        <v/>
      </c>
      <c r="AF446" s="2" t="str">
        <f t="shared" si="224"/>
        <v/>
      </c>
      <c r="AG446" s="2" t="str">
        <f t="shared" si="225"/>
        <v/>
      </c>
      <c r="AH446" s="2" t="str">
        <f t="shared" si="226"/>
        <v/>
      </c>
      <c r="AI446" s="2" t="str">
        <f t="shared" si="227"/>
        <v/>
      </c>
      <c r="AJ446" s="2" t="str">
        <f t="shared" si="228"/>
        <v/>
      </c>
      <c r="AK446" s="2">
        <v>1</v>
      </c>
      <c r="AL446" s="260">
        <f t="shared" ca="1" si="218"/>
        <v>0</v>
      </c>
      <c r="AM446" s="260">
        <f t="shared" ca="1" si="219"/>
        <v>0</v>
      </c>
      <c r="AN446" s="260" t="str">
        <f ca="1">IF(AND(Tabla7[[#This Row],[UltLec]]&lt;&gt;0,Tabla7[[#This Row],[PenLect]]&lt;&gt;0),(AM446-AL446)*Tabla7[[#This Row],[RT]],"N/A")</f>
        <v>N/A</v>
      </c>
      <c r="AO446" s="380" t="s">
        <v>813</v>
      </c>
      <c r="AP446" s="380" t="s">
        <v>1075</v>
      </c>
      <c r="AQ446" s="380" t="s">
        <v>1074</v>
      </c>
      <c r="AR446" s="2">
        <f t="shared" si="220"/>
        <v>0</v>
      </c>
      <c r="AT446" s="2" t="e">
        <f t="shared" ca="1" si="213"/>
        <v>#VALUE!</v>
      </c>
    </row>
    <row r="447" spans="1:46" ht="18" hidden="1" customHeight="1" x14ac:dyDescent="0.25">
      <c r="A447" s="409" t="s">
        <v>1080</v>
      </c>
      <c r="B447" s="273"/>
      <c r="C447" s="379" t="s">
        <v>205</v>
      </c>
      <c r="D447" s="376" t="s">
        <v>197</v>
      </c>
      <c r="E447" s="377">
        <v>39402</v>
      </c>
      <c r="F447" s="275" t="s">
        <v>206</v>
      </c>
      <c r="G447" s="275" t="s">
        <v>207</v>
      </c>
      <c r="H447" s="275"/>
      <c r="I447" s="275" t="s">
        <v>208</v>
      </c>
      <c r="J447" s="275"/>
      <c r="K447" s="275"/>
      <c r="L447" s="275"/>
      <c r="M447" s="275"/>
      <c r="N447" s="275"/>
      <c r="O447" s="275"/>
      <c r="P447" s="275"/>
      <c r="Q447" s="275"/>
      <c r="R447" s="275"/>
      <c r="S447" s="275"/>
      <c r="T447" s="275"/>
      <c r="U447" s="275"/>
      <c r="V447" s="275"/>
      <c r="W447" s="275"/>
      <c r="X447" s="275"/>
      <c r="Y447" s="275" t="str">
        <f t="shared" si="214"/>
        <v/>
      </c>
      <c r="Z447" s="275" t="str">
        <f t="shared" si="215"/>
        <v/>
      </c>
      <c r="AA447" s="275" t="str">
        <f t="shared" si="216"/>
        <v/>
      </c>
      <c r="AB447" s="275" t="str">
        <f t="shared" si="217"/>
        <v/>
      </c>
      <c r="AC447" s="275" t="str">
        <f t="shared" si="221"/>
        <v/>
      </c>
      <c r="AD447" s="275" t="str">
        <f t="shared" si="222"/>
        <v/>
      </c>
      <c r="AE447" s="275" t="str">
        <f t="shared" si="223"/>
        <v/>
      </c>
      <c r="AF447" s="275" t="str">
        <f t="shared" si="224"/>
        <v/>
      </c>
      <c r="AG447" s="275" t="str">
        <f t="shared" si="225"/>
        <v/>
      </c>
      <c r="AH447" s="275" t="str">
        <f t="shared" si="226"/>
        <v/>
      </c>
      <c r="AI447" s="275" t="str">
        <f t="shared" si="227"/>
        <v/>
      </c>
      <c r="AJ447" s="275" t="str">
        <f t="shared" si="228"/>
        <v/>
      </c>
      <c r="AK447" s="275">
        <v>1</v>
      </c>
      <c r="AL447" s="277">
        <f t="shared" ca="1" si="218"/>
        <v>0</v>
      </c>
      <c r="AM447" s="277">
        <f t="shared" ca="1" si="219"/>
        <v>0</v>
      </c>
      <c r="AN447" s="277" t="str">
        <f ca="1">IF(AND(Tabla7[[#This Row],[UltLec]]&lt;&gt;0,Tabla7[[#This Row],[PenLect]]&lt;&gt;0),(AM447-AL447)*Tabla7[[#This Row],[RT]],"N/A")</f>
        <v>N/A</v>
      </c>
      <c r="AO447" s="393" t="s">
        <v>1160</v>
      </c>
      <c r="AP447" s="393" t="s">
        <v>1075</v>
      </c>
      <c r="AQ447" s="393" t="s">
        <v>1074</v>
      </c>
      <c r="AR447" s="275">
        <f t="shared" si="220"/>
        <v>0</v>
      </c>
      <c r="AT447" s="2" t="e">
        <f t="shared" ca="1" si="213"/>
        <v>#VALUE!</v>
      </c>
    </row>
    <row r="448" spans="1:46" ht="18" customHeight="1" x14ac:dyDescent="0.25">
      <c r="A448" s="291" t="s">
        <v>19</v>
      </c>
      <c r="B448" s="54"/>
      <c r="C448" s="239" t="s">
        <v>200</v>
      </c>
      <c r="D448" s="54" t="s">
        <v>197</v>
      </c>
      <c r="E448" s="375">
        <v>39340</v>
      </c>
      <c r="F448" s="2" t="s">
        <v>201</v>
      </c>
      <c r="G448" s="2" t="s">
        <v>911</v>
      </c>
      <c r="H448" s="2"/>
      <c r="I448" s="2" t="s">
        <v>202</v>
      </c>
      <c r="J448" s="260">
        <v>1041127</v>
      </c>
      <c r="K448" s="260">
        <v>1043878</v>
      </c>
      <c r="L448" s="260"/>
      <c r="O448" s="260"/>
      <c r="P448" s="260"/>
      <c r="Q448" s="260"/>
      <c r="R448" s="260"/>
      <c r="S448" s="260"/>
      <c r="U448" s="260"/>
      <c r="V448" s="260"/>
      <c r="W448" s="2"/>
      <c r="X448" s="2"/>
      <c r="Y448" s="2">
        <f t="shared" si="214"/>
        <v>2751</v>
      </c>
      <c r="Z448" s="2" t="str">
        <f t="shared" si="215"/>
        <v/>
      </c>
      <c r="AA448" s="2" t="str">
        <f t="shared" si="216"/>
        <v/>
      </c>
      <c r="AB448" s="2" t="str">
        <f t="shared" si="217"/>
        <v/>
      </c>
      <c r="AC448" s="2" t="str">
        <f t="shared" si="221"/>
        <v/>
      </c>
      <c r="AD448" s="2" t="str">
        <f t="shared" si="222"/>
        <v/>
      </c>
      <c r="AE448" s="2" t="str">
        <f t="shared" si="223"/>
        <v/>
      </c>
      <c r="AF448" s="2" t="str">
        <f t="shared" si="224"/>
        <v/>
      </c>
      <c r="AG448" s="2" t="str">
        <f t="shared" si="225"/>
        <v/>
      </c>
      <c r="AH448" s="2" t="str">
        <f t="shared" si="226"/>
        <v/>
      </c>
      <c r="AI448" s="2" t="str">
        <f t="shared" si="227"/>
        <v/>
      </c>
      <c r="AJ448" s="2" t="str">
        <f t="shared" si="228"/>
        <v/>
      </c>
      <c r="AK448" s="2">
        <v>1</v>
      </c>
      <c r="AL448" s="260">
        <f t="shared" ca="1" si="218"/>
        <v>0</v>
      </c>
      <c r="AM448" s="260">
        <f t="shared" ca="1" si="219"/>
        <v>0</v>
      </c>
      <c r="AN448" s="260" t="str">
        <f ca="1">IF(AND(Tabla7[[#This Row],[UltLec]]&lt;&gt;0,Tabla7[[#This Row],[PenLect]]&lt;&gt;0),(AM448-AL448)*Tabla7[[#This Row],[RT]],"N/A")</f>
        <v>N/A</v>
      </c>
      <c r="AO448" s="380" t="s">
        <v>813</v>
      </c>
      <c r="AP448" s="380" t="s">
        <v>1075</v>
      </c>
      <c r="AQ448" s="380" t="s">
        <v>1074</v>
      </c>
      <c r="AR448" s="2">
        <f t="shared" si="220"/>
        <v>0</v>
      </c>
      <c r="AT448" s="2" t="e">
        <f t="shared" ca="1" si="213"/>
        <v>#VALUE!</v>
      </c>
    </row>
    <row r="449" spans="1:46" ht="18" hidden="1" customHeight="1" x14ac:dyDescent="0.25">
      <c r="A449" s="418" t="s">
        <v>1080</v>
      </c>
      <c r="B449" s="54"/>
      <c r="C449" s="367" t="s">
        <v>1121</v>
      </c>
      <c r="D449" s="273" t="s">
        <v>197</v>
      </c>
      <c r="E449" s="377">
        <v>131</v>
      </c>
      <c r="F449" s="275" t="s">
        <v>440</v>
      </c>
      <c r="G449" s="275" t="s">
        <v>47</v>
      </c>
      <c r="H449" s="275"/>
      <c r="I449" s="275"/>
      <c r="J449" s="275"/>
      <c r="K449" s="275"/>
      <c r="L449" s="275"/>
      <c r="M449" s="275"/>
      <c r="N449" s="275"/>
      <c r="O449" s="275"/>
      <c r="P449" s="275"/>
      <c r="Q449" s="275"/>
      <c r="R449" s="275"/>
      <c r="S449" s="275"/>
      <c r="T449" s="275"/>
      <c r="U449" s="275"/>
      <c r="V449" s="275"/>
      <c r="W449" s="275"/>
      <c r="X449" s="275"/>
      <c r="Y449" s="275" t="str">
        <f t="shared" si="214"/>
        <v/>
      </c>
      <c r="Z449" s="275" t="str">
        <f t="shared" si="215"/>
        <v/>
      </c>
      <c r="AA449" s="275" t="str">
        <f t="shared" ref="AA449:AA480" si="229">IF(OR(ISBLANK(M449),ISBLANK(L449)),"",IF(AND(M449&gt;=L449,M449-L449&lt;=M449),(M449-L449)*$AK449,"!!!!"))</f>
        <v/>
      </c>
      <c r="AB449" s="275" t="str">
        <f t="shared" ref="AB449:AB480" si="230">IF(OR(ISBLANK(N449),ISBLANK(M449)),"",IF(AND(N449&gt;=M449,N449-M449&lt;=N449),(N449-M449)*$AK449,"!!!!"))</f>
        <v/>
      </c>
      <c r="AC449" s="275" t="str">
        <f t="shared" si="221"/>
        <v/>
      </c>
      <c r="AD449" s="275" t="str">
        <f t="shared" si="222"/>
        <v/>
      </c>
      <c r="AE449" s="275" t="str">
        <f t="shared" si="223"/>
        <v/>
      </c>
      <c r="AF449" s="275" t="str">
        <f t="shared" si="224"/>
        <v/>
      </c>
      <c r="AG449" s="275" t="str">
        <f t="shared" si="225"/>
        <v/>
      </c>
      <c r="AH449" s="275" t="str">
        <f t="shared" si="226"/>
        <v/>
      </c>
      <c r="AI449" s="275" t="str">
        <f t="shared" si="227"/>
        <v/>
      </c>
      <c r="AJ449" s="275" t="str">
        <f t="shared" si="228"/>
        <v/>
      </c>
      <c r="AK449" s="275">
        <v>1</v>
      </c>
      <c r="AL449" s="277">
        <f t="shared" ca="1" si="218"/>
        <v>0</v>
      </c>
      <c r="AM449" s="277">
        <f t="shared" ca="1" si="219"/>
        <v>0</v>
      </c>
      <c r="AN449" s="277" t="str">
        <f ca="1">IF(AND(Tabla7[[#This Row],[UltLec]]&lt;&gt;0,Tabla7[[#This Row],[PenLect]]&lt;&gt;0),(AM449-AL449)*Tabla7[[#This Row],[RT]],"N/A")</f>
        <v>N/A</v>
      </c>
      <c r="AO449" s="393" t="s">
        <v>1160</v>
      </c>
      <c r="AP449" s="393" t="s">
        <v>1076</v>
      </c>
      <c r="AQ449" s="393" t="s">
        <v>771</v>
      </c>
      <c r="AR449" s="275">
        <f t="shared" si="220"/>
        <v>0</v>
      </c>
      <c r="AT449" s="2" t="e">
        <f t="shared" ca="1" si="213"/>
        <v>#VALUE!</v>
      </c>
    </row>
    <row r="450" spans="1:46" ht="18" customHeight="1" x14ac:dyDescent="0.25">
      <c r="A450" s="407" t="s">
        <v>19</v>
      </c>
      <c r="B450" s="54"/>
      <c r="C450" s="420" t="s">
        <v>214</v>
      </c>
      <c r="D450" s="374" t="s">
        <v>197</v>
      </c>
      <c r="E450" s="375">
        <v>150</v>
      </c>
      <c r="F450" s="2" t="s">
        <v>840</v>
      </c>
      <c r="G450" s="2" t="s">
        <v>215</v>
      </c>
      <c r="H450" s="2" t="s">
        <v>216</v>
      </c>
      <c r="I450" s="2"/>
      <c r="J450" s="260">
        <v>28015</v>
      </c>
      <c r="K450" s="260">
        <v>28461</v>
      </c>
      <c r="L450" s="260"/>
      <c r="O450" s="260"/>
      <c r="P450" s="260"/>
      <c r="Q450" s="260"/>
      <c r="R450" s="260"/>
      <c r="S450" s="260"/>
      <c r="U450" s="260"/>
      <c r="V450" s="260"/>
      <c r="W450" s="2"/>
      <c r="X450" s="2"/>
      <c r="Y450" s="2">
        <f t="shared" si="214"/>
        <v>446</v>
      </c>
      <c r="Z450" s="2" t="str">
        <f t="shared" si="215"/>
        <v/>
      </c>
      <c r="AA450" s="2" t="str">
        <f t="shared" si="229"/>
        <v/>
      </c>
      <c r="AB450" s="2" t="str">
        <f t="shared" si="230"/>
        <v/>
      </c>
      <c r="AC450" s="2" t="str">
        <f t="shared" si="221"/>
        <v/>
      </c>
      <c r="AD450" s="2" t="str">
        <f t="shared" si="222"/>
        <v/>
      </c>
      <c r="AE450" s="2" t="str">
        <f t="shared" si="223"/>
        <v/>
      </c>
      <c r="AF450" s="2" t="str">
        <f t="shared" si="224"/>
        <v/>
      </c>
      <c r="AG450" s="2" t="str">
        <f t="shared" si="225"/>
        <v/>
      </c>
      <c r="AH450" s="2" t="str">
        <f t="shared" si="226"/>
        <v/>
      </c>
      <c r="AI450" s="2" t="str">
        <f t="shared" si="227"/>
        <v/>
      </c>
      <c r="AJ450" s="2" t="str">
        <f t="shared" si="228"/>
        <v/>
      </c>
      <c r="AK450" s="2">
        <v>1</v>
      </c>
      <c r="AL450" s="260">
        <f t="shared" ca="1" si="218"/>
        <v>0</v>
      </c>
      <c r="AM450" s="260">
        <f t="shared" ca="1" si="219"/>
        <v>0</v>
      </c>
      <c r="AN450" s="260" t="str">
        <f ca="1">IF(AND(Tabla7[[#This Row],[UltLec]]&lt;&gt;0,Tabla7[[#This Row],[PenLect]]&lt;&gt;0),(AM450-AL450)*Tabla7[[#This Row],[RT]],"N/A")</f>
        <v>N/A</v>
      </c>
      <c r="AO450" s="380" t="s">
        <v>813</v>
      </c>
      <c r="AP450" s="380" t="s">
        <v>1075</v>
      </c>
      <c r="AQ450" s="380" t="s">
        <v>1074</v>
      </c>
      <c r="AR450" s="2">
        <f t="shared" si="220"/>
        <v>0</v>
      </c>
      <c r="AT450" s="2" t="e">
        <f t="shared" ca="1" si="213"/>
        <v>#VALUE!</v>
      </c>
    </row>
    <row r="451" spans="1:46" ht="18" hidden="1" customHeight="1" x14ac:dyDescent="0.25">
      <c r="A451" s="418" t="s">
        <v>1080</v>
      </c>
      <c r="B451" s="273"/>
      <c r="C451" s="367" t="s">
        <v>976</v>
      </c>
      <c r="D451" s="273" t="s">
        <v>197</v>
      </c>
      <c r="E451" s="377"/>
      <c r="F451" s="275"/>
      <c r="G451" s="275"/>
      <c r="H451" s="275" t="s">
        <v>1320</v>
      </c>
      <c r="I451" s="275" t="s">
        <v>977</v>
      </c>
      <c r="J451" s="275"/>
      <c r="K451" s="393"/>
      <c r="L451" s="393"/>
      <c r="M451" s="393"/>
      <c r="N451" s="393"/>
      <c r="O451" s="393"/>
      <c r="P451" s="393"/>
      <c r="Q451" s="393"/>
      <c r="R451" s="393"/>
      <c r="S451" s="393"/>
      <c r="T451" s="393"/>
      <c r="U451" s="275"/>
      <c r="V451" s="275"/>
      <c r="W451" s="277"/>
      <c r="X451" s="277"/>
      <c r="Y451" s="275" t="str">
        <f t="shared" si="214"/>
        <v/>
      </c>
      <c r="Z451" s="275" t="str">
        <f t="shared" si="215"/>
        <v/>
      </c>
      <c r="AA451" s="275" t="str">
        <f t="shared" si="229"/>
        <v/>
      </c>
      <c r="AB451" s="275" t="str">
        <f t="shared" si="230"/>
        <v/>
      </c>
      <c r="AC451" s="275" t="str">
        <f t="shared" si="221"/>
        <v/>
      </c>
      <c r="AD451" s="275" t="str">
        <f t="shared" si="222"/>
        <v/>
      </c>
      <c r="AE451" s="275" t="str">
        <f t="shared" si="223"/>
        <v/>
      </c>
      <c r="AF451" s="275" t="str">
        <f t="shared" si="224"/>
        <v/>
      </c>
      <c r="AG451" s="275" t="str">
        <f t="shared" si="225"/>
        <v/>
      </c>
      <c r="AH451" s="275" t="str">
        <f t="shared" si="226"/>
        <v/>
      </c>
      <c r="AI451" s="275" t="str">
        <f t="shared" si="227"/>
        <v/>
      </c>
      <c r="AJ451" s="275" t="str">
        <f t="shared" si="228"/>
        <v/>
      </c>
      <c r="AK451" s="275">
        <v>1</v>
      </c>
      <c r="AL451" s="277">
        <f t="shared" ca="1" si="218"/>
        <v>0</v>
      </c>
      <c r="AM451" s="277">
        <f t="shared" ca="1" si="219"/>
        <v>0</v>
      </c>
      <c r="AN451" s="277" t="str">
        <f ca="1">IF(AND(Tabla7[[#This Row],[UltLec]]&lt;&gt;0,Tabla7[[#This Row],[PenLect]]&lt;&gt;0),(AM451-AL451)*Tabla7[[#This Row],[RT]],"N/A")</f>
        <v>N/A</v>
      </c>
      <c r="AO451" s="393" t="s">
        <v>1160</v>
      </c>
      <c r="AP451" s="393" t="s">
        <v>1075</v>
      </c>
      <c r="AQ451" s="393" t="s">
        <v>1074</v>
      </c>
      <c r="AR451" s="275">
        <f t="shared" si="220"/>
        <v>0</v>
      </c>
      <c r="AT451" s="2" t="e">
        <f t="shared" ca="1" si="213"/>
        <v>#VALUE!</v>
      </c>
    </row>
    <row r="452" spans="1:46" ht="18" hidden="1" customHeight="1" x14ac:dyDescent="0.25">
      <c r="A452" s="409" t="s">
        <v>1080</v>
      </c>
      <c r="B452" s="273">
        <v>271</v>
      </c>
      <c r="C452" s="379" t="s">
        <v>219</v>
      </c>
      <c r="D452" s="376" t="s">
        <v>217</v>
      </c>
      <c r="E452" s="377">
        <v>39132</v>
      </c>
      <c r="F452" s="275" t="s">
        <v>220</v>
      </c>
      <c r="G452" s="275" t="s">
        <v>1023</v>
      </c>
      <c r="H452" s="275" t="s">
        <v>1607</v>
      </c>
      <c r="I452" s="275"/>
      <c r="J452" s="275"/>
      <c r="K452" s="275"/>
      <c r="L452" s="275"/>
      <c r="M452" s="275"/>
      <c r="N452" s="275"/>
      <c r="O452" s="275"/>
      <c r="P452" s="275"/>
      <c r="Q452" s="275"/>
      <c r="R452" s="275"/>
      <c r="S452" s="275"/>
      <c r="T452" s="275"/>
      <c r="U452" s="275"/>
      <c r="V452" s="275"/>
      <c r="W452" s="275"/>
      <c r="X452" s="275"/>
      <c r="Y452" s="275" t="str">
        <f t="shared" si="214"/>
        <v/>
      </c>
      <c r="Z452" s="275" t="str">
        <f t="shared" si="215"/>
        <v/>
      </c>
      <c r="AA452" s="275" t="str">
        <f t="shared" si="229"/>
        <v/>
      </c>
      <c r="AB452" s="275" t="str">
        <f t="shared" si="230"/>
        <v/>
      </c>
      <c r="AC452" s="275" t="str">
        <f t="shared" si="221"/>
        <v/>
      </c>
      <c r="AD452" s="275" t="str">
        <f t="shared" si="222"/>
        <v/>
      </c>
      <c r="AE452" s="275" t="str">
        <f t="shared" si="223"/>
        <v/>
      </c>
      <c r="AF452" s="275" t="str">
        <f t="shared" si="224"/>
        <v/>
      </c>
      <c r="AG452" s="275" t="str">
        <f t="shared" si="225"/>
        <v/>
      </c>
      <c r="AH452" s="275" t="str">
        <f t="shared" si="226"/>
        <v/>
      </c>
      <c r="AI452" s="275" t="str">
        <f t="shared" si="227"/>
        <v/>
      </c>
      <c r="AJ452" s="275" t="str">
        <f t="shared" si="228"/>
        <v/>
      </c>
      <c r="AK452" s="275">
        <v>1</v>
      </c>
      <c r="AL452" s="275">
        <f t="shared" ca="1" si="218"/>
        <v>0</v>
      </c>
      <c r="AM452" s="275">
        <f t="shared" ca="1" si="219"/>
        <v>0</v>
      </c>
      <c r="AN452" s="275" t="str">
        <f ca="1">IF(AND(Tabla7[[#This Row],[UltLec]]&lt;&gt;0,Tabla7[[#This Row],[PenLect]]&lt;&gt;0),(AM452-AL452)*Tabla7[[#This Row],[RT]],"N/A")</f>
        <v>N/A</v>
      </c>
      <c r="AO452" s="275" t="s">
        <v>1160</v>
      </c>
      <c r="AP452" s="275" t="s">
        <v>1075</v>
      </c>
      <c r="AQ452" s="275" t="s">
        <v>1074</v>
      </c>
      <c r="AR452" s="275">
        <f t="shared" si="220"/>
        <v>0</v>
      </c>
      <c r="AT452" s="2" t="e">
        <f t="shared" ca="1" si="213"/>
        <v>#VALUE!</v>
      </c>
    </row>
    <row r="453" spans="1:46" ht="18" customHeight="1" x14ac:dyDescent="0.25">
      <c r="A453" s="378" t="s">
        <v>19</v>
      </c>
      <c r="B453" s="262">
        <v>671</v>
      </c>
      <c r="C453" s="266" t="s">
        <v>221</v>
      </c>
      <c r="D453" s="262" t="s">
        <v>217</v>
      </c>
      <c r="E453" s="451">
        <v>39036</v>
      </c>
      <c r="F453" s="371" t="s">
        <v>1549</v>
      </c>
      <c r="G453" s="371" t="s">
        <v>1024</v>
      </c>
      <c r="H453" s="371" t="s">
        <v>222</v>
      </c>
      <c r="I453" s="371"/>
      <c r="J453" s="341">
        <v>1264289</v>
      </c>
      <c r="K453" s="341">
        <v>1272626</v>
      </c>
      <c r="L453" s="341"/>
      <c r="M453" s="341"/>
      <c r="N453" s="341"/>
      <c r="O453" s="341"/>
      <c r="P453" s="341"/>
      <c r="Q453" s="341"/>
      <c r="R453" s="341"/>
      <c r="S453" s="341"/>
      <c r="T453" s="341"/>
      <c r="U453" s="341"/>
      <c r="V453" s="341"/>
      <c r="W453" s="341"/>
      <c r="X453" s="341"/>
      <c r="Y453" s="371">
        <f t="shared" si="214"/>
        <v>8337</v>
      </c>
      <c r="Z453" s="371" t="str">
        <f t="shared" si="215"/>
        <v/>
      </c>
      <c r="AA453" s="371" t="str">
        <f t="shared" si="229"/>
        <v/>
      </c>
      <c r="AB453" s="371" t="str">
        <f t="shared" si="230"/>
        <v/>
      </c>
      <c r="AC453" s="371" t="str">
        <f t="shared" si="221"/>
        <v/>
      </c>
      <c r="AD453" s="371" t="str">
        <f t="shared" si="222"/>
        <v/>
      </c>
      <c r="AE453" s="371" t="str">
        <f t="shared" si="223"/>
        <v/>
      </c>
      <c r="AF453" s="371" t="str">
        <f t="shared" si="224"/>
        <v/>
      </c>
      <c r="AG453" s="371" t="str">
        <f t="shared" si="225"/>
        <v/>
      </c>
      <c r="AH453" s="371" t="str">
        <f t="shared" si="226"/>
        <v/>
      </c>
      <c r="AI453" s="371" t="str">
        <f t="shared" si="227"/>
        <v/>
      </c>
      <c r="AJ453" s="371" t="str">
        <f t="shared" si="228"/>
        <v/>
      </c>
      <c r="AK453" s="371">
        <v>1</v>
      </c>
      <c r="AL453" s="341">
        <f t="shared" ca="1" si="218"/>
        <v>0</v>
      </c>
      <c r="AM453" s="341">
        <f t="shared" ca="1" si="219"/>
        <v>0</v>
      </c>
      <c r="AN453" s="341" t="str">
        <f ca="1">IF(AND(Tabla7[[#This Row],[UltLec]]&lt;&gt;0,Tabla7[[#This Row],[PenLect]]&lt;&gt;0),(AM453-AL453)*Tabla7[[#This Row],[RT]],"N/A")</f>
        <v>N/A</v>
      </c>
      <c r="AO453" s="389" t="s">
        <v>813</v>
      </c>
      <c r="AP453" s="389" t="s">
        <v>1075</v>
      </c>
      <c r="AQ453" s="389" t="s">
        <v>1074</v>
      </c>
      <c r="AR453" s="371">
        <f t="shared" si="220"/>
        <v>0</v>
      </c>
      <c r="AT453" s="2" t="e">
        <f t="shared" ref="AT453:AT516" ca="1" si="231">IF(IF(DAY(TODAY())&gt;15,INDEX($Y453:$AJ453,1,MONTH(TODAY())-1),INDEX($Y453:$AJ453,1,MONTH(TODAY())-2))=0,"0",IF(DAY(TODAY())&gt;15,INDEX($Y453:$AJ453,1,MONTH(TODAY())),INDEX($Y453:$AJ453,1,MONTH(TODAY())-1))/IF(DAY(TODAY())&gt;15,INDEX($Y453:$AJ453,1,MONTH(TODAY())-1),INDEX($Y453:$AJ453,1,MONTH(TODAY())-2)))</f>
        <v>#VALUE!</v>
      </c>
    </row>
    <row r="454" spans="1:46" ht="18" customHeight="1" x14ac:dyDescent="0.25">
      <c r="A454" s="407" t="s">
        <v>698</v>
      </c>
      <c r="B454" s="54"/>
      <c r="C454" s="420" t="s">
        <v>1190</v>
      </c>
      <c r="D454" s="374" t="s">
        <v>217</v>
      </c>
      <c r="E454" s="375">
        <v>1</v>
      </c>
      <c r="F454" s="2" t="s">
        <v>841</v>
      </c>
      <c r="G454" s="2" t="s">
        <v>288</v>
      </c>
      <c r="H454" s="2" t="s">
        <v>218</v>
      </c>
      <c r="I454" s="2"/>
      <c r="J454" s="260">
        <v>1589214</v>
      </c>
      <c r="K454" s="260">
        <v>1611454</v>
      </c>
      <c r="L454" s="260"/>
      <c r="O454" s="260"/>
      <c r="P454" s="260"/>
      <c r="Q454" s="260"/>
      <c r="R454" s="260"/>
      <c r="S454" s="260"/>
      <c r="U454" s="260"/>
      <c r="V454" s="260"/>
      <c r="W454" s="2"/>
      <c r="X454" s="2"/>
      <c r="Y454" s="2">
        <f t="shared" si="214"/>
        <v>22240</v>
      </c>
      <c r="Z454" s="2" t="str">
        <f t="shared" si="215"/>
        <v/>
      </c>
      <c r="AA454" s="2" t="str">
        <f t="shared" si="229"/>
        <v/>
      </c>
      <c r="AB454" s="2" t="str">
        <f t="shared" si="230"/>
        <v/>
      </c>
      <c r="AC454" s="2" t="str">
        <f t="shared" si="221"/>
        <v/>
      </c>
      <c r="AD454" s="2" t="str">
        <f t="shared" si="222"/>
        <v/>
      </c>
      <c r="AE454" s="2" t="str">
        <f t="shared" si="223"/>
        <v/>
      </c>
      <c r="AF454" s="2" t="str">
        <f t="shared" si="224"/>
        <v/>
      </c>
      <c r="AG454" s="2" t="str">
        <f t="shared" si="225"/>
        <v/>
      </c>
      <c r="AH454" s="2" t="str">
        <f t="shared" si="226"/>
        <v/>
      </c>
      <c r="AI454" s="2" t="str">
        <f t="shared" si="227"/>
        <v/>
      </c>
      <c r="AJ454" s="2" t="str">
        <f t="shared" si="228"/>
        <v/>
      </c>
      <c r="AK454" s="2">
        <v>1</v>
      </c>
      <c r="AL454" s="260">
        <f t="shared" ca="1" si="218"/>
        <v>0</v>
      </c>
      <c r="AM454" s="260">
        <f t="shared" ca="1" si="219"/>
        <v>0</v>
      </c>
      <c r="AN454" s="260" t="str">
        <f ca="1">IF(AND(Tabla7[[#This Row],[UltLec]]&lt;&gt;0,Tabla7[[#This Row],[PenLect]]&lt;&gt;0),(AM454-AL454)*Tabla7[[#This Row],[RT]],"N/A")</f>
        <v>N/A</v>
      </c>
      <c r="AO454" s="380" t="s">
        <v>813</v>
      </c>
      <c r="AP454" s="380" t="s">
        <v>1076</v>
      </c>
      <c r="AQ454" s="380" t="s">
        <v>771</v>
      </c>
      <c r="AR454" s="2">
        <f t="shared" si="220"/>
        <v>0</v>
      </c>
      <c r="AT454" s="2" t="e">
        <f t="shared" ca="1" si="231"/>
        <v>#VALUE!</v>
      </c>
    </row>
    <row r="455" spans="1:46" ht="18" customHeight="1" x14ac:dyDescent="0.25">
      <c r="A455" s="291" t="s">
        <v>19</v>
      </c>
      <c r="B455" s="54"/>
      <c r="C455" s="239" t="s">
        <v>1189</v>
      </c>
      <c r="D455" s="54" t="s">
        <v>217</v>
      </c>
      <c r="E455" s="375">
        <v>131</v>
      </c>
      <c r="F455" s="2" t="s">
        <v>440</v>
      </c>
      <c r="G455" s="2" t="s">
        <v>288</v>
      </c>
      <c r="H455" s="2" t="s">
        <v>161</v>
      </c>
      <c r="I455" s="2"/>
      <c r="J455" s="260">
        <v>514464</v>
      </c>
      <c r="K455" s="260">
        <v>520608</v>
      </c>
      <c r="L455" s="260"/>
      <c r="O455" s="260"/>
      <c r="P455" s="260"/>
      <c r="Q455" s="260"/>
      <c r="R455" s="260"/>
      <c r="S455" s="260"/>
      <c r="U455" s="260"/>
      <c r="V455" s="260"/>
      <c r="W455" s="2"/>
      <c r="X455" s="2"/>
      <c r="Y455" s="2">
        <f t="shared" si="214"/>
        <v>6144</v>
      </c>
      <c r="Z455" s="2" t="str">
        <f t="shared" si="215"/>
        <v/>
      </c>
      <c r="AA455" s="2" t="str">
        <f t="shared" si="229"/>
        <v/>
      </c>
      <c r="AB455" s="2" t="str">
        <f t="shared" si="230"/>
        <v/>
      </c>
      <c r="AC455" s="2" t="str">
        <f t="shared" si="221"/>
        <v/>
      </c>
      <c r="AD455" s="2" t="str">
        <f t="shared" si="222"/>
        <v/>
      </c>
      <c r="AE455" s="2" t="str">
        <f t="shared" si="223"/>
        <v/>
      </c>
      <c r="AF455" s="2" t="str">
        <f t="shared" si="224"/>
        <v/>
      </c>
      <c r="AG455" s="2" t="str">
        <f t="shared" si="225"/>
        <v/>
      </c>
      <c r="AH455" s="2" t="str">
        <f t="shared" si="226"/>
        <v/>
      </c>
      <c r="AI455" s="2" t="str">
        <f t="shared" si="227"/>
        <v/>
      </c>
      <c r="AJ455" s="2" t="str">
        <f t="shared" si="228"/>
        <v/>
      </c>
      <c r="AK455" s="2">
        <v>1</v>
      </c>
      <c r="AL455" s="260">
        <f t="shared" ca="1" si="218"/>
        <v>0</v>
      </c>
      <c r="AM455" s="260">
        <f t="shared" ca="1" si="219"/>
        <v>0</v>
      </c>
      <c r="AN455" s="260" t="str">
        <f ca="1">IF(AND(Tabla7[[#This Row],[UltLec]]&lt;&gt;0,Tabla7[[#This Row],[PenLect]]&lt;&gt;0),(AM455-AL455)*Tabla7[[#This Row],[RT]],"N/A")</f>
        <v>N/A</v>
      </c>
      <c r="AO455" s="380" t="s">
        <v>813</v>
      </c>
      <c r="AP455" s="380" t="s">
        <v>1076</v>
      </c>
      <c r="AQ455" s="380" t="s">
        <v>771</v>
      </c>
      <c r="AR455" s="2">
        <f t="shared" si="220"/>
        <v>0</v>
      </c>
      <c r="AT455" s="2" t="e">
        <f t="shared" ca="1" si="231"/>
        <v>#VALUE!</v>
      </c>
    </row>
    <row r="456" spans="1:46" ht="18" customHeight="1" x14ac:dyDescent="0.25">
      <c r="A456" s="407" t="s">
        <v>19</v>
      </c>
      <c r="B456" s="54"/>
      <c r="C456" s="420" t="s">
        <v>1604</v>
      </c>
      <c r="D456" s="374" t="s">
        <v>217</v>
      </c>
      <c r="E456" s="375">
        <v>39132</v>
      </c>
      <c r="F456" s="2" t="s">
        <v>220</v>
      </c>
      <c r="G456" s="2" t="s">
        <v>1023</v>
      </c>
      <c r="H456" s="460" t="s">
        <v>1605</v>
      </c>
      <c r="I456" s="2" t="s">
        <v>1606</v>
      </c>
      <c r="J456" s="260">
        <v>56912</v>
      </c>
      <c r="K456" s="260">
        <v>64459</v>
      </c>
      <c r="L456" s="260"/>
      <c r="O456" s="260"/>
      <c r="P456" s="260"/>
      <c r="Q456" s="260"/>
      <c r="R456" s="260"/>
      <c r="S456" s="260"/>
      <c r="U456" s="260"/>
      <c r="V456" s="260"/>
      <c r="W456" s="2"/>
      <c r="X456" s="2"/>
      <c r="Y456" s="2">
        <f t="shared" si="214"/>
        <v>7547</v>
      </c>
      <c r="Z456" s="2" t="str">
        <f t="shared" si="215"/>
        <v/>
      </c>
      <c r="AA456" s="2" t="str">
        <f t="shared" si="229"/>
        <v/>
      </c>
      <c r="AB456" s="2" t="str">
        <f t="shared" si="230"/>
        <v/>
      </c>
      <c r="AC456" s="2" t="str">
        <f t="shared" si="221"/>
        <v/>
      </c>
      <c r="AD456" s="2" t="str">
        <f t="shared" si="222"/>
        <v/>
      </c>
      <c r="AE456" s="2" t="str">
        <f t="shared" si="223"/>
        <v/>
      </c>
      <c r="AF456" s="2" t="str">
        <f t="shared" si="224"/>
        <v/>
      </c>
      <c r="AG456" s="2" t="str">
        <f t="shared" si="225"/>
        <v/>
      </c>
      <c r="AH456" s="2" t="str">
        <f t="shared" si="226"/>
        <v/>
      </c>
      <c r="AI456" s="2" t="str">
        <f t="shared" si="227"/>
        <v/>
      </c>
      <c r="AJ456" s="2" t="str">
        <f t="shared" si="228"/>
        <v/>
      </c>
      <c r="AK456" s="2">
        <v>1</v>
      </c>
      <c r="AL456" s="260">
        <f t="shared" ca="1" si="218"/>
        <v>0</v>
      </c>
      <c r="AM456" s="260">
        <f t="shared" ca="1" si="219"/>
        <v>0</v>
      </c>
      <c r="AN456" s="260" t="str">
        <f ca="1">IF(AND(Tabla7[[#This Row],[UltLec]]&lt;&gt;0,Tabla7[[#This Row],[PenLect]]&lt;&gt;0),(AM456-AL456)*Tabla7[[#This Row],[RT]],"N/A")</f>
        <v>N/A</v>
      </c>
      <c r="AO456" s="380" t="s">
        <v>813</v>
      </c>
      <c r="AP456" s="380" t="s">
        <v>1075</v>
      </c>
      <c r="AQ456" s="380" t="s">
        <v>1074</v>
      </c>
      <c r="AR456" s="2">
        <f t="shared" si="220"/>
        <v>0</v>
      </c>
      <c r="AT456" s="2" t="e">
        <f t="shared" ca="1" si="231"/>
        <v>#VALUE!</v>
      </c>
    </row>
    <row r="457" spans="1:46" ht="18" customHeight="1" x14ac:dyDescent="0.25">
      <c r="A457" s="291" t="s">
        <v>19</v>
      </c>
      <c r="B457" s="54">
        <v>838</v>
      </c>
      <c r="C457" s="239" t="s">
        <v>230</v>
      </c>
      <c r="D457" s="54" t="s">
        <v>223</v>
      </c>
      <c r="E457" s="232">
        <v>39381</v>
      </c>
      <c r="F457" s="2" t="s">
        <v>231</v>
      </c>
      <c r="G457" s="2" t="s">
        <v>226</v>
      </c>
      <c r="H457" s="2"/>
      <c r="I457" s="2"/>
      <c r="J457" s="260">
        <v>23658</v>
      </c>
      <c r="K457" s="260">
        <v>23845</v>
      </c>
      <c r="L457" s="260"/>
      <c r="O457" s="260"/>
      <c r="P457" s="260"/>
      <c r="Q457" s="260"/>
      <c r="R457" s="260"/>
      <c r="S457" s="260"/>
      <c r="U457" s="260"/>
      <c r="V457" s="260"/>
      <c r="W457" s="2"/>
      <c r="X457" s="2"/>
      <c r="Y457" s="2">
        <f t="shared" si="214"/>
        <v>187</v>
      </c>
      <c r="Z457" s="2" t="str">
        <f t="shared" si="215"/>
        <v/>
      </c>
      <c r="AA457" s="2" t="str">
        <f t="shared" si="229"/>
        <v/>
      </c>
      <c r="AB457" s="2" t="str">
        <f t="shared" si="230"/>
        <v/>
      </c>
      <c r="AC457" s="2" t="str">
        <f t="shared" si="221"/>
        <v/>
      </c>
      <c r="AD457" s="2" t="str">
        <f t="shared" si="222"/>
        <v/>
      </c>
      <c r="AE457" s="2" t="str">
        <f t="shared" si="223"/>
        <v/>
      </c>
      <c r="AF457" s="2" t="str">
        <f t="shared" si="224"/>
        <v/>
      </c>
      <c r="AG457" s="2" t="str">
        <f t="shared" si="225"/>
        <v/>
      </c>
      <c r="AH457" s="2" t="str">
        <f t="shared" si="226"/>
        <v/>
      </c>
      <c r="AI457" s="2" t="str">
        <f t="shared" si="227"/>
        <v/>
      </c>
      <c r="AJ457" s="2" t="str">
        <f t="shared" si="228"/>
        <v/>
      </c>
      <c r="AK457" s="2">
        <v>1</v>
      </c>
      <c r="AL457" s="260">
        <f t="shared" ca="1" si="218"/>
        <v>0</v>
      </c>
      <c r="AM457" s="260">
        <f t="shared" ca="1" si="219"/>
        <v>0</v>
      </c>
      <c r="AN457" s="260" t="str">
        <f ca="1">IF(AND(Tabla7[[#This Row],[UltLec]]&lt;&gt;0,Tabla7[[#This Row],[PenLect]]&lt;&gt;0),(AM457-AL457)*Tabla7[[#This Row],[RT]],"N/A")</f>
        <v>N/A</v>
      </c>
      <c r="AO457" s="380" t="s">
        <v>813</v>
      </c>
      <c r="AP457" s="380" t="s">
        <v>1075</v>
      </c>
      <c r="AQ457" s="380" t="s">
        <v>1074</v>
      </c>
      <c r="AR457" s="2">
        <f t="shared" si="220"/>
        <v>0</v>
      </c>
      <c r="AT457" s="2" t="e">
        <f t="shared" ca="1" si="231"/>
        <v>#VALUE!</v>
      </c>
    </row>
    <row r="458" spans="1:46" ht="18" customHeight="1" x14ac:dyDescent="0.25">
      <c r="A458" s="291" t="s">
        <v>19</v>
      </c>
      <c r="B458" s="54"/>
      <c r="C458" s="239" t="s">
        <v>232</v>
      </c>
      <c r="D458" s="54" t="s">
        <v>223</v>
      </c>
      <c r="E458" s="232">
        <v>140</v>
      </c>
      <c r="F458" s="2" t="s">
        <v>839</v>
      </c>
      <c r="G458" s="2" t="s">
        <v>226</v>
      </c>
      <c r="H458" s="2" t="s">
        <v>233</v>
      </c>
      <c r="I458" s="2"/>
      <c r="J458" s="260">
        <v>92121</v>
      </c>
      <c r="K458" s="260">
        <v>92566</v>
      </c>
      <c r="L458" s="260"/>
      <c r="O458" s="260"/>
      <c r="P458" s="260"/>
      <c r="Q458" s="260"/>
      <c r="R458" s="260"/>
      <c r="S458" s="260"/>
      <c r="U458" s="260"/>
      <c r="V458" s="260"/>
      <c r="W458" s="2"/>
      <c r="X458" s="2"/>
      <c r="Y458" s="2">
        <f t="shared" si="214"/>
        <v>445</v>
      </c>
      <c r="Z458" s="2" t="str">
        <f t="shared" si="215"/>
        <v/>
      </c>
      <c r="AA458" s="2" t="str">
        <f t="shared" si="229"/>
        <v/>
      </c>
      <c r="AB458" s="2" t="str">
        <f t="shared" si="230"/>
        <v/>
      </c>
      <c r="AC458" s="2" t="str">
        <f t="shared" si="221"/>
        <v/>
      </c>
      <c r="AD458" s="2" t="str">
        <f t="shared" si="222"/>
        <v/>
      </c>
      <c r="AE458" s="2" t="str">
        <f t="shared" si="223"/>
        <v/>
      </c>
      <c r="AF458" s="2" t="str">
        <f t="shared" si="224"/>
        <v/>
      </c>
      <c r="AG458" s="2" t="str">
        <f t="shared" si="225"/>
        <v/>
      </c>
      <c r="AH458" s="2" t="str">
        <f t="shared" si="226"/>
        <v/>
      </c>
      <c r="AI458" s="2" t="str">
        <f t="shared" si="227"/>
        <v/>
      </c>
      <c r="AJ458" s="2" t="str">
        <f t="shared" si="228"/>
        <v/>
      </c>
      <c r="AK458" s="2">
        <v>1</v>
      </c>
      <c r="AL458" s="260">
        <f t="shared" ca="1" si="218"/>
        <v>0</v>
      </c>
      <c r="AM458" s="260">
        <f t="shared" ca="1" si="219"/>
        <v>0</v>
      </c>
      <c r="AN458" s="260" t="str">
        <f ca="1">IF(AND(Tabla7[[#This Row],[UltLec]]&lt;&gt;0,Tabla7[[#This Row],[PenLect]]&lt;&gt;0),(AM458-AL458)*Tabla7[[#This Row],[RT]],"N/A")</f>
        <v>N/A</v>
      </c>
      <c r="AO458" s="380" t="s">
        <v>813</v>
      </c>
      <c r="AP458" s="380" t="s">
        <v>1075</v>
      </c>
      <c r="AQ458" s="380" t="s">
        <v>1074</v>
      </c>
      <c r="AR458" s="2">
        <f t="shared" si="220"/>
        <v>0</v>
      </c>
      <c r="AT458" s="2" t="e">
        <f t="shared" ca="1" si="231"/>
        <v>#VALUE!</v>
      </c>
    </row>
    <row r="459" spans="1:46" ht="18" customHeight="1" x14ac:dyDescent="0.25">
      <c r="A459" s="291" t="s">
        <v>19</v>
      </c>
      <c r="B459" s="54">
        <v>715</v>
      </c>
      <c r="C459" s="239" t="s">
        <v>224</v>
      </c>
      <c r="D459" s="54" t="s">
        <v>223</v>
      </c>
      <c r="E459" s="232">
        <v>39291</v>
      </c>
      <c r="F459" s="2" t="s">
        <v>225</v>
      </c>
      <c r="G459" s="2" t="s">
        <v>226</v>
      </c>
      <c r="H459" s="2" t="s">
        <v>227</v>
      </c>
      <c r="I459" s="2"/>
      <c r="J459" s="260">
        <v>74787</v>
      </c>
      <c r="K459" s="260">
        <v>75444</v>
      </c>
      <c r="L459" s="260"/>
      <c r="O459" s="260"/>
      <c r="P459" s="260"/>
      <c r="Q459" s="260"/>
      <c r="R459" s="260"/>
      <c r="S459" s="260"/>
      <c r="U459" s="260"/>
      <c r="V459" s="260"/>
      <c r="W459" s="2"/>
      <c r="X459" s="2"/>
      <c r="Y459" s="2">
        <f t="shared" si="214"/>
        <v>657</v>
      </c>
      <c r="Z459" s="2" t="str">
        <f t="shared" si="215"/>
        <v/>
      </c>
      <c r="AA459" s="2" t="str">
        <f t="shared" si="229"/>
        <v/>
      </c>
      <c r="AB459" s="2" t="str">
        <f t="shared" si="230"/>
        <v/>
      </c>
      <c r="AC459" s="2" t="str">
        <f t="shared" si="221"/>
        <v/>
      </c>
      <c r="AD459" s="2" t="str">
        <f t="shared" si="222"/>
        <v/>
      </c>
      <c r="AE459" s="2" t="str">
        <f t="shared" si="223"/>
        <v/>
      </c>
      <c r="AF459" s="2" t="str">
        <f t="shared" si="224"/>
        <v/>
      </c>
      <c r="AG459" s="2" t="str">
        <f t="shared" si="225"/>
        <v/>
      </c>
      <c r="AH459" s="2" t="str">
        <f t="shared" si="226"/>
        <v/>
      </c>
      <c r="AI459" s="2" t="str">
        <f t="shared" si="227"/>
        <v/>
      </c>
      <c r="AJ459" s="2" t="str">
        <f t="shared" si="228"/>
        <v/>
      </c>
      <c r="AK459" s="2">
        <v>1</v>
      </c>
      <c r="AL459" s="260">
        <f t="shared" ca="1" si="218"/>
        <v>0</v>
      </c>
      <c r="AM459" s="260">
        <f t="shared" ca="1" si="219"/>
        <v>0</v>
      </c>
      <c r="AN459" s="260" t="str">
        <f ca="1">IF(AND(Tabla7[[#This Row],[UltLec]]&lt;&gt;0,Tabla7[[#This Row],[PenLect]]&lt;&gt;0),(AM459-AL459)*Tabla7[[#This Row],[RT]],"N/A")</f>
        <v>N/A</v>
      </c>
      <c r="AO459" s="380" t="s">
        <v>813</v>
      </c>
      <c r="AP459" s="380" t="s">
        <v>1075</v>
      </c>
      <c r="AQ459" s="380" t="s">
        <v>1077</v>
      </c>
      <c r="AR459" s="2">
        <f t="shared" si="220"/>
        <v>0</v>
      </c>
      <c r="AT459" s="2" t="e">
        <f t="shared" ca="1" si="231"/>
        <v>#VALUE!</v>
      </c>
    </row>
    <row r="460" spans="1:46" ht="18" customHeight="1" x14ac:dyDescent="0.25">
      <c r="A460" s="407" t="s">
        <v>19</v>
      </c>
      <c r="B460" s="54"/>
      <c r="C460" s="420" t="s">
        <v>228</v>
      </c>
      <c r="D460" s="374" t="s">
        <v>223</v>
      </c>
      <c r="E460" s="375">
        <v>140</v>
      </c>
      <c r="F460" s="2" t="s">
        <v>845</v>
      </c>
      <c r="G460" s="2" t="s">
        <v>229</v>
      </c>
      <c r="H460" s="2"/>
      <c r="I460" s="2"/>
      <c r="J460" s="260">
        <v>767550</v>
      </c>
      <c r="K460" s="260">
        <v>773539</v>
      </c>
      <c r="L460" s="260"/>
      <c r="O460" s="260"/>
      <c r="P460" s="260"/>
      <c r="Q460" s="260"/>
      <c r="R460" s="260"/>
      <c r="S460" s="260"/>
      <c r="U460" s="260"/>
      <c r="V460" s="260"/>
      <c r="W460" s="2"/>
      <c r="X460" s="2"/>
      <c r="Y460" s="2">
        <f t="shared" si="214"/>
        <v>5989</v>
      </c>
      <c r="Z460" s="2" t="str">
        <f t="shared" si="215"/>
        <v/>
      </c>
      <c r="AA460" s="2" t="str">
        <f t="shared" si="229"/>
        <v/>
      </c>
      <c r="AB460" s="2" t="str">
        <f t="shared" si="230"/>
        <v/>
      </c>
      <c r="AC460" s="2" t="str">
        <f t="shared" si="221"/>
        <v/>
      </c>
      <c r="AD460" s="2" t="str">
        <f t="shared" si="222"/>
        <v/>
      </c>
      <c r="AE460" s="2" t="str">
        <f t="shared" si="223"/>
        <v/>
      </c>
      <c r="AF460" s="2" t="str">
        <f t="shared" si="224"/>
        <v/>
      </c>
      <c r="AG460" s="2" t="str">
        <f t="shared" si="225"/>
        <v/>
      </c>
      <c r="AH460" s="2" t="str">
        <f t="shared" si="226"/>
        <v/>
      </c>
      <c r="AI460" s="2" t="str">
        <f t="shared" si="227"/>
        <v/>
      </c>
      <c r="AJ460" s="2" t="str">
        <f t="shared" si="228"/>
        <v/>
      </c>
      <c r="AK460" s="2">
        <v>1</v>
      </c>
      <c r="AL460" s="260">
        <f t="shared" ca="1" si="218"/>
        <v>0</v>
      </c>
      <c r="AM460" s="260">
        <f t="shared" ca="1" si="219"/>
        <v>0</v>
      </c>
      <c r="AN460" s="260" t="str">
        <f ca="1">IF(AND(Tabla7[[#This Row],[UltLec]]&lt;&gt;0,Tabla7[[#This Row],[PenLect]]&lt;&gt;0),(AM460-AL460)*Tabla7[[#This Row],[RT]],"N/A")</f>
        <v>N/A</v>
      </c>
      <c r="AO460" s="380" t="s">
        <v>813</v>
      </c>
      <c r="AP460" s="380" t="s">
        <v>1075</v>
      </c>
      <c r="AQ460" s="380" t="s">
        <v>1074</v>
      </c>
      <c r="AR460" s="2">
        <f t="shared" si="220"/>
        <v>0</v>
      </c>
      <c r="AT460" s="2" t="e">
        <f t="shared" ca="1" si="231"/>
        <v>#VALUE!</v>
      </c>
    </row>
    <row r="461" spans="1:46" ht="18" customHeight="1" x14ac:dyDescent="0.25">
      <c r="A461" s="405" t="s">
        <v>19</v>
      </c>
      <c r="B461" s="54"/>
      <c r="C461" s="239" t="s">
        <v>771</v>
      </c>
      <c r="D461" s="54" t="s">
        <v>223</v>
      </c>
      <c r="E461" s="232">
        <v>142</v>
      </c>
      <c r="F461" s="2" t="s">
        <v>775</v>
      </c>
      <c r="G461" s="2" t="s">
        <v>1212</v>
      </c>
      <c r="H461" s="2" t="s">
        <v>773</v>
      </c>
      <c r="I461" s="2" t="s">
        <v>774</v>
      </c>
      <c r="J461" s="260">
        <v>6415</v>
      </c>
      <c r="K461" s="260">
        <v>6696</v>
      </c>
      <c r="L461" s="260"/>
      <c r="O461" s="260"/>
      <c r="P461" s="260"/>
      <c r="Q461" s="260"/>
      <c r="R461" s="260"/>
      <c r="S461" s="260"/>
      <c r="U461" s="260"/>
      <c r="V461" s="260"/>
      <c r="W461" s="2"/>
      <c r="X461" s="2"/>
      <c r="Y461" s="2">
        <f t="shared" si="214"/>
        <v>281</v>
      </c>
      <c r="Z461" s="2" t="str">
        <f t="shared" si="215"/>
        <v/>
      </c>
      <c r="AA461" s="2" t="str">
        <f t="shared" si="229"/>
        <v/>
      </c>
      <c r="AB461" s="2" t="str">
        <f t="shared" si="230"/>
        <v/>
      </c>
      <c r="AC461" s="2" t="str">
        <f t="shared" si="221"/>
        <v/>
      </c>
      <c r="AD461" s="2" t="str">
        <f t="shared" si="222"/>
        <v/>
      </c>
      <c r="AE461" s="2" t="str">
        <f t="shared" si="223"/>
        <v/>
      </c>
      <c r="AF461" s="2" t="str">
        <f t="shared" si="224"/>
        <v/>
      </c>
      <c r="AG461" s="2" t="str">
        <f t="shared" si="225"/>
        <v/>
      </c>
      <c r="AH461" s="2" t="str">
        <f t="shared" si="226"/>
        <v/>
      </c>
      <c r="AI461" s="2" t="str">
        <f t="shared" si="227"/>
        <v/>
      </c>
      <c r="AJ461" s="2" t="str">
        <f t="shared" si="228"/>
        <v/>
      </c>
      <c r="AK461" s="2">
        <v>1</v>
      </c>
      <c r="AL461" s="260">
        <f t="shared" ca="1" si="218"/>
        <v>0</v>
      </c>
      <c r="AM461" s="260">
        <f t="shared" ca="1" si="219"/>
        <v>0</v>
      </c>
      <c r="AN461" s="260" t="str">
        <f ca="1">IF(AND(Tabla7[[#This Row],[UltLec]]&lt;&gt;0,Tabla7[[#This Row],[PenLect]]&lt;&gt;0),(AM461-AL461)*Tabla7[[#This Row],[RT]],"N/A")</f>
        <v>N/A</v>
      </c>
      <c r="AO461" s="380" t="s">
        <v>813</v>
      </c>
      <c r="AP461" s="380" t="s">
        <v>1076</v>
      </c>
      <c r="AQ461" s="380" t="s">
        <v>771</v>
      </c>
      <c r="AR461" s="2">
        <f t="shared" si="220"/>
        <v>0</v>
      </c>
      <c r="AT461" s="2" t="e">
        <f t="shared" ca="1" si="231"/>
        <v>#VALUE!</v>
      </c>
    </row>
    <row r="462" spans="1:46" ht="18" customHeight="1" x14ac:dyDescent="0.25">
      <c r="A462" s="405" t="s">
        <v>19</v>
      </c>
      <c r="B462" s="54"/>
      <c r="C462" s="239" t="s">
        <v>1192</v>
      </c>
      <c r="D462" s="54" t="s">
        <v>223</v>
      </c>
      <c r="E462" s="232">
        <v>131</v>
      </c>
      <c r="F462" s="2" t="s">
        <v>440</v>
      </c>
      <c r="G462" s="2" t="s">
        <v>47</v>
      </c>
      <c r="H462" s="2"/>
      <c r="I462" s="2"/>
      <c r="J462" s="260">
        <v>302872</v>
      </c>
      <c r="K462" s="260">
        <v>305753</v>
      </c>
      <c r="L462" s="260"/>
      <c r="O462" s="260"/>
      <c r="P462" s="260"/>
      <c r="Q462" s="260"/>
      <c r="R462" s="260"/>
      <c r="S462" s="260"/>
      <c r="U462" s="260"/>
      <c r="V462" s="260"/>
      <c r="W462" s="2"/>
      <c r="X462" s="2"/>
      <c r="Y462" s="2">
        <f t="shared" si="214"/>
        <v>2881</v>
      </c>
      <c r="Z462" s="2" t="str">
        <f t="shared" si="215"/>
        <v/>
      </c>
      <c r="AA462" s="2" t="str">
        <f t="shared" si="229"/>
        <v/>
      </c>
      <c r="AB462" s="2" t="str">
        <f t="shared" si="230"/>
        <v/>
      </c>
      <c r="AC462" s="2" t="str">
        <f t="shared" si="221"/>
        <v/>
      </c>
      <c r="AD462" s="2" t="str">
        <f t="shared" si="222"/>
        <v/>
      </c>
      <c r="AE462" s="2" t="str">
        <f t="shared" si="223"/>
        <v/>
      </c>
      <c r="AF462" s="2" t="str">
        <f t="shared" si="224"/>
        <v/>
      </c>
      <c r="AG462" s="2" t="str">
        <f t="shared" si="225"/>
        <v/>
      </c>
      <c r="AH462" s="2" t="str">
        <f t="shared" si="226"/>
        <v/>
      </c>
      <c r="AI462" s="2" t="str">
        <f t="shared" si="227"/>
        <v/>
      </c>
      <c r="AJ462" s="2" t="str">
        <f t="shared" si="228"/>
        <v/>
      </c>
      <c r="AK462" s="2">
        <v>1</v>
      </c>
      <c r="AL462" s="260">
        <f t="shared" ca="1" si="218"/>
        <v>0</v>
      </c>
      <c r="AM462" s="260">
        <f t="shared" ca="1" si="219"/>
        <v>0</v>
      </c>
      <c r="AN462" s="260" t="str">
        <f ca="1">IF(AND(Tabla7[[#This Row],[UltLec]]&lt;&gt;0,Tabla7[[#This Row],[PenLect]]&lt;&gt;0),(AM462-AL462)*Tabla7[[#This Row],[RT]],"N/A")</f>
        <v>N/A</v>
      </c>
      <c r="AO462" s="380" t="s">
        <v>813</v>
      </c>
      <c r="AP462" s="380" t="s">
        <v>1076</v>
      </c>
      <c r="AQ462" s="380" t="s">
        <v>771</v>
      </c>
      <c r="AR462" s="2">
        <f t="shared" si="220"/>
        <v>0</v>
      </c>
      <c r="AT462" s="2" t="e">
        <f t="shared" ca="1" si="231"/>
        <v>#VALUE!</v>
      </c>
    </row>
    <row r="463" spans="1:46" ht="18" customHeight="1" x14ac:dyDescent="0.25">
      <c r="A463" s="291" t="s">
        <v>19</v>
      </c>
      <c r="B463" s="54"/>
      <c r="C463" s="452" t="s">
        <v>1546</v>
      </c>
      <c r="D463" s="239" t="s">
        <v>234</v>
      </c>
      <c r="E463" s="239">
        <v>131</v>
      </c>
      <c r="F463" s="454" t="s">
        <v>440</v>
      </c>
      <c r="G463" s="454" t="s">
        <v>47</v>
      </c>
      <c r="H463" s="454" t="s">
        <v>1545</v>
      </c>
      <c r="I463" s="454"/>
      <c r="J463" s="260">
        <v>208297</v>
      </c>
      <c r="K463" s="260">
        <v>212197</v>
      </c>
      <c r="L463" s="260"/>
      <c r="O463" s="260"/>
      <c r="P463" s="260"/>
      <c r="Q463" s="260"/>
      <c r="R463" s="260"/>
      <c r="S463" s="260"/>
      <c r="U463" s="260"/>
      <c r="V463" s="260"/>
      <c r="W463" s="2"/>
      <c r="X463" s="2"/>
      <c r="Y463" s="2">
        <f t="shared" ref="Y463:Y526" si="232">IF(OR(ISBLANK(K463),ISBLANK(J463)),"",IF(AND(K463&gt;=J463,K463-J463&lt;=K463),(K463-J463)*$AK463,"!!!!"))</f>
        <v>3900</v>
      </c>
      <c r="Z463" s="2" t="str">
        <f t="shared" ref="Z463:Z526" si="233">IF(OR(ISBLANK(L463),ISBLANK(K463)),"",IF(AND(L463&gt;=K463,L463-K463&lt;=L463),(L463-K463)*$AK463,"!!!!"))</f>
        <v/>
      </c>
      <c r="AA463" s="2" t="str">
        <f t="shared" si="229"/>
        <v/>
      </c>
      <c r="AB463" s="2" t="str">
        <f t="shared" si="230"/>
        <v/>
      </c>
      <c r="AC463" s="2" t="str">
        <f t="shared" si="221"/>
        <v/>
      </c>
      <c r="AD463" s="2" t="str">
        <f t="shared" si="222"/>
        <v/>
      </c>
      <c r="AE463" s="2" t="str">
        <f t="shared" si="223"/>
        <v/>
      </c>
      <c r="AF463" s="2" t="str">
        <f t="shared" si="224"/>
        <v/>
      </c>
      <c r="AG463" s="2" t="str">
        <f t="shared" si="225"/>
        <v/>
      </c>
      <c r="AH463" s="2" t="str">
        <f t="shared" si="226"/>
        <v/>
      </c>
      <c r="AI463" s="2" t="str">
        <f t="shared" si="227"/>
        <v/>
      </c>
      <c r="AJ463" s="2" t="str">
        <f t="shared" si="228"/>
        <v/>
      </c>
      <c r="AK463" s="2">
        <v>1</v>
      </c>
      <c r="AL463" s="260">
        <f t="shared" ca="1" si="218"/>
        <v>0</v>
      </c>
      <c r="AM463" s="260">
        <f t="shared" ca="1" si="219"/>
        <v>0</v>
      </c>
      <c r="AN463" s="260" t="str">
        <f ca="1">IF(AND(Tabla7[[#This Row],[UltLec]]&lt;&gt;0,Tabla7[[#This Row],[PenLect]]&lt;&gt;0),(AM463-AL463)*Tabla7[[#This Row],[RT]],"N/A")</f>
        <v>N/A</v>
      </c>
      <c r="AO463" s="380" t="s">
        <v>813</v>
      </c>
      <c r="AP463" s="380" t="s">
        <v>1075</v>
      </c>
      <c r="AQ463" s="380" t="s">
        <v>1074</v>
      </c>
      <c r="AR463" s="2">
        <f t="shared" si="220"/>
        <v>0</v>
      </c>
      <c r="AT463" s="2" t="e">
        <f t="shared" ca="1" si="231"/>
        <v>#VALUE!</v>
      </c>
    </row>
    <row r="464" spans="1:46" ht="18" hidden="1" customHeight="1" x14ac:dyDescent="0.25">
      <c r="A464" s="406" t="s">
        <v>1080</v>
      </c>
      <c r="B464" s="272"/>
      <c r="C464" s="367" t="s">
        <v>1217</v>
      </c>
      <c r="D464" s="272" t="s">
        <v>234</v>
      </c>
      <c r="E464" s="511">
        <v>131</v>
      </c>
      <c r="F464" s="453" t="s">
        <v>440</v>
      </c>
      <c r="G464" s="453" t="s">
        <v>47</v>
      </c>
      <c r="H464" s="453" t="s">
        <v>1345</v>
      </c>
      <c r="I464" s="453" t="s">
        <v>1544</v>
      </c>
      <c r="J464" s="275"/>
      <c r="K464" s="275"/>
      <c r="L464" s="275"/>
      <c r="M464" s="275"/>
      <c r="N464" s="275"/>
      <c r="O464" s="275"/>
      <c r="P464" s="275"/>
      <c r="Q464" s="275"/>
      <c r="R464" s="275"/>
      <c r="S464" s="275"/>
      <c r="T464" s="275"/>
      <c r="U464" s="275"/>
      <c r="V464" s="275"/>
      <c r="W464" s="275"/>
      <c r="X464" s="275"/>
      <c r="Y464" s="275" t="str">
        <f t="shared" si="232"/>
        <v/>
      </c>
      <c r="Z464" s="275" t="str">
        <f t="shared" si="233"/>
        <v/>
      </c>
      <c r="AA464" s="275" t="str">
        <f t="shared" si="229"/>
        <v/>
      </c>
      <c r="AB464" s="275" t="str">
        <f t="shared" si="230"/>
        <v/>
      </c>
      <c r="AC464" s="275" t="str">
        <f t="shared" si="221"/>
        <v/>
      </c>
      <c r="AD464" s="275" t="str">
        <f t="shared" si="222"/>
        <v/>
      </c>
      <c r="AE464" s="275" t="str">
        <f t="shared" si="223"/>
        <v/>
      </c>
      <c r="AF464" s="275" t="str">
        <f t="shared" si="224"/>
        <v/>
      </c>
      <c r="AG464" s="275" t="str">
        <f t="shared" si="225"/>
        <v/>
      </c>
      <c r="AH464" s="275" t="str">
        <f t="shared" si="226"/>
        <v/>
      </c>
      <c r="AI464" s="275" t="str">
        <f t="shared" si="227"/>
        <v/>
      </c>
      <c r="AJ464" s="275" t="str">
        <f t="shared" si="228"/>
        <v/>
      </c>
      <c r="AK464" s="275">
        <v>1</v>
      </c>
      <c r="AL464" s="275">
        <f t="shared" ca="1" si="218"/>
        <v>0</v>
      </c>
      <c r="AM464" s="275">
        <f t="shared" ca="1" si="219"/>
        <v>0</v>
      </c>
      <c r="AN464" s="275" t="str">
        <f ca="1">IF(AND(Tabla7[[#This Row],[UltLec]]&lt;&gt;0,Tabla7[[#This Row],[PenLect]]&lt;&gt;0),(AM464-AL464)*Tabla7[[#This Row],[RT]],"N/A")</f>
        <v>N/A</v>
      </c>
      <c r="AO464" s="275" t="s">
        <v>1160</v>
      </c>
      <c r="AP464" s="275" t="s">
        <v>1076</v>
      </c>
      <c r="AQ464" s="275" t="s">
        <v>771</v>
      </c>
      <c r="AR464" s="275">
        <f t="shared" si="220"/>
        <v>0</v>
      </c>
      <c r="AT464" s="2" t="e">
        <f t="shared" ca="1" si="231"/>
        <v>#VALUE!</v>
      </c>
    </row>
    <row r="465" spans="1:46" ht="18" customHeight="1" x14ac:dyDescent="0.25">
      <c r="A465" s="405" t="s">
        <v>19</v>
      </c>
      <c r="B465" s="54">
        <v>1356</v>
      </c>
      <c r="C465" s="239" t="s">
        <v>1178</v>
      </c>
      <c r="D465" s="54" t="s">
        <v>235</v>
      </c>
      <c r="E465" s="232">
        <v>39010</v>
      </c>
      <c r="F465" s="2" t="s">
        <v>437</v>
      </c>
      <c r="G465" s="2" t="s">
        <v>63</v>
      </c>
      <c r="H465" s="2" t="s">
        <v>438</v>
      </c>
      <c r="I465" s="2" t="s">
        <v>430</v>
      </c>
      <c r="J465" s="260">
        <v>10826</v>
      </c>
      <c r="K465" s="260">
        <v>10945</v>
      </c>
      <c r="L465" s="260"/>
      <c r="O465" s="260"/>
      <c r="P465" s="260"/>
      <c r="Q465" s="260"/>
      <c r="R465" s="260"/>
      <c r="S465" s="260"/>
      <c r="U465" s="260"/>
      <c r="V465" s="260"/>
      <c r="W465" s="2"/>
      <c r="X465" s="2"/>
      <c r="Y465" s="2">
        <f t="shared" si="232"/>
        <v>119</v>
      </c>
      <c r="Z465" s="2" t="str">
        <f t="shared" si="233"/>
        <v/>
      </c>
      <c r="AA465" s="2" t="str">
        <f t="shared" si="229"/>
        <v/>
      </c>
      <c r="AB465" s="2" t="str">
        <f t="shared" si="230"/>
        <v/>
      </c>
      <c r="AC465" s="2" t="str">
        <f t="shared" si="221"/>
        <v/>
      </c>
      <c r="AD465" s="2" t="str">
        <f t="shared" si="222"/>
        <v/>
      </c>
      <c r="AE465" s="2" t="str">
        <f t="shared" si="223"/>
        <v/>
      </c>
      <c r="AF465" s="2" t="str">
        <f t="shared" si="224"/>
        <v/>
      </c>
      <c r="AG465" s="2" t="str">
        <f t="shared" si="225"/>
        <v/>
      </c>
      <c r="AH465" s="2" t="str">
        <f t="shared" si="226"/>
        <v/>
      </c>
      <c r="AI465" s="2" t="str">
        <f t="shared" si="227"/>
        <v/>
      </c>
      <c r="AJ465" s="2" t="str">
        <f t="shared" si="228"/>
        <v/>
      </c>
      <c r="AK465" s="2">
        <v>1</v>
      </c>
      <c r="AL465" s="260">
        <f t="shared" ca="1" si="218"/>
        <v>0</v>
      </c>
      <c r="AM465" s="260">
        <f t="shared" ca="1" si="219"/>
        <v>0</v>
      </c>
      <c r="AN465" s="260" t="str">
        <f ca="1">IF(AND(Tabla7[[#This Row],[UltLec]]&lt;&gt;0,Tabla7[[#This Row],[PenLect]]&lt;&gt;0),(AM465-AL465)*Tabla7[[#This Row],[RT]],"N/A")</f>
        <v>N/A</v>
      </c>
      <c r="AO465" s="380" t="s">
        <v>813</v>
      </c>
      <c r="AP465" s="380" t="s">
        <v>1075</v>
      </c>
      <c r="AQ465" s="380" t="s">
        <v>1074</v>
      </c>
      <c r="AR465" s="2">
        <f t="shared" si="220"/>
        <v>0</v>
      </c>
      <c r="AT465" s="2" t="e">
        <f t="shared" ca="1" si="231"/>
        <v>#VALUE!</v>
      </c>
    </row>
    <row r="466" spans="1:46" ht="18" customHeight="1" x14ac:dyDescent="0.25">
      <c r="A466" s="291" t="s">
        <v>19</v>
      </c>
      <c r="B466" s="54"/>
      <c r="C466" s="239" t="s">
        <v>236</v>
      </c>
      <c r="D466" s="54" t="s">
        <v>235</v>
      </c>
      <c r="E466" s="232">
        <v>39361</v>
      </c>
      <c r="F466" s="2" t="s">
        <v>237</v>
      </c>
      <c r="G466" s="2" t="s">
        <v>38</v>
      </c>
      <c r="H466" s="2" t="s">
        <v>238</v>
      </c>
      <c r="I466" s="2"/>
      <c r="J466" s="260">
        <v>71612</v>
      </c>
      <c r="K466" s="260">
        <v>71938</v>
      </c>
      <c r="L466" s="260"/>
      <c r="O466" s="260"/>
      <c r="P466" s="260"/>
      <c r="Q466" s="260"/>
      <c r="R466" s="260"/>
      <c r="S466" s="260"/>
      <c r="U466" s="260"/>
      <c r="V466" s="260"/>
      <c r="W466" s="2"/>
      <c r="X466" s="2"/>
      <c r="Y466" s="2">
        <f t="shared" si="232"/>
        <v>326</v>
      </c>
      <c r="Z466" s="2" t="str">
        <f t="shared" si="233"/>
        <v/>
      </c>
      <c r="AA466" s="2" t="str">
        <f t="shared" si="229"/>
        <v/>
      </c>
      <c r="AB466" s="2" t="str">
        <f t="shared" si="230"/>
        <v/>
      </c>
      <c r="AC466" s="2" t="str">
        <f t="shared" si="221"/>
        <v/>
      </c>
      <c r="AD466" s="2" t="str">
        <f t="shared" si="222"/>
        <v/>
      </c>
      <c r="AE466" s="2" t="str">
        <f t="shared" si="223"/>
        <v/>
      </c>
      <c r="AF466" s="2" t="str">
        <f t="shared" si="224"/>
        <v/>
      </c>
      <c r="AG466" s="2" t="str">
        <f t="shared" si="225"/>
        <v/>
      </c>
      <c r="AH466" s="2" t="str">
        <f t="shared" si="226"/>
        <v/>
      </c>
      <c r="AI466" s="2" t="str">
        <f t="shared" si="227"/>
        <v/>
      </c>
      <c r="AJ466" s="2" t="str">
        <f t="shared" si="228"/>
        <v/>
      </c>
      <c r="AK466" s="2">
        <v>1</v>
      </c>
      <c r="AL466" s="260">
        <f t="shared" ca="1" si="218"/>
        <v>0</v>
      </c>
      <c r="AM466" s="260">
        <f t="shared" ca="1" si="219"/>
        <v>0</v>
      </c>
      <c r="AN466" s="260" t="str">
        <f ca="1">IF(AND(Tabla7[[#This Row],[UltLec]]&lt;&gt;0,Tabla7[[#This Row],[PenLect]]&lt;&gt;0),(AM466-AL466)*Tabla7[[#This Row],[RT]],"N/A")</f>
        <v>N/A</v>
      </c>
      <c r="AO466" s="380" t="s">
        <v>813</v>
      </c>
      <c r="AP466" s="380" t="s">
        <v>1075</v>
      </c>
      <c r="AQ466" s="380" t="s">
        <v>1074</v>
      </c>
      <c r="AR466" s="2">
        <f t="shared" si="220"/>
        <v>0</v>
      </c>
      <c r="AT466" s="2" t="e">
        <f t="shared" ca="1" si="231"/>
        <v>#VALUE!</v>
      </c>
    </row>
    <row r="467" spans="1:46" ht="18" hidden="1" customHeight="1" x14ac:dyDescent="0.25">
      <c r="A467" s="418" t="s">
        <v>1080</v>
      </c>
      <c r="B467" s="272"/>
      <c r="C467" s="367">
        <v>71300126545</v>
      </c>
      <c r="D467" s="272" t="s">
        <v>239</v>
      </c>
      <c r="E467" s="286">
        <v>39314</v>
      </c>
      <c r="F467" s="400" t="s">
        <v>245</v>
      </c>
      <c r="G467" s="400" t="s">
        <v>720</v>
      </c>
      <c r="H467" s="400" t="s">
        <v>247</v>
      </c>
      <c r="I467" s="275"/>
      <c r="J467" s="275"/>
      <c r="K467" s="275"/>
      <c r="L467" s="275"/>
      <c r="M467" s="275"/>
      <c r="N467" s="275"/>
      <c r="O467" s="275"/>
      <c r="P467" s="275"/>
      <c r="Q467" s="275"/>
      <c r="R467" s="275"/>
      <c r="S467" s="275"/>
      <c r="T467" s="275"/>
      <c r="U467" s="275"/>
      <c r="V467" s="275"/>
      <c r="W467" s="275"/>
      <c r="X467" s="275"/>
      <c r="Y467" s="275" t="str">
        <f t="shared" si="232"/>
        <v/>
      </c>
      <c r="Z467" s="275" t="str">
        <f t="shared" si="233"/>
        <v/>
      </c>
      <c r="AA467" s="275" t="str">
        <f t="shared" si="229"/>
        <v/>
      </c>
      <c r="AB467" s="275" t="str">
        <f t="shared" si="230"/>
        <v/>
      </c>
      <c r="AC467" s="275" t="str">
        <f t="shared" si="221"/>
        <v/>
      </c>
      <c r="AD467" s="275" t="str">
        <f t="shared" si="222"/>
        <v/>
      </c>
      <c r="AE467" s="275" t="str">
        <f t="shared" si="223"/>
        <v/>
      </c>
      <c r="AF467" s="275" t="str">
        <f t="shared" si="224"/>
        <v/>
      </c>
      <c r="AG467" s="275" t="str">
        <f t="shared" si="225"/>
        <v/>
      </c>
      <c r="AH467" s="275" t="str">
        <f t="shared" si="226"/>
        <v/>
      </c>
      <c r="AI467" s="275" t="str">
        <f t="shared" si="227"/>
        <v/>
      </c>
      <c r="AJ467" s="275" t="str">
        <f t="shared" si="228"/>
        <v/>
      </c>
      <c r="AK467" s="275">
        <v>1</v>
      </c>
      <c r="AL467" s="275">
        <f t="shared" ca="1" si="218"/>
        <v>0</v>
      </c>
      <c r="AM467" s="277">
        <f t="shared" ca="1" si="219"/>
        <v>0</v>
      </c>
      <c r="AN467" s="275" t="str">
        <f ca="1">IF(AND(Tabla7[[#This Row],[UltLec]]&lt;&gt;0,Tabla7[[#This Row],[PenLect]]&lt;&gt;0),(AM467-AL467)*Tabla7[[#This Row],[RT]],"N/A")</f>
        <v>N/A</v>
      </c>
      <c r="AO467" s="400" t="s">
        <v>1160</v>
      </c>
      <c r="AP467" s="400" t="s">
        <v>1075</v>
      </c>
      <c r="AQ467" s="400" t="s">
        <v>1074</v>
      </c>
      <c r="AR467" s="275">
        <f t="shared" si="220"/>
        <v>0</v>
      </c>
      <c r="AT467" s="2" t="e">
        <f t="shared" ca="1" si="231"/>
        <v>#VALUE!</v>
      </c>
    </row>
    <row r="468" spans="1:46" ht="18" customHeight="1" x14ac:dyDescent="0.25">
      <c r="A468" s="291" t="s">
        <v>19</v>
      </c>
      <c r="B468" s="54" t="s">
        <v>240</v>
      </c>
      <c r="C468" s="239">
        <v>71300126550</v>
      </c>
      <c r="D468" s="54" t="s">
        <v>239</v>
      </c>
      <c r="E468" s="232">
        <v>39028</v>
      </c>
      <c r="F468" s="2" t="s">
        <v>241</v>
      </c>
      <c r="G468" s="2" t="s">
        <v>721</v>
      </c>
      <c r="H468" s="2" t="s">
        <v>249</v>
      </c>
      <c r="I468" s="2"/>
      <c r="J468" s="260">
        <v>516993</v>
      </c>
      <c r="K468" s="260">
        <v>524253</v>
      </c>
      <c r="L468" s="260"/>
      <c r="O468" s="260"/>
      <c r="P468" s="260"/>
      <c r="Q468" s="260"/>
      <c r="R468" s="260"/>
      <c r="S468" s="260"/>
      <c r="U468" s="260"/>
      <c r="V468" s="260"/>
      <c r="W468" s="2"/>
      <c r="X468" s="2"/>
      <c r="Y468" s="2">
        <f t="shared" si="232"/>
        <v>7260</v>
      </c>
      <c r="Z468" s="2" t="str">
        <f t="shared" si="233"/>
        <v/>
      </c>
      <c r="AA468" s="2" t="str">
        <f t="shared" si="229"/>
        <v/>
      </c>
      <c r="AB468" s="2" t="str">
        <f t="shared" si="230"/>
        <v/>
      </c>
      <c r="AC468" s="2" t="str">
        <f t="shared" si="221"/>
        <v/>
      </c>
      <c r="AD468" s="2" t="str">
        <f t="shared" si="222"/>
        <v/>
      </c>
      <c r="AE468" s="2" t="str">
        <f t="shared" si="223"/>
        <v/>
      </c>
      <c r="AF468" s="2" t="str">
        <f t="shared" si="224"/>
        <v/>
      </c>
      <c r="AG468" s="2" t="str">
        <f t="shared" si="225"/>
        <v/>
      </c>
      <c r="AH468" s="2" t="str">
        <f t="shared" si="226"/>
        <v/>
      </c>
      <c r="AI468" s="2" t="str">
        <f t="shared" si="227"/>
        <v/>
      </c>
      <c r="AJ468" s="2" t="str">
        <f t="shared" si="228"/>
        <v/>
      </c>
      <c r="AK468" s="2">
        <v>1</v>
      </c>
      <c r="AL468" s="260">
        <f t="shared" ca="1" si="218"/>
        <v>0</v>
      </c>
      <c r="AM468" s="260">
        <f t="shared" ca="1" si="219"/>
        <v>0</v>
      </c>
      <c r="AN468" s="260" t="str">
        <f ca="1">IF(AND(Tabla7[[#This Row],[UltLec]]&lt;&gt;0,Tabla7[[#This Row],[PenLect]]&lt;&gt;0),(AM468-AL468)*Tabla7[[#This Row],[RT]],"N/A")</f>
        <v>N/A</v>
      </c>
      <c r="AO468" s="380" t="s">
        <v>813</v>
      </c>
      <c r="AP468" s="380" t="s">
        <v>1075</v>
      </c>
      <c r="AQ468" s="380" t="s">
        <v>1074</v>
      </c>
      <c r="AR468" s="2">
        <f t="shared" si="220"/>
        <v>0</v>
      </c>
      <c r="AT468" s="2" t="e">
        <f t="shared" ca="1" si="231"/>
        <v>#VALUE!</v>
      </c>
    </row>
    <row r="469" spans="1:46" ht="18" customHeight="1" x14ac:dyDescent="0.25">
      <c r="A469" s="291" t="s">
        <v>19</v>
      </c>
      <c r="B469" s="54" t="s">
        <v>240</v>
      </c>
      <c r="C469" s="239">
        <v>71300126611</v>
      </c>
      <c r="D469" s="54" t="s">
        <v>239</v>
      </c>
      <c r="E469" s="232">
        <v>39038</v>
      </c>
      <c r="F469" s="2" t="s">
        <v>241</v>
      </c>
      <c r="G469" s="2" t="s">
        <v>722</v>
      </c>
      <c r="H469" s="2" t="s">
        <v>251</v>
      </c>
      <c r="I469" s="2"/>
      <c r="J469" s="260">
        <v>409656</v>
      </c>
      <c r="K469" s="260">
        <v>409956</v>
      </c>
      <c r="L469" s="260"/>
      <c r="O469" s="260"/>
      <c r="P469" s="260"/>
      <c r="Q469" s="260"/>
      <c r="R469" s="260"/>
      <c r="S469" s="260"/>
      <c r="U469" s="260"/>
      <c r="V469" s="260"/>
      <c r="W469" s="2"/>
      <c r="X469" s="2"/>
      <c r="Y469" s="2">
        <f t="shared" si="232"/>
        <v>300</v>
      </c>
      <c r="Z469" s="2" t="str">
        <f t="shared" si="233"/>
        <v/>
      </c>
      <c r="AA469" s="2" t="str">
        <f t="shared" si="229"/>
        <v/>
      </c>
      <c r="AB469" s="2" t="str">
        <f t="shared" si="230"/>
        <v/>
      </c>
      <c r="AC469" s="2" t="str">
        <f t="shared" si="221"/>
        <v/>
      </c>
      <c r="AD469" s="2" t="str">
        <f t="shared" si="222"/>
        <v/>
      </c>
      <c r="AE469" s="2" t="str">
        <f t="shared" si="223"/>
        <v/>
      </c>
      <c r="AF469" s="2" t="str">
        <f t="shared" si="224"/>
        <v/>
      </c>
      <c r="AG469" s="2" t="str">
        <f t="shared" si="225"/>
        <v/>
      </c>
      <c r="AH469" s="2" t="str">
        <f t="shared" si="226"/>
        <v/>
      </c>
      <c r="AI469" s="2" t="str">
        <f t="shared" si="227"/>
        <v/>
      </c>
      <c r="AJ469" s="2" t="str">
        <f t="shared" si="228"/>
        <v/>
      </c>
      <c r="AK469" s="2">
        <v>1</v>
      </c>
      <c r="AL469" s="260">
        <f t="shared" ca="1" si="218"/>
        <v>0</v>
      </c>
      <c r="AM469" s="260">
        <f t="shared" ca="1" si="219"/>
        <v>0</v>
      </c>
      <c r="AN469" s="260" t="str">
        <f ca="1">IF(AND(Tabla7[[#This Row],[UltLec]]&lt;&gt;0,Tabla7[[#This Row],[PenLect]]&lt;&gt;0),(AM469-AL469)*Tabla7[[#This Row],[RT]],"N/A")</f>
        <v>N/A</v>
      </c>
      <c r="AO469" s="380" t="s">
        <v>813</v>
      </c>
      <c r="AP469" s="380" t="s">
        <v>1075</v>
      </c>
      <c r="AQ469" s="380" t="s">
        <v>1074</v>
      </c>
      <c r="AR469" s="2">
        <f t="shared" si="220"/>
        <v>0</v>
      </c>
      <c r="AT469" s="2" t="e">
        <f t="shared" ca="1" si="231"/>
        <v>#VALUE!</v>
      </c>
    </row>
    <row r="470" spans="1:46" ht="18" customHeight="1" x14ac:dyDescent="0.25">
      <c r="A470" s="291" t="s">
        <v>19</v>
      </c>
      <c r="B470" s="54" t="s">
        <v>240</v>
      </c>
      <c r="C470" s="239">
        <v>71300126612</v>
      </c>
      <c r="D470" s="54" t="s">
        <v>239</v>
      </c>
      <c r="E470" s="232">
        <v>39139</v>
      </c>
      <c r="F470" s="2" t="s">
        <v>245</v>
      </c>
      <c r="G470" s="2" t="s">
        <v>723</v>
      </c>
      <c r="H470" s="2" t="s">
        <v>246</v>
      </c>
      <c r="I470" s="2"/>
      <c r="J470" s="260">
        <v>264069</v>
      </c>
      <c r="K470" s="260">
        <v>266614</v>
      </c>
      <c r="L470" s="260"/>
      <c r="O470" s="260"/>
      <c r="P470" s="260"/>
      <c r="Q470" s="260"/>
      <c r="R470" s="260"/>
      <c r="S470" s="260"/>
      <c r="U470" s="260"/>
      <c r="V470" s="260"/>
      <c r="W470" s="2"/>
      <c r="X470" s="2"/>
      <c r="Y470" s="2">
        <f t="shared" si="232"/>
        <v>2545</v>
      </c>
      <c r="Z470" s="2" t="str">
        <f t="shared" si="233"/>
        <v/>
      </c>
      <c r="AA470" s="2" t="str">
        <f t="shared" si="229"/>
        <v/>
      </c>
      <c r="AB470" s="2" t="str">
        <f t="shared" si="230"/>
        <v/>
      </c>
      <c r="AC470" s="2" t="str">
        <f t="shared" si="221"/>
        <v/>
      </c>
      <c r="AD470" s="2" t="str">
        <f t="shared" si="222"/>
        <v/>
      </c>
      <c r="AE470" s="2" t="str">
        <f t="shared" si="223"/>
        <v/>
      </c>
      <c r="AF470" s="2" t="str">
        <f t="shared" si="224"/>
        <v/>
      </c>
      <c r="AG470" s="2" t="str">
        <f t="shared" si="225"/>
        <v/>
      </c>
      <c r="AH470" s="2" t="str">
        <f t="shared" si="226"/>
        <v/>
      </c>
      <c r="AI470" s="2" t="str">
        <f t="shared" si="227"/>
        <v/>
      </c>
      <c r="AJ470" s="2" t="str">
        <f t="shared" si="228"/>
        <v/>
      </c>
      <c r="AK470" s="2">
        <v>1</v>
      </c>
      <c r="AL470" s="260">
        <f t="shared" ca="1" si="218"/>
        <v>0</v>
      </c>
      <c r="AM470" s="260">
        <f t="shared" ca="1" si="219"/>
        <v>0</v>
      </c>
      <c r="AN470" s="260" t="str">
        <f ca="1">IF(AND(Tabla7[[#This Row],[UltLec]]&lt;&gt;0,Tabla7[[#This Row],[PenLect]]&lt;&gt;0),(AM470-AL470)*Tabla7[[#This Row],[RT]],"N/A")</f>
        <v>N/A</v>
      </c>
      <c r="AO470" s="380" t="s">
        <v>813</v>
      </c>
      <c r="AP470" s="380" t="s">
        <v>1075</v>
      </c>
      <c r="AQ470" s="380" t="s">
        <v>1074</v>
      </c>
      <c r="AR470" s="2">
        <f t="shared" si="220"/>
        <v>0</v>
      </c>
      <c r="AT470" s="2" t="e">
        <f t="shared" ca="1" si="231"/>
        <v>#VALUE!</v>
      </c>
    </row>
    <row r="471" spans="1:46" ht="18" customHeight="1" x14ac:dyDescent="0.25">
      <c r="A471" s="291" t="s">
        <v>19</v>
      </c>
      <c r="B471" s="54" t="s">
        <v>240</v>
      </c>
      <c r="C471" s="239">
        <v>71300126614</v>
      </c>
      <c r="D471" s="54" t="s">
        <v>239</v>
      </c>
      <c r="E471" s="232">
        <v>39037</v>
      </c>
      <c r="F471" s="2" t="s">
        <v>241</v>
      </c>
      <c r="G471" s="2" t="s">
        <v>724</v>
      </c>
      <c r="H471" s="2" t="s">
        <v>250</v>
      </c>
      <c r="I471" s="2"/>
      <c r="J471" s="260">
        <v>451243</v>
      </c>
      <c r="K471" s="260">
        <v>451243</v>
      </c>
      <c r="L471" s="260"/>
      <c r="O471" s="260"/>
      <c r="P471" s="260"/>
      <c r="Q471" s="260"/>
      <c r="R471" s="260"/>
      <c r="S471" s="260"/>
      <c r="U471" s="260"/>
      <c r="V471" s="260"/>
      <c r="W471" s="2"/>
      <c r="X471" s="2"/>
      <c r="Y471" s="2">
        <f t="shared" si="232"/>
        <v>0</v>
      </c>
      <c r="Z471" s="2" t="str">
        <f t="shared" si="233"/>
        <v/>
      </c>
      <c r="AA471" s="2" t="str">
        <f t="shared" si="229"/>
        <v/>
      </c>
      <c r="AB471" s="2" t="str">
        <f t="shared" si="230"/>
        <v/>
      </c>
      <c r="AC471" s="2" t="str">
        <f t="shared" si="221"/>
        <v/>
      </c>
      <c r="AD471" s="2" t="str">
        <f t="shared" si="222"/>
        <v/>
      </c>
      <c r="AE471" s="2" t="str">
        <f t="shared" si="223"/>
        <v/>
      </c>
      <c r="AF471" s="2" t="str">
        <f t="shared" si="224"/>
        <v/>
      </c>
      <c r="AG471" s="2" t="str">
        <f t="shared" si="225"/>
        <v/>
      </c>
      <c r="AH471" s="2" t="str">
        <f t="shared" si="226"/>
        <v/>
      </c>
      <c r="AI471" s="2" t="str">
        <f t="shared" si="227"/>
        <v/>
      </c>
      <c r="AJ471" s="2" t="str">
        <f t="shared" si="228"/>
        <v/>
      </c>
      <c r="AK471" s="2">
        <v>1</v>
      </c>
      <c r="AL471" s="260">
        <f t="shared" ca="1" si="218"/>
        <v>0</v>
      </c>
      <c r="AM471" s="260">
        <f t="shared" ca="1" si="219"/>
        <v>0</v>
      </c>
      <c r="AN471" s="260" t="str">
        <f ca="1">IF(AND(Tabla7[[#This Row],[UltLec]]&lt;&gt;0,Tabla7[[#This Row],[PenLect]]&lt;&gt;0),(AM471-AL471)*Tabla7[[#This Row],[RT]],"N/A")</f>
        <v>N/A</v>
      </c>
      <c r="AO471" s="380" t="s">
        <v>813</v>
      </c>
      <c r="AP471" s="380" t="s">
        <v>1075</v>
      </c>
      <c r="AQ471" s="380" t="s">
        <v>1074</v>
      </c>
      <c r="AR471" s="2">
        <f t="shared" si="220"/>
        <v>0</v>
      </c>
      <c r="AT471" s="2" t="e">
        <f t="shared" ca="1" si="231"/>
        <v>#VALUE!</v>
      </c>
    </row>
    <row r="472" spans="1:46" ht="18" customHeight="1" x14ac:dyDescent="0.25">
      <c r="A472" s="291" t="s">
        <v>19</v>
      </c>
      <c r="B472" s="54" t="s">
        <v>240</v>
      </c>
      <c r="C472" s="239">
        <v>71300126675</v>
      </c>
      <c r="D472" s="54" t="s">
        <v>239</v>
      </c>
      <c r="E472" s="232">
        <v>39024</v>
      </c>
      <c r="F472" s="2" t="s">
        <v>241</v>
      </c>
      <c r="G472" s="2" t="s">
        <v>725</v>
      </c>
      <c r="H472" s="2" t="s">
        <v>244</v>
      </c>
      <c r="I472" s="2"/>
      <c r="J472" s="260">
        <v>228067</v>
      </c>
      <c r="K472" s="260">
        <v>228935</v>
      </c>
      <c r="L472" s="260"/>
      <c r="O472" s="260"/>
      <c r="P472" s="260"/>
      <c r="Q472" s="260"/>
      <c r="R472" s="260"/>
      <c r="S472" s="260"/>
      <c r="U472" s="260"/>
      <c r="V472" s="260"/>
      <c r="W472" s="2"/>
      <c r="X472" s="2"/>
      <c r="Y472" s="2">
        <f t="shared" si="232"/>
        <v>868</v>
      </c>
      <c r="Z472" s="2" t="str">
        <f t="shared" si="233"/>
        <v/>
      </c>
      <c r="AA472" s="2" t="str">
        <f t="shared" si="229"/>
        <v/>
      </c>
      <c r="AB472" s="2" t="str">
        <f t="shared" si="230"/>
        <v/>
      </c>
      <c r="AC472" s="2" t="str">
        <f t="shared" si="221"/>
        <v/>
      </c>
      <c r="AD472" s="2" t="str">
        <f t="shared" si="222"/>
        <v/>
      </c>
      <c r="AE472" s="2" t="str">
        <f t="shared" si="223"/>
        <v/>
      </c>
      <c r="AF472" s="2" t="str">
        <f t="shared" si="224"/>
        <v/>
      </c>
      <c r="AG472" s="2" t="str">
        <f t="shared" si="225"/>
        <v/>
      </c>
      <c r="AH472" s="2" t="str">
        <f t="shared" si="226"/>
        <v/>
      </c>
      <c r="AI472" s="2" t="str">
        <f t="shared" si="227"/>
        <v/>
      </c>
      <c r="AJ472" s="2" t="str">
        <f t="shared" si="228"/>
        <v/>
      </c>
      <c r="AK472" s="2">
        <v>1</v>
      </c>
      <c r="AL472" s="260">
        <f t="shared" ca="1" si="218"/>
        <v>0</v>
      </c>
      <c r="AM472" s="260">
        <f t="shared" ca="1" si="219"/>
        <v>0</v>
      </c>
      <c r="AN472" s="260" t="str">
        <f ca="1">IF(AND(Tabla7[[#This Row],[UltLec]]&lt;&gt;0,Tabla7[[#This Row],[PenLect]]&lt;&gt;0),(AM472-AL472)*Tabla7[[#This Row],[RT]],"N/A")</f>
        <v>N/A</v>
      </c>
      <c r="AO472" s="380" t="s">
        <v>813</v>
      </c>
      <c r="AP472" s="380" t="s">
        <v>1075</v>
      </c>
      <c r="AQ472" s="380" t="s">
        <v>1074</v>
      </c>
      <c r="AR472" s="2">
        <f t="shared" si="220"/>
        <v>0</v>
      </c>
      <c r="AT472" s="2" t="e">
        <f t="shared" ca="1" si="231"/>
        <v>#VALUE!</v>
      </c>
    </row>
    <row r="473" spans="1:46" ht="18" customHeight="1" x14ac:dyDescent="0.25">
      <c r="A473" s="407" t="s">
        <v>19</v>
      </c>
      <c r="B473" s="54" t="s">
        <v>240</v>
      </c>
      <c r="C473" s="420">
        <v>71300126679</v>
      </c>
      <c r="D473" s="374" t="s">
        <v>239</v>
      </c>
      <c r="E473" s="374">
        <v>39019</v>
      </c>
      <c r="F473" s="471" t="s">
        <v>241</v>
      </c>
      <c r="G473" s="2" t="s">
        <v>726</v>
      </c>
      <c r="H473" s="2" t="s">
        <v>243</v>
      </c>
      <c r="I473" s="2"/>
      <c r="J473" s="260">
        <v>336443</v>
      </c>
      <c r="K473" s="260">
        <v>338445</v>
      </c>
      <c r="L473" s="260"/>
      <c r="O473" s="260"/>
      <c r="P473" s="260"/>
      <c r="Q473" s="260"/>
      <c r="R473" s="260"/>
      <c r="S473" s="260"/>
      <c r="U473" s="260"/>
      <c r="V473" s="260"/>
      <c r="W473" s="2"/>
      <c r="X473" s="2"/>
      <c r="Y473" s="2">
        <f t="shared" si="232"/>
        <v>2002</v>
      </c>
      <c r="Z473" s="2" t="str">
        <f t="shared" si="233"/>
        <v/>
      </c>
      <c r="AA473" s="2" t="str">
        <f t="shared" si="229"/>
        <v/>
      </c>
      <c r="AB473" s="2" t="str">
        <f t="shared" si="230"/>
        <v/>
      </c>
      <c r="AC473" s="2" t="str">
        <f t="shared" si="221"/>
        <v/>
      </c>
      <c r="AD473" s="2" t="str">
        <f t="shared" si="222"/>
        <v/>
      </c>
      <c r="AE473" s="2" t="str">
        <f t="shared" si="223"/>
        <v/>
      </c>
      <c r="AF473" s="2" t="str">
        <f t="shared" si="224"/>
        <v/>
      </c>
      <c r="AG473" s="2" t="str">
        <f t="shared" si="225"/>
        <v/>
      </c>
      <c r="AH473" s="2" t="str">
        <f t="shared" si="226"/>
        <v/>
      </c>
      <c r="AI473" s="2" t="str">
        <f t="shared" si="227"/>
        <v/>
      </c>
      <c r="AJ473" s="2" t="str">
        <f t="shared" si="228"/>
        <v/>
      </c>
      <c r="AK473" s="2">
        <v>1</v>
      </c>
      <c r="AL473" s="260">
        <f t="shared" ca="1" si="218"/>
        <v>0</v>
      </c>
      <c r="AM473" s="260">
        <f t="shared" ca="1" si="219"/>
        <v>0</v>
      </c>
      <c r="AN473" s="260" t="str">
        <f ca="1">IF(AND(Tabla7[[#This Row],[UltLec]]&lt;&gt;0,Tabla7[[#This Row],[PenLect]]&lt;&gt;0),(AM473-AL473)*Tabla7[[#This Row],[RT]],"N/A")</f>
        <v>N/A</v>
      </c>
      <c r="AO473" s="380" t="s">
        <v>813</v>
      </c>
      <c r="AP473" s="380" t="s">
        <v>1075</v>
      </c>
      <c r="AQ473" s="380" t="s">
        <v>1074</v>
      </c>
      <c r="AR473" s="2">
        <f t="shared" si="220"/>
        <v>0</v>
      </c>
      <c r="AT473" s="2" t="e">
        <f t="shared" ca="1" si="231"/>
        <v>#VALUE!</v>
      </c>
    </row>
    <row r="474" spans="1:46" ht="18" customHeight="1" x14ac:dyDescent="0.25">
      <c r="A474" s="407" t="s">
        <v>19</v>
      </c>
      <c r="B474" s="374" t="s">
        <v>240</v>
      </c>
      <c r="C474" s="374">
        <v>71300126840</v>
      </c>
      <c r="D474" s="374" t="s">
        <v>239</v>
      </c>
      <c r="E474" s="374">
        <v>39140</v>
      </c>
      <c r="F474" s="2" t="s">
        <v>245</v>
      </c>
      <c r="G474" s="2" t="s">
        <v>727</v>
      </c>
      <c r="H474" s="2" t="s">
        <v>248</v>
      </c>
      <c r="I474" s="2"/>
      <c r="J474" s="260">
        <v>410021</v>
      </c>
      <c r="K474" s="260">
        <v>410192</v>
      </c>
      <c r="L474" s="260"/>
      <c r="O474" s="260"/>
      <c r="P474" s="260"/>
      <c r="Q474" s="260"/>
      <c r="R474" s="260"/>
      <c r="S474" s="260"/>
      <c r="U474" s="260"/>
      <c r="V474" s="260"/>
      <c r="W474" s="2"/>
      <c r="X474" s="2"/>
      <c r="Y474" s="2">
        <f t="shared" si="232"/>
        <v>171</v>
      </c>
      <c r="Z474" s="2" t="str">
        <f t="shared" si="233"/>
        <v/>
      </c>
      <c r="AA474" s="2" t="str">
        <f t="shared" si="229"/>
        <v/>
      </c>
      <c r="AB474" s="2" t="str">
        <f t="shared" si="230"/>
        <v/>
      </c>
      <c r="AC474" s="2" t="str">
        <f t="shared" si="221"/>
        <v/>
      </c>
      <c r="AD474" s="2" t="str">
        <f t="shared" si="222"/>
        <v/>
      </c>
      <c r="AE474" s="2" t="str">
        <f t="shared" si="223"/>
        <v/>
      </c>
      <c r="AF474" s="2" t="str">
        <f t="shared" si="224"/>
        <v/>
      </c>
      <c r="AG474" s="2" t="str">
        <f t="shared" si="225"/>
        <v/>
      </c>
      <c r="AH474" s="2" t="str">
        <f t="shared" si="226"/>
        <v/>
      </c>
      <c r="AI474" s="2" t="str">
        <f t="shared" si="227"/>
        <v/>
      </c>
      <c r="AJ474" s="2" t="str">
        <f t="shared" si="228"/>
        <v/>
      </c>
      <c r="AK474" s="2">
        <v>1</v>
      </c>
      <c r="AL474" s="260">
        <f t="shared" ca="1" si="218"/>
        <v>0</v>
      </c>
      <c r="AM474" s="260">
        <f t="shared" ca="1" si="219"/>
        <v>0</v>
      </c>
      <c r="AN474" s="260" t="str">
        <f ca="1">IF(AND(Tabla7[[#This Row],[UltLec]]&lt;&gt;0,Tabla7[[#This Row],[PenLect]]&lt;&gt;0),(AM474-AL474)*Tabla7[[#This Row],[RT]],"N/A")</f>
        <v>N/A</v>
      </c>
      <c r="AO474" s="380" t="s">
        <v>813</v>
      </c>
      <c r="AP474" s="380" t="s">
        <v>1075</v>
      </c>
      <c r="AQ474" s="380" t="s">
        <v>1074</v>
      </c>
      <c r="AR474" s="2">
        <f t="shared" si="220"/>
        <v>0</v>
      </c>
      <c r="AT474" s="2" t="e">
        <f t="shared" ca="1" si="231"/>
        <v>#VALUE!</v>
      </c>
    </row>
    <row r="475" spans="1:46" ht="18" customHeight="1" x14ac:dyDescent="0.25">
      <c r="A475" s="291" t="s">
        <v>19</v>
      </c>
      <c r="B475" s="54" t="s">
        <v>240</v>
      </c>
      <c r="C475" s="239">
        <v>71300126846</v>
      </c>
      <c r="D475" s="54" t="s">
        <v>239</v>
      </c>
      <c r="E475" s="232">
        <v>39005</v>
      </c>
      <c r="F475" s="2" t="s">
        <v>241</v>
      </c>
      <c r="G475" s="2" t="s">
        <v>728</v>
      </c>
      <c r="H475" s="2" t="s">
        <v>242</v>
      </c>
      <c r="I475" s="2"/>
      <c r="J475" s="260">
        <v>271223</v>
      </c>
      <c r="K475" s="260">
        <v>272990</v>
      </c>
      <c r="L475" s="260"/>
      <c r="O475" s="260"/>
      <c r="P475" s="260"/>
      <c r="Q475" s="260"/>
      <c r="R475" s="260"/>
      <c r="S475" s="260"/>
      <c r="U475" s="260"/>
      <c r="V475" s="260"/>
      <c r="W475" s="2"/>
      <c r="X475" s="2"/>
      <c r="Y475" s="2">
        <f t="shared" si="232"/>
        <v>1767</v>
      </c>
      <c r="Z475" s="2" t="str">
        <f t="shared" si="233"/>
        <v/>
      </c>
      <c r="AA475" s="2" t="str">
        <f t="shared" si="229"/>
        <v/>
      </c>
      <c r="AB475" s="2" t="str">
        <f t="shared" si="230"/>
        <v/>
      </c>
      <c r="AC475" s="2" t="str">
        <f t="shared" si="221"/>
        <v/>
      </c>
      <c r="AD475" s="2" t="str">
        <f t="shared" si="222"/>
        <v/>
      </c>
      <c r="AE475" s="2" t="str">
        <f t="shared" si="223"/>
        <v/>
      </c>
      <c r="AF475" s="2" t="str">
        <f t="shared" si="224"/>
        <v/>
      </c>
      <c r="AG475" s="2" t="str">
        <f t="shared" si="225"/>
        <v/>
      </c>
      <c r="AH475" s="2" t="str">
        <f t="shared" si="226"/>
        <v/>
      </c>
      <c r="AI475" s="2" t="str">
        <f t="shared" si="227"/>
        <v/>
      </c>
      <c r="AJ475" s="2" t="str">
        <f t="shared" si="228"/>
        <v/>
      </c>
      <c r="AK475" s="2">
        <v>1</v>
      </c>
      <c r="AL475" s="260">
        <f t="shared" ca="1" si="218"/>
        <v>0</v>
      </c>
      <c r="AM475" s="260">
        <f t="shared" ca="1" si="219"/>
        <v>0</v>
      </c>
      <c r="AN475" s="260" t="str">
        <f ca="1">IF(AND(Tabla7[[#This Row],[UltLec]]&lt;&gt;0,Tabla7[[#This Row],[PenLect]]&lt;&gt;0),(AM475-AL475)*Tabla7[[#This Row],[RT]],"N/A")</f>
        <v>N/A</v>
      </c>
      <c r="AO475" s="380" t="s">
        <v>813</v>
      </c>
      <c r="AP475" s="380" t="s">
        <v>1075</v>
      </c>
      <c r="AQ475" s="380" t="s">
        <v>1074</v>
      </c>
      <c r="AR475" s="2">
        <f t="shared" si="220"/>
        <v>0</v>
      </c>
      <c r="AT475" s="2" t="e">
        <f t="shared" ca="1" si="231"/>
        <v>#VALUE!</v>
      </c>
    </row>
    <row r="476" spans="1:46" ht="18" hidden="1" customHeight="1" x14ac:dyDescent="0.25">
      <c r="A476" s="418" t="s">
        <v>1080</v>
      </c>
      <c r="B476" s="272"/>
      <c r="C476" s="367">
        <v>116104</v>
      </c>
      <c r="D476" s="272" t="s">
        <v>252</v>
      </c>
      <c r="E476" s="286">
        <v>39303</v>
      </c>
      <c r="F476" s="400" t="s">
        <v>245</v>
      </c>
      <c r="G476" s="400" t="s">
        <v>722</v>
      </c>
      <c r="H476" s="400" t="s">
        <v>266</v>
      </c>
      <c r="I476" s="400"/>
      <c r="J476" s="275"/>
      <c r="K476" s="275"/>
      <c r="L476" s="275"/>
      <c r="M476" s="275"/>
      <c r="N476" s="275"/>
      <c r="O476" s="275"/>
      <c r="P476" s="275"/>
      <c r="Q476" s="275"/>
      <c r="R476" s="275"/>
      <c r="S476" s="275"/>
      <c r="T476" s="275"/>
      <c r="U476" s="275"/>
      <c r="V476" s="275"/>
      <c r="W476" s="275"/>
      <c r="X476" s="275"/>
      <c r="Y476" s="275" t="str">
        <f t="shared" si="232"/>
        <v/>
      </c>
      <c r="Z476" s="275" t="str">
        <f t="shared" si="233"/>
        <v/>
      </c>
      <c r="AA476" s="275" t="str">
        <f t="shared" si="229"/>
        <v/>
      </c>
      <c r="AB476" s="275" t="str">
        <f t="shared" si="230"/>
        <v/>
      </c>
      <c r="AC476" s="275" t="str">
        <f t="shared" si="221"/>
        <v/>
      </c>
      <c r="AD476" s="275" t="str">
        <f t="shared" si="222"/>
        <v/>
      </c>
      <c r="AE476" s="275" t="str">
        <f t="shared" si="223"/>
        <v/>
      </c>
      <c r="AF476" s="275" t="str">
        <f t="shared" si="224"/>
        <v/>
      </c>
      <c r="AG476" s="275" t="str">
        <f t="shared" si="225"/>
        <v/>
      </c>
      <c r="AH476" s="275" t="str">
        <f t="shared" si="226"/>
        <v/>
      </c>
      <c r="AI476" s="275" t="str">
        <f t="shared" si="227"/>
        <v/>
      </c>
      <c r="AJ476" s="275" t="str">
        <f t="shared" si="228"/>
        <v/>
      </c>
      <c r="AK476" s="275">
        <v>1</v>
      </c>
      <c r="AL476" s="275">
        <f t="shared" ca="1" si="218"/>
        <v>0</v>
      </c>
      <c r="AM476" s="277">
        <f t="shared" ca="1" si="219"/>
        <v>0</v>
      </c>
      <c r="AN476" s="275" t="str">
        <f ca="1">IF(AND(Tabla7[[#This Row],[UltLec]]&lt;&gt;0,Tabla7[[#This Row],[PenLect]]&lt;&gt;0),(AM476-AL476)*Tabla7[[#This Row],[RT]],"N/A")</f>
        <v>N/A</v>
      </c>
      <c r="AO476" s="275" t="s">
        <v>1160</v>
      </c>
      <c r="AP476" s="400" t="s">
        <v>1075</v>
      </c>
      <c r="AQ476" s="400" t="s">
        <v>1074</v>
      </c>
      <c r="AR476" s="275">
        <f t="shared" si="220"/>
        <v>0</v>
      </c>
      <c r="AT476" s="2" t="e">
        <f t="shared" ca="1" si="231"/>
        <v>#VALUE!</v>
      </c>
    </row>
    <row r="477" spans="1:46" ht="18" hidden="1" customHeight="1" x14ac:dyDescent="0.25">
      <c r="A477" s="409" t="s">
        <v>1080</v>
      </c>
      <c r="B477" s="272"/>
      <c r="C477" s="379">
        <v>116446</v>
      </c>
      <c r="D477" s="372" t="s">
        <v>252</v>
      </c>
      <c r="E477" s="372">
        <v>39319</v>
      </c>
      <c r="F477" s="507" t="s">
        <v>245</v>
      </c>
      <c r="G477" s="400" t="s">
        <v>726</v>
      </c>
      <c r="H477" s="400" t="s">
        <v>259</v>
      </c>
      <c r="I477" s="400"/>
      <c r="J477" s="275"/>
      <c r="K477" s="275"/>
      <c r="L477" s="275"/>
      <c r="M477" s="275"/>
      <c r="N477" s="275"/>
      <c r="O477" s="275"/>
      <c r="P477" s="275"/>
      <c r="Q477" s="275"/>
      <c r="R477" s="275"/>
      <c r="S477" s="275"/>
      <c r="T477" s="275"/>
      <c r="U477" s="275"/>
      <c r="V477" s="275"/>
      <c r="W477" s="275"/>
      <c r="X477" s="275"/>
      <c r="Y477" s="275" t="str">
        <f t="shared" si="232"/>
        <v/>
      </c>
      <c r="Z477" s="275" t="str">
        <f t="shared" si="233"/>
        <v/>
      </c>
      <c r="AA477" s="275" t="str">
        <f t="shared" si="229"/>
        <v/>
      </c>
      <c r="AB477" s="275" t="str">
        <f t="shared" si="230"/>
        <v/>
      </c>
      <c r="AC477" s="275" t="str">
        <f t="shared" si="221"/>
        <v/>
      </c>
      <c r="AD477" s="275" t="str">
        <f t="shared" si="222"/>
        <v/>
      </c>
      <c r="AE477" s="275" t="str">
        <f t="shared" si="223"/>
        <v/>
      </c>
      <c r="AF477" s="275" t="str">
        <f t="shared" si="224"/>
        <v/>
      </c>
      <c r="AG477" s="275" t="str">
        <f t="shared" si="225"/>
        <v/>
      </c>
      <c r="AH477" s="275" t="str">
        <f t="shared" si="226"/>
        <v/>
      </c>
      <c r="AI477" s="275" t="str">
        <f t="shared" si="227"/>
        <v/>
      </c>
      <c r="AJ477" s="275" t="str">
        <f t="shared" si="228"/>
        <v/>
      </c>
      <c r="AK477" s="275">
        <v>1</v>
      </c>
      <c r="AL477" s="275">
        <f t="shared" ca="1" si="218"/>
        <v>0</v>
      </c>
      <c r="AM477" s="277">
        <f t="shared" ca="1" si="219"/>
        <v>0</v>
      </c>
      <c r="AN477" s="275" t="str">
        <f ca="1">IF(AND(Tabla7[[#This Row],[UltLec]]&lt;&gt;0,Tabla7[[#This Row],[PenLect]]&lt;&gt;0),(AM477-AL477)*Tabla7[[#This Row],[RT]],"N/A")</f>
        <v>N/A</v>
      </c>
      <c r="AO477" s="400" t="s">
        <v>1160</v>
      </c>
      <c r="AP477" s="400" t="s">
        <v>1075</v>
      </c>
      <c r="AQ477" s="400" t="s">
        <v>1074</v>
      </c>
      <c r="AR477" s="275">
        <f t="shared" si="220"/>
        <v>0</v>
      </c>
      <c r="AT477" s="2" t="e">
        <f t="shared" ca="1" si="231"/>
        <v>#VALUE!</v>
      </c>
    </row>
    <row r="478" spans="1:46" ht="18" hidden="1" customHeight="1" x14ac:dyDescent="0.25">
      <c r="A478" s="406" t="s">
        <v>1080</v>
      </c>
      <c r="B478" s="272"/>
      <c r="C478" s="367">
        <v>116498</v>
      </c>
      <c r="D478" s="272" t="s">
        <v>252</v>
      </c>
      <c r="E478" s="272">
        <v>39320</v>
      </c>
      <c r="F478" s="502" t="s">
        <v>245</v>
      </c>
      <c r="G478" s="400" t="s">
        <v>725</v>
      </c>
      <c r="H478" s="400" t="s">
        <v>260</v>
      </c>
      <c r="I478" s="400" t="s">
        <v>1365</v>
      </c>
      <c r="J478" s="275"/>
      <c r="K478" s="275"/>
      <c r="L478" s="275"/>
      <c r="M478" s="275"/>
      <c r="N478" s="275"/>
      <c r="O478" s="275"/>
      <c r="P478" s="275"/>
      <c r="Q478" s="275"/>
      <c r="R478" s="275"/>
      <c r="S478" s="275"/>
      <c r="T478" s="275"/>
      <c r="U478" s="275"/>
      <c r="V478" s="275"/>
      <c r="W478" s="275"/>
      <c r="X478" s="275"/>
      <c r="Y478" s="275" t="str">
        <f t="shared" si="232"/>
        <v/>
      </c>
      <c r="Z478" s="275" t="str">
        <f t="shared" si="233"/>
        <v/>
      </c>
      <c r="AA478" s="275" t="str">
        <f t="shared" si="229"/>
        <v/>
      </c>
      <c r="AB478" s="275" t="str">
        <f t="shared" si="230"/>
        <v/>
      </c>
      <c r="AC478" s="275" t="str">
        <f t="shared" si="221"/>
        <v/>
      </c>
      <c r="AD478" s="275" t="str">
        <f t="shared" si="222"/>
        <v/>
      </c>
      <c r="AE478" s="275" t="str">
        <f t="shared" si="223"/>
        <v/>
      </c>
      <c r="AF478" s="275" t="str">
        <f t="shared" si="224"/>
        <v/>
      </c>
      <c r="AG478" s="275" t="str">
        <f t="shared" si="225"/>
        <v/>
      </c>
      <c r="AH478" s="275" t="str">
        <f t="shared" si="226"/>
        <v/>
      </c>
      <c r="AI478" s="275" t="str">
        <f t="shared" si="227"/>
        <v/>
      </c>
      <c r="AJ478" s="275" t="str">
        <f t="shared" si="228"/>
        <v/>
      </c>
      <c r="AK478" s="275">
        <v>1</v>
      </c>
      <c r="AL478" s="275">
        <f t="shared" ca="1" si="218"/>
        <v>0</v>
      </c>
      <c r="AM478" s="277">
        <f t="shared" ca="1" si="219"/>
        <v>0</v>
      </c>
      <c r="AN478" s="275" t="str">
        <f ca="1">IF(AND(Tabla7[[#This Row],[UltLec]]&lt;&gt;0,Tabla7[[#This Row],[PenLect]]&lt;&gt;0),(AM478-AL478)*Tabla7[[#This Row],[RT]],"N/A")</f>
        <v>N/A</v>
      </c>
      <c r="AO478" s="400" t="s">
        <v>1160</v>
      </c>
      <c r="AP478" s="400" t="s">
        <v>1075</v>
      </c>
      <c r="AQ478" s="400" t="s">
        <v>1074</v>
      </c>
      <c r="AR478" s="275">
        <f t="shared" si="220"/>
        <v>0</v>
      </c>
      <c r="AT478" s="2" t="e">
        <f t="shared" ca="1" si="231"/>
        <v>#VALUE!</v>
      </c>
    </row>
    <row r="479" spans="1:46" ht="18" hidden="1" customHeight="1" x14ac:dyDescent="0.25">
      <c r="A479" s="406" t="s">
        <v>1080</v>
      </c>
      <c r="B479" s="272"/>
      <c r="C479" s="367">
        <v>126610</v>
      </c>
      <c r="D479" s="272" t="s">
        <v>252</v>
      </c>
      <c r="E479" s="286">
        <v>39321</v>
      </c>
      <c r="F479" s="502" t="s">
        <v>245</v>
      </c>
      <c r="G479" s="400" t="s">
        <v>723</v>
      </c>
      <c r="H479" s="400" t="s">
        <v>261</v>
      </c>
      <c r="I479" s="400" t="s">
        <v>1365</v>
      </c>
      <c r="J479" s="275"/>
      <c r="K479" s="275"/>
      <c r="L479" s="275"/>
      <c r="M479" s="275"/>
      <c r="N479" s="275"/>
      <c r="O479" s="275"/>
      <c r="P479" s="275"/>
      <c r="Q479" s="275"/>
      <c r="R479" s="275"/>
      <c r="S479" s="275"/>
      <c r="T479" s="275"/>
      <c r="U479" s="275"/>
      <c r="V479" s="275"/>
      <c r="W479" s="275"/>
      <c r="X479" s="275"/>
      <c r="Y479" s="275" t="str">
        <f t="shared" si="232"/>
        <v/>
      </c>
      <c r="Z479" s="275" t="str">
        <f t="shared" si="233"/>
        <v/>
      </c>
      <c r="AA479" s="275" t="str">
        <f t="shared" si="229"/>
        <v/>
      </c>
      <c r="AB479" s="275" t="str">
        <f t="shared" si="230"/>
        <v/>
      </c>
      <c r="AC479" s="275" t="str">
        <f t="shared" si="221"/>
        <v/>
      </c>
      <c r="AD479" s="275" t="str">
        <f t="shared" si="222"/>
        <v/>
      </c>
      <c r="AE479" s="275" t="str">
        <f t="shared" si="223"/>
        <v/>
      </c>
      <c r="AF479" s="275" t="str">
        <f t="shared" si="224"/>
        <v/>
      </c>
      <c r="AG479" s="275" t="str">
        <f t="shared" si="225"/>
        <v/>
      </c>
      <c r="AH479" s="275" t="str">
        <f t="shared" si="226"/>
        <v/>
      </c>
      <c r="AI479" s="275" t="str">
        <f t="shared" si="227"/>
        <v/>
      </c>
      <c r="AJ479" s="275" t="str">
        <f t="shared" si="228"/>
        <v/>
      </c>
      <c r="AK479" s="275">
        <v>1</v>
      </c>
      <c r="AL479" s="275">
        <f t="shared" ca="1" si="218"/>
        <v>0</v>
      </c>
      <c r="AM479" s="277">
        <f t="shared" ca="1" si="219"/>
        <v>0</v>
      </c>
      <c r="AN479" s="275" t="str">
        <f ca="1">IF(AND(Tabla7[[#This Row],[UltLec]]&lt;&gt;0,Tabla7[[#This Row],[PenLect]]&lt;&gt;0),(AM479-AL479)*Tabla7[[#This Row],[RT]],"N/A")</f>
        <v>N/A</v>
      </c>
      <c r="AO479" s="400" t="s">
        <v>1160</v>
      </c>
      <c r="AP479" s="400" t="s">
        <v>1075</v>
      </c>
      <c r="AQ479" s="400" t="s">
        <v>1074</v>
      </c>
      <c r="AR479" s="275">
        <f t="shared" si="220"/>
        <v>0</v>
      </c>
      <c r="AT479" s="2" t="e">
        <f t="shared" ca="1" si="231"/>
        <v>#VALUE!</v>
      </c>
    </row>
    <row r="480" spans="1:46" ht="18" hidden="1" customHeight="1" x14ac:dyDescent="0.25">
      <c r="A480" s="406" t="s">
        <v>1080</v>
      </c>
      <c r="B480" s="272"/>
      <c r="C480" s="367">
        <v>126682</v>
      </c>
      <c r="D480" s="272" t="s">
        <v>252</v>
      </c>
      <c r="E480" s="286">
        <v>39318</v>
      </c>
      <c r="F480" s="400" t="s">
        <v>245</v>
      </c>
      <c r="G480" s="400" t="s">
        <v>728</v>
      </c>
      <c r="H480" s="400" t="s">
        <v>258</v>
      </c>
      <c r="I480" s="400"/>
      <c r="J480" s="275"/>
      <c r="K480" s="275"/>
      <c r="L480" s="275"/>
      <c r="M480" s="275"/>
      <c r="N480" s="275"/>
      <c r="O480" s="275"/>
      <c r="P480" s="275"/>
      <c r="Q480" s="275"/>
      <c r="R480" s="275"/>
      <c r="S480" s="275"/>
      <c r="T480" s="275"/>
      <c r="U480" s="275"/>
      <c r="V480" s="275"/>
      <c r="W480" s="275"/>
      <c r="X480" s="275"/>
      <c r="Y480" s="275" t="str">
        <f t="shared" si="232"/>
        <v/>
      </c>
      <c r="Z480" s="275" t="str">
        <f t="shared" si="233"/>
        <v/>
      </c>
      <c r="AA480" s="275" t="str">
        <f t="shared" si="229"/>
        <v/>
      </c>
      <c r="AB480" s="275" t="str">
        <f t="shared" si="230"/>
        <v/>
      </c>
      <c r="AC480" s="275" t="str">
        <f t="shared" si="221"/>
        <v/>
      </c>
      <c r="AD480" s="275" t="str">
        <f t="shared" si="222"/>
        <v/>
      </c>
      <c r="AE480" s="275" t="str">
        <f t="shared" si="223"/>
        <v/>
      </c>
      <c r="AF480" s="275" t="str">
        <f t="shared" si="224"/>
        <v/>
      </c>
      <c r="AG480" s="275" t="str">
        <f t="shared" si="225"/>
        <v/>
      </c>
      <c r="AH480" s="275" t="str">
        <f t="shared" si="226"/>
        <v/>
      </c>
      <c r="AI480" s="275" t="str">
        <f t="shared" si="227"/>
        <v/>
      </c>
      <c r="AJ480" s="275" t="str">
        <f t="shared" si="228"/>
        <v/>
      </c>
      <c r="AK480" s="275">
        <v>1</v>
      </c>
      <c r="AL480" s="275">
        <f t="shared" ca="1" si="218"/>
        <v>0</v>
      </c>
      <c r="AM480" s="277">
        <f t="shared" ca="1" si="219"/>
        <v>0</v>
      </c>
      <c r="AN480" s="275" t="str">
        <f ca="1">IF(AND(Tabla7[[#This Row],[UltLec]]&lt;&gt;0,Tabla7[[#This Row],[PenLect]]&lt;&gt;0),(AM480-AL480)*Tabla7[[#This Row],[RT]],"N/A")</f>
        <v>N/A</v>
      </c>
      <c r="AO480" s="400" t="s">
        <v>1160</v>
      </c>
      <c r="AP480" s="400" t="s">
        <v>1075</v>
      </c>
      <c r="AQ480" s="400" t="s">
        <v>1074</v>
      </c>
      <c r="AR480" s="275">
        <f t="shared" si="220"/>
        <v>0</v>
      </c>
      <c r="AT480" s="2" t="e">
        <f t="shared" ca="1" si="231"/>
        <v>#VALUE!</v>
      </c>
    </row>
    <row r="481" spans="1:46" ht="18" hidden="1" customHeight="1" x14ac:dyDescent="0.25">
      <c r="A481" s="406" t="s">
        <v>1080</v>
      </c>
      <c r="B481" s="272"/>
      <c r="C481" s="367">
        <v>140754</v>
      </c>
      <c r="D481" s="272" t="s">
        <v>252</v>
      </c>
      <c r="E481" s="286">
        <v>39302</v>
      </c>
      <c r="F481" s="400" t="s">
        <v>245</v>
      </c>
      <c r="G481" s="400" t="s">
        <v>724</v>
      </c>
      <c r="H481" s="400" t="s">
        <v>265</v>
      </c>
      <c r="I481" s="400"/>
      <c r="J481" s="275"/>
      <c r="K481" s="400"/>
      <c r="L481" s="400"/>
      <c r="M481" s="275"/>
      <c r="N481" s="400"/>
      <c r="O481" s="275"/>
      <c r="P481" s="275"/>
      <c r="Q481" s="275"/>
      <c r="R481" s="275"/>
      <c r="S481" s="275"/>
      <c r="T481" s="275"/>
      <c r="U481" s="275"/>
      <c r="V481" s="275"/>
      <c r="W481" s="275"/>
      <c r="X481" s="275"/>
      <c r="Y481" s="275" t="str">
        <f t="shared" si="232"/>
        <v/>
      </c>
      <c r="Z481" s="275" t="str">
        <f t="shared" si="233"/>
        <v/>
      </c>
      <c r="AA481" s="275" t="str">
        <f t="shared" ref="AA481:AA486" si="234">IF(OR(ISBLANK(M481),ISBLANK(L481)),"",IF(AND(M481&gt;=L481,M481-L481&lt;=M481),(M481-L481)*$AK481,"!!!!"))</f>
        <v/>
      </c>
      <c r="AB481" s="275" t="str">
        <f t="shared" ref="AB481:AB486" si="235">IF(OR(ISBLANK(N481),ISBLANK(M481)),"",IF(AND(N481&gt;=M481,N481-M481&lt;=N481),(N481-M481)*$AK481,"!!!!"))</f>
        <v/>
      </c>
      <c r="AC481" s="275" t="str">
        <f t="shared" si="221"/>
        <v/>
      </c>
      <c r="AD481" s="275" t="str">
        <f t="shared" si="222"/>
        <v/>
      </c>
      <c r="AE481" s="275" t="str">
        <f t="shared" si="223"/>
        <v/>
      </c>
      <c r="AF481" s="275" t="str">
        <f t="shared" si="224"/>
        <v/>
      </c>
      <c r="AG481" s="275" t="str">
        <f t="shared" si="225"/>
        <v/>
      </c>
      <c r="AH481" s="275" t="str">
        <f t="shared" si="226"/>
        <v/>
      </c>
      <c r="AI481" s="275" t="str">
        <f t="shared" si="227"/>
        <v/>
      </c>
      <c r="AJ481" s="275" t="str">
        <f t="shared" si="228"/>
        <v/>
      </c>
      <c r="AK481" s="275">
        <v>1</v>
      </c>
      <c r="AL481" s="275">
        <f t="shared" ca="1" si="218"/>
        <v>0</v>
      </c>
      <c r="AM481" s="277">
        <f t="shared" ca="1" si="219"/>
        <v>0</v>
      </c>
      <c r="AN481" s="275" t="str">
        <f ca="1">IF(AND(Tabla7[[#This Row],[UltLec]]&lt;&gt;0,Tabla7[[#This Row],[PenLect]]&lt;&gt;0),(AM481-AL481)*Tabla7[[#This Row],[RT]],"N/A")</f>
        <v>N/A</v>
      </c>
      <c r="AO481" s="400" t="s">
        <v>1160</v>
      </c>
      <c r="AP481" s="400" t="s">
        <v>1075</v>
      </c>
      <c r="AQ481" s="400" t="s">
        <v>1074</v>
      </c>
      <c r="AR481" s="275">
        <f t="shared" si="220"/>
        <v>0</v>
      </c>
      <c r="AT481" s="2" t="e">
        <f t="shared" ca="1" si="231"/>
        <v>#VALUE!</v>
      </c>
    </row>
    <row r="482" spans="1:46" ht="18" hidden="1" customHeight="1" x14ac:dyDescent="0.25">
      <c r="A482" s="406" t="s">
        <v>1080</v>
      </c>
      <c r="B482" s="272"/>
      <c r="C482" s="367">
        <v>65100116117</v>
      </c>
      <c r="D482" s="272" t="s">
        <v>252</v>
      </c>
      <c r="E482" s="286">
        <v>39299</v>
      </c>
      <c r="F482" s="400" t="s">
        <v>245</v>
      </c>
      <c r="G482" s="400" t="s">
        <v>720</v>
      </c>
      <c r="H482" s="400" t="s">
        <v>262</v>
      </c>
      <c r="I482" s="400" t="s">
        <v>1365</v>
      </c>
      <c r="J482" s="275"/>
      <c r="K482" s="275"/>
      <c r="L482" s="275"/>
      <c r="M482" s="275"/>
      <c r="N482" s="275"/>
      <c r="O482" s="275"/>
      <c r="P482" s="275"/>
      <c r="Q482" s="275"/>
      <c r="R482" s="275"/>
      <c r="S482" s="275"/>
      <c r="T482" s="275"/>
      <c r="U482" s="275"/>
      <c r="V482" s="275"/>
      <c r="W482" s="275"/>
      <c r="X482" s="275"/>
      <c r="Y482" s="275" t="str">
        <f t="shared" si="232"/>
        <v/>
      </c>
      <c r="Z482" s="275" t="str">
        <f t="shared" si="233"/>
        <v/>
      </c>
      <c r="AA482" s="275" t="str">
        <f t="shared" si="234"/>
        <v/>
      </c>
      <c r="AB482" s="275" t="str">
        <f t="shared" si="235"/>
        <v/>
      </c>
      <c r="AC482" s="275" t="str">
        <f t="shared" si="221"/>
        <v/>
      </c>
      <c r="AD482" s="275" t="str">
        <f t="shared" si="222"/>
        <v/>
      </c>
      <c r="AE482" s="275" t="str">
        <f t="shared" si="223"/>
        <v/>
      </c>
      <c r="AF482" s="275" t="str">
        <f t="shared" si="224"/>
        <v/>
      </c>
      <c r="AG482" s="275" t="str">
        <f t="shared" si="225"/>
        <v/>
      </c>
      <c r="AH482" s="275" t="str">
        <f t="shared" si="226"/>
        <v/>
      </c>
      <c r="AI482" s="275" t="str">
        <f t="shared" si="227"/>
        <v/>
      </c>
      <c r="AJ482" s="275" t="str">
        <f t="shared" si="228"/>
        <v/>
      </c>
      <c r="AK482" s="275">
        <v>1</v>
      </c>
      <c r="AL482" s="275">
        <f t="shared" ca="1" si="218"/>
        <v>0</v>
      </c>
      <c r="AM482" s="277">
        <f t="shared" ca="1" si="219"/>
        <v>0</v>
      </c>
      <c r="AN482" s="275" t="str">
        <f ca="1">IF(AND(Tabla7[[#This Row],[UltLec]]&lt;&gt;0,Tabla7[[#This Row],[PenLect]]&lt;&gt;0),(AM482-AL482)*Tabla7[[#This Row],[RT]],"N/A")</f>
        <v>N/A</v>
      </c>
      <c r="AO482" s="400" t="s">
        <v>1160</v>
      </c>
      <c r="AP482" s="400" t="s">
        <v>1075</v>
      </c>
      <c r="AQ482" s="400" t="s">
        <v>1074</v>
      </c>
      <c r="AR482" s="275">
        <f t="shared" si="220"/>
        <v>0</v>
      </c>
      <c r="AT482" s="2" t="e">
        <f t="shared" ca="1" si="231"/>
        <v>#VALUE!</v>
      </c>
    </row>
    <row r="483" spans="1:46" ht="18" hidden="1" customHeight="1" x14ac:dyDescent="0.25">
      <c r="A483" s="406" t="s">
        <v>1080</v>
      </c>
      <c r="B483" s="272"/>
      <c r="C483" s="367">
        <v>71300126672</v>
      </c>
      <c r="D483" s="272" t="s">
        <v>252</v>
      </c>
      <c r="E483" s="286">
        <v>39301</v>
      </c>
      <c r="F483" s="400" t="s">
        <v>245</v>
      </c>
      <c r="G483" s="400" t="s">
        <v>721</v>
      </c>
      <c r="H483" s="400" t="s">
        <v>264</v>
      </c>
      <c r="I483" s="400"/>
      <c r="J483" s="275"/>
      <c r="K483" s="275"/>
      <c r="L483" s="275"/>
      <c r="M483" s="275"/>
      <c r="N483" s="275"/>
      <c r="O483" s="275"/>
      <c r="P483" s="275"/>
      <c r="Q483" s="275"/>
      <c r="R483" s="275"/>
      <c r="S483" s="275"/>
      <c r="T483" s="275"/>
      <c r="U483" s="275"/>
      <c r="V483" s="275"/>
      <c r="W483" s="275"/>
      <c r="X483" s="275"/>
      <c r="Y483" s="275" t="str">
        <f t="shared" si="232"/>
        <v/>
      </c>
      <c r="Z483" s="275" t="str">
        <f t="shared" si="233"/>
        <v/>
      </c>
      <c r="AA483" s="275" t="str">
        <f t="shared" si="234"/>
        <v/>
      </c>
      <c r="AB483" s="275" t="str">
        <f t="shared" si="235"/>
        <v/>
      </c>
      <c r="AC483" s="275" t="str">
        <f t="shared" si="221"/>
        <v/>
      </c>
      <c r="AD483" s="275" t="str">
        <f t="shared" si="222"/>
        <v/>
      </c>
      <c r="AE483" s="275" t="str">
        <f t="shared" si="223"/>
        <v/>
      </c>
      <c r="AF483" s="275" t="str">
        <f t="shared" si="224"/>
        <v/>
      </c>
      <c r="AG483" s="275" t="str">
        <f t="shared" si="225"/>
        <v/>
      </c>
      <c r="AH483" s="275" t="str">
        <f t="shared" si="226"/>
        <v/>
      </c>
      <c r="AI483" s="275" t="str">
        <f t="shared" si="227"/>
        <v/>
      </c>
      <c r="AJ483" s="275" t="str">
        <f t="shared" si="228"/>
        <v/>
      </c>
      <c r="AK483" s="275">
        <v>1</v>
      </c>
      <c r="AL483" s="275">
        <f t="shared" ca="1" si="218"/>
        <v>0</v>
      </c>
      <c r="AM483" s="277">
        <f t="shared" ca="1" si="219"/>
        <v>0</v>
      </c>
      <c r="AN483" s="275" t="str">
        <f ca="1">IF(AND(Tabla7[[#This Row],[UltLec]]&lt;&gt;0,Tabla7[[#This Row],[PenLect]]&lt;&gt;0),(AM483-AL483)*Tabla7[[#This Row],[RT]],"N/A")</f>
        <v>N/A</v>
      </c>
      <c r="AO483" s="400" t="s">
        <v>1160</v>
      </c>
      <c r="AP483" s="400" t="s">
        <v>1075</v>
      </c>
      <c r="AQ483" s="400" t="s">
        <v>1074</v>
      </c>
      <c r="AR483" s="275">
        <f t="shared" si="220"/>
        <v>0</v>
      </c>
      <c r="AT483" s="2" t="e">
        <f t="shared" ca="1" si="231"/>
        <v>#VALUE!</v>
      </c>
    </row>
    <row r="484" spans="1:46" ht="18" hidden="1" customHeight="1" x14ac:dyDescent="0.25">
      <c r="A484" s="406" t="s">
        <v>1080</v>
      </c>
      <c r="B484" s="272"/>
      <c r="C484" s="367">
        <v>73900146533</v>
      </c>
      <c r="D484" s="272" t="s">
        <v>252</v>
      </c>
      <c r="E484" s="286">
        <v>39300</v>
      </c>
      <c r="F484" s="400" t="s">
        <v>245</v>
      </c>
      <c r="G484" s="400" t="s">
        <v>727</v>
      </c>
      <c r="H484" s="400" t="s">
        <v>263</v>
      </c>
      <c r="I484" s="400" t="s">
        <v>1365</v>
      </c>
      <c r="J484" s="275"/>
      <c r="K484" s="275"/>
      <c r="L484" s="275"/>
      <c r="M484" s="275"/>
      <c r="N484" s="275"/>
      <c r="O484" s="275"/>
      <c r="P484" s="275"/>
      <c r="Q484" s="275"/>
      <c r="R484" s="275"/>
      <c r="S484" s="275"/>
      <c r="T484" s="275"/>
      <c r="U484" s="275"/>
      <c r="V484" s="275"/>
      <c r="W484" s="275"/>
      <c r="X484" s="275"/>
      <c r="Y484" s="275" t="str">
        <f t="shared" si="232"/>
        <v/>
      </c>
      <c r="Z484" s="275" t="str">
        <f t="shared" si="233"/>
        <v/>
      </c>
      <c r="AA484" s="275" t="str">
        <f t="shared" si="234"/>
        <v/>
      </c>
      <c r="AB484" s="275" t="str">
        <f t="shared" si="235"/>
        <v/>
      </c>
      <c r="AC484" s="275" t="str">
        <f t="shared" si="221"/>
        <v/>
      </c>
      <c r="AD484" s="275" t="str">
        <f t="shared" si="222"/>
        <v/>
      </c>
      <c r="AE484" s="275" t="str">
        <f t="shared" si="223"/>
        <v/>
      </c>
      <c r="AF484" s="275" t="str">
        <f t="shared" si="224"/>
        <v/>
      </c>
      <c r="AG484" s="275" t="str">
        <f t="shared" si="225"/>
        <v/>
      </c>
      <c r="AH484" s="275" t="str">
        <f t="shared" si="226"/>
        <v/>
      </c>
      <c r="AI484" s="275" t="str">
        <f t="shared" si="227"/>
        <v/>
      </c>
      <c r="AJ484" s="275" t="str">
        <f t="shared" si="228"/>
        <v/>
      </c>
      <c r="AK484" s="275">
        <v>1</v>
      </c>
      <c r="AL484" s="275">
        <f t="shared" ca="1" si="218"/>
        <v>0</v>
      </c>
      <c r="AM484" s="277">
        <f t="shared" ca="1" si="219"/>
        <v>0</v>
      </c>
      <c r="AN484" s="275" t="str">
        <f ca="1">IF(AND(Tabla7[[#This Row],[UltLec]]&lt;&gt;0,Tabla7[[#This Row],[PenLect]]&lt;&gt;0),(AM484-AL484)*Tabla7[[#This Row],[RT]],"N/A")</f>
        <v>N/A</v>
      </c>
      <c r="AO484" s="400" t="s">
        <v>1160</v>
      </c>
      <c r="AP484" s="400" t="s">
        <v>1075</v>
      </c>
      <c r="AQ484" s="400" t="s">
        <v>1074</v>
      </c>
      <c r="AR484" s="275">
        <f t="shared" si="220"/>
        <v>0</v>
      </c>
      <c r="AT484" s="2" t="e">
        <f t="shared" ca="1" si="231"/>
        <v>#VALUE!</v>
      </c>
    </row>
    <row r="485" spans="1:46" ht="18" customHeight="1" x14ac:dyDescent="0.25">
      <c r="A485" s="405" t="s">
        <v>19</v>
      </c>
      <c r="B485" s="54"/>
      <c r="C485" s="239" t="s">
        <v>1347</v>
      </c>
      <c r="D485" s="54" t="s">
        <v>252</v>
      </c>
      <c r="E485" s="232">
        <v>39694</v>
      </c>
      <c r="F485" s="2" t="s">
        <v>245</v>
      </c>
      <c r="G485" s="2" t="s">
        <v>1620</v>
      </c>
      <c r="H485" s="2" t="s">
        <v>1349</v>
      </c>
      <c r="I485" s="2"/>
      <c r="J485" s="260">
        <v>1400</v>
      </c>
      <c r="K485" s="260">
        <v>1405</v>
      </c>
      <c r="L485" s="260"/>
      <c r="O485" s="260"/>
      <c r="P485" s="260"/>
      <c r="Q485" s="260"/>
      <c r="R485" s="260"/>
      <c r="S485" s="260"/>
      <c r="U485" s="260"/>
      <c r="V485" s="260"/>
      <c r="W485" s="2"/>
      <c r="X485" s="2"/>
      <c r="Y485" s="2">
        <f t="shared" si="232"/>
        <v>5</v>
      </c>
      <c r="Z485" s="2" t="str">
        <f t="shared" si="233"/>
        <v/>
      </c>
      <c r="AA485" s="2" t="str">
        <f t="shared" si="234"/>
        <v/>
      </c>
      <c r="AB485" s="2" t="str">
        <f t="shared" si="235"/>
        <v/>
      </c>
      <c r="AC485" s="2" t="str">
        <f t="shared" si="221"/>
        <v/>
      </c>
      <c r="AD485" s="2" t="str">
        <f t="shared" si="222"/>
        <v/>
      </c>
      <c r="AE485" s="2" t="str">
        <f t="shared" si="223"/>
        <v/>
      </c>
      <c r="AF485" s="2" t="str">
        <f t="shared" si="224"/>
        <v/>
      </c>
      <c r="AG485" s="2" t="str">
        <f t="shared" si="225"/>
        <v/>
      </c>
      <c r="AH485" s="2" t="str">
        <f t="shared" si="226"/>
        <v/>
      </c>
      <c r="AI485" s="2" t="str">
        <f t="shared" si="227"/>
        <v/>
      </c>
      <c r="AJ485" s="2" t="str">
        <f t="shared" si="228"/>
        <v/>
      </c>
      <c r="AK485" s="2">
        <v>1</v>
      </c>
      <c r="AL485" s="260">
        <f t="shared" ca="1" si="218"/>
        <v>0</v>
      </c>
      <c r="AM485" s="260">
        <f t="shared" ca="1" si="219"/>
        <v>0</v>
      </c>
      <c r="AN485" s="260" t="str">
        <f ca="1">IF(AND(Tabla7[[#This Row],[UltLec]]&lt;&gt;0,Tabla7[[#This Row],[PenLect]]&lt;&gt;0),(AM485-AL485)*Tabla7[[#This Row],[RT]],"N/A")</f>
        <v>N/A</v>
      </c>
      <c r="AO485" s="380" t="s">
        <v>813</v>
      </c>
      <c r="AP485" s="380" t="s">
        <v>1075</v>
      </c>
      <c r="AQ485" s="380" t="s">
        <v>1074</v>
      </c>
      <c r="AR485" s="2">
        <f t="shared" si="220"/>
        <v>0</v>
      </c>
      <c r="AT485" s="2" t="e">
        <f t="shared" ca="1" si="231"/>
        <v>#VALUE!</v>
      </c>
    </row>
    <row r="486" spans="1:46" ht="18" customHeight="1" x14ac:dyDescent="0.25">
      <c r="A486" s="405" t="s">
        <v>19</v>
      </c>
      <c r="B486" s="54"/>
      <c r="C486" s="239" t="s">
        <v>1346</v>
      </c>
      <c r="D486" s="54" t="s">
        <v>252</v>
      </c>
      <c r="E486" s="232">
        <v>132</v>
      </c>
      <c r="F486" s="2" t="s">
        <v>1348</v>
      </c>
      <c r="G486" s="2" t="s">
        <v>1621</v>
      </c>
      <c r="H486" s="2"/>
      <c r="I486" s="2"/>
      <c r="J486" s="260">
        <v>130560</v>
      </c>
      <c r="K486" s="260">
        <v>135832</v>
      </c>
      <c r="L486" s="260"/>
      <c r="O486" s="260"/>
      <c r="P486" s="260"/>
      <c r="Q486" s="260"/>
      <c r="R486" s="260"/>
      <c r="S486" s="260"/>
      <c r="U486" s="260"/>
      <c r="V486" s="260"/>
      <c r="W486" s="2"/>
      <c r="X486" s="2"/>
      <c r="Y486" s="2">
        <f t="shared" si="232"/>
        <v>5272</v>
      </c>
      <c r="Z486" s="2" t="str">
        <f t="shared" si="233"/>
        <v/>
      </c>
      <c r="AA486" s="2" t="str">
        <f t="shared" si="234"/>
        <v/>
      </c>
      <c r="AB486" s="2" t="str">
        <f t="shared" si="235"/>
        <v/>
      </c>
      <c r="AC486" s="2" t="str">
        <f t="shared" si="221"/>
        <v/>
      </c>
      <c r="AD486" s="2" t="str">
        <f t="shared" si="222"/>
        <v/>
      </c>
      <c r="AE486" s="2" t="str">
        <f t="shared" si="223"/>
        <v/>
      </c>
      <c r="AF486" s="2" t="str">
        <f t="shared" si="224"/>
        <v/>
      </c>
      <c r="AG486" s="2" t="str">
        <f t="shared" si="225"/>
        <v/>
      </c>
      <c r="AH486" s="2" t="str">
        <f t="shared" si="226"/>
        <v/>
      </c>
      <c r="AI486" s="2" t="str">
        <f t="shared" si="227"/>
        <v/>
      </c>
      <c r="AJ486" s="2" t="str">
        <f t="shared" si="228"/>
        <v/>
      </c>
      <c r="AK486" s="2">
        <v>1</v>
      </c>
      <c r="AL486" s="260">
        <f t="shared" ca="1" si="218"/>
        <v>0</v>
      </c>
      <c r="AM486" s="260">
        <f t="shared" ca="1" si="219"/>
        <v>0</v>
      </c>
      <c r="AN486" s="260" t="str">
        <f ca="1">IF(AND(Tabla7[[#This Row],[UltLec]]&lt;&gt;0,Tabla7[[#This Row],[PenLect]]&lt;&gt;0),(AM486-AL486)*Tabla7[[#This Row],[RT]],"N/A")</f>
        <v>N/A</v>
      </c>
      <c r="AO486" s="380" t="s">
        <v>813</v>
      </c>
      <c r="AP486" s="380" t="s">
        <v>1075</v>
      </c>
      <c r="AQ486" s="380" t="s">
        <v>1074</v>
      </c>
      <c r="AR486" s="2">
        <f t="shared" si="220"/>
        <v>0</v>
      </c>
      <c r="AT486" s="2" t="e">
        <f t="shared" ca="1" si="231"/>
        <v>#VALUE!</v>
      </c>
    </row>
    <row r="487" spans="1:46" ht="18" customHeight="1" x14ac:dyDescent="0.25">
      <c r="A487" s="407" t="s">
        <v>19</v>
      </c>
      <c r="B487" s="54"/>
      <c r="C487" s="420" t="s">
        <v>1668</v>
      </c>
      <c r="D487" s="374" t="s">
        <v>252</v>
      </c>
      <c r="E487" s="375">
        <v>39711</v>
      </c>
      <c r="F487" s="2" t="s">
        <v>245</v>
      </c>
      <c r="G487" s="2" t="s">
        <v>1667</v>
      </c>
      <c r="H487" s="2"/>
      <c r="I487" s="2" t="s">
        <v>1669</v>
      </c>
      <c r="J487" s="260">
        <v>43182</v>
      </c>
      <c r="K487" s="260">
        <v>81178</v>
      </c>
      <c r="L487" s="260"/>
      <c r="O487" s="260"/>
      <c r="P487" s="260"/>
      <c r="Q487" s="260"/>
      <c r="R487" s="260"/>
      <c r="S487" s="260"/>
      <c r="U487" s="260"/>
      <c r="V487" s="260"/>
      <c r="W487" s="2"/>
      <c r="X487" s="2"/>
      <c r="Y487" s="2">
        <f t="shared" si="232"/>
        <v>37996</v>
      </c>
      <c r="Z487" s="2" t="str">
        <f t="shared" si="233"/>
        <v/>
      </c>
      <c r="AA487" s="2" t="str">
        <f>IF(OR(ISBLANK(#REF!),ISBLANK(L487)),"",IF(AND(#REF!&gt;=L487,#REF!-L487&lt;=#REF!),(#REF!-L487)*$AK487,"!!!!"))</f>
        <v/>
      </c>
      <c r="AB487" s="2" t="str">
        <f>IF(OR(ISBLANK(N487),ISBLANK(#REF!)),"",IF(AND(N487&gt;=#REF!,N487-#REF!&lt;=N487),(N487-#REF!)*$AK487,"!!!!"))</f>
        <v/>
      </c>
      <c r="AC487" s="2" t="str">
        <f t="shared" si="221"/>
        <v/>
      </c>
      <c r="AD487" s="2" t="str">
        <f t="shared" si="222"/>
        <v/>
      </c>
      <c r="AE487" s="2" t="str">
        <f t="shared" si="223"/>
        <v/>
      </c>
      <c r="AF487" s="2" t="str">
        <f t="shared" si="224"/>
        <v/>
      </c>
      <c r="AG487" s="2" t="str">
        <f t="shared" si="225"/>
        <v/>
      </c>
      <c r="AH487" s="2" t="str">
        <f t="shared" si="226"/>
        <v/>
      </c>
      <c r="AI487" s="2" t="str">
        <f t="shared" si="227"/>
        <v/>
      </c>
      <c r="AJ487" s="2" t="str">
        <f t="shared" si="228"/>
        <v/>
      </c>
      <c r="AK487" s="2">
        <v>1</v>
      </c>
      <c r="AL487" s="260">
        <f t="shared" ref="AL487:AL548" ca="1" si="236">IF(DAY(TODAY())&lt;16,INDEX(J487:X487,1,MONTH(TODAY())-1),INDEX(J487:X487,1,MONTH(TODAY())))</f>
        <v>0</v>
      </c>
      <c r="AM487" s="260">
        <f t="shared" ref="AM487:AM548" ca="1" si="237">IF(DAY(TODAY())&lt;16,INDEX(J487:X487,1,MONTH(TODAY())),INDEX(J487:X487,1,MONTH(TODAY())+1))</f>
        <v>0</v>
      </c>
      <c r="AN487" s="260" t="str">
        <f ca="1">IF(AND(Tabla7[[#This Row],[UltLec]]&lt;&gt;0,Tabla7[[#This Row],[PenLect]]&lt;&gt;0),(AM487-AL487)*Tabla7[[#This Row],[RT]],"N/A")</f>
        <v>N/A</v>
      </c>
      <c r="AO487" s="380" t="s">
        <v>813</v>
      </c>
      <c r="AP487" s="380" t="s">
        <v>1075</v>
      </c>
      <c r="AQ487" s="380" t="s">
        <v>1074</v>
      </c>
      <c r="AR487" s="2">
        <f t="shared" ref="AR487:AR548" si="238">COUNTIF(Y487:AJ487,"!!!!")</f>
        <v>0</v>
      </c>
      <c r="AT487" s="2" t="e">
        <f t="shared" ca="1" si="231"/>
        <v>#VALUE!</v>
      </c>
    </row>
    <row r="488" spans="1:46" ht="18" customHeight="1" x14ac:dyDescent="0.25">
      <c r="A488" s="405" t="s">
        <v>19</v>
      </c>
      <c r="B488" s="54">
        <v>1204</v>
      </c>
      <c r="C488" s="239" t="s">
        <v>253</v>
      </c>
      <c r="D488" s="54" t="s">
        <v>252</v>
      </c>
      <c r="E488" s="232">
        <v>39177</v>
      </c>
      <c r="F488" s="2" t="s">
        <v>245</v>
      </c>
      <c r="G488" s="2" t="s">
        <v>1637</v>
      </c>
      <c r="H488" s="2"/>
      <c r="I488" s="2"/>
      <c r="J488" s="260">
        <v>893066</v>
      </c>
      <c r="K488" s="260">
        <v>898557</v>
      </c>
      <c r="L488" s="260"/>
      <c r="O488" s="260"/>
      <c r="P488" s="260"/>
      <c r="Q488" s="260"/>
      <c r="R488" s="260"/>
      <c r="S488" s="260"/>
      <c r="U488" s="260"/>
      <c r="V488" s="260"/>
      <c r="W488" s="2"/>
      <c r="X488" s="2"/>
      <c r="Y488" s="2">
        <f t="shared" si="232"/>
        <v>5491</v>
      </c>
      <c r="Z488" s="2" t="str">
        <f t="shared" si="233"/>
        <v/>
      </c>
      <c r="AA488" s="2" t="str">
        <f t="shared" ref="AA488:AA533" si="239">IF(OR(ISBLANK(M488),ISBLANK(L488)),"",IF(AND(M488&gt;=L488,M488-L488&lt;=M488),(M488-L488)*$AK488,"!!!!"))</f>
        <v/>
      </c>
      <c r="AB488" s="2" t="str">
        <f t="shared" ref="AB488:AB533" si="240">IF(OR(ISBLANK(N488),ISBLANK(M488)),"",IF(AND(N488&gt;=M488,N488-M488&lt;=N488),(N488-M488)*$AK488,"!!!!"))</f>
        <v/>
      </c>
      <c r="AC488" s="2" t="str">
        <f t="shared" si="221"/>
        <v/>
      </c>
      <c r="AD488" s="2" t="str">
        <f t="shared" si="222"/>
        <v/>
      </c>
      <c r="AE488" s="2" t="str">
        <f t="shared" si="223"/>
        <v/>
      </c>
      <c r="AF488" s="2" t="str">
        <f t="shared" si="224"/>
        <v/>
      </c>
      <c r="AG488" s="2" t="str">
        <f t="shared" si="225"/>
        <v/>
      </c>
      <c r="AH488" s="2" t="str">
        <f t="shared" si="226"/>
        <v/>
      </c>
      <c r="AI488" s="2" t="str">
        <f t="shared" si="227"/>
        <v/>
      </c>
      <c r="AJ488" s="2" t="str">
        <f t="shared" si="228"/>
        <v/>
      </c>
      <c r="AK488" s="2">
        <v>1</v>
      </c>
      <c r="AL488" s="260">
        <f t="shared" ca="1" si="236"/>
        <v>0</v>
      </c>
      <c r="AM488" s="260">
        <f t="shared" ca="1" si="237"/>
        <v>0</v>
      </c>
      <c r="AN488" s="260" t="str">
        <f ca="1">IF(AND(Tabla7[[#This Row],[UltLec]]&lt;&gt;0,Tabla7[[#This Row],[PenLect]]&lt;&gt;0),(AM488-AL488)*Tabla7[[#This Row],[RT]],"N/A")</f>
        <v>N/A</v>
      </c>
      <c r="AO488" s="380" t="s">
        <v>813</v>
      </c>
      <c r="AP488" s="380" t="s">
        <v>1075</v>
      </c>
      <c r="AQ488" s="380" t="s">
        <v>1074</v>
      </c>
      <c r="AR488" s="2">
        <f t="shared" si="238"/>
        <v>0</v>
      </c>
      <c r="AT488" s="2" t="e">
        <f t="shared" ca="1" si="231"/>
        <v>#VALUE!</v>
      </c>
    </row>
    <row r="489" spans="1:46" ht="18" customHeight="1" x14ac:dyDescent="0.25">
      <c r="A489" s="405" t="s">
        <v>19</v>
      </c>
      <c r="B489" s="54"/>
      <c r="C489" s="239" t="s">
        <v>255</v>
      </c>
      <c r="D489" s="54" t="s">
        <v>252</v>
      </c>
      <c r="E489" s="232">
        <v>39284</v>
      </c>
      <c r="F489" s="2" t="s">
        <v>256</v>
      </c>
      <c r="G489" s="2" t="s">
        <v>1024</v>
      </c>
      <c r="H489" s="2"/>
      <c r="I489" s="2"/>
      <c r="J489" s="260">
        <v>339711</v>
      </c>
      <c r="K489" s="260">
        <v>341954</v>
      </c>
      <c r="L489" s="260"/>
      <c r="O489" s="260"/>
      <c r="P489" s="260"/>
      <c r="Q489" s="260"/>
      <c r="R489" s="260"/>
      <c r="S489" s="260"/>
      <c r="U489" s="260"/>
      <c r="V489" s="260"/>
      <c r="W489" s="2"/>
      <c r="X489" s="2"/>
      <c r="Y489" s="2">
        <f t="shared" si="232"/>
        <v>2243</v>
      </c>
      <c r="Z489" s="2" t="str">
        <f t="shared" si="233"/>
        <v/>
      </c>
      <c r="AA489" s="2" t="str">
        <f t="shared" si="239"/>
        <v/>
      </c>
      <c r="AB489" s="2" t="str">
        <f t="shared" si="240"/>
        <v/>
      </c>
      <c r="AC489" s="2" t="str">
        <f t="shared" si="221"/>
        <v/>
      </c>
      <c r="AD489" s="2" t="str">
        <f t="shared" si="222"/>
        <v/>
      </c>
      <c r="AE489" s="2" t="str">
        <f t="shared" si="223"/>
        <v/>
      </c>
      <c r="AF489" s="2" t="str">
        <f t="shared" si="224"/>
        <v/>
      </c>
      <c r="AG489" s="2" t="str">
        <f t="shared" si="225"/>
        <v/>
      </c>
      <c r="AH489" s="2" t="str">
        <f t="shared" si="226"/>
        <v/>
      </c>
      <c r="AI489" s="2" t="str">
        <f t="shared" si="227"/>
        <v/>
      </c>
      <c r="AJ489" s="2" t="str">
        <f t="shared" si="228"/>
        <v/>
      </c>
      <c r="AK489" s="2">
        <v>1</v>
      </c>
      <c r="AL489" s="260">
        <f t="shared" ca="1" si="236"/>
        <v>0</v>
      </c>
      <c r="AM489" s="260">
        <f t="shared" ca="1" si="237"/>
        <v>0</v>
      </c>
      <c r="AN489" s="260" t="str">
        <f ca="1">IF(AND(Tabla7[[#This Row],[UltLec]]&lt;&gt;0,Tabla7[[#This Row],[PenLect]]&lt;&gt;0),(AM489-AL489)*Tabla7[[#This Row],[RT]],"N/A")</f>
        <v>N/A</v>
      </c>
      <c r="AO489" s="380" t="s">
        <v>813</v>
      </c>
      <c r="AP489" s="380" t="s">
        <v>1075</v>
      </c>
      <c r="AQ489" s="380" t="s">
        <v>1074</v>
      </c>
      <c r="AR489" s="2">
        <f t="shared" si="238"/>
        <v>0</v>
      </c>
      <c r="AT489" s="2" t="e">
        <f t="shared" ca="1" si="231"/>
        <v>#VALUE!</v>
      </c>
    </row>
    <row r="490" spans="1:46" ht="18" customHeight="1" x14ac:dyDescent="0.25">
      <c r="A490" s="405" t="s">
        <v>19</v>
      </c>
      <c r="B490" s="54">
        <v>1205</v>
      </c>
      <c r="C490" s="239" t="s">
        <v>254</v>
      </c>
      <c r="D490" s="54" t="s">
        <v>252</v>
      </c>
      <c r="E490" s="232">
        <v>39176</v>
      </c>
      <c r="F490" s="2" t="s">
        <v>245</v>
      </c>
      <c r="G490" s="2" t="s">
        <v>1023</v>
      </c>
      <c r="H490" s="2"/>
      <c r="I490" s="2"/>
      <c r="J490" s="260">
        <v>679395</v>
      </c>
      <c r="K490" s="260">
        <v>683110</v>
      </c>
      <c r="L490" s="260"/>
      <c r="O490" s="260"/>
      <c r="P490" s="260"/>
      <c r="Q490" s="260"/>
      <c r="R490" s="260"/>
      <c r="S490" s="260"/>
      <c r="U490" s="260"/>
      <c r="V490" s="260"/>
      <c r="W490" s="2"/>
      <c r="X490" s="2"/>
      <c r="Y490" s="2">
        <f t="shared" si="232"/>
        <v>3715</v>
      </c>
      <c r="Z490" s="2" t="str">
        <f t="shared" si="233"/>
        <v/>
      </c>
      <c r="AA490" s="2" t="str">
        <f t="shared" si="239"/>
        <v/>
      </c>
      <c r="AB490" s="2" t="str">
        <f t="shared" si="240"/>
        <v/>
      </c>
      <c r="AC490" s="2" t="str">
        <f t="shared" si="221"/>
        <v/>
      </c>
      <c r="AD490" s="2" t="str">
        <f t="shared" si="222"/>
        <v/>
      </c>
      <c r="AE490" s="2" t="str">
        <f t="shared" si="223"/>
        <v/>
      </c>
      <c r="AF490" s="2" t="str">
        <f t="shared" si="224"/>
        <v/>
      </c>
      <c r="AG490" s="2" t="str">
        <f t="shared" si="225"/>
        <v/>
      </c>
      <c r="AH490" s="2" t="str">
        <f t="shared" si="226"/>
        <v/>
      </c>
      <c r="AI490" s="2" t="str">
        <f t="shared" si="227"/>
        <v/>
      </c>
      <c r="AJ490" s="2" t="str">
        <f t="shared" si="228"/>
        <v/>
      </c>
      <c r="AK490" s="2">
        <v>1</v>
      </c>
      <c r="AL490" s="260">
        <f t="shared" ca="1" si="236"/>
        <v>0</v>
      </c>
      <c r="AM490" s="260">
        <f t="shared" ca="1" si="237"/>
        <v>0</v>
      </c>
      <c r="AN490" s="260" t="str">
        <f ca="1">IF(AND(Tabla7[[#This Row],[UltLec]]&lt;&gt;0,Tabla7[[#This Row],[PenLect]]&lt;&gt;0),(AM490-AL490)*Tabla7[[#This Row],[RT]],"N/A")</f>
        <v>N/A</v>
      </c>
      <c r="AO490" s="380" t="s">
        <v>813</v>
      </c>
      <c r="AP490" s="380" t="s">
        <v>1075</v>
      </c>
      <c r="AQ490" s="380" t="s">
        <v>1074</v>
      </c>
      <c r="AR490" s="2">
        <f t="shared" si="238"/>
        <v>0</v>
      </c>
      <c r="AT490" s="2" t="e">
        <f t="shared" ca="1" si="231"/>
        <v>#VALUE!</v>
      </c>
    </row>
    <row r="491" spans="1:46" ht="18" customHeight="1" x14ac:dyDescent="0.25">
      <c r="A491" s="405" t="s">
        <v>19</v>
      </c>
      <c r="B491" s="54">
        <v>2033</v>
      </c>
      <c r="C491" s="239" t="s">
        <v>1628</v>
      </c>
      <c r="D491" s="54" t="s">
        <v>252</v>
      </c>
      <c r="E491" s="232">
        <v>39704</v>
      </c>
      <c r="F491" s="2" t="s">
        <v>245</v>
      </c>
      <c r="G491" s="2" t="s">
        <v>63</v>
      </c>
      <c r="H491" s="2"/>
      <c r="I491" s="2" t="s">
        <v>1629</v>
      </c>
      <c r="J491" s="260">
        <v>9784</v>
      </c>
      <c r="K491" s="260">
        <v>10455</v>
      </c>
      <c r="L491" s="260"/>
      <c r="O491" s="260"/>
      <c r="P491" s="260"/>
      <c r="Q491" s="260"/>
      <c r="R491" s="260"/>
      <c r="S491" s="260"/>
      <c r="U491" s="260"/>
      <c r="V491" s="260"/>
      <c r="W491" s="2"/>
      <c r="X491" s="2"/>
      <c r="Y491" s="2">
        <f t="shared" si="232"/>
        <v>671</v>
      </c>
      <c r="Z491" s="2" t="str">
        <f t="shared" si="233"/>
        <v/>
      </c>
      <c r="AA491" s="2" t="str">
        <f t="shared" si="239"/>
        <v/>
      </c>
      <c r="AB491" s="2" t="str">
        <f t="shared" si="240"/>
        <v/>
      </c>
      <c r="AC491" s="2" t="str">
        <f t="shared" si="221"/>
        <v/>
      </c>
      <c r="AD491" s="2" t="str">
        <f t="shared" si="222"/>
        <v/>
      </c>
      <c r="AE491" s="2" t="str">
        <f t="shared" si="223"/>
        <v/>
      </c>
      <c r="AF491" s="2" t="str">
        <f t="shared" si="224"/>
        <v/>
      </c>
      <c r="AG491" s="2" t="str">
        <f t="shared" si="225"/>
        <v/>
      </c>
      <c r="AH491" s="2" t="str">
        <f t="shared" si="226"/>
        <v/>
      </c>
      <c r="AI491" s="2" t="str">
        <f t="shared" si="227"/>
        <v/>
      </c>
      <c r="AJ491" s="2" t="str">
        <f t="shared" si="228"/>
        <v/>
      </c>
      <c r="AK491" s="2">
        <v>1</v>
      </c>
      <c r="AL491" s="260">
        <f t="shared" ca="1" si="236"/>
        <v>0</v>
      </c>
      <c r="AM491" s="260">
        <f t="shared" ca="1" si="237"/>
        <v>0</v>
      </c>
      <c r="AN491" s="260" t="str">
        <f ca="1">IF(AND(Tabla7[[#This Row],[UltLec]]&lt;&gt;0,Tabla7[[#This Row],[PenLect]]&lt;&gt;0),(AM491-AL491)*Tabla7[[#This Row],[RT]],"N/A")</f>
        <v>N/A</v>
      </c>
      <c r="AO491" s="380" t="s">
        <v>813</v>
      </c>
      <c r="AP491" s="380" t="s">
        <v>1075</v>
      </c>
      <c r="AQ491" s="380" t="s">
        <v>1074</v>
      </c>
      <c r="AR491" s="2">
        <f t="shared" si="238"/>
        <v>0</v>
      </c>
      <c r="AT491" s="2" t="e">
        <f t="shared" ca="1" si="231"/>
        <v>#VALUE!</v>
      </c>
    </row>
    <row r="492" spans="1:46" ht="18" customHeight="1" x14ac:dyDescent="0.25">
      <c r="A492" s="405" t="s">
        <v>19</v>
      </c>
      <c r="B492" s="54"/>
      <c r="C492" s="239">
        <v>181156</v>
      </c>
      <c r="D492" s="54" t="s">
        <v>267</v>
      </c>
      <c r="E492" s="232">
        <v>39445</v>
      </c>
      <c r="F492" s="2" t="s">
        <v>245</v>
      </c>
      <c r="G492" s="2" t="s">
        <v>729</v>
      </c>
      <c r="H492" s="2" t="s">
        <v>276</v>
      </c>
      <c r="I492" s="2"/>
      <c r="J492" s="260">
        <v>213607</v>
      </c>
      <c r="K492" s="260">
        <v>214225</v>
      </c>
      <c r="L492" s="260"/>
      <c r="O492" s="260"/>
      <c r="P492" s="260"/>
      <c r="Q492" s="260"/>
      <c r="R492" s="260"/>
      <c r="S492" s="260"/>
      <c r="U492" s="260"/>
      <c r="V492" s="260"/>
      <c r="W492" s="2"/>
      <c r="X492" s="2"/>
      <c r="Y492" s="2">
        <f t="shared" si="232"/>
        <v>618</v>
      </c>
      <c r="Z492" s="2" t="str">
        <f t="shared" si="233"/>
        <v/>
      </c>
      <c r="AA492" s="2" t="str">
        <f t="shared" si="239"/>
        <v/>
      </c>
      <c r="AB492" s="2" t="str">
        <f t="shared" si="240"/>
        <v/>
      </c>
      <c r="AC492" s="2" t="str">
        <f t="shared" si="221"/>
        <v/>
      </c>
      <c r="AD492" s="2" t="str">
        <f t="shared" si="222"/>
        <v/>
      </c>
      <c r="AE492" s="2" t="str">
        <f t="shared" si="223"/>
        <v/>
      </c>
      <c r="AF492" s="2" t="str">
        <f t="shared" si="224"/>
        <v/>
      </c>
      <c r="AG492" s="2" t="str">
        <f t="shared" si="225"/>
        <v/>
      </c>
      <c r="AH492" s="2" t="str">
        <f t="shared" si="226"/>
        <v/>
      </c>
      <c r="AI492" s="2" t="str">
        <f t="shared" si="227"/>
        <v/>
      </c>
      <c r="AJ492" s="2" t="str">
        <f t="shared" si="228"/>
        <v/>
      </c>
      <c r="AK492" s="2">
        <v>1</v>
      </c>
      <c r="AL492" s="260">
        <f t="shared" ca="1" si="236"/>
        <v>0</v>
      </c>
      <c r="AM492" s="260">
        <f t="shared" ca="1" si="237"/>
        <v>0</v>
      </c>
      <c r="AN492" s="260" t="str">
        <f ca="1">IF(AND(Tabla7[[#This Row],[UltLec]]&lt;&gt;0,Tabla7[[#This Row],[PenLect]]&lt;&gt;0),(AM492-AL492)*Tabla7[[#This Row],[RT]],"N/A")</f>
        <v>N/A</v>
      </c>
      <c r="AO492" s="380" t="s">
        <v>813</v>
      </c>
      <c r="AP492" s="380" t="s">
        <v>1075</v>
      </c>
      <c r="AQ492" s="380" t="s">
        <v>1074</v>
      </c>
      <c r="AR492" s="2">
        <f t="shared" si="238"/>
        <v>0</v>
      </c>
      <c r="AT492" s="2" t="e">
        <f t="shared" ca="1" si="231"/>
        <v>#VALUE!</v>
      </c>
    </row>
    <row r="493" spans="1:46" ht="18" customHeight="1" x14ac:dyDescent="0.25">
      <c r="A493" s="291" t="s">
        <v>19</v>
      </c>
      <c r="B493" s="54"/>
      <c r="C493" s="239">
        <v>181183</v>
      </c>
      <c r="D493" s="54" t="s">
        <v>267</v>
      </c>
      <c r="E493" s="232">
        <v>39446</v>
      </c>
      <c r="F493" s="2" t="s">
        <v>245</v>
      </c>
      <c r="G493" s="2" t="s">
        <v>730</v>
      </c>
      <c r="H493" s="2" t="s">
        <v>277</v>
      </c>
      <c r="I493" s="2"/>
      <c r="J493" s="260">
        <v>325481</v>
      </c>
      <c r="K493" s="260">
        <v>326356</v>
      </c>
      <c r="L493" s="260"/>
      <c r="O493" s="260"/>
      <c r="P493" s="260"/>
      <c r="Q493" s="260"/>
      <c r="R493" s="260"/>
      <c r="S493" s="260"/>
      <c r="U493" s="260"/>
      <c r="V493" s="260"/>
      <c r="W493" s="2"/>
      <c r="X493" s="2"/>
      <c r="Y493" s="2">
        <f t="shared" si="232"/>
        <v>875</v>
      </c>
      <c r="Z493" s="2" t="str">
        <f t="shared" si="233"/>
        <v/>
      </c>
      <c r="AA493" s="2" t="str">
        <f t="shared" si="239"/>
        <v/>
      </c>
      <c r="AB493" s="2" t="str">
        <f t="shared" si="240"/>
        <v/>
      </c>
      <c r="AC493" s="2" t="str">
        <f t="shared" si="221"/>
        <v/>
      </c>
      <c r="AD493" s="2" t="str">
        <f t="shared" si="222"/>
        <v/>
      </c>
      <c r="AE493" s="2" t="str">
        <f t="shared" si="223"/>
        <v/>
      </c>
      <c r="AF493" s="2" t="str">
        <f t="shared" si="224"/>
        <v/>
      </c>
      <c r="AG493" s="2" t="str">
        <f t="shared" si="225"/>
        <v/>
      </c>
      <c r="AH493" s="2" t="str">
        <f t="shared" si="226"/>
        <v/>
      </c>
      <c r="AI493" s="2" t="str">
        <f t="shared" si="227"/>
        <v/>
      </c>
      <c r="AJ493" s="2" t="str">
        <f t="shared" si="228"/>
        <v/>
      </c>
      <c r="AK493" s="2">
        <v>1</v>
      </c>
      <c r="AL493" s="260">
        <f t="shared" ca="1" si="236"/>
        <v>0</v>
      </c>
      <c r="AM493" s="260">
        <f t="shared" ca="1" si="237"/>
        <v>0</v>
      </c>
      <c r="AN493" s="260" t="str">
        <f ca="1">IF(AND(Tabla7[[#This Row],[UltLec]]&lt;&gt;0,Tabla7[[#This Row],[PenLect]]&lt;&gt;0),(AM493-AL493)*Tabla7[[#This Row],[RT]],"N/A")</f>
        <v>N/A</v>
      </c>
      <c r="AO493" s="380" t="s">
        <v>813</v>
      </c>
      <c r="AP493" s="380" t="s">
        <v>1075</v>
      </c>
      <c r="AQ493" s="380" t="s">
        <v>1074</v>
      </c>
      <c r="AR493" s="2">
        <f t="shared" si="238"/>
        <v>0</v>
      </c>
      <c r="AT493" s="2" t="e">
        <f t="shared" ca="1" si="231"/>
        <v>#VALUE!</v>
      </c>
    </row>
    <row r="494" spans="1:46" ht="18" customHeight="1" x14ac:dyDescent="0.25">
      <c r="A494" s="407" t="s">
        <v>19</v>
      </c>
      <c r="B494" s="54"/>
      <c r="C494" s="420">
        <v>181237</v>
      </c>
      <c r="D494" s="374" t="s">
        <v>267</v>
      </c>
      <c r="E494" s="375">
        <v>39447</v>
      </c>
      <c r="F494" s="2" t="s">
        <v>245</v>
      </c>
      <c r="G494" s="2" t="s">
        <v>731</v>
      </c>
      <c r="H494" s="2" t="s">
        <v>278</v>
      </c>
      <c r="I494" s="2"/>
      <c r="J494" s="260">
        <v>293306</v>
      </c>
      <c r="K494" s="260">
        <v>294593</v>
      </c>
      <c r="L494" s="260"/>
      <c r="O494" s="260"/>
      <c r="P494" s="260"/>
      <c r="Q494" s="260"/>
      <c r="R494" s="260"/>
      <c r="S494" s="260"/>
      <c r="U494" s="260"/>
      <c r="V494" s="260"/>
      <c r="W494" s="2"/>
      <c r="X494" s="2"/>
      <c r="Y494" s="2">
        <f t="shared" si="232"/>
        <v>1287</v>
      </c>
      <c r="Z494" s="2" t="str">
        <f t="shared" si="233"/>
        <v/>
      </c>
      <c r="AA494" s="2" t="str">
        <f t="shared" si="239"/>
        <v/>
      </c>
      <c r="AB494" s="2" t="str">
        <f t="shared" si="240"/>
        <v/>
      </c>
      <c r="AC494" s="2" t="str">
        <f t="shared" si="221"/>
        <v/>
      </c>
      <c r="AD494" s="2" t="str">
        <f t="shared" si="222"/>
        <v/>
      </c>
      <c r="AE494" s="2" t="str">
        <f t="shared" si="223"/>
        <v/>
      </c>
      <c r="AF494" s="2" t="str">
        <f t="shared" si="224"/>
        <v/>
      </c>
      <c r="AG494" s="2" t="str">
        <f t="shared" si="225"/>
        <v/>
      </c>
      <c r="AH494" s="2" t="str">
        <f t="shared" si="226"/>
        <v/>
      </c>
      <c r="AI494" s="2" t="str">
        <f t="shared" si="227"/>
        <v/>
      </c>
      <c r="AJ494" s="2" t="str">
        <f t="shared" si="228"/>
        <v/>
      </c>
      <c r="AK494" s="2">
        <v>1</v>
      </c>
      <c r="AL494" s="260">
        <f t="shared" ca="1" si="236"/>
        <v>0</v>
      </c>
      <c r="AM494" s="260">
        <f t="shared" ca="1" si="237"/>
        <v>0</v>
      </c>
      <c r="AN494" s="260" t="str">
        <f ca="1">IF(AND(Tabla7[[#This Row],[UltLec]]&lt;&gt;0,Tabla7[[#This Row],[PenLect]]&lt;&gt;0),(AM494-AL494)*Tabla7[[#This Row],[RT]],"N/A")</f>
        <v>N/A</v>
      </c>
      <c r="AO494" s="380" t="s">
        <v>813</v>
      </c>
      <c r="AP494" s="380" t="s">
        <v>1075</v>
      </c>
      <c r="AQ494" s="380" t="s">
        <v>1074</v>
      </c>
      <c r="AR494" s="2">
        <f t="shared" si="238"/>
        <v>0</v>
      </c>
      <c r="AT494" s="2" t="e">
        <f t="shared" ca="1" si="231"/>
        <v>#VALUE!</v>
      </c>
    </row>
    <row r="495" spans="1:46" ht="18" customHeight="1" x14ac:dyDescent="0.25">
      <c r="A495" s="405" t="s">
        <v>19</v>
      </c>
      <c r="B495" s="54"/>
      <c r="C495" s="239">
        <v>181317</v>
      </c>
      <c r="D495" s="54" t="s">
        <v>267</v>
      </c>
      <c r="E495" s="232">
        <v>39296</v>
      </c>
      <c r="F495" s="2" t="s">
        <v>245</v>
      </c>
      <c r="G495" s="2" t="s">
        <v>737</v>
      </c>
      <c r="H495" s="2" t="s">
        <v>271</v>
      </c>
      <c r="I495" s="2"/>
      <c r="J495" s="260">
        <v>240096</v>
      </c>
      <c r="K495" s="260">
        <v>242489</v>
      </c>
      <c r="L495" s="260"/>
      <c r="O495" s="260"/>
      <c r="P495" s="260"/>
      <c r="Q495" s="260"/>
      <c r="R495" s="260"/>
      <c r="S495" s="260"/>
      <c r="U495" s="260"/>
      <c r="V495" s="260"/>
      <c r="W495" s="2"/>
      <c r="X495" s="2"/>
      <c r="Y495" s="2">
        <f t="shared" si="232"/>
        <v>2393</v>
      </c>
      <c r="Z495" s="2" t="str">
        <f t="shared" si="233"/>
        <v/>
      </c>
      <c r="AA495" s="2" t="str">
        <f t="shared" si="239"/>
        <v/>
      </c>
      <c r="AB495" s="2" t="str">
        <f t="shared" si="240"/>
        <v/>
      </c>
      <c r="AC495" s="2" t="str">
        <f t="shared" si="221"/>
        <v/>
      </c>
      <c r="AD495" s="2" t="str">
        <f t="shared" si="222"/>
        <v/>
      </c>
      <c r="AE495" s="2" t="str">
        <f t="shared" si="223"/>
        <v/>
      </c>
      <c r="AF495" s="2" t="str">
        <f t="shared" si="224"/>
        <v/>
      </c>
      <c r="AG495" s="2" t="str">
        <f t="shared" si="225"/>
        <v/>
      </c>
      <c r="AH495" s="2" t="str">
        <f t="shared" si="226"/>
        <v/>
      </c>
      <c r="AI495" s="2" t="str">
        <f t="shared" si="227"/>
        <v/>
      </c>
      <c r="AJ495" s="2" t="str">
        <f t="shared" si="228"/>
        <v/>
      </c>
      <c r="AK495" s="2">
        <v>1</v>
      </c>
      <c r="AL495" s="260">
        <f t="shared" ca="1" si="236"/>
        <v>0</v>
      </c>
      <c r="AM495" s="260">
        <f t="shared" ca="1" si="237"/>
        <v>0</v>
      </c>
      <c r="AN495" s="260" t="str">
        <f ca="1">IF(AND(Tabla7[[#This Row],[UltLec]]&lt;&gt;0,Tabla7[[#This Row],[PenLect]]&lt;&gt;0),(AM495-AL495)*Tabla7[[#This Row],[RT]],"N/A")</f>
        <v>N/A</v>
      </c>
      <c r="AO495" s="380" t="s">
        <v>813</v>
      </c>
      <c r="AP495" s="380" t="s">
        <v>1075</v>
      </c>
      <c r="AQ495" s="380" t="s">
        <v>1074</v>
      </c>
      <c r="AR495" s="2">
        <f t="shared" si="238"/>
        <v>0</v>
      </c>
      <c r="AT495" s="2" t="e">
        <f t="shared" ca="1" si="231"/>
        <v>#VALUE!</v>
      </c>
    </row>
    <row r="496" spans="1:46" ht="18" customHeight="1" x14ac:dyDescent="0.25">
      <c r="A496" s="405" t="s">
        <v>19</v>
      </c>
      <c r="B496" s="54"/>
      <c r="C496" s="239">
        <v>181320</v>
      </c>
      <c r="D496" s="54" t="s">
        <v>267</v>
      </c>
      <c r="E496" s="232">
        <v>39297</v>
      </c>
      <c r="F496" s="2" t="s">
        <v>245</v>
      </c>
      <c r="G496" s="2" t="s">
        <v>738</v>
      </c>
      <c r="H496" s="2" t="s">
        <v>272</v>
      </c>
      <c r="I496" s="2"/>
      <c r="J496" s="260">
        <v>273795</v>
      </c>
      <c r="K496" s="260">
        <v>278795</v>
      </c>
      <c r="L496" s="260"/>
      <c r="O496" s="260"/>
      <c r="P496" s="260"/>
      <c r="Q496" s="260"/>
      <c r="R496" s="260"/>
      <c r="S496" s="260"/>
      <c r="U496" s="260"/>
      <c r="V496" s="260"/>
      <c r="W496" s="2"/>
      <c r="X496" s="2"/>
      <c r="Y496" s="2">
        <f t="shared" si="232"/>
        <v>5000</v>
      </c>
      <c r="Z496" s="2" t="str">
        <f t="shared" si="233"/>
        <v/>
      </c>
      <c r="AA496" s="2" t="str">
        <f t="shared" si="239"/>
        <v/>
      </c>
      <c r="AB496" s="2" t="str">
        <f t="shared" si="240"/>
        <v/>
      </c>
      <c r="AC496" s="2" t="str">
        <f t="shared" si="221"/>
        <v/>
      </c>
      <c r="AD496" s="2" t="str">
        <f t="shared" si="222"/>
        <v/>
      </c>
      <c r="AE496" s="2" t="str">
        <f t="shared" si="223"/>
        <v/>
      </c>
      <c r="AF496" s="2" t="str">
        <f t="shared" si="224"/>
        <v/>
      </c>
      <c r="AG496" s="2" t="str">
        <f t="shared" si="225"/>
        <v/>
      </c>
      <c r="AH496" s="2" t="str">
        <f t="shared" si="226"/>
        <v/>
      </c>
      <c r="AI496" s="2" t="str">
        <f t="shared" si="227"/>
        <v/>
      </c>
      <c r="AJ496" s="2" t="str">
        <f t="shared" si="228"/>
        <v/>
      </c>
      <c r="AK496" s="2">
        <v>1</v>
      </c>
      <c r="AL496" s="260">
        <f t="shared" ca="1" si="236"/>
        <v>0</v>
      </c>
      <c r="AM496" s="260">
        <f t="shared" ca="1" si="237"/>
        <v>0</v>
      </c>
      <c r="AN496" s="260" t="str">
        <f ca="1">IF(AND(Tabla7[[#This Row],[UltLec]]&lt;&gt;0,Tabla7[[#This Row],[PenLect]]&lt;&gt;0),(AM496-AL496)*Tabla7[[#This Row],[RT]],"N/A")</f>
        <v>N/A</v>
      </c>
      <c r="AO496" s="380" t="s">
        <v>813</v>
      </c>
      <c r="AP496" s="380" t="s">
        <v>1075</v>
      </c>
      <c r="AQ496" s="380" t="s">
        <v>1074</v>
      </c>
      <c r="AR496" s="2">
        <f t="shared" si="238"/>
        <v>0</v>
      </c>
      <c r="AT496" s="2" t="e">
        <f t="shared" ca="1" si="231"/>
        <v>#VALUE!</v>
      </c>
    </row>
    <row r="497" spans="1:46" ht="18" customHeight="1" x14ac:dyDescent="0.25">
      <c r="A497" s="405" t="s">
        <v>19</v>
      </c>
      <c r="B497" s="54"/>
      <c r="C497" s="239">
        <v>181321</v>
      </c>
      <c r="D497" s="54" t="s">
        <v>267</v>
      </c>
      <c r="E497" s="232">
        <v>39448</v>
      </c>
      <c r="F497" s="2" t="s">
        <v>245</v>
      </c>
      <c r="G497" s="2" t="s">
        <v>732</v>
      </c>
      <c r="H497" s="2" t="s">
        <v>279</v>
      </c>
      <c r="I497" s="2"/>
      <c r="J497" s="260">
        <v>387475</v>
      </c>
      <c r="K497" s="260">
        <v>390057</v>
      </c>
      <c r="L497" s="260"/>
      <c r="O497" s="260"/>
      <c r="P497" s="260"/>
      <c r="Q497" s="260"/>
      <c r="R497" s="260"/>
      <c r="S497" s="260"/>
      <c r="U497" s="260"/>
      <c r="V497" s="260"/>
      <c r="W497" s="2"/>
      <c r="X497" s="2"/>
      <c r="Y497" s="2">
        <f t="shared" si="232"/>
        <v>2582</v>
      </c>
      <c r="Z497" s="2" t="str">
        <f t="shared" si="233"/>
        <v/>
      </c>
      <c r="AA497" s="2" t="str">
        <f t="shared" si="239"/>
        <v/>
      </c>
      <c r="AB497" s="2" t="str">
        <f t="shared" si="240"/>
        <v/>
      </c>
      <c r="AC497" s="2" t="str">
        <f t="shared" si="221"/>
        <v/>
      </c>
      <c r="AD497" s="2" t="str">
        <f t="shared" si="222"/>
        <v/>
      </c>
      <c r="AE497" s="2" t="str">
        <f t="shared" si="223"/>
        <v/>
      </c>
      <c r="AF497" s="2" t="str">
        <f t="shared" si="224"/>
        <v/>
      </c>
      <c r="AG497" s="2" t="str">
        <f t="shared" si="225"/>
        <v/>
      </c>
      <c r="AH497" s="2" t="str">
        <f t="shared" si="226"/>
        <v/>
      </c>
      <c r="AI497" s="2" t="str">
        <f t="shared" si="227"/>
        <v/>
      </c>
      <c r="AJ497" s="2" t="str">
        <f t="shared" si="228"/>
        <v/>
      </c>
      <c r="AK497" s="2">
        <v>1</v>
      </c>
      <c r="AL497" s="260">
        <f t="shared" ca="1" si="236"/>
        <v>0</v>
      </c>
      <c r="AM497" s="260">
        <f t="shared" ca="1" si="237"/>
        <v>0</v>
      </c>
      <c r="AN497" s="260" t="str">
        <f ca="1">IF(AND(Tabla7[[#This Row],[UltLec]]&lt;&gt;0,Tabla7[[#This Row],[PenLect]]&lt;&gt;0),(AM497-AL497)*Tabla7[[#This Row],[RT]],"N/A")</f>
        <v>N/A</v>
      </c>
      <c r="AO497" s="380" t="s">
        <v>813</v>
      </c>
      <c r="AP497" s="380" t="s">
        <v>1075</v>
      </c>
      <c r="AQ497" s="380" t="s">
        <v>1074</v>
      </c>
      <c r="AR497" s="2">
        <f t="shared" si="238"/>
        <v>0</v>
      </c>
      <c r="AT497" s="2" t="e">
        <f t="shared" ca="1" si="231"/>
        <v>#VALUE!</v>
      </c>
    </row>
    <row r="498" spans="1:46" ht="18" customHeight="1" x14ac:dyDescent="0.25">
      <c r="A498" s="405" t="s">
        <v>19</v>
      </c>
      <c r="B498" s="54"/>
      <c r="C498" s="239">
        <v>181345</v>
      </c>
      <c r="D498" s="54" t="s">
        <v>267</v>
      </c>
      <c r="E498" s="232">
        <v>39294</v>
      </c>
      <c r="F498" s="2" t="s">
        <v>245</v>
      </c>
      <c r="G498" s="2" t="s">
        <v>736</v>
      </c>
      <c r="H498" s="2" t="s">
        <v>270</v>
      </c>
      <c r="I498" s="2"/>
      <c r="J498" s="260">
        <v>288694</v>
      </c>
      <c r="K498" s="260">
        <v>290455</v>
      </c>
      <c r="L498" s="260"/>
      <c r="O498" s="260"/>
      <c r="P498" s="260"/>
      <c r="Q498" s="260"/>
      <c r="R498" s="260"/>
      <c r="S498" s="260"/>
      <c r="U498" s="260"/>
      <c r="V498" s="260"/>
      <c r="W498" s="2"/>
      <c r="X498" s="2"/>
      <c r="Y498" s="2">
        <f t="shared" si="232"/>
        <v>1761</v>
      </c>
      <c r="Z498" s="2" t="str">
        <f t="shared" si="233"/>
        <v/>
      </c>
      <c r="AA498" s="2" t="str">
        <f t="shared" si="239"/>
        <v/>
      </c>
      <c r="AB498" s="2" t="str">
        <f t="shared" si="240"/>
        <v/>
      </c>
      <c r="AC498" s="2" t="str">
        <f t="shared" si="221"/>
        <v/>
      </c>
      <c r="AD498" s="2" t="str">
        <f t="shared" si="222"/>
        <v/>
      </c>
      <c r="AE498" s="2" t="str">
        <f t="shared" si="223"/>
        <v/>
      </c>
      <c r="AF498" s="2" t="str">
        <f t="shared" si="224"/>
        <v/>
      </c>
      <c r="AG498" s="2" t="str">
        <f t="shared" si="225"/>
        <v/>
      </c>
      <c r="AH498" s="2" t="str">
        <f t="shared" si="226"/>
        <v/>
      </c>
      <c r="AI498" s="2" t="str">
        <f t="shared" si="227"/>
        <v/>
      </c>
      <c r="AJ498" s="2" t="str">
        <f t="shared" si="228"/>
        <v/>
      </c>
      <c r="AK498" s="2">
        <v>1</v>
      </c>
      <c r="AL498" s="260">
        <f t="shared" ca="1" si="236"/>
        <v>0</v>
      </c>
      <c r="AM498" s="260">
        <f t="shared" ca="1" si="237"/>
        <v>0</v>
      </c>
      <c r="AN498" s="260" t="str">
        <f ca="1">IF(AND(Tabla7[[#This Row],[UltLec]]&lt;&gt;0,Tabla7[[#This Row],[PenLect]]&lt;&gt;0),(AM498-AL498)*Tabla7[[#This Row],[RT]],"N/A")</f>
        <v>N/A</v>
      </c>
      <c r="AO498" s="380" t="s">
        <v>813</v>
      </c>
      <c r="AP498" s="380" t="s">
        <v>1075</v>
      </c>
      <c r="AQ498" s="380" t="s">
        <v>1074</v>
      </c>
      <c r="AR498" s="2">
        <f t="shared" si="238"/>
        <v>0</v>
      </c>
      <c r="AT498" s="2" t="e">
        <f t="shared" ca="1" si="231"/>
        <v>#VALUE!</v>
      </c>
    </row>
    <row r="499" spans="1:46" ht="18" customHeight="1" x14ac:dyDescent="0.25">
      <c r="A499" s="405" t="s">
        <v>19</v>
      </c>
      <c r="B499" s="54"/>
      <c r="C499" s="239">
        <v>181795</v>
      </c>
      <c r="D499" s="54" t="s">
        <v>267</v>
      </c>
      <c r="E499" s="232">
        <v>39298</v>
      </c>
      <c r="F499" s="2" t="s">
        <v>245</v>
      </c>
      <c r="G499" s="2" t="s">
        <v>739</v>
      </c>
      <c r="H499" s="2" t="s">
        <v>273</v>
      </c>
      <c r="I499" s="2"/>
      <c r="J499" s="260">
        <v>265871</v>
      </c>
      <c r="K499" s="260">
        <v>268083</v>
      </c>
      <c r="L499" s="260"/>
      <c r="O499" s="260"/>
      <c r="P499" s="260"/>
      <c r="Q499" s="260"/>
      <c r="R499" s="260"/>
      <c r="S499" s="260"/>
      <c r="U499" s="260"/>
      <c r="V499" s="260"/>
      <c r="W499" s="2"/>
      <c r="X499" s="2"/>
      <c r="Y499" s="2">
        <f t="shared" si="232"/>
        <v>2212</v>
      </c>
      <c r="Z499" s="2" t="str">
        <f t="shared" si="233"/>
        <v/>
      </c>
      <c r="AA499" s="2" t="str">
        <f t="shared" si="239"/>
        <v/>
      </c>
      <c r="AB499" s="2" t="str">
        <f t="shared" si="240"/>
        <v/>
      </c>
      <c r="AC499" s="2" t="str">
        <f t="shared" ref="AC499:AC548" si="241">IF(OR(ISBLANK(O499),ISBLANK(N499)),"",IF(AND(O499&gt;=N499,O499-N499&lt;=O499),(O499-N499)*$AK499,"!!!!"))</f>
        <v/>
      </c>
      <c r="AD499" s="2" t="str">
        <f t="shared" ref="AD499:AD548" si="242">IF(OR(ISBLANK(P499),ISBLANK(O499)),"",IF(AND(P499&gt;=O499,P499-O499&lt;=P499),(P499-O499)*$AK499,"!!!!"))</f>
        <v/>
      </c>
      <c r="AE499" s="2" t="str">
        <f t="shared" ref="AE499:AE548" si="243">IF(OR(ISBLANK(Q499),ISBLANK(P499)),"",IF(AND(Q499&gt;=P499,Q499-P499&lt;=Q499),(Q499-P499)*$AK499,"!!!!"))</f>
        <v/>
      </c>
      <c r="AF499" s="2" t="str">
        <f t="shared" ref="AF499:AF548" si="244">IF(OR(ISBLANK(R499),ISBLANK(Q499)),"",IF(AND(R499&gt;=Q499,R499-Q499&lt;=R499),(R499-Q499)*$AK499,"!!!!"))</f>
        <v/>
      </c>
      <c r="AG499" s="2" t="str">
        <f t="shared" ref="AG499:AG548" si="245">IF(OR(ISBLANK(S499),ISBLANK(R499)),"",IF(AND(S499&gt;=R499,S499-R499&lt;=S499),(S499-R499)*$AK499,"!!!!"))</f>
        <v/>
      </c>
      <c r="AH499" s="2" t="str">
        <f t="shared" ref="AH499:AH548" si="246">IF(OR(ISBLANK(T499),ISBLANK(S499)),"",IF(AND(T499&gt;=S499,T499-S499&lt;=T499),(T499-S499)*$AK499,"!!!!"))</f>
        <v/>
      </c>
      <c r="AI499" s="2" t="str">
        <f t="shared" ref="AI499:AI548" si="247">IF(OR(ISBLANK(U499),ISBLANK(T499)),"",IF(AND(U499&gt;=T499,U499-T499&lt;=U499),(U499-T499)*$AK499,"!!!!"))</f>
        <v/>
      </c>
      <c r="AJ499" s="2" t="str">
        <f t="shared" ref="AJ499:AJ548" si="248">IF(OR(ISBLANK(V499),ISBLANK(U499)),"",IF(AND(V499&gt;=U499,V499-U499&lt;=V499),(V499-U499)*$AK499,"!!!!"))</f>
        <v/>
      </c>
      <c r="AK499" s="2">
        <v>1</v>
      </c>
      <c r="AL499" s="260">
        <f t="shared" ca="1" si="236"/>
        <v>0</v>
      </c>
      <c r="AM499" s="260">
        <f t="shared" ca="1" si="237"/>
        <v>0</v>
      </c>
      <c r="AN499" s="260" t="str">
        <f ca="1">IF(AND(Tabla7[[#This Row],[UltLec]]&lt;&gt;0,Tabla7[[#This Row],[PenLect]]&lt;&gt;0),(AM499-AL499)*Tabla7[[#This Row],[RT]],"N/A")</f>
        <v>N/A</v>
      </c>
      <c r="AO499" s="380" t="s">
        <v>813</v>
      </c>
      <c r="AP499" s="380" t="s">
        <v>1075</v>
      </c>
      <c r="AQ499" s="380" t="s">
        <v>1074</v>
      </c>
      <c r="AR499" s="2">
        <f t="shared" si="238"/>
        <v>0</v>
      </c>
      <c r="AT499" s="2" t="e">
        <f t="shared" ca="1" si="231"/>
        <v>#VALUE!</v>
      </c>
    </row>
    <row r="500" spans="1:46" ht="18" customHeight="1" x14ac:dyDescent="0.25">
      <c r="A500" s="405" t="s">
        <v>19</v>
      </c>
      <c r="B500" s="54"/>
      <c r="C500" s="239">
        <v>349452</v>
      </c>
      <c r="D500" s="54" t="s">
        <v>267</v>
      </c>
      <c r="E500" s="232">
        <v>39449</v>
      </c>
      <c r="F500" s="2" t="s">
        <v>245</v>
      </c>
      <c r="G500" s="2" t="s">
        <v>740</v>
      </c>
      <c r="H500" s="2" t="s">
        <v>274</v>
      </c>
      <c r="I500" s="2"/>
      <c r="J500" s="260">
        <v>108484</v>
      </c>
      <c r="K500" s="260">
        <v>110666</v>
      </c>
      <c r="L500" s="260"/>
      <c r="O500" s="260"/>
      <c r="P500" s="260"/>
      <c r="Q500" s="260"/>
      <c r="R500" s="260"/>
      <c r="S500" s="260"/>
      <c r="U500" s="260"/>
      <c r="V500" s="260"/>
      <c r="W500" s="2"/>
      <c r="X500" s="2"/>
      <c r="Y500" s="2">
        <f t="shared" si="232"/>
        <v>2182</v>
      </c>
      <c r="Z500" s="2" t="str">
        <f t="shared" si="233"/>
        <v/>
      </c>
      <c r="AA500" s="2" t="str">
        <f t="shared" si="239"/>
        <v/>
      </c>
      <c r="AB500" s="2" t="str">
        <f t="shared" si="240"/>
        <v/>
      </c>
      <c r="AC500" s="2" t="str">
        <f t="shared" si="241"/>
        <v/>
      </c>
      <c r="AD500" s="2" t="str">
        <f t="shared" si="242"/>
        <v/>
      </c>
      <c r="AE500" s="2" t="str">
        <f t="shared" si="243"/>
        <v/>
      </c>
      <c r="AF500" s="2" t="str">
        <f t="shared" si="244"/>
        <v/>
      </c>
      <c r="AG500" s="2" t="str">
        <f t="shared" si="245"/>
        <v/>
      </c>
      <c r="AH500" s="2" t="str">
        <f t="shared" si="246"/>
        <v/>
      </c>
      <c r="AI500" s="2" t="str">
        <f t="shared" si="247"/>
        <v/>
      </c>
      <c r="AJ500" s="2" t="str">
        <f t="shared" si="248"/>
        <v/>
      </c>
      <c r="AK500" s="2">
        <v>1</v>
      </c>
      <c r="AL500" s="260">
        <f t="shared" ca="1" si="236"/>
        <v>0</v>
      </c>
      <c r="AM500" s="260">
        <f t="shared" ca="1" si="237"/>
        <v>0</v>
      </c>
      <c r="AN500" s="260" t="str">
        <f ca="1">IF(AND(Tabla7[[#This Row],[UltLec]]&lt;&gt;0,Tabla7[[#This Row],[PenLect]]&lt;&gt;0),(AM500-AL500)*Tabla7[[#This Row],[RT]],"N/A")</f>
        <v>N/A</v>
      </c>
      <c r="AO500" s="380" t="s">
        <v>813</v>
      </c>
      <c r="AP500" s="380" t="s">
        <v>1075</v>
      </c>
      <c r="AQ500" s="380" t="s">
        <v>1074</v>
      </c>
      <c r="AR500" s="2">
        <f t="shared" si="238"/>
        <v>0</v>
      </c>
      <c r="AT500" s="2" t="e">
        <f t="shared" ca="1" si="231"/>
        <v>#VALUE!</v>
      </c>
    </row>
    <row r="501" spans="1:46" ht="18" customHeight="1" x14ac:dyDescent="0.25">
      <c r="A501" s="405" t="s">
        <v>19</v>
      </c>
      <c r="B501" s="54"/>
      <c r="C501" s="239">
        <v>357873</v>
      </c>
      <c r="D501" s="54" t="s">
        <v>267</v>
      </c>
      <c r="E501" s="232">
        <v>39450</v>
      </c>
      <c r="F501" s="2" t="s">
        <v>245</v>
      </c>
      <c r="G501" s="2" t="s">
        <v>741</v>
      </c>
      <c r="H501" s="2" t="s">
        <v>275</v>
      </c>
      <c r="I501" s="2"/>
      <c r="J501" s="260">
        <v>109704</v>
      </c>
      <c r="K501" s="260">
        <v>112806</v>
      </c>
      <c r="L501" s="260"/>
      <c r="O501" s="260"/>
      <c r="P501" s="260"/>
      <c r="Q501" s="260"/>
      <c r="R501" s="260"/>
      <c r="S501" s="260"/>
      <c r="U501" s="260"/>
      <c r="V501" s="260"/>
      <c r="W501" s="2"/>
      <c r="X501" s="2"/>
      <c r="Y501" s="2">
        <f t="shared" si="232"/>
        <v>3102</v>
      </c>
      <c r="Z501" s="2" t="str">
        <f t="shared" si="233"/>
        <v/>
      </c>
      <c r="AA501" s="2" t="str">
        <f t="shared" si="239"/>
        <v/>
      </c>
      <c r="AB501" s="2" t="str">
        <f t="shared" si="240"/>
        <v/>
      </c>
      <c r="AC501" s="2" t="str">
        <f t="shared" si="241"/>
        <v/>
      </c>
      <c r="AD501" s="2" t="str">
        <f t="shared" si="242"/>
        <v/>
      </c>
      <c r="AE501" s="2" t="str">
        <f t="shared" si="243"/>
        <v/>
      </c>
      <c r="AF501" s="2" t="str">
        <f t="shared" si="244"/>
        <v/>
      </c>
      <c r="AG501" s="2" t="str">
        <f t="shared" si="245"/>
        <v/>
      </c>
      <c r="AH501" s="2" t="str">
        <f t="shared" si="246"/>
        <v/>
      </c>
      <c r="AI501" s="2" t="str">
        <f t="shared" si="247"/>
        <v/>
      </c>
      <c r="AJ501" s="2" t="str">
        <f t="shared" si="248"/>
        <v/>
      </c>
      <c r="AK501" s="2">
        <v>1</v>
      </c>
      <c r="AL501" s="260">
        <f t="shared" ca="1" si="236"/>
        <v>0</v>
      </c>
      <c r="AM501" s="260">
        <f t="shared" ca="1" si="237"/>
        <v>0</v>
      </c>
      <c r="AN501" s="260" t="str">
        <f ca="1">IF(AND(Tabla7[[#This Row],[UltLec]]&lt;&gt;0,Tabla7[[#This Row],[PenLect]]&lt;&gt;0),(AM501-AL501)*Tabla7[[#This Row],[RT]],"N/A")</f>
        <v>N/A</v>
      </c>
      <c r="AO501" s="380" t="s">
        <v>813</v>
      </c>
      <c r="AP501" s="380" t="s">
        <v>1075</v>
      </c>
      <c r="AQ501" s="380" t="s">
        <v>1074</v>
      </c>
      <c r="AR501" s="2">
        <f t="shared" si="238"/>
        <v>0</v>
      </c>
      <c r="AT501" s="2" t="e">
        <f t="shared" ca="1" si="231"/>
        <v>#VALUE!</v>
      </c>
    </row>
    <row r="502" spans="1:46" ht="18" customHeight="1" x14ac:dyDescent="0.25">
      <c r="A502" s="405" t="s">
        <v>19</v>
      </c>
      <c r="B502" s="54"/>
      <c r="C502" s="239">
        <v>357875</v>
      </c>
      <c r="D502" s="54" t="s">
        <v>267</v>
      </c>
      <c r="E502" s="232">
        <v>39454</v>
      </c>
      <c r="F502" s="2" t="s">
        <v>245</v>
      </c>
      <c r="G502" s="2" t="s">
        <v>733</v>
      </c>
      <c r="H502" s="2" t="s">
        <v>280</v>
      </c>
      <c r="I502" s="2"/>
      <c r="J502" s="260">
        <v>118218</v>
      </c>
      <c r="K502" s="260">
        <v>121357</v>
      </c>
      <c r="L502" s="260"/>
      <c r="O502" s="260"/>
      <c r="P502" s="260"/>
      <c r="Q502" s="260"/>
      <c r="R502" s="260"/>
      <c r="S502" s="260"/>
      <c r="U502" s="260"/>
      <c r="V502" s="260"/>
      <c r="W502" s="2"/>
      <c r="X502" s="2"/>
      <c r="Y502" s="2">
        <f t="shared" si="232"/>
        <v>3139</v>
      </c>
      <c r="Z502" s="2" t="str">
        <f t="shared" si="233"/>
        <v/>
      </c>
      <c r="AA502" s="2" t="str">
        <f t="shared" si="239"/>
        <v/>
      </c>
      <c r="AB502" s="2" t="str">
        <f t="shared" si="240"/>
        <v/>
      </c>
      <c r="AC502" s="2" t="str">
        <f t="shared" si="241"/>
        <v/>
      </c>
      <c r="AD502" s="2" t="str">
        <f t="shared" si="242"/>
        <v/>
      </c>
      <c r="AE502" s="2" t="str">
        <f t="shared" si="243"/>
        <v/>
      </c>
      <c r="AF502" s="2" t="str">
        <f t="shared" si="244"/>
        <v/>
      </c>
      <c r="AG502" s="2" t="str">
        <f t="shared" si="245"/>
        <v/>
      </c>
      <c r="AH502" s="2" t="str">
        <f t="shared" si="246"/>
        <v/>
      </c>
      <c r="AI502" s="2" t="str">
        <f t="shared" si="247"/>
        <v/>
      </c>
      <c r="AJ502" s="2" t="str">
        <f t="shared" si="248"/>
        <v/>
      </c>
      <c r="AK502" s="2">
        <v>1</v>
      </c>
      <c r="AL502" s="260">
        <f t="shared" ca="1" si="236"/>
        <v>0</v>
      </c>
      <c r="AM502" s="260">
        <f t="shared" ca="1" si="237"/>
        <v>0</v>
      </c>
      <c r="AN502" s="260" t="str">
        <f ca="1">IF(AND(Tabla7[[#This Row],[UltLec]]&lt;&gt;0,Tabla7[[#This Row],[PenLect]]&lt;&gt;0),(AM502-AL502)*Tabla7[[#This Row],[RT]],"N/A")</f>
        <v>N/A</v>
      </c>
      <c r="AO502" s="380" t="s">
        <v>813</v>
      </c>
      <c r="AP502" s="380" t="s">
        <v>1075</v>
      </c>
      <c r="AQ502" s="380" t="s">
        <v>1074</v>
      </c>
      <c r="AR502" s="2">
        <f t="shared" si="238"/>
        <v>0</v>
      </c>
      <c r="AT502" s="2" t="e">
        <f t="shared" ca="1" si="231"/>
        <v>#VALUE!</v>
      </c>
    </row>
    <row r="503" spans="1:46" ht="18" customHeight="1" x14ac:dyDescent="0.25">
      <c r="A503" s="405" t="s">
        <v>19</v>
      </c>
      <c r="B503" s="54"/>
      <c r="C503" s="239">
        <v>358168</v>
      </c>
      <c r="D503" s="54" t="s">
        <v>267</v>
      </c>
      <c r="E503" s="232">
        <v>39457</v>
      </c>
      <c r="F503" s="2" t="s">
        <v>245</v>
      </c>
      <c r="G503" s="2" t="s">
        <v>734</v>
      </c>
      <c r="H503" s="2" t="s">
        <v>281</v>
      </c>
      <c r="I503" s="2"/>
      <c r="J503" s="260">
        <v>118036</v>
      </c>
      <c r="K503" s="260">
        <v>120208</v>
      </c>
      <c r="L503" s="260"/>
      <c r="O503" s="260"/>
      <c r="P503" s="260"/>
      <c r="Q503" s="260"/>
      <c r="R503" s="260"/>
      <c r="S503" s="260"/>
      <c r="U503" s="260"/>
      <c r="V503" s="260"/>
      <c r="W503" s="2"/>
      <c r="X503" s="2"/>
      <c r="Y503" s="2">
        <f t="shared" si="232"/>
        <v>2172</v>
      </c>
      <c r="Z503" s="2" t="str">
        <f t="shared" si="233"/>
        <v/>
      </c>
      <c r="AA503" s="2" t="str">
        <f t="shared" si="239"/>
        <v/>
      </c>
      <c r="AB503" s="2" t="str">
        <f t="shared" si="240"/>
        <v/>
      </c>
      <c r="AC503" s="2" t="str">
        <f t="shared" si="241"/>
        <v/>
      </c>
      <c r="AD503" s="2" t="str">
        <f t="shared" si="242"/>
        <v/>
      </c>
      <c r="AE503" s="2" t="str">
        <f t="shared" si="243"/>
        <v/>
      </c>
      <c r="AF503" s="2" t="str">
        <f t="shared" si="244"/>
        <v/>
      </c>
      <c r="AG503" s="2" t="str">
        <f t="shared" si="245"/>
        <v/>
      </c>
      <c r="AH503" s="2" t="str">
        <f t="shared" si="246"/>
        <v/>
      </c>
      <c r="AI503" s="2" t="str">
        <f t="shared" si="247"/>
        <v/>
      </c>
      <c r="AJ503" s="2" t="str">
        <f t="shared" si="248"/>
        <v/>
      </c>
      <c r="AK503" s="2">
        <v>1</v>
      </c>
      <c r="AL503" s="260">
        <f t="shared" ca="1" si="236"/>
        <v>0</v>
      </c>
      <c r="AM503" s="260">
        <f t="shared" ca="1" si="237"/>
        <v>0</v>
      </c>
      <c r="AN503" s="260" t="str">
        <f ca="1">IF(AND(Tabla7[[#This Row],[UltLec]]&lt;&gt;0,Tabla7[[#This Row],[PenLect]]&lt;&gt;0),(AM503-AL503)*Tabla7[[#This Row],[RT]],"N/A")</f>
        <v>N/A</v>
      </c>
      <c r="AO503" s="380" t="s">
        <v>813</v>
      </c>
      <c r="AP503" s="380" t="s">
        <v>1075</v>
      </c>
      <c r="AQ503" s="380" t="s">
        <v>1074</v>
      </c>
      <c r="AR503" s="2">
        <f t="shared" si="238"/>
        <v>0</v>
      </c>
      <c r="AT503" s="2" t="e">
        <f t="shared" ca="1" si="231"/>
        <v>#VALUE!</v>
      </c>
    </row>
    <row r="504" spans="1:46" ht="18" customHeight="1" x14ac:dyDescent="0.25">
      <c r="A504" s="405" t="s">
        <v>19</v>
      </c>
      <c r="B504" s="54"/>
      <c r="C504" s="239">
        <v>359329</v>
      </c>
      <c r="D504" s="54" t="s">
        <v>267</v>
      </c>
      <c r="E504" s="232">
        <v>39458</v>
      </c>
      <c r="F504" s="2" t="s">
        <v>245</v>
      </c>
      <c r="G504" s="2" t="s">
        <v>735</v>
      </c>
      <c r="H504" s="2" t="s">
        <v>282</v>
      </c>
      <c r="I504" s="2"/>
      <c r="J504" s="260">
        <v>153550</v>
      </c>
      <c r="K504" s="260">
        <v>156562</v>
      </c>
      <c r="L504" s="260"/>
      <c r="O504" s="260"/>
      <c r="P504" s="260"/>
      <c r="Q504" s="260"/>
      <c r="R504" s="260"/>
      <c r="S504" s="260"/>
      <c r="U504" s="260"/>
      <c r="V504" s="260"/>
      <c r="W504" s="2"/>
      <c r="X504" s="2"/>
      <c r="Y504" s="2">
        <f t="shared" si="232"/>
        <v>3012</v>
      </c>
      <c r="Z504" s="2" t="str">
        <f t="shared" si="233"/>
        <v/>
      </c>
      <c r="AA504" s="2" t="str">
        <f t="shared" si="239"/>
        <v/>
      </c>
      <c r="AB504" s="2" t="str">
        <f t="shared" si="240"/>
        <v/>
      </c>
      <c r="AC504" s="2" t="str">
        <f t="shared" si="241"/>
        <v/>
      </c>
      <c r="AD504" s="2" t="str">
        <f t="shared" si="242"/>
        <v/>
      </c>
      <c r="AE504" s="2" t="str">
        <f t="shared" si="243"/>
        <v/>
      </c>
      <c r="AF504" s="2" t="str">
        <f t="shared" si="244"/>
        <v/>
      </c>
      <c r="AG504" s="2" t="str">
        <f t="shared" si="245"/>
        <v/>
      </c>
      <c r="AH504" s="2" t="str">
        <f t="shared" si="246"/>
        <v/>
      </c>
      <c r="AI504" s="2" t="str">
        <f t="shared" si="247"/>
        <v/>
      </c>
      <c r="AJ504" s="2" t="str">
        <f t="shared" si="248"/>
        <v/>
      </c>
      <c r="AK504" s="2">
        <v>1</v>
      </c>
      <c r="AL504" s="260">
        <f t="shared" ca="1" si="236"/>
        <v>0</v>
      </c>
      <c r="AM504" s="260">
        <f t="shared" ca="1" si="237"/>
        <v>0</v>
      </c>
      <c r="AN504" s="260" t="str">
        <f ca="1">IF(AND(Tabla7[[#This Row],[UltLec]]&lt;&gt;0,Tabla7[[#This Row],[PenLect]]&lt;&gt;0),(AM504-AL504)*Tabla7[[#This Row],[RT]],"N/A")</f>
        <v>N/A</v>
      </c>
      <c r="AO504" s="380" t="s">
        <v>813</v>
      </c>
      <c r="AP504" s="380" t="s">
        <v>1075</v>
      </c>
      <c r="AQ504" s="380" t="s">
        <v>1074</v>
      </c>
      <c r="AR504" s="2">
        <f t="shared" si="238"/>
        <v>0</v>
      </c>
      <c r="AT504" s="2" t="e">
        <f t="shared" ca="1" si="231"/>
        <v>#VALUE!</v>
      </c>
    </row>
    <row r="505" spans="1:46" ht="18" customHeight="1" x14ac:dyDescent="0.25">
      <c r="A505" s="405" t="s">
        <v>19</v>
      </c>
      <c r="B505" s="54">
        <v>601</v>
      </c>
      <c r="C505" s="239" t="s">
        <v>268</v>
      </c>
      <c r="D505" s="54" t="s">
        <v>267</v>
      </c>
      <c r="E505" s="232">
        <v>39267</v>
      </c>
      <c r="F505" s="2" t="s">
        <v>269</v>
      </c>
      <c r="G505" s="2" t="s">
        <v>257</v>
      </c>
      <c r="H505" s="2"/>
      <c r="I505" s="2"/>
      <c r="J505" s="260">
        <v>20339</v>
      </c>
      <c r="K505" s="260">
        <v>20339</v>
      </c>
      <c r="L505" s="260"/>
      <c r="O505" s="260"/>
      <c r="P505" s="260"/>
      <c r="Q505" s="260"/>
      <c r="R505" s="260"/>
      <c r="S505" s="260"/>
      <c r="U505" s="260"/>
      <c r="V505" s="260"/>
      <c r="W505" s="2"/>
      <c r="X505" s="2"/>
      <c r="Y505" s="2">
        <f t="shared" si="232"/>
        <v>0</v>
      </c>
      <c r="Z505" s="2" t="str">
        <f t="shared" si="233"/>
        <v/>
      </c>
      <c r="AA505" s="2" t="str">
        <f t="shared" si="239"/>
        <v/>
      </c>
      <c r="AB505" s="2" t="str">
        <f t="shared" si="240"/>
        <v/>
      </c>
      <c r="AC505" s="2" t="str">
        <f t="shared" si="241"/>
        <v/>
      </c>
      <c r="AD505" s="2" t="str">
        <f t="shared" si="242"/>
        <v/>
      </c>
      <c r="AE505" s="2" t="str">
        <f t="shared" si="243"/>
        <v/>
      </c>
      <c r="AF505" s="2" t="str">
        <f t="shared" si="244"/>
        <v/>
      </c>
      <c r="AG505" s="2" t="str">
        <f t="shared" si="245"/>
        <v/>
      </c>
      <c r="AH505" s="2" t="str">
        <f t="shared" si="246"/>
        <v/>
      </c>
      <c r="AI505" s="2" t="str">
        <f t="shared" si="247"/>
        <v/>
      </c>
      <c r="AJ505" s="2" t="str">
        <f t="shared" si="248"/>
        <v/>
      </c>
      <c r="AK505" s="2">
        <v>1</v>
      </c>
      <c r="AL505" s="260">
        <f t="shared" ca="1" si="236"/>
        <v>0</v>
      </c>
      <c r="AM505" s="260">
        <f t="shared" ca="1" si="237"/>
        <v>0</v>
      </c>
      <c r="AN505" s="260" t="str">
        <f ca="1">IF(AND(Tabla7[[#This Row],[UltLec]]&lt;&gt;0,Tabla7[[#This Row],[PenLect]]&lt;&gt;0),(AM505-AL505)*Tabla7[[#This Row],[RT]],"N/A")</f>
        <v>N/A</v>
      </c>
      <c r="AO505" s="380" t="s">
        <v>813</v>
      </c>
      <c r="AP505" s="380" t="s">
        <v>1075</v>
      </c>
      <c r="AQ505" s="380" t="s">
        <v>1074</v>
      </c>
      <c r="AR505" s="2">
        <f t="shared" si="238"/>
        <v>0</v>
      </c>
      <c r="AT505" s="2" t="e">
        <f t="shared" ca="1" si="231"/>
        <v>#VALUE!</v>
      </c>
    </row>
    <row r="506" spans="1:46" ht="18" hidden="1" customHeight="1" x14ac:dyDescent="0.25">
      <c r="A506" s="406" t="s">
        <v>1080</v>
      </c>
      <c r="B506" s="273">
        <v>1387</v>
      </c>
      <c r="C506" s="367" t="s">
        <v>413</v>
      </c>
      <c r="D506" s="273" t="s">
        <v>283</v>
      </c>
      <c r="E506" s="274">
        <v>39020</v>
      </c>
      <c r="F506" s="275" t="s">
        <v>439</v>
      </c>
      <c r="G506" s="275" t="s">
        <v>903</v>
      </c>
      <c r="H506" s="275" t="s">
        <v>821</v>
      </c>
      <c r="I506" s="275"/>
      <c r="J506" s="277"/>
      <c r="K506" s="277"/>
      <c r="L506" s="277"/>
      <c r="M506" s="277"/>
      <c r="N506" s="277"/>
      <c r="O506" s="277"/>
      <c r="P506" s="277"/>
      <c r="Q506" s="277"/>
      <c r="R506" s="277"/>
      <c r="S506" s="277"/>
      <c r="T506" s="277"/>
      <c r="U506" s="277"/>
      <c r="V506" s="277"/>
      <c r="W506" s="275"/>
      <c r="X506" s="275"/>
      <c r="Y506" s="275" t="str">
        <f t="shared" si="232"/>
        <v/>
      </c>
      <c r="Z506" s="275" t="str">
        <f t="shared" si="233"/>
        <v/>
      </c>
      <c r="AA506" s="275" t="str">
        <f t="shared" si="239"/>
        <v/>
      </c>
      <c r="AB506" s="275" t="str">
        <f t="shared" si="240"/>
        <v/>
      </c>
      <c r="AC506" s="275" t="str">
        <f t="shared" si="241"/>
        <v/>
      </c>
      <c r="AD506" s="275" t="str">
        <f t="shared" si="242"/>
        <v/>
      </c>
      <c r="AE506" s="275" t="str">
        <f t="shared" si="243"/>
        <v/>
      </c>
      <c r="AF506" s="275" t="str">
        <f t="shared" si="244"/>
        <v/>
      </c>
      <c r="AG506" s="275" t="str">
        <f t="shared" si="245"/>
        <v/>
      </c>
      <c r="AH506" s="275" t="str">
        <f t="shared" si="246"/>
        <v/>
      </c>
      <c r="AI506" s="275" t="str">
        <f t="shared" si="247"/>
        <v/>
      </c>
      <c r="AJ506" s="275" t="str">
        <f t="shared" si="248"/>
        <v/>
      </c>
      <c r="AK506" s="275">
        <v>1</v>
      </c>
      <c r="AL506" s="277">
        <f t="shared" ca="1" si="236"/>
        <v>0</v>
      </c>
      <c r="AM506" s="277">
        <f t="shared" ca="1" si="237"/>
        <v>0</v>
      </c>
      <c r="AN506" s="277" t="str">
        <f ca="1">IF(AND(Tabla7[[#This Row],[UltLec]]&lt;&gt;0,Tabla7[[#This Row],[PenLect]]&lt;&gt;0),(AM506-AL506)*Tabla7[[#This Row],[RT]],"N/A")</f>
        <v>N/A</v>
      </c>
      <c r="AO506" s="393" t="s">
        <v>1160</v>
      </c>
      <c r="AP506" s="393" t="s">
        <v>1075</v>
      </c>
      <c r="AQ506" s="393" t="s">
        <v>1077</v>
      </c>
      <c r="AR506" s="275">
        <f t="shared" si="238"/>
        <v>0</v>
      </c>
      <c r="AT506" s="2" t="e">
        <f t="shared" ca="1" si="231"/>
        <v>#VALUE!</v>
      </c>
    </row>
    <row r="507" spans="1:46" ht="18" hidden="1" customHeight="1" x14ac:dyDescent="0.25">
      <c r="A507" s="406" t="s">
        <v>1080</v>
      </c>
      <c r="B507" s="273">
        <v>1387</v>
      </c>
      <c r="C507" s="367" t="s">
        <v>413</v>
      </c>
      <c r="D507" s="273" t="s">
        <v>283</v>
      </c>
      <c r="E507" s="274">
        <v>39370</v>
      </c>
      <c r="F507" s="275" t="s">
        <v>439</v>
      </c>
      <c r="G507" s="275" t="s">
        <v>101</v>
      </c>
      <c r="H507" s="275"/>
      <c r="I507" s="275"/>
      <c r="J507" s="277"/>
      <c r="K507" s="277"/>
      <c r="L507" s="277"/>
      <c r="M507" s="277"/>
      <c r="N507" s="277"/>
      <c r="O507" s="277"/>
      <c r="P507" s="277"/>
      <c r="Q507" s="277"/>
      <c r="R507" s="277"/>
      <c r="S507" s="277"/>
      <c r="T507" s="277"/>
      <c r="U507" s="277"/>
      <c r="V507" s="277"/>
      <c r="W507" s="277"/>
      <c r="X507" s="277"/>
      <c r="Y507" s="277" t="str">
        <f t="shared" si="232"/>
        <v/>
      </c>
      <c r="Z507" s="277" t="str">
        <f t="shared" si="233"/>
        <v/>
      </c>
      <c r="AA507" s="277" t="str">
        <f t="shared" si="239"/>
        <v/>
      </c>
      <c r="AB507" s="277" t="str">
        <f t="shared" si="240"/>
        <v/>
      </c>
      <c r="AC507" s="275" t="str">
        <f t="shared" si="241"/>
        <v/>
      </c>
      <c r="AD507" s="275" t="str">
        <f t="shared" si="242"/>
        <v/>
      </c>
      <c r="AE507" s="275" t="str">
        <f t="shared" si="243"/>
        <v/>
      </c>
      <c r="AF507" s="275" t="str">
        <f t="shared" si="244"/>
        <v/>
      </c>
      <c r="AG507" s="275" t="str">
        <f t="shared" si="245"/>
        <v/>
      </c>
      <c r="AH507" s="275" t="str">
        <f t="shared" si="246"/>
        <v/>
      </c>
      <c r="AI507" s="275" t="str">
        <f t="shared" si="247"/>
        <v/>
      </c>
      <c r="AJ507" s="275" t="str">
        <f t="shared" si="248"/>
        <v/>
      </c>
      <c r="AK507" s="275">
        <v>1</v>
      </c>
      <c r="AL507" s="277">
        <f t="shared" ca="1" si="236"/>
        <v>0</v>
      </c>
      <c r="AM507" s="277">
        <f t="shared" ca="1" si="237"/>
        <v>0</v>
      </c>
      <c r="AN507" s="277" t="str">
        <f ca="1">IF(AND(Tabla7[[#This Row],[UltLec]]&lt;&gt;0,Tabla7[[#This Row],[PenLect]]&lt;&gt;0),(AM507-AL507)*Tabla7[[#This Row],[RT]],"N/A")</f>
        <v>N/A</v>
      </c>
      <c r="AO507" s="393" t="s">
        <v>1160</v>
      </c>
      <c r="AP507" s="393" t="s">
        <v>1075</v>
      </c>
      <c r="AQ507" s="393" t="s">
        <v>1077</v>
      </c>
      <c r="AR507" s="275">
        <f t="shared" si="238"/>
        <v>0</v>
      </c>
      <c r="AT507" s="2" t="e">
        <f t="shared" ca="1" si="231"/>
        <v>#VALUE!</v>
      </c>
    </row>
    <row r="508" spans="1:46" ht="18" hidden="1" customHeight="1" x14ac:dyDescent="0.25">
      <c r="A508" s="406" t="s">
        <v>1080</v>
      </c>
      <c r="B508" s="273"/>
      <c r="C508" s="276" t="s">
        <v>659</v>
      </c>
      <c r="D508" s="273" t="s">
        <v>283</v>
      </c>
      <c r="E508" s="274">
        <v>140</v>
      </c>
      <c r="F508" s="275" t="s">
        <v>21</v>
      </c>
      <c r="G508" s="275" t="s">
        <v>904</v>
      </c>
      <c r="H508" s="393" t="s">
        <v>660</v>
      </c>
      <c r="I508" s="396" t="s">
        <v>1344</v>
      </c>
      <c r="J508" s="277"/>
      <c r="K508" s="277"/>
      <c r="L508" s="277"/>
      <c r="M508" s="277"/>
      <c r="N508" s="277"/>
      <c r="O508" s="277"/>
      <c r="P508" s="277"/>
      <c r="Q508" s="277"/>
      <c r="R508" s="277"/>
      <c r="S508" s="277"/>
      <c r="T508" s="277"/>
      <c r="U508" s="277"/>
      <c r="V508" s="277"/>
      <c r="W508" s="277"/>
      <c r="X508" s="277"/>
      <c r="Y508" s="277" t="str">
        <f t="shared" si="232"/>
        <v/>
      </c>
      <c r="Z508" s="277" t="str">
        <f t="shared" si="233"/>
        <v/>
      </c>
      <c r="AA508" s="277" t="str">
        <f t="shared" si="239"/>
        <v/>
      </c>
      <c r="AB508" s="277" t="str">
        <f t="shared" si="240"/>
        <v/>
      </c>
      <c r="AC508" s="277" t="str">
        <f t="shared" si="241"/>
        <v/>
      </c>
      <c r="AD508" s="277" t="str">
        <f t="shared" si="242"/>
        <v/>
      </c>
      <c r="AE508" s="277" t="str">
        <f t="shared" si="243"/>
        <v/>
      </c>
      <c r="AF508" s="277" t="str">
        <f t="shared" si="244"/>
        <v/>
      </c>
      <c r="AG508" s="277" t="str">
        <f t="shared" si="245"/>
        <v/>
      </c>
      <c r="AH508" s="277" t="str">
        <f t="shared" si="246"/>
        <v/>
      </c>
      <c r="AI508" s="277" t="str">
        <f t="shared" si="247"/>
        <v/>
      </c>
      <c r="AJ508" s="277" t="str">
        <f t="shared" si="248"/>
        <v/>
      </c>
      <c r="AK508" s="277">
        <v>1</v>
      </c>
      <c r="AL508" s="277">
        <f t="shared" ca="1" si="236"/>
        <v>0</v>
      </c>
      <c r="AM508" s="277">
        <f t="shared" ca="1" si="237"/>
        <v>0</v>
      </c>
      <c r="AN508" s="277" t="str">
        <f ca="1">IF(AND(Tabla7[[#This Row],[UltLec]]&lt;&gt;0,Tabla7[[#This Row],[PenLect]]&lt;&gt;0),(AM508-AL508)*Tabla7[[#This Row],[RT]],"N/A")</f>
        <v>N/A</v>
      </c>
      <c r="AO508" s="393" t="s">
        <v>1160</v>
      </c>
      <c r="AP508" s="277" t="s">
        <v>1075</v>
      </c>
      <c r="AQ508" s="277" t="s">
        <v>1074</v>
      </c>
      <c r="AR508" s="277">
        <f t="shared" si="238"/>
        <v>0</v>
      </c>
      <c r="AT508" s="2" t="e">
        <f t="shared" ca="1" si="231"/>
        <v>#VALUE!</v>
      </c>
    </row>
    <row r="509" spans="1:46" ht="18" customHeight="1" x14ac:dyDescent="0.25">
      <c r="A509" s="405" t="s">
        <v>19</v>
      </c>
      <c r="B509" s="54">
        <v>274</v>
      </c>
      <c r="C509" s="239" t="s">
        <v>289</v>
      </c>
      <c r="D509" s="54" t="s">
        <v>283</v>
      </c>
      <c r="E509" s="232">
        <v>39131</v>
      </c>
      <c r="F509" s="2" t="s">
        <v>290</v>
      </c>
      <c r="G509" s="2" t="s">
        <v>912</v>
      </c>
      <c r="H509" s="2"/>
      <c r="I509" s="2"/>
      <c r="J509" s="260">
        <v>743356</v>
      </c>
      <c r="K509" s="260">
        <v>747207</v>
      </c>
      <c r="L509" s="260"/>
      <c r="O509" s="260"/>
      <c r="P509" s="308"/>
      <c r="Q509" s="260"/>
      <c r="R509" s="260"/>
      <c r="S509" s="260"/>
      <c r="U509" s="260"/>
      <c r="V509" s="260"/>
      <c r="W509" s="2"/>
      <c r="X509" s="2"/>
      <c r="Y509" s="2">
        <f t="shared" si="232"/>
        <v>3851</v>
      </c>
      <c r="Z509" s="2" t="str">
        <f t="shared" si="233"/>
        <v/>
      </c>
      <c r="AA509" s="2" t="str">
        <f t="shared" si="239"/>
        <v/>
      </c>
      <c r="AB509" s="2" t="str">
        <f t="shared" si="240"/>
        <v/>
      </c>
      <c r="AC509" s="2" t="str">
        <f t="shared" si="241"/>
        <v/>
      </c>
      <c r="AD509" s="2" t="str">
        <f t="shared" si="242"/>
        <v/>
      </c>
      <c r="AE509" s="2" t="str">
        <f t="shared" si="243"/>
        <v/>
      </c>
      <c r="AF509" s="2" t="str">
        <f t="shared" si="244"/>
        <v/>
      </c>
      <c r="AG509" s="2" t="str">
        <f t="shared" si="245"/>
        <v/>
      </c>
      <c r="AH509" s="2" t="str">
        <f t="shared" si="246"/>
        <v/>
      </c>
      <c r="AI509" s="2" t="str">
        <f t="shared" si="247"/>
        <v/>
      </c>
      <c r="AJ509" s="2" t="str">
        <f t="shared" si="248"/>
        <v/>
      </c>
      <c r="AK509" s="2">
        <v>1</v>
      </c>
      <c r="AL509" s="260">
        <f t="shared" ca="1" si="236"/>
        <v>0</v>
      </c>
      <c r="AM509" s="260">
        <f t="shared" ca="1" si="237"/>
        <v>0</v>
      </c>
      <c r="AN509" s="260" t="str">
        <f ca="1">IF(AND(Tabla7[[#This Row],[UltLec]]&lt;&gt;0,Tabla7[[#This Row],[PenLect]]&lt;&gt;0),(AM509-AL509)*Tabla7[[#This Row],[RT]],"N/A")</f>
        <v>N/A</v>
      </c>
      <c r="AO509" s="380" t="s">
        <v>813</v>
      </c>
      <c r="AP509" s="380" t="s">
        <v>1075</v>
      </c>
      <c r="AQ509" s="380" t="s">
        <v>1074</v>
      </c>
      <c r="AR509" s="2">
        <f t="shared" si="238"/>
        <v>0</v>
      </c>
      <c r="AT509" s="2" t="e">
        <f t="shared" ca="1" si="231"/>
        <v>#VALUE!</v>
      </c>
    </row>
    <row r="510" spans="1:46" ht="18" customHeight="1" x14ac:dyDescent="0.25">
      <c r="A510" s="405" t="s">
        <v>19</v>
      </c>
      <c r="B510" s="54"/>
      <c r="C510" s="239" t="s">
        <v>658</v>
      </c>
      <c r="D510" s="54" t="s">
        <v>283</v>
      </c>
      <c r="E510" s="232">
        <v>140</v>
      </c>
      <c r="F510" s="2" t="s">
        <v>704</v>
      </c>
      <c r="G510" s="2" t="s">
        <v>908</v>
      </c>
      <c r="H510" s="2"/>
      <c r="I510" s="2"/>
      <c r="J510" s="260">
        <v>102118</v>
      </c>
      <c r="K510" s="260">
        <v>102405</v>
      </c>
      <c r="L510" s="260"/>
      <c r="O510" s="260"/>
      <c r="P510" s="308"/>
      <c r="Q510" s="260"/>
      <c r="R510" s="260"/>
      <c r="S510" s="260"/>
      <c r="U510" s="260"/>
      <c r="V510" s="260"/>
      <c r="W510" s="2"/>
      <c r="X510" s="2"/>
      <c r="Y510" s="2">
        <f t="shared" si="232"/>
        <v>287</v>
      </c>
      <c r="Z510" s="2" t="str">
        <f t="shared" si="233"/>
        <v/>
      </c>
      <c r="AA510" s="2" t="str">
        <f t="shared" si="239"/>
        <v/>
      </c>
      <c r="AB510" s="2" t="str">
        <f t="shared" si="240"/>
        <v/>
      </c>
      <c r="AC510" s="2" t="str">
        <f t="shared" si="241"/>
        <v/>
      </c>
      <c r="AD510" s="2" t="str">
        <f t="shared" si="242"/>
        <v/>
      </c>
      <c r="AE510" s="2" t="str">
        <f t="shared" si="243"/>
        <v/>
      </c>
      <c r="AF510" s="2" t="str">
        <f t="shared" si="244"/>
        <v/>
      </c>
      <c r="AG510" s="2" t="str">
        <f t="shared" si="245"/>
        <v/>
      </c>
      <c r="AH510" s="2" t="str">
        <f t="shared" si="246"/>
        <v/>
      </c>
      <c r="AI510" s="2" t="str">
        <f t="shared" si="247"/>
        <v/>
      </c>
      <c r="AJ510" s="2" t="str">
        <f t="shared" si="248"/>
        <v/>
      </c>
      <c r="AK510" s="2">
        <v>1</v>
      </c>
      <c r="AL510" s="260">
        <f t="shared" ca="1" si="236"/>
        <v>0</v>
      </c>
      <c r="AM510" s="260">
        <f t="shared" ca="1" si="237"/>
        <v>0</v>
      </c>
      <c r="AN510" s="260" t="str">
        <f ca="1">IF(AND(Tabla7[[#This Row],[UltLec]]&lt;&gt;0,Tabla7[[#This Row],[PenLect]]&lt;&gt;0),(AM510-AL510)*Tabla7[[#This Row],[RT]],"N/A")</f>
        <v>N/A</v>
      </c>
      <c r="AO510" s="380" t="s">
        <v>813</v>
      </c>
      <c r="AP510" s="380" t="s">
        <v>1075</v>
      </c>
      <c r="AQ510" s="380" t="s">
        <v>1074</v>
      </c>
      <c r="AR510" s="2">
        <f t="shared" si="238"/>
        <v>0</v>
      </c>
      <c r="AT510" s="2" t="e">
        <f t="shared" ca="1" si="231"/>
        <v>#VALUE!</v>
      </c>
    </row>
    <row r="511" spans="1:46" ht="18" customHeight="1" x14ac:dyDescent="0.25">
      <c r="A511" s="405" t="s">
        <v>19</v>
      </c>
      <c r="B511" s="54"/>
      <c r="C511" s="239" t="s">
        <v>889</v>
      </c>
      <c r="D511" s="54" t="s">
        <v>283</v>
      </c>
      <c r="E511" s="232">
        <v>140</v>
      </c>
      <c r="F511" s="2" t="s">
        <v>890</v>
      </c>
      <c r="G511" s="2" t="s">
        <v>905</v>
      </c>
      <c r="H511" s="2" t="s">
        <v>891</v>
      </c>
      <c r="I511" s="2"/>
      <c r="J511" s="260">
        <v>255139</v>
      </c>
      <c r="K511" s="260">
        <v>255139</v>
      </c>
      <c r="L511" s="260"/>
      <c r="O511" s="260"/>
      <c r="P511" s="308"/>
      <c r="Q511" s="260"/>
      <c r="R511" s="260"/>
      <c r="S511" s="260"/>
      <c r="U511" s="260"/>
      <c r="V511" s="260"/>
      <c r="W511" s="2"/>
      <c r="X511" s="2"/>
      <c r="Y511" s="2">
        <f t="shared" si="232"/>
        <v>0</v>
      </c>
      <c r="Z511" s="2" t="str">
        <f t="shared" si="233"/>
        <v/>
      </c>
      <c r="AA511" s="2" t="str">
        <f t="shared" si="239"/>
        <v/>
      </c>
      <c r="AB511" s="2" t="str">
        <f t="shared" si="240"/>
        <v/>
      </c>
      <c r="AC511" s="2" t="str">
        <f t="shared" si="241"/>
        <v/>
      </c>
      <c r="AD511" s="2" t="str">
        <f t="shared" si="242"/>
        <v/>
      </c>
      <c r="AE511" s="2" t="str">
        <f t="shared" si="243"/>
        <v/>
      </c>
      <c r="AF511" s="2" t="str">
        <f t="shared" si="244"/>
        <v/>
      </c>
      <c r="AG511" s="2" t="str">
        <f t="shared" si="245"/>
        <v/>
      </c>
      <c r="AH511" s="2" t="str">
        <f t="shared" si="246"/>
        <v/>
      </c>
      <c r="AI511" s="2" t="str">
        <f t="shared" si="247"/>
        <v/>
      </c>
      <c r="AJ511" s="2" t="str">
        <f t="shared" si="248"/>
        <v/>
      </c>
      <c r="AK511" s="2">
        <v>1</v>
      </c>
      <c r="AL511" s="260">
        <f t="shared" ca="1" si="236"/>
        <v>0</v>
      </c>
      <c r="AM511" s="260">
        <f t="shared" ca="1" si="237"/>
        <v>0</v>
      </c>
      <c r="AN511" s="260" t="str">
        <f ca="1">IF(AND(Tabla7[[#This Row],[UltLec]]&lt;&gt;0,Tabla7[[#This Row],[PenLect]]&lt;&gt;0),(AM511-AL511)*Tabla7[[#This Row],[RT]],"N/A")</f>
        <v>N/A</v>
      </c>
      <c r="AO511" s="380" t="s">
        <v>813</v>
      </c>
      <c r="AP511" s="380" t="s">
        <v>1075</v>
      </c>
      <c r="AQ511" s="380" t="s">
        <v>1074</v>
      </c>
      <c r="AR511" s="2">
        <f t="shared" si="238"/>
        <v>0</v>
      </c>
      <c r="AT511" s="2" t="e">
        <f t="shared" ca="1" si="231"/>
        <v>#VALUE!</v>
      </c>
    </row>
    <row r="512" spans="1:46" ht="18" customHeight="1" x14ac:dyDescent="0.25">
      <c r="A512" s="405" t="s">
        <v>19</v>
      </c>
      <c r="B512" s="54">
        <v>910</v>
      </c>
      <c r="C512" s="239" t="s">
        <v>286</v>
      </c>
      <c r="D512" s="54" t="s">
        <v>283</v>
      </c>
      <c r="E512" s="232">
        <v>39390</v>
      </c>
      <c r="F512" s="2" t="s">
        <v>1425</v>
      </c>
      <c r="G512" s="2" t="s">
        <v>906</v>
      </c>
      <c r="H512" s="2"/>
      <c r="I512" s="299" t="s">
        <v>1426</v>
      </c>
      <c r="J512" s="260">
        <v>41682</v>
      </c>
      <c r="K512" s="260">
        <v>41813</v>
      </c>
      <c r="L512" s="260"/>
      <c r="O512" s="260"/>
      <c r="P512" s="308"/>
      <c r="Q512" s="260"/>
      <c r="R512" s="260"/>
      <c r="S512" s="260"/>
      <c r="U512" s="260"/>
      <c r="V512" s="260"/>
      <c r="W512" s="2"/>
      <c r="X512" s="2"/>
      <c r="Y512" s="2">
        <f t="shared" si="232"/>
        <v>131</v>
      </c>
      <c r="Z512" s="2" t="str">
        <f t="shared" si="233"/>
        <v/>
      </c>
      <c r="AA512" s="2" t="str">
        <f t="shared" si="239"/>
        <v/>
      </c>
      <c r="AB512" s="2" t="str">
        <f t="shared" si="240"/>
        <v/>
      </c>
      <c r="AC512" s="2" t="str">
        <f t="shared" si="241"/>
        <v/>
      </c>
      <c r="AD512" s="2" t="str">
        <f t="shared" si="242"/>
        <v/>
      </c>
      <c r="AE512" s="2" t="str">
        <f t="shared" si="243"/>
        <v/>
      </c>
      <c r="AF512" s="2" t="str">
        <f t="shared" si="244"/>
        <v/>
      </c>
      <c r="AG512" s="2" t="str">
        <f t="shared" si="245"/>
        <v/>
      </c>
      <c r="AH512" s="2" t="str">
        <f t="shared" si="246"/>
        <v/>
      </c>
      <c r="AI512" s="2" t="str">
        <f t="shared" si="247"/>
        <v/>
      </c>
      <c r="AJ512" s="2" t="str">
        <f t="shared" si="248"/>
        <v/>
      </c>
      <c r="AK512" s="2">
        <v>1</v>
      </c>
      <c r="AL512" s="260">
        <f t="shared" ca="1" si="236"/>
        <v>0</v>
      </c>
      <c r="AM512" s="260">
        <f t="shared" ca="1" si="237"/>
        <v>0</v>
      </c>
      <c r="AN512" s="260" t="str">
        <f ca="1">IF(AND(Tabla7[[#This Row],[UltLec]]&lt;&gt;0,Tabla7[[#This Row],[PenLect]]&lt;&gt;0),(AM512-AL512)*Tabla7[[#This Row],[RT]],"N/A")</f>
        <v>N/A</v>
      </c>
      <c r="AO512" s="380" t="s">
        <v>813</v>
      </c>
      <c r="AP512" s="380" t="s">
        <v>1075</v>
      </c>
      <c r="AQ512" s="380" t="s">
        <v>1077</v>
      </c>
      <c r="AR512" s="2">
        <f t="shared" si="238"/>
        <v>0</v>
      </c>
      <c r="AT512" s="2" t="e">
        <f t="shared" ca="1" si="231"/>
        <v>#VALUE!</v>
      </c>
    </row>
    <row r="513" spans="1:46" ht="18" hidden="1" customHeight="1" x14ac:dyDescent="0.25">
      <c r="A513" s="406" t="s">
        <v>1080</v>
      </c>
      <c r="B513" s="273">
        <v>910</v>
      </c>
      <c r="C513" s="367" t="s">
        <v>286</v>
      </c>
      <c r="D513" s="273" t="s">
        <v>283</v>
      </c>
      <c r="E513" s="274">
        <v>39390</v>
      </c>
      <c r="F513" s="275" t="s">
        <v>287</v>
      </c>
      <c r="G513" s="275" t="s">
        <v>906</v>
      </c>
      <c r="H513" s="275"/>
      <c r="I513" s="508" t="s">
        <v>1424</v>
      </c>
      <c r="J513" s="277"/>
      <c r="K513" s="277"/>
      <c r="L513" s="277"/>
      <c r="M513" s="277"/>
      <c r="N513" s="277"/>
      <c r="O513" s="277"/>
      <c r="P513" s="277"/>
      <c r="Q513" s="277"/>
      <c r="R513" s="277"/>
      <c r="S513" s="277"/>
      <c r="T513" s="277"/>
      <c r="U513" s="277"/>
      <c r="V513" s="277"/>
      <c r="W513" s="277"/>
      <c r="X513" s="277"/>
      <c r="Y513" s="277" t="str">
        <f t="shared" si="232"/>
        <v/>
      </c>
      <c r="Z513" s="277" t="str">
        <f t="shared" si="233"/>
        <v/>
      </c>
      <c r="AA513" s="277" t="str">
        <f t="shared" si="239"/>
        <v/>
      </c>
      <c r="AB513" s="277" t="str">
        <f t="shared" si="240"/>
        <v/>
      </c>
      <c r="AC513" s="275" t="str">
        <f t="shared" si="241"/>
        <v/>
      </c>
      <c r="AD513" s="275" t="str">
        <f t="shared" si="242"/>
        <v/>
      </c>
      <c r="AE513" s="275" t="str">
        <f t="shared" si="243"/>
        <v/>
      </c>
      <c r="AF513" s="275" t="str">
        <f t="shared" si="244"/>
        <v/>
      </c>
      <c r="AG513" s="275" t="str">
        <f t="shared" si="245"/>
        <v/>
      </c>
      <c r="AH513" s="275" t="str">
        <f t="shared" si="246"/>
        <v/>
      </c>
      <c r="AI513" s="275" t="str">
        <f t="shared" si="247"/>
        <v/>
      </c>
      <c r="AJ513" s="275" t="str">
        <f t="shared" si="248"/>
        <v/>
      </c>
      <c r="AK513" s="275">
        <v>1</v>
      </c>
      <c r="AL513" s="275">
        <f t="shared" ca="1" si="236"/>
        <v>0</v>
      </c>
      <c r="AM513" s="277">
        <f t="shared" ca="1" si="237"/>
        <v>0</v>
      </c>
      <c r="AN513" s="277" t="str">
        <f ca="1">IF(AND(Tabla7[[#This Row],[UltLec]]&lt;&gt;0,Tabla7[[#This Row],[PenLect]]&lt;&gt;0),(AM513-AL513)*Tabla7[[#This Row],[RT]],"N/A")</f>
        <v>N/A</v>
      </c>
      <c r="AO513" s="393" t="s">
        <v>1160</v>
      </c>
      <c r="AP513" s="393" t="s">
        <v>1075</v>
      </c>
      <c r="AQ513" s="393" t="s">
        <v>1077</v>
      </c>
      <c r="AR513" s="393">
        <f t="shared" si="238"/>
        <v>0</v>
      </c>
      <c r="AT513" s="2" t="e">
        <f t="shared" ca="1" si="231"/>
        <v>#VALUE!</v>
      </c>
    </row>
    <row r="514" spans="1:46" ht="18" customHeight="1" x14ac:dyDescent="0.25">
      <c r="A514" s="414" t="s">
        <v>19</v>
      </c>
      <c r="B514" s="54">
        <v>5449</v>
      </c>
      <c r="C514" s="239" t="s">
        <v>284</v>
      </c>
      <c r="D514" s="54" t="s">
        <v>283</v>
      </c>
      <c r="E514" s="232">
        <v>39006</v>
      </c>
      <c r="F514" s="2" t="s">
        <v>285</v>
      </c>
      <c r="G514" s="2" t="s">
        <v>911</v>
      </c>
      <c r="H514" s="2"/>
      <c r="I514" s="2"/>
      <c r="J514" s="260">
        <v>81008</v>
      </c>
      <c r="K514" s="260">
        <v>81689</v>
      </c>
      <c r="L514" s="260"/>
      <c r="O514" s="260"/>
      <c r="P514" s="308"/>
      <c r="Q514" s="260"/>
      <c r="R514" s="260"/>
      <c r="S514" s="260"/>
      <c r="U514" s="260"/>
      <c r="V514" s="260"/>
      <c r="W514" s="2"/>
      <c r="X514" s="2"/>
      <c r="Y514" s="2">
        <f t="shared" si="232"/>
        <v>681</v>
      </c>
      <c r="Z514" s="2" t="str">
        <f t="shared" si="233"/>
        <v/>
      </c>
      <c r="AA514" s="2" t="str">
        <f t="shared" si="239"/>
        <v/>
      </c>
      <c r="AB514" s="2" t="str">
        <f t="shared" si="240"/>
        <v/>
      </c>
      <c r="AC514" s="2" t="str">
        <f t="shared" si="241"/>
        <v/>
      </c>
      <c r="AD514" s="2" t="str">
        <f t="shared" si="242"/>
        <v/>
      </c>
      <c r="AE514" s="2" t="str">
        <f t="shared" si="243"/>
        <v/>
      </c>
      <c r="AF514" s="2" t="str">
        <f t="shared" si="244"/>
        <v/>
      </c>
      <c r="AG514" s="2" t="str">
        <f t="shared" si="245"/>
        <v/>
      </c>
      <c r="AH514" s="2" t="str">
        <f t="shared" si="246"/>
        <v/>
      </c>
      <c r="AI514" s="2" t="str">
        <f t="shared" si="247"/>
        <v/>
      </c>
      <c r="AJ514" s="2" t="str">
        <f t="shared" si="248"/>
        <v/>
      </c>
      <c r="AK514" s="2">
        <v>1</v>
      </c>
      <c r="AL514" s="260">
        <f t="shared" ca="1" si="236"/>
        <v>0</v>
      </c>
      <c r="AM514" s="260">
        <f t="shared" ca="1" si="237"/>
        <v>0</v>
      </c>
      <c r="AN514" s="260" t="str">
        <f ca="1">IF(AND(Tabla7[[#This Row],[UltLec]]&lt;&gt;0,Tabla7[[#This Row],[PenLect]]&lt;&gt;0),(AM514-AL514)*Tabla7[[#This Row],[RT]],"N/A")</f>
        <v>N/A</v>
      </c>
      <c r="AO514" s="380" t="s">
        <v>813</v>
      </c>
      <c r="AP514" s="380" t="s">
        <v>1075</v>
      </c>
      <c r="AQ514" s="380" t="s">
        <v>1074</v>
      </c>
      <c r="AR514" s="2">
        <f t="shared" si="238"/>
        <v>0</v>
      </c>
      <c r="AT514" s="2" t="e">
        <f t="shared" ca="1" si="231"/>
        <v>#VALUE!</v>
      </c>
    </row>
    <row r="515" spans="1:46" ht="18" customHeight="1" x14ac:dyDescent="0.25">
      <c r="A515" s="405" t="s">
        <v>698</v>
      </c>
      <c r="B515" s="54"/>
      <c r="C515" s="239" t="s">
        <v>1122</v>
      </c>
      <c r="D515" s="54" t="s">
        <v>283</v>
      </c>
      <c r="E515" s="232">
        <v>30000</v>
      </c>
      <c r="F515" s="2" t="s">
        <v>700</v>
      </c>
      <c r="G515" s="2"/>
      <c r="H515" s="2"/>
      <c r="I515" s="2"/>
      <c r="J515" s="260">
        <v>1618056</v>
      </c>
      <c r="K515" s="260">
        <v>1629773</v>
      </c>
      <c r="L515" s="260"/>
      <c r="O515" s="260"/>
      <c r="P515" s="308"/>
      <c r="Q515" s="260"/>
      <c r="R515" s="260"/>
      <c r="S515" s="260"/>
      <c r="U515" s="260"/>
      <c r="V515" s="260"/>
      <c r="W515" s="2"/>
      <c r="X515" s="2"/>
      <c r="Y515" s="2">
        <f t="shared" si="232"/>
        <v>11717</v>
      </c>
      <c r="Z515" s="2" t="str">
        <f t="shared" si="233"/>
        <v/>
      </c>
      <c r="AA515" s="2" t="str">
        <f t="shared" si="239"/>
        <v/>
      </c>
      <c r="AB515" s="2" t="str">
        <f t="shared" si="240"/>
        <v/>
      </c>
      <c r="AC515" s="2" t="str">
        <f t="shared" si="241"/>
        <v/>
      </c>
      <c r="AD515" s="2" t="str">
        <f t="shared" si="242"/>
        <v/>
      </c>
      <c r="AE515" s="2" t="str">
        <f t="shared" si="243"/>
        <v/>
      </c>
      <c r="AF515" s="2" t="str">
        <f t="shared" si="244"/>
        <v/>
      </c>
      <c r="AG515" s="2" t="str">
        <f t="shared" si="245"/>
        <v/>
      </c>
      <c r="AH515" s="2" t="str">
        <f t="shared" si="246"/>
        <v/>
      </c>
      <c r="AI515" s="2" t="str">
        <f t="shared" si="247"/>
        <v/>
      </c>
      <c r="AJ515" s="2" t="str">
        <f t="shared" si="248"/>
        <v/>
      </c>
      <c r="AK515" s="2">
        <v>1</v>
      </c>
      <c r="AL515" s="260">
        <f t="shared" ca="1" si="236"/>
        <v>0</v>
      </c>
      <c r="AM515" s="260">
        <f t="shared" ca="1" si="237"/>
        <v>0</v>
      </c>
      <c r="AN515" s="260" t="str">
        <f ca="1">IF(AND(Tabla7[[#This Row],[UltLec]]&lt;&gt;0,Tabla7[[#This Row],[PenLect]]&lt;&gt;0),(AM515-AL515)*Tabla7[[#This Row],[RT]],"N/A")</f>
        <v>N/A</v>
      </c>
      <c r="AO515" s="380" t="s">
        <v>813</v>
      </c>
      <c r="AP515" s="380" t="s">
        <v>1076</v>
      </c>
      <c r="AQ515" s="380" t="s">
        <v>771</v>
      </c>
      <c r="AR515" s="2">
        <f t="shared" si="238"/>
        <v>0</v>
      </c>
      <c r="AT515" s="2" t="e">
        <f t="shared" ca="1" si="231"/>
        <v>#VALUE!</v>
      </c>
    </row>
    <row r="516" spans="1:46" ht="18" customHeight="1" x14ac:dyDescent="0.25">
      <c r="A516" s="405" t="s">
        <v>19</v>
      </c>
      <c r="B516" s="54"/>
      <c r="C516" s="239" t="s">
        <v>1139</v>
      </c>
      <c r="D516" s="54" t="s">
        <v>283</v>
      </c>
      <c r="E516" s="232">
        <v>131</v>
      </c>
      <c r="F516" s="2" t="s">
        <v>440</v>
      </c>
      <c r="G516" s="2" t="s">
        <v>47</v>
      </c>
      <c r="H516" s="2"/>
      <c r="I516" s="2" t="s">
        <v>978</v>
      </c>
      <c r="J516" s="260">
        <v>689356</v>
      </c>
      <c r="K516" s="260">
        <v>694633</v>
      </c>
      <c r="L516" s="260"/>
      <c r="O516" s="260"/>
      <c r="P516" s="308"/>
      <c r="Q516" s="260"/>
      <c r="R516" s="260"/>
      <c r="S516" s="260"/>
      <c r="U516" s="260"/>
      <c r="V516" s="260"/>
      <c r="W516" s="2"/>
      <c r="X516" s="2"/>
      <c r="Y516" s="2">
        <f t="shared" si="232"/>
        <v>5277</v>
      </c>
      <c r="Z516" s="2" t="str">
        <f t="shared" si="233"/>
        <v/>
      </c>
      <c r="AA516" s="2" t="str">
        <f t="shared" si="239"/>
        <v/>
      </c>
      <c r="AB516" s="2" t="str">
        <f t="shared" si="240"/>
        <v/>
      </c>
      <c r="AC516" s="2" t="str">
        <f t="shared" si="241"/>
        <v/>
      </c>
      <c r="AD516" s="2" t="str">
        <f t="shared" si="242"/>
        <v/>
      </c>
      <c r="AE516" s="2" t="str">
        <f t="shared" si="243"/>
        <v/>
      </c>
      <c r="AF516" s="2" t="str">
        <f t="shared" si="244"/>
        <v/>
      </c>
      <c r="AG516" s="2" t="str">
        <f t="shared" si="245"/>
        <v/>
      </c>
      <c r="AH516" s="2" t="str">
        <f t="shared" si="246"/>
        <v/>
      </c>
      <c r="AI516" s="2" t="str">
        <f t="shared" si="247"/>
        <v/>
      </c>
      <c r="AJ516" s="2" t="str">
        <f t="shared" si="248"/>
        <v/>
      </c>
      <c r="AK516" s="2">
        <v>1</v>
      </c>
      <c r="AL516" s="260">
        <f t="shared" ca="1" si="236"/>
        <v>0</v>
      </c>
      <c r="AM516" s="260">
        <f t="shared" ca="1" si="237"/>
        <v>0</v>
      </c>
      <c r="AN516" s="260" t="str">
        <f ca="1">IF(AND(Tabla7[[#This Row],[UltLec]]&lt;&gt;0,Tabla7[[#This Row],[PenLect]]&lt;&gt;0),(AM516-AL516)*Tabla7[[#This Row],[RT]],"N/A")</f>
        <v>N/A</v>
      </c>
      <c r="AO516" s="380" t="s">
        <v>813</v>
      </c>
      <c r="AP516" s="380" t="s">
        <v>1076</v>
      </c>
      <c r="AQ516" s="380" t="s">
        <v>771</v>
      </c>
      <c r="AR516" s="2">
        <f t="shared" si="238"/>
        <v>0</v>
      </c>
      <c r="AT516" s="2" t="e">
        <f t="shared" ca="1" si="231"/>
        <v>#VALUE!</v>
      </c>
    </row>
    <row r="517" spans="1:46" ht="18" hidden="1" customHeight="1" x14ac:dyDescent="0.25">
      <c r="A517" s="406" t="s">
        <v>1080</v>
      </c>
      <c r="B517" s="273"/>
      <c r="C517" s="367">
        <v>1014100108</v>
      </c>
      <c r="D517" s="273" t="s">
        <v>291</v>
      </c>
      <c r="E517" s="273">
        <v>39384</v>
      </c>
      <c r="F517" s="491" t="s">
        <v>694</v>
      </c>
      <c r="G517" s="275" t="s">
        <v>47</v>
      </c>
      <c r="H517" s="275"/>
      <c r="I517" s="275"/>
      <c r="J517" s="393"/>
      <c r="K517" s="393"/>
      <c r="L517" s="277"/>
      <c r="M517" s="277"/>
      <c r="N517" s="277"/>
      <c r="O517" s="277"/>
      <c r="P517" s="277"/>
      <c r="Q517" s="277"/>
      <c r="R517" s="393"/>
      <c r="S517" s="393"/>
      <c r="T517" s="393"/>
      <c r="U517" s="393"/>
      <c r="V517" s="393"/>
      <c r="W517" s="277"/>
      <c r="X517" s="275"/>
      <c r="Y517" s="275" t="str">
        <f t="shared" si="232"/>
        <v/>
      </c>
      <c r="Z517" s="275" t="str">
        <f t="shared" si="233"/>
        <v/>
      </c>
      <c r="AA517" s="275" t="str">
        <f t="shared" si="239"/>
        <v/>
      </c>
      <c r="AB517" s="275" t="str">
        <f t="shared" si="240"/>
        <v/>
      </c>
      <c r="AC517" s="275" t="str">
        <f t="shared" si="241"/>
        <v/>
      </c>
      <c r="AD517" s="275" t="str">
        <f t="shared" si="242"/>
        <v/>
      </c>
      <c r="AE517" s="275" t="str">
        <f t="shared" si="243"/>
        <v/>
      </c>
      <c r="AF517" s="275" t="str">
        <f t="shared" si="244"/>
        <v/>
      </c>
      <c r="AG517" s="275" t="str">
        <f t="shared" si="245"/>
        <v/>
      </c>
      <c r="AH517" s="275" t="str">
        <f t="shared" si="246"/>
        <v/>
      </c>
      <c r="AI517" s="275" t="str">
        <f t="shared" si="247"/>
        <v/>
      </c>
      <c r="AJ517" s="275" t="str">
        <f t="shared" si="248"/>
        <v/>
      </c>
      <c r="AK517" s="275">
        <v>1</v>
      </c>
      <c r="AL517" s="277">
        <f t="shared" ca="1" si="236"/>
        <v>0</v>
      </c>
      <c r="AM517" s="277">
        <f t="shared" ca="1" si="237"/>
        <v>0</v>
      </c>
      <c r="AN517" s="277" t="str">
        <f ca="1">IF(AND(Tabla7[[#This Row],[UltLec]]&lt;&gt;0,Tabla7[[#This Row],[PenLect]]&lt;&gt;0),(AM517-AL517)*Tabla7[[#This Row],[RT]],"N/A")</f>
        <v>N/A</v>
      </c>
      <c r="AO517" s="393" t="s">
        <v>1160</v>
      </c>
      <c r="AP517" s="393" t="s">
        <v>1075</v>
      </c>
      <c r="AQ517" s="393" t="s">
        <v>1074</v>
      </c>
      <c r="AR517" s="275">
        <f t="shared" si="238"/>
        <v>0</v>
      </c>
      <c r="AT517" s="2" t="e">
        <f t="shared" ref="AT517:AT545" ca="1" si="249">IF(IF(DAY(TODAY())&gt;15,INDEX($Y517:$AJ517,1,MONTH(TODAY())-1),INDEX($Y517:$AJ517,1,MONTH(TODAY())-2))=0,"0",IF(DAY(TODAY())&gt;15,INDEX($Y517:$AJ517,1,MONTH(TODAY())),INDEX($Y517:$AJ517,1,MONTH(TODAY())-1))/IF(DAY(TODAY())&gt;15,INDEX($Y517:$AJ517,1,MONTH(TODAY())-1),INDEX($Y517:$AJ517,1,MONTH(TODAY())-2)))</f>
        <v>#VALUE!</v>
      </c>
    </row>
    <row r="518" spans="1:46" ht="18" hidden="1" customHeight="1" x14ac:dyDescent="0.25">
      <c r="A518" s="406" t="s">
        <v>1080</v>
      </c>
      <c r="B518" s="273">
        <v>1181</v>
      </c>
      <c r="C518" s="367">
        <v>1014100108</v>
      </c>
      <c r="D518" s="273" t="s">
        <v>291</v>
      </c>
      <c r="E518" s="274">
        <v>39505</v>
      </c>
      <c r="F518" s="393" t="s">
        <v>292</v>
      </c>
      <c r="G518" s="393" t="s">
        <v>47</v>
      </c>
      <c r="H518" s="393"/>
      <c r="I518" s="393" t="s">
        <v>1333</v>
      </c>
      <c r="J518" s="393"/>
      <c r="K518" s="393"/>
      <c r="L518" s="277"/>
      <c r="M518" s="277"/>
      <c r="N518" s="277"/>
      <c r="O518" s="277"/>
      <c r="P518" s="277"/>
      <c r="Q518" s="277"/>
      <c r="R518" s="393"/>
      <c r="S518" s="393"/>
      <c r="T518" s="393"/>
      <c r="U518" s="393"/>
      <c r="V518" s="393"/>
      <c r="W518" s="277"/>
      <c r="X518" s="277"/>
      <c r="Y518" s="277" t="str">
        <f t="shared" si="232"/>
        <v/>
      </c>
      <c r="Z518" s="277" t="str">
        <f t="shared" si="233"/>
        <v/>
      </c>
      <c r="AA518" s="277" t="str">
        <f t="shared" si="239"/>
        <v/>
      </c>
      <c r="AB518" s="277" t="str">
        <f t="shared" si="240"/>
        <v/>
      </c>
      <c r="AC518" s="277" t="str">
        <f t="shared" si="241"/>
        <v/>
      </c>
      <c r="AD518" s="277" t="str">
        <f t="shared" si="242"/>
        <v/>
      </c>
      <c r="AE518" s="277" t="str">
        <f t="shared" si="243"/>
        <v/>
      </c>
      <c r="AF518" s="277" t="str">
        <f t="shared" si="244"/>
        <v/>
      </c>
      <c r="AG518" s="277" t="str">
        <f t="shared" si="245"/>
        <v/>
      </c>
      <c r="AH518" s="277" t="str">
        <f t="shared" si="246"/>
        <v/>
      </c>
      <c r="AI518" s="277" t="str">
        <f t="shared" si="247"/>
        <v/>
      </c>
      <c r="AJ518" s="277" t="str">
        <f t="shared" si="248"/>
        <v/>
      </c>
      <c r="AK518" s="277">
        <v>1</v>
      </c>
      <c r="AL518" s="277">
        <f t="shared" ca="1" si="236"/>
        <v>0</v>
      </c>
      <c r="AM518" s="277">
        <f t="shared" ca="1" si="237"/>
        <v>0</v>
      </c>
      <c r="AN518" s="277" t="str">
        <f ca="1">IF(AND(Tabla7[[#This Row],[UltLec]]&lt;&gt;0,Tabla7[[#This Row],[PenLect]]&lt;&gt;0),(AM518-AL518)*Tabla7[[#This Row],[RT]],"N/A")</f>
        <v>N/A</v>
      </c>
      <c r="AO518" s="277" t="s">
        <v>1160</v>
      </c>
      <c r="AP518" s="277" t="s">
        <v>1075</v>
      </c>
      <c r="AQ518" s="277" t="s">
        <v>1074</v>
      </c>
      <c r="AR518" s="277">
        <f t="shared" si="238"/>
        <v>0</v>
      </c>
      <c r="AT518" s="2" t="e">
        <f t="shared" ca="1" si="249"/>
        <v>#VALUE!</v>
      </c>
    </row>
    <row r="519" spans="1:46" ht="18" hidden="1" customHeight="1" x14ac:dyDescent="0.25">
      <c r="A519" s="418" t="s">
        <v>1080</v>
      </c>
      <c r="B519" s="273"/>
      <c r="C519" s="367">
        <v>1014100108</v>
      </c>
      <c r="D519" s="273" t="s">
        <v>291</v>
      </c>
      <c r="E519" s="377">
        <v>39697</v>
      </c>
      <c r="F519" s="275" t="s">
        <v>1385</v>
      </c>
      <c r="G519" s="275" t="s">
        <v>47</v>
      </c>
      <c r="H519" s="275" t="s">
        <v>1370</v>
      </c>
      <c r="I519" s="275" t="s">
        <v>1384</v>
      </c>
      <c r="J519" s="277"/>
      <c r="K519" s="277"/>
      <c r="L519" s="277"/>
      <c r="M519" s="277"/>
      <c r="N519" s="277"/>
      <c r="O519" s="277"/>
      <c r="P519" s="277"/>
      <c r="Q519" s="277"/>
      <c r="R519" s="277"/>
      <c r="S519" s="277"/>
      <c r="T519" s="277"/>
      <c r="U519" s="277"/>
      <c r="V519" s="277"/>
      <c r="W519" s="275"/>
      <c r="X519" s="275"/>
      <c r="Y519" s="275" t="str">
        <f t="shared" si="232"/>
        <v/>
      </c>
      <c r="Z519" s="275" t="str">
        <f t="shared" si="233"/>
        <v/>
      </c>
      <c r="AA519" s="275" t="str">
        <f t="shared" si="239"/>
        <v/>
      </c>
      <c r="AB519" s="275" t="str">
        <f t="shared" si="240"/>
        <v/>
      </c>
      <c r="AC519" s="275" t="str">
        <f t="shared" si="241"/>
        <v/>
      </c>
      <c r="AD519" s="275" t="str">
        <f t="shared" si="242"/>
        <v/>
      </c>
      <c r="AE519" s="275" t="str">
        <f t="shared" si="243"/>
        <v/>
      </c>
      <c r="AF519" s="275" t="str">
        <f t="shared" si="244"/>
        <v/>
      </c>
      <c r="AG519" s="275" t="str">
        <f t="shared" si="245"/>
        <v/>
      </c>
      <c r="AH519" s="275" t="str">
        <f t="shared" si="246"/>
        <v/>
      </c>
      <c r="AI519" s="275" t="str">
        <f t="shared" si="247"/>
        <v/>
      </c>
      <c r="AJ519" s="275" t="str">
        <f t="shared" si="248"/>
        <v/>
      </c>
      <c r="AK519" s="275">
        <v>1</v>
      </c>
      <c r="AL519" s="277">
        <f t="shared" ca="1" si="236"/>
        <v>0</v>
      </c>
      <c r="AM519" s="277">
        <f t="shared" ca="1" si="237"/>
        <v>0</v>
      </c>
      <c r="AN519" s="277" t="str">
        <f ca="1">IF(AND(Tabla7[[#This Row],[UltLec]]&lt;&gt;0,Tabla7[[#This Row],[PenLect]]&lt;&gt;0),(AM519-AL519)*Tabla7[[#This Row],[RT]],"N/A")</f>
        <v>N/A</v>
      </c>
      <c r="AO519" s="393" t="s">
        <v>1160</v>
      </c>
      <c r="AP519" s="393" t="s">
        <v>1075</v>
      </c>
      <c r="AQ519" s="393" t="s">
        <v>1074</v>
      </c>
      <c r="AR519" s="275">
        <f t="shared" si="238"/>
        <v>0</v>
      </c>
      <c r="AT519" s="2" t="e">
        <f t="shared" ca="1" si="249"/>
        <v>#VALUE!</v>
      </c>
    </row>
    <row r="520" spans="1:46" ht="18" customHeight="1" x14ac:dyDescent="0.25">
      <c r="A520" s="291" t="s">
        <v>698</v>
      </c>
      <c r="B520" s="54"/>
      <c r="C520" s="239" t="s">
        <v>1123</v>
      </c>
      <c r="D520" s="54" t="s">
        <v>291</v>
      </c>
      <c r="E520" s="375">
        <v>30000</v>
      </c>
      <c r="F520" s="2" t="s">
        <v>700</v>
      </c>
      <c r="G520" s="2" t="s">
        <v>63</v>
      </c>
      <c r="H520" s="2"/>
      <c r="I520" s="2"/>
      <c r="J520" s="260">
        <v>703387</v>
      </c>
      <c r="K520" s="260">
        <v>709605</v>
      </c>
      <c r="L520" s="260"/>
      <c r="O520" s="260"/>
      <c r="P520" s="308"/>
      <c r="Q520" s="260"/>
      <c r="R520" s="260"/>
      <c r="S520" s="260"/>
      <c r="U520" s="260"/>
      <c r="V520" s="260"/>
      <c r="W520" s="2"/>
      <c r="X520" s="2"/>
      <c r="Y520" s="2">
        <f t="shared" si="232"/>
        <v>6218</v>
      </c>
      <c r="Z520" s="2" t="str">
        <f t="shared" si="233"/>
        <v/>
      </c>
      <c r="AA520" s="2" t="str">
        <f t="shared" si="239"/>
        <v/>
      </c>
      <c r="AB520" s="2" t="str">
        <f t="shared" si="240"/>
        <v/>
      </c>
      <c r="AC520" s="2" t="str">
        <f t="shared" si="241"/>
        <v/>
      </c>
      <c r="AD520" s="2" t="str">
        <f t="shared" si="242"/>
        <v/>
      </c>
      <c r="AE520" s="2" t="str">
        <f t="shared" si="243"/>
        <v/>
      </c>
      <c r="AF520" s="2" t="str">
        <f t="shared" si="244"/>
        <v/>
      </c>
      <c r="AG520" s="2" t="str">
        <f t="shared" si="245"/>
        <v/>
      </c>
      <c r="AH520" s="2" t="str">
        <f t="shared" si="246"/>
        <v/>
      </c>
      <c r="AI520" s="2" t="str">
        <f t="shared" si="247"/>
        <v/>
      </c>
      <c r="AJ520" s="2" t="str">
        <f t="shared" si="248"/>
        <v/>
      </c>
      <c r="AK520" s="2">
        <v>1</v>
      </c>
      <c r="AL520" s="260">
        <f t="shared" ca="1" si="236"/>
        <v>0</v>
      </c>
      <c r="AM520" s="260">
        <f t="shared" ca="1" si="237"/>
        <v>0</v>
      </c>
      <c r="AN520" s="260" t="str">
        <f ca="1">IF(AND(Tabla7[[#This Row],[UltLec]]&lt;&gt;0,Tabla7[[#This Row],[PenLect]]&lt;&gt;0),(AM520-AL520)*Tabla7[[#This Row],[RT]],"N/A")</f>
        <v>N/A</v>
      </c>
      <c r="AO520" s="380" t="s">
        <v>813</v>
      </c>
      <c r="AP520" s="380" t="s">
        <v>1076</v>
      </c>
      <c r="AQ520" s="380" t="s">
        <v>771</v>
      </c>
      <c r="AR520" s="2">
        <f t="shared" si="238"/>
        <v>0</v>
      </c>
      <c r="AT520" s="2" t="e">
        <f t="shared" ca="1" si="249"/>
        <v>#VALUE!</v>
      </c>
    </row>
    <row r="521" spans="1:46" ht="18" customHeight="1" x14ac:dyDescent="0.25">
      <c r="A521" s="291" t="s">
        <v>19</v>
      </c>
      <c r="B521" s="54">
        <v>1181</v>
      </c>
      <c r="C521" s="239" t="s">
        <v>1124</v>
      </c>
      <c r="D521" s="54" t="s">
        <v>291</v>
      </c>
      <c r="E521" s="375">
        <v>131</v>
      </c>
      <c r="F521" s="2" t="s">
        <v>440</v>
      </c>
      <c r="G521" s="2" t="s">
        <v>47</v>
      </c>
      <c r="H521" s="2"/>
      <c r="I521" s="2"/>
      <c r="J521" s="260">
        <v>538324</v>
      </c>
      <c r="K521" s="260">
        <v>543327</v>
      </c>
      <c r="L521" s="260"/>
      <c r="O521" s="260"/>
      <c r="P521" s="308"/>
      <c r="Q521" s="260"/>
      <c r="R521" s="260"/>
      <c r="S521" s="260"/>
      <c r="U521" s="260"/>
      <c r="V521" s="260"/>
      <c r="W521" s="2"/>
      <c r="X521" s="2"/>
      <c r="Y521" s="2">
        <f t="shared" si="232"/>
        <v>5003</v>
      </c>
      <c r="Z521" s="2" t="str">
        <f t="shared" si="233"/>
        <v/>
      </c>
      <c r="AA521" s="2" t="str">
        <f t="shared" si="239"/>
        <v/>
      </c>
      <c r="AB521" s="2" t="str">
        <f t="shared" si="240"/>
        <v/>
      </c>
      <c r="AC521" s="2" t="str">
        <f t="shared" si="241"/>
        <v/>
      </c>
      <c r="AD521" s="2" t="str">
        <f t="shared" si="242"/>
        <v/>
      </c>
      <c r="AE521" s="2" t="str">
        <f t="shared" si="243"/>
        <v/>
      </c>
      <c r="AF521" s="2" t="str">
        <f t="shared" si="244"/>
        <v/>
      </c>
      <c r="AG521" s="2" t="str">
        <f t="shared" si="245"/>
        <v/>
      </c>
      <c r="AH521" s="2" t="str">
        <f t="shared" si="246"/>
        <v/>
      </c>
      <c r="AI521" s="2" t="str">
        <f t="shared" si="247"/>
        <v/>
      </c>
      <c r="AJ521" s="2" t="str">
        <f t="shared" si="248"/>
        <v/>
      </c>
      <c r="AK521" s="2">
        <v>1</v>
      </c>
      <c r="AL521" s="260">
        <f t="shared" ca="1" si="236"/>
        <v>0</v>
      </c>
      <c r="AM521" s="260">
        <f t="shared" ca="1" si="237"/>
        <v>0</v>
      </c>
      <c r="AN521" s="260" t="str">
        <f ca="1">IF(AND(Tabla7[[#This Row],[UltLec]]&lt;&gt;0,Tabla7[[#This Row],[PenLect]]&lt;&gt;0),(AM521-AL521)*Tabla7[[#This Row],[RT]],"N/A")</f>
        <v>N/A</v>
      </c>
      <c r="AO521" s="380" t="s">
        <v>813</v>
      </c>
      <c r="AP521" s="380" t="s">
        <v>1076</v>
      </c>
      <c r="AQ521" s="380" t="s">
        <v>771</v>
      </c>
      <c r="AR521" s="2">
        <f t="shared" si="238"/>
        <v>0</v>
      </c>
      <c r="AT521" s="2" t="e">
        <f t="shared" ca="1" si="249"/>
        <v>#VALUE!</v>
      </c>
    </row>
    <row r="522" spans="1:46" ht="18" customHeight="1" x14ac:dyDescent="0.25">
      <c r="A522" s="407" t="s">
        <v>19</v>
      </c>
      <c r="B522" s="54"/>
      <c r="C522" s="420" t="s">
        <v>1125</v>
      </c>
      <c r="D522" s="374" t="s">
        <v>291</v>
      </c>
      <c r="E522" s="375">
        <v>132</v>
      </c>
      <c r="F522" s="2" t="s">
        <v>695</v>
      </c>
      <c r="G522" s="2" t="s">
        <v>47</v>
      </c>
      <c r="H522" s="2"/>
      <c r="I522" s="2" t="s">
        <v>696</v>
      </c>
      <c r="J522" s="260">
        <v>12534</v>
      </c>
      <c r="K522" s="260">
        <v>12543</v>
      </c>
      <c r="L522" s="260"/>
      <c r="O522" s="260"/>
      <c r="P522" s="308"/>
      <c r="Q522" s="260"/>
      <c r="R522" s="260"/>
      <c r="S522" s="260"/>
      <c r="U522" s="260"/>
      <c r="V522" s="260"/>
      <c r="W522" s="2"/>
      <c r="X522" s="2"/>
      <c r="Y522" s="2">
        <f t="shared" si="232"/>
        <v>9</v>
      </c>
      <c r="Z522" s="2" t="str">
        <f t="shared" si="233"/>
        <v/>
      </c>
      <c r="AA522" s="2" t="str">
        <f t="shared" si="239"/>
        <v/>
      </c>
      <c r="AB522" s="2" t="str">
        <f t="shared" si="240"/>
        <v/>
      </c>
      <c r="AC522" s="2" t="str">
        <f t="shared" si="241"/>
        <v/>
      </c>
      <c r="AD522" s="2" t="str">
        <f t="shared" si="242"/>
        <v/>
      </c>
      <c r="AE522" s="2" t="str">
        <f t="shared" si="243"/>
        <v/>
      </c>
      <c r="AF522" s="2" t="str">
        <f t="shared" si="244"/>
        <v/>
      </c>
      <c r="AG522" s="2" t="str">
        <f t="shared" si="245"/>
        <v/>
      </c>
      <c r="AH522" s="2" t="str">
        <f t="shared" si="246"/>
        <v/>
      </c>
      <c r="AI522" s="2" t="str">
        <f t="shared" si="247"/>
        <v/>
      </c>
      <c r="AJ522" s="2" t="str">
        <f t="shared" si="248"/>
        <v/>
      </c>
      <c r="AK522" s="2">
        <v>1</v>
      </c>
      <c r="AL522" s="260">
        <f t="shared" ca="1" si="236"/>
        <v>0</v>
      </c>
      <c r="AM522" s="260">
        <f t="shared" ca="1" si="237"/>
        <v>0</v>
      </c>
      <c r="AN522" s="260" t="str">
        <f ca="1">IF(AND(Tabla7[[#This Row],[UltLec]]&lt;&gt;0,Tabla7[[#This Row],[PenLect]]&lt;&gt;0),(AM522-AL522)*Tabla7[[#This Row],[RT]],"N/A")</f>
        <v>N/A</v>
      </c>
      <c r="AO522" s="380" t="s">
        <v>813</v>
      </c>
      <c r="AP522" s="380" t="s">
        <v>1076</v>
      </c>
      <c r="AQ522" s="380" t="s">
        <v>771</v>
      </c>
      <c r="AR522" s="2">
        <f t="shared" si="238"/>
        <v>0</v>
      </c>
      <c r="AT522" s="2" t="e">
        <f t="shared" ca="1" si="249"/>
        <v>#VALUE!</v>
      </c>
    </row>
    <row r="523" spans="1:46" ht="18" hidden="1" customHeight="1" x14ac:dyDescent="0.25">
      <c r="A523" s="406" t="s">
        <v>1080</v>
      </c>
      <c r="B523" s="273" t="s">
        <v>296</v>
      </c>
      <c r="C523" s="367">
        <v>114467100</v>
      </c>
      <c r="D523" s="273" t="s">
        <v>293</v>
      </c>
      <c r="E523" s="274">
        <v>39518</v>
      </c>
      <c r="F523" s="275" t="s">
        <v>917</v>
      </c>
      <c r="G523" s="275" t="s">
        <v>47</v>
      </c>
      <c r="H523" s="275" t="s">
        <v>298</v>
      </c>
      <c r="I523" s="393" t="s">
        <v>1388</v>
      </c>
      <c r="J523" s="277"/>
      <c r="K523" s="277"/>
      <c r="L523" s="277"/>
      <c r="M523" s="277"/>
      <c r="N523" s="277"/>
      <c r="O523" s="277"/>
      <c r="P523" s="277"/>
      <c r="Q523" s="277"/>
      <c r="R523" s="277"/>
      <c r="S523" s="277"/>
      <c r="T523" s="277"/>
      <c r="U523" s="277"/>
      <c r="V523" s="277"/>
      <c r="W523" s="275"/>
      <c r="X523" s="275"/>
      <c r="Y523" s="275" t="str">
        <f t="shared" si="232"/>
        <v/>
      </c>
      <c r="Z523" s="275" t="str">
        <f t="shared" si="233"/>
        <v/>
      </c>
      <c r="AA523" s="275" t="str">
        <f t="shared" si="239"/>
        <v/>
      </c>
      <c r="AB523" s="275" t="str">
        <f t="shared" si="240"/>
        <v/>
      </c>
      <c r="AC523" s="275" t="str">
        <f t="shared" si="241"/>
        <v/>
      </c>
      <c r="AD523" s="275" t="str">
        <f t="shared" si="242"/>
        <v/>
      </c>
      <c r="AE523" s="275" t="str">
        <f t="shared" si="243"/>
        <v/>
      </c>
      <c r="AF523" s="275" t="str">
        <f t="shared" si="244"/>
        <v/>
      </c>
      <c r="AG523" s="275" t="str">
        <f t="shared" si="245"/>
        <v/>
      </c>
      <c r="AH523" s="275" t="str">
        <f t="shared" si="246"/>
        <v/>
      </c>
      <c r="AI523" s="275" t="str">
        <f t="shared" si="247"/>
        <v/>
      </c>
      <c r="AJ523" s="275" t="str">
        <f t="shared" si="248"/>
        <v/>
      </c>
      <c r="AK523" s="275">
        <v>1</v>
      </c>
      <c r="AL523" s="277">
        <f t="shared" ca="1" si="236"/>
        <v>0</v>
      </c>
      <c r="AM523" s="277">
        <f t="shared" ca="1" si="237"/>
        <v>0</v>
      </c>
      <c r="AN523" s="277" t="str">
        <f ca="1">IF(AND(Tabla7[[#This Row],[UltLec]]&lt;&gt;0,Tabla7[[#This Row],[PenLect]]&lt;&gt;0),(AM523-AL523)*Tabla7[[#This Row],[RT]],"N/A")</f>
        <v>N/A</v>
      </c>
      <c r="AO523" s="393" t="s">
        <v>1160</v>
      </c>
      <c r="AP523" s="393" t="s">
        <v>1075</v>
      </c>
      <c r="AQ523" s="393" t="s">
        <v>1074</v>
      </c>
      <c r="AR523" s="275">
        <f t="shared" si="238"/>
        <v>0</v>
      </c>
      <c r="AT523" s="2" t="e">
        <f t="shared" ca="1" si="249"/>
        <v>#VALUE!</v>
      </c>
    </row>
    <row r="524" spans="1:46" ht="18" hidden="1" customHeight="1" x14ac:dyDescent="0.25">
      <c r="A524" s="406" t="s">
        <v>1080</v>
      </c>
      <c r="B524" s="273" t="s">
        <v>296</v>
      </c>
      <c r="C524" s="367">
        <v>114467132</v>
      </c>
      <c r="D524" s="273" t="s">
        <v>293</v>
      </c>
      <c r="E524" s="274">
        <v>39519</v>
      </c>
      <c r="F524" s="275" t="s">
        <v>918</v>
      </c>
      <c r="G524" s="275" t="s">
        <v>47</v>
      </c>
      <c r="H524" s="275" t="s">
        <v>299</v>
      </c>
      <c r="I524" s="393" t="s">
        <v>1388</v>
      </c>
      <c r="J524" s="277"/>
      <c r="K524" s="277"/>
      <c r="L524" s="277"/>
      <c r="M524" s="277"/>
      <c r="N524" s="277"/>
      <c r="O524" s="277"/>
      <c r="P524" s="277"/>
      <c r="Q524" s="277"/>
      <c r="R524" s="277"/>
      <c r="S524" s="277"/>
      <c r="T524" s="277"/>
      <c r="U524" s="277"/>
      <c r="V524" s="277"/>
      <c r="W524" s="275"/>
      <c r="X524" s="275"/>
      <c r="Y524" s="275" t="str">
        <f t="shared" si="232"/>
        <v/>
      </c>
      <c r="Z524" s="275" t="str">
        <f t="shared" si="233"/>
        <v/>
      </c>
      <c r="AA524" s="275" t="str">
        <f t="shared" si="239"/>
        <v/>
      </c>
      <c r="AB524" s="275" t="str">
        <f t="shared" si="240"/>
        <v/>
      </c>
      <c r="AC524" s="275" t="str">
        <f t="shared" si="241"/>
        <v/>
      </c>
      <c r="AD524" s="275" t="str">
        <f t="shared" si="242"/>
        <v/>
      </c>
      <c r="AE524" s="275" t="str">
        <f t="shared" si="243"/>
        <v/>
      </c>
      <c r="AF524" s="275" t="str">
        <f t="shared" si="244"/>
        <v/>
      </c>
      <c r="AG524" s="275" t="str">
        <f t="shared" si="245"/>
        <v/>
      </c>
      <c r="AH524" s="275" t="str">
        <f t="shared" si="246"/>
        <v/>
      </c>
      <c r="AI524" s="275" t="str">
        <f t="shared" si="247"/>
        <v/>
      </c>
      <c r="AJ524" s="275" t="str">
        <f t="shared" si="248"/>
        <v/>
      </c>
      <c r="AK524" s="275">
        <v>1</v>
      </c>
      <c r="AL524" s="277">
        <f t="shared" ca="1" si="236"/>
        <v>0</v>
      </c>
      <c r="AM524" s="277">
        <f t="shared" ca="1" si="237"/>
        <v>0</v>
      </c>
      <c r="AN524" s="277" t="str">
        <f ca="1">IF(AND(Tabla7[[#This Row],[UltLec]]&lt;&gt;0,Tabla7[[#This Row],[PenLect]]&lt;&gt;0),(AM524-AL524)*Tabla7[[#This Row],[RT]],"N/A")</f>
        <v>N/A</v>
      </c>
      <c r="AO524" s="393" t="s">
        <v>1160</v>
      </c>
      <c r="AP524" s="393" t="s">
        <v>1075</v>
      </c>
      <c r="AQ524" s="393" t="s">
        <v>1074</v>
      </c>
      <c r="AR524" s="275">
        <f t="shared" si="238"/>
        <v>0</v>
      </c>
      <c r="AT524" s="2" t="e">
        <f t="shared" ca="1" si="249"/>
        <v>#VALUE!</v>
      </c>
    </row>
    <row r="525" spans="1:46" ht="18" customHeight="1" x14ac:dyDescent="0.25">
      <c r="A525" s="405" t="s">
        <v>19</v>
      </c>
      <c r="B525" s="54"/>
      <c r="C525" s="239">
        <v>114481072</v>
      </c>
      <c r="D525" s="54" t="s">
        <v>293</v>
      </c>
      <c r="E525" s="232">
        <v>132</v>
      </c>
      <c r="F525" s="2" t="s">
        <v>300</v>
      </c>
      <c r="G525" s="2" t="s">
        <v>47</v>
      </c>
      <c r="H525" s="2" t="s">
        <v>300</v>
      </c>
      <c r="I525" s="2"/>
      <c r="J525" s="260">
        <v>152083</v>
      </c>
      <c r="K525" s="260">
        <v>154362</v>
      </c>
      <c r="L525" s="260"/>
      <c r="O525" s="260"/>
      <c r="P525" s="308"/>
      <c r="Q525" s="260"/>
      <c r="R525" s="260"/>
      <c r="S525" s="260"/>
      <c r="U525" s="260"/>
      <c r="V525" s="260"/>
      <c r="W525" s="2"/>
      <c r="X525" s="2"/>
      <c r="Y525" s="2">
        <f t="shared" si="232"/>
        <v>2279</v>
      </c>
      <c r="Z525" s="2" t="str">
        <f t="shared" si="233"/>
        <v/>
      </c>
      <c r="AA525" s="2" t="str">
        <f t="shared" si="239"/>
        <v/>
      </c>
      <c r="AB525" s="2" t="str">
        <f t="shared" si="240"/>
        <v/>
      </c>
      <c r="AC525" s="2" t="str">
        <f t="shared" si="241"/>
        <v/>
      </c>
      <c r="AD525" s="2" t="str">
        <f t="shared" si="242"/>
        <v/>
      </c>
      <c r="AE525" s="2" t="str">
        <f t="shared" si="243"/>
        <v/>
      </c>
      <c r="AF525" s="2" t="str">
        <f t="shared" si="244"/>
        <v/>
      </c>
      <c r="AG525" s="2" t="str">
        <f t="shared" si="245"/>
        <v/>
      </c>
      <c r="AH525" s="2" t="str">
        <f t="shared" si="246"/>
        <v/>
      </c>
      <c r="AI525" s="2" t="str">
        <f t="shared" si="247"/>
        <v/>
      </c>
      <c r="AJ525" s="2" t="str">
        <f t="shared" si="248"/>
        <v/>
      </c>
      <c r="AK525" s="2">
        <v>1</v>
      </c>
      <c r="AL525" s="260">
        <f t="shared" ca="1" si="236"/>
        <v>0</v>
      </c>
      <c r="AM525" s="260">
        <f t="shared" ca="1" si="237"/>
        <v>0</v>
      </c>
      <c r="AN525" s="260" t="str">
        <f ca="1">IF(AND(Tabla7[[#This Row],[UltLec]]&lt;&gt;0,Tabla7[[#This Row],[PenLect]]&lt;&gt;0),(AM525-AL525)*Tabla7[[#This Row],[RT]],"N/A")</f>
        <v>N/A</v>
      </c>
      <c r="AO525" s="380" t="s">
        <v>813</v>
      </c>
      <c r="AP525" s="380" t="s">
        <v>1075</v>
      </c>
      <c r="AQ525" s="380" t="s">
        <v>1074</v>
      </c>
      <c r="AR525" s="2">
        <f t="shared" si="238"/>
        <v>0</v>
      </c>
      <c r="AT525" s="2" t="e">
        <f t="shared" ca="1" si="249"/>
        <v>#VALUE!</v>
      </c>
    </row>
    <row r="526" spans="1:46" ht="18" hidden="1" customHeight="1" x14ac:dyDescent="0.25">
      <c r="A526" s="406" t="s">
        <v>1080</v>
      </c>
      <c r="B526" s="273" t="s">
        <v>296</v>
      </c>
      <c r="C526" s="367">
        <v>114484080</v>
      </c>
      <c r="D526" s="273" t="s">
        <v>293</v>
      </c>
      <c r="E526" s="274">
        <v>39517</v>
      </c>
      <c r="F526" s="275" t="s">
        <v>919</v>
      </c>
      <c r="G526" s="275" t="s">
        <v>47</v>
      </c>
      <c r="H526" s="275" t="s">
        <v>297</v>
      </c>
      <c r="I526" s="393" t="s">
        <v>1388</v>
      </c>
      <c r="J526" s="277"/>
      <c r="K526" s="277"/>
      <c r="L526" s="277"/>
      <c r="M526" s="277"/>
      <c r="N526" s="277"/>
      <c r="O526" s="277"/>
      <c r="P526" s="277"/>
      <c r="Q526" s="277"/>
      <c r="R526" s="277"/>
      <c r="S526" s="277"/>
      <c r="T526" s="277"/>
      <c r="U526" s="277"/>
      <c r="V526" s="277"/>
      <c r="W526" s="275"/>
      <c r="X526" s="275"/>
      <c r="Y526" s="275" t="str">
        <f t="shared" si="232"/>
        <v/>
      </c>
      <c r="Z526" s="275" t="str">
        <f t="shared" si="233"/>
        <v/>
      </c>
      <c r="AA526" s="275" t="str">
        <f t="shared" si="239"/>
        <v/>
      </c>
      <c r="AB526" s="275" t="str">
        <f t="shared" si="240"/>
        <v/>
      </c>
      <c r="AC526" s="275" t="str">
        <f t="shared" si="241"/>
        <v/>
      </c>
      <c r="AD526" s="275" t="str">
        <f t="shared" si="242"/>
        <v/>
      </c>
      <c r="AE526" s="275" t="str">
        <f t="shared" si="243"/>
        <v/>
      </c>
      <c r="AF526" s="275" t="str">
        <f t="shared" si="244"/>
        <v/>
      </c>
      <c r="AG526" s="275" t="str">
        <f t="shared" si="245"/>
        <v/>
      </c>
      <c r="AH526" s="275" t="str">
        <f t="shared" si="246"/>
        <v/>
      </c>
      <c r="AI526" s="275" t="str">
        <f t="shared" si="247"/>
        <v/>
      </c>
      <c r="AJ526" s="275" t="str">
        <f t="shared" si="248"/>
        <v/>
      </c>
      <c r="AK526" s="275">
        <v>1</v>
      </c>
      <c r="AL526" s="277">
        <f t="shared" ca="1" si="236"/>
        <v>0</v>
      </c>
      <c r="AM526" s="277">
        <f t="shared" ca="1" si="237"/>
        <v>0</v>
      </c>
      <c r="AN526" s="277" t="str">
        <f ca="1">IF(AND(Tabla7[[#This Row],[UltLec]]&lt;&gt;0,Tabla7[[#This Row],[PenLect]]&lt;&gt;0),(AM526-AL526)*Tabla7[[#This Row],[RT]],"N/A")</f>
        <v>N/A</v>
      </c>
      <c r="AO526" s="393" t="s">
        <v>1160</v>
      </c>
      <c r="AP526" s="393" t="s">
        <v>1075</v>
      </c>
      <c r="AQ526" s="393" t="s">
        <v>1074</v>
      </c>
      <c r="AR526" s="275">
        <f t="shared" si="238"/>
        <v>0</v>
      </c>
      <c r="AT526" s="2" t="e">
        <f t="shared" ca="1" si="249"/>
        <v>#VALUE!</v>
      </c>
    </row>
    <row r="527" spans="1:46" ht="18" hidden="1" customHeight="1" x14ac:dyDescent="0.25">
      <c r="A527" s="406" t="s">
        <v>1080</v>
      </c>
      <c r="B527" s="273">
        <v>1178</v>
      </c>
      <c r="C527" s="367" t="s">
        <v>294</v>
      </c>
      <c r="D527" s="273" t="s">
        <v>293</v>
      </c>
      <c r="E527" s="274">
        <v>39504</v>
      </c>
      <c r="F527" s="275" t="s">
        <v>145</v>
      </c>
      <c r="G527" s="275" t="s">
        <v>47</v>
      </c>
      <c r="H527" s="275" t="s">
        <v>295</v>
      </c>
      <c r="I527" s="275" t="s">
        <v>1454</v>
      </c>
      <c r="J527" s="277"/>
      <c r="K527" s="277"/>
      <c r="L527" s="277"/>
      <c r="M527" s="277"/>
      <c r="N527" s="277"/>
      <c r="O527" s="277"/>
      <c r="P527" s="277"/>
      <c r="Q527" s="277"/>
      <c r="R527" s="277"/>
      <c r="S527" s="277"/>
      <c r="T527" s="277"/>
      <c r="U527" s="277"/>
      <c r="V527" s="277"/>
      <c r="W527" s="275"/>
      <c r="X527" s="275"/>
      <c r="Y527" s="275" t="str">
        <f t="shared" ref="Y527:Y548" si="250">IF(OR(ISBLANK(K527),ISBLANK(J527)),"",IF(AND(K527&gt;=J527,K527-J527&lt;=K527),(K527-J527)*$AK527,"!!!!"))</f>
        <v/>
      </c>
      <c r="Z527" s="275" t="str">
        <f t="shared" ref="Z527:Z548" si="251">IF(OR(ISBLANK(L527),ISBLANK(K527)),"",IF(AND(L527&gt;=K527,L527-K527&lt;=L527),(L527-K527)*$AK527,"!!!!"))</f>
        <v/>
      </c>
      <c r="AA527" s="275" t="str">
        <f t="shared" si="239"/>
        <v/>
      </c>
      <c r="AB527" s="275" t="str">
        <f t="shared" si="240"/>
        <v/>
      </c>
      <c r="AC527" s="275" t="str">
        <f t="shared" si="241"/>
        <v/>
      </c>
      <c r="AD527" s="275" t="str">
        <f t="shared" si="242"/>
        <v/>
      </c>
      <c r="AE527" s="275" t="str">
        <f t="shared" si="243"/>
        <v/>
      </c>
      <c r="AF527" s="275" t="str">
        <f t="shared" si="244"/>
        <v/>
      </c>
      <c r="AG527" s="275" t="str">
        <f t="shared" si="245"/>
        <v/>
      </c>
      <c r="AH527" s="275" t="str">
        <f t="shared" si="246"/>
        <v/>
      </c>
      <c r="AI527" s="275" t="str">
        <f t="shared" si="247"/>
        <v/>
      </c>
      <c r="AJ527" s="275" t="str">
        <f t="shared" si="248"/>
        <v/>
      </c>
      <c r="AK527" s="275">
        <v>1</v>
      </c>
      <c r="AL527" s="277">
        <f t="shared" ca="1" si="236"/>
        <v>0</v>
      </c>
      <c r="AM527" s="277">
        <f t="shared" ca="1" si="237"/>
        <v>0</v>
      </c>
      <c r="AN527" s="277" t="str">
        <f ca="1">IF(AND(Tabla7[[#This Row],[UltLec]]&lt;&gt;0,Tabla7[[#This Row],[PenLect]]&lt;&gt;0),(AM527-AL527)*Tabla7[[#This Row],[RT]],"N/A")</f>
        <v>N/A</v>
      </c>
      <c r="AO527" s="393" t="s">
        <v>1160</v>
      </c>
      <c r="AP527" s="393" t="s">
        <v>1075</v>
      </c>
      <c r="AQ527" s="393" t="s">
        <v>1074</v>
      </c>
      <c r="AR527" s="275">
        <f t="shared" si="238"/>
        <v>0</v>
      </c>
      <c r="AT527" s="2" t="e">
        <f t="shared" ca="1" si="249"/>
        <v>#VALUE!</v>
      </c>
    </row>
    <row r="528" spans="1:46" ht="18" customHeight="1" x14ac:dyDescent="0.25">
      <c r="A528" s="405" t="s">
        <v>698</v>
      </c>
      <c r="B528" s="54"/>
      <c r="C528" s="239" t="s">
        <v>1182</v>
      </c>
      <c r="D528" s="54" t="s">
        <v>293</v>
      </c>
      <c r="E528" s="232">
        <v>30000</v>
      </c>
      <c r="F528" s="2" t="s">
        <v>700</v>
      </c>
      <c r="G528" s="2" t="s">
        <v>63</v>
      </c>
      <c r="H528" s="2"/>
      <c r="I528" s="2"/>
      <c r="J528" s="260">
        <v>2355157</v>
      </c>
      <c r="K528" s="260">
        <v>2394903</v>
      </c>
      <c r="L528" s="260"/>
      <c r="O528" s="260"/>
      <c r="P528" s="308"/>
      <c r="Q528" s="308"/>
      <c r="R528" s="260"/>
      <c r="S528" s="260"/>
      <c r="U528" s="260"/>
      <c r="V528" s="260"/>
      <c r="W528" s="2"/>
      <c r="X528" s="2"/>
      <c r="Y528" s="2">
        <f t="shared" si="250"/>
        <v>39746</v>
      </c>
      <c r="Z528" s="2" t="str">
        <f t="shared" si="251"/>
        <v/>
      </c>
      <c r="AA528" s="2" t="str">
        <f t="shared" si="239"/>
        <v/>
      </c>
      <c r="AB528" s="2" t="str">
        <f t="shared" si="240"/>
        <v/>
      </c>
      <c r="AC528" s="2" t="str">
        <f t="shared" si="241"/>
        <v/>
      </c>
      <c r="AD528" s="2" t="str">
        <f t="shared" si="242"/>
        <v/>
      </c>
      <c r="AE528" s="2" t="str">
        <f t="shared" si="243"/>
        <v/>
      </c>
      <c r="AF528" s="2" t="str">
        <f t="shared" si="244"/>
        <v/>
      </c>
      <c r="AG528" s="2" t="str">
        <f t="shared" si="245"/>
        <v/>
      </c>
      <c r="AH528" s="2" t="str">
        <f t="shared" si="246"/>
        <v/>
      </c>
      <c r="AI528" s="2" t="str">
        <f t="shared" si="247"/>
        <v/>
      </c>
      <c r="AJ528" s="2" t="str">
        <f t="shared" si="248"/>
        <v/>
      </c>
      <c r="AK528" s="2">
        <v>1</v>
      </c>
      <c r="AL528" s="260">
        <f t="shared" ca="1" si="236"/>
        <v>0</v>
      </c>
      <c r="AM528" s="260">
        <f t="shared" ca="1" si="237"/>
        <v>0</v>
      </c>
      <c r="AN528" s="260" t="str">
        <f ca="1">IF(AND(Tabla7[[#This Row],[UltLec]]&lt;&gt;0,Tabla7[[#This Row],[PenLect]]&lt;&gt;0),(AM528-AL528)*Tabla7[[#This Row],[RT]],"N/A")</f>
        <v>N/A</v>
      </c>
      <c r="AO528" s="380" t="s">
        <v>813</v>
      </c>
      <c r="AP528" s="380" t="s">
        <v>1076</v>
      </c>
      <c r="AQ528" s="380" t="s">
        <v>771</v>
      </c>
      <c r="AR528" s="2">
        <f t="shared" si="238"/>
        <v>0</v>
      </c>
      <c r="AT528" s="2" t="e">
        <f t="shared" ca="1" si="249"/>
        <v>#VALUE!</v>
      </c>
    </row>
    <row r="529" spans="1:46" ht="18" customHeight="1" x14ac:dyDescent="0.25">
      <c r="A529" s="405" t="s">
        <v>19</v>
      </c>
      <c r="B529" s="54"/>
      <c r="C529" s="239" t="s">
        <v>1184</v>
      </c>
      <c r="D529" s="54" t="s">
        <v>293</v>
      </c>
      <c r="E529" s="232">
        <v>132</v>
      </c>
      <c r="F529" s="2" t="s">
        <v>442</v>
      </c>
      <c r="G529" s="2" t="s">
        <v>47</v>
      </c>
      <c r="H529" s="2"/>
      <c r="I529" s="2" t="s">
        <v>1185</v>
      </c>
      <c r="J529" s="260">
        <v>592827</v>
      </c>
      <c r="K529" s="260">
        <v>601719</v>
      </c>
      <c r="L529" s="260"/>
      <c r="O529" s="260"/>
      <c r="P529" s="308"/>
      <c r="Q529" s="260"/>
      <c r="R529" s="260"/>
      <c r="S529" s="260"/>
      <c r="U529" s="260"/>
      <c r="V529" s="260"/>
      <c r="W529" s="2"/>
      <c r="X529" s="2"/>
      <c r="Y529" s="2">
        <f t="shared" si="250"/>
        <v>8892</v>
      </c>
      <c r="Z529" s="2" t="str">
        <f t="shared" si="251"/>
        <v/>
      </c>
      <c r="AA529" s="2" t="str">
        <f t="shared" si="239"/>
        <v/>
      </c>
      <c r="AB529" s="2" t="str">
        <f t="shared" si="240"/>
        <v/>
      </c>
      <c r="AC529" s="2" t="str">
        <f t="shared" si="241"/>
        <v/>
      </c>
      <c r="AD529" s="2" t="str">
        <f t="shared" si="242"/>
        <v/>
      </c>
      <c r="AE529" s="2" t="str">
        <f t="shared" si="243"/>
        <v/>
      </c>
      <c r="AF529" s="2" t="str">
        <f t="shared" si="244"/>
        <v/>
      </c>
      <c r="AG529" s="2" t="str">
        <f t="shared" si="245"/>
        <v/>
      </c>
      <c r="AH529" s="2" t="str">
        <f t="shared" si="246"/>
        <v/>
      </c>
      <c r="AI529" s="2" t="str">
        <f t="shared" si="247"/>
        <v/>
      </c>
      <c r="AJ529" s="2" t="str">
        <f t="shared" si="248"/>
        <v/>
      </c>
      <c r="AK529" s="2">
        <v>1</v>
      </c>
      <c r="AL529" s="260">
        <f t="shared" ca="1" si="236"/>
        <v>0</v>
      </c>
      <c r="AM529" s="260">
        <f t="shared" ca="1" si="237"/>
        <v>0</v>
      </c>
      <c r="AN529" s="260" t="str">
        <f ca="1">IF(AND(Tabla7[[#This Row],[UltLec]]&lt;&gt;0,Tabla7[[#This Row],[PenLect]]&lt;&gt;0),(AM529-AL529)*Tabla7[[#This Row],[RT]],"N/A")</f>
        <v>N/A</v>
      </c>
      <c r="AO529" s="380" t="s">
        <v>813</v>
      </c>
      <c r="AP529" s="380" t="s">
        <v>1076</v>
      </c>
      <c r="AQ529" s="380" t="s">
        <v>771</v>
      </c>
      <c r="AR529" s="2">
        <f t="shared" si="238"/>
        <v>0</v>
      </c>
      <c r="AT529" s="2" t="e">
        <f t="shared" ca="1" si="249"/>
        <v>#VALUE!</v>
      </c>
    </row>
    <row r="530" spans="1:46" ht="18" customHeight="1" x14ac:dyDescent="0.25">
      <c r="A530" s="405" t="s">
        <v>19</v>
      </c>
      <c r="B530" s="54"/>
      <c r="C530" s="239" t="s">
        <v>1183</v>
      </c>
      <c r="D530" s="54" t="s">
        <v>293</v>
      </c>
      <c r="E530" s="232">
        <v>131</v>
      </c>
      <c r="F530" s="2" t="s">
        <v>440</v>
      </c>
      <c r="G530" s="2" t="s">
        <v>47</v>
      </c>
      <c r="H530" s="2"/>
      <c r="I530" s="2"/>
      <c r="J530" s="260">
        <v>172659</v>
      </c>
      <c r="K530" s="260">
        <v>174666</v>
      </c>
      <c r="L530" s="260"/>
      <c r="O530" s="260"/>
      <c r="P530" s="308"/>
      <c r="Q530" s="260"/>
      <c r="R530" s="260"/>
      <c r="S530" s="260"/>
      <c r="U530" s="260"/>
      <c r="V530" s="260"/>
      <c r="W530" s="2"/>
      <c r="X530" s="2"/>
      <c r="Y530" s="2">
        <f t="shared" si="250"/>
        <v>2007</v>
      </c>
      <c r="Z530" s="2" t="str">
        <f t="shared" si="251"/>
        <v/>
      </c>
      <c r="AA530" s="2" t="str">
        <f t="shared" si="239"/>
        <v/>
      </c>
      <c r="AB530" s="2" t="str">
        <f t="shared" si="240"/>
        <v/>
      </c>
      <c r="AC530" s="2" t="str">
        <f t="shared" si="241"/>
        <v/>
      </c>
      <c r="AD530" s="2" t="str">
        <f t="shared" si="242"/>
        <v/>
      </c>
      <c r="AE530" s="2" t="str">
        <f t="shared" si="243"/>
        <v/>
      </c>
      <c r="AF530" s="2" t="str">
        <f t="shared" si="244"/>
        <v/>
      </c>
      <c r="AG530" s="2" t="str">
        <f t="shared" si="245"/>
        <v/>
      </c>
      <c r="AH530" s="2" t="str">
        <f t="shared" si="246"/>
        <v/>
      </c>
      <c r="AI530" s="2" t="str">
        <f t="shared" si="247"/>
        <v/>
      </c>
      <c r="AJ530" s="2" t="str">
        <f t="shared" si="248"/>
        <v/>
      </c>
      <c r="AK530" s="2">
        <v>1</v>
      </c>
      <c r="AL530" s="260">
        <f t="shared" ca="1" si="236"/>
        <v>0</v>
      </c>
      <c r="AM530" s="260">
        <f t="shared" ca="1" si="237"/>
        <v>0</v>
      </c>
      <c r="AN530" s="260" t="str">
        <f ca="1">IF(AND(Tabla7[[#This Row],[UltLec]]&lt;&gt;0,Tabla7[[#This Row],[PenLect]]&lt;&gt;0),(AM530-AL530)*Tabla7[[#This Row],[RT]],"N/A")</f>
        <v>N/A</v>
      </c>
      <c r="AO530" s="380" t="s">
        <v>813</v>
      </c>
      <c r="AP530" s="380" t="s">
        <v>1076</v>
      </c>
      <c r="AQ530" s="380" t="s">
        <v>771</v>
      </c>
      <c r="AR530" s="2">
        <f t="shared" si="238"/>
        <v>0</v>
      </c>
      <c r="AT530" s="2" t="e">
        <f t="shared" ca="1" si="249"/>
        <v>#VALUE!</v>
      </c>
    </row>
    <row r="531" spans="1:46" ht="18" customHeight="1" x14ac:dyDescent="0.25">
      <c r="A531" s="405" t="s">
        <v>19</v>
      </c>
      <c r="B531" s="54"/>
      <c r="C531" s="239" t="s">
        <v>1138</v>
      </c>
      <c r="D531" s="54" t="s">
        <v>293</v>
      </c>
      <c r="E531" s="232">
        <v>141</v>
      </c>
      <c r="F531" s="2" t="s">
        <v>759</v>
      </c>
      <c r="G531" s="2" t="s">
        <v>760</v>
      </c>
      <c r="H531" s="2"/>
      <c r="I531" s="2"/>
      <c r="J531" s="260">
        <v>22980</v>
      </c>
      <c r="K531" s="260">
        <v>24932</v>
      </c>
      <c r="L531" s="260"/>
      <c r="O531" s="260"/>
      <c r="P531" s="308"/>
      <c r="Q531" s="260"/>
      <c r="R531" s="260"/>
      <c r="S531" s="260"/>
      <c r="U531" s="260"/>
      <c r="V531" s="260"/>
      <c r="W531" s="2"/>
      <c r="X531" s="2"/>
      <c r="Y531" s="2">
        <f t="shared" si="250"/>
        <v>1952</v>
      </c>
      <c r="Z531" s="2" t="str">
        <f t="shared" si="251"/>
        <v/>
      </c>
      <c r="AA531" s="2" t="str">
        <f t="shared" si="239"/>
        <v/>
      </c>
      <c r="AB531" s="2" t="str">
        <f t="shared" si="240"/>
        <v/>
      </c>
      <c r="AC531" s="2" t="str">
        <f t="shared" si="241"/>
        <v/>
      </c>
      <c r="AD531" s="2" t="str">
        <f t="shared" si="242"/>
        <v/>
      </c>
      <c r="AE531" s="2" t="str">
        <f t="shared" si="243"/>
        <v/>
      </c>
      <c r="AF531" s="2" t="str">
        <f t="shared" si="244"/>
        <v/>
      </c>
      <c r="AG531" s="2" t="str">
        <f t="shared" si="245"/>
        <v/>
      </c>
      <c r="AH531" s="2" t="str">
        <f t="shared" si="246"/>
        <v/>
      </c>
      <c r="AI531" s="2" t="str">
        <f t="shared" si="247"/>
        <v/>
      </c>
      <c r="AJ531" s="2" t="str">
        <f t="shared" si="248"/>
        <v/>
      </c>
      <c r="AK531" s="2">
        <v>1</v>
      </c>
      <c r="AL531" s="260">
        <f t="shared" ca="1" si="236"/>
        <v>0</v>
      </c>
      <c r="AM531" s="260">
        <f t="shared" ca="1" si="237"/>
        <v>0</v>
      </c>
      <c r="AN531" s="260" t="str">
        <f ca="1">IF(AND(Tabla7[[#This Row],[UltLec]]&lt;&gt;0,Tabla7[[#This Row],[PenLect]]&lt;&gt;0),(AM531-AL531)*Tabla7[[#This Row],[RT]],"N/A")</f>
        <v>N/A</v>
      </c>
      <c r="AO531" s="380" t="s">
        <v>813</v>
      </c>
      <c r="AP531" s="380" t="s">
        <v>1076</v>
      </c>
      <c r="AQ531" s="380" t="s">
        <v>771</v>
      </c>
      <c r="AR531" s="2">
        <f t="shared" si="238"/>
        <v>0</v>
      </c>
      <c r="AT531" s="2" t="e">
        <f t="shared" ca="1" si="249"/>
        <v>#VALUE!</v>
      </c>
    </row>
    <row r="532" spans="1:46" ht="18" hidden="1" customHeight="1" x14ac:dyDescent="0.25">
      <c r="A532" s="406" t="s">
        <v>1080</v>
      </c>
      <c r="B532" s="273" t="s">
        <v>296</v>
      </c>
      <c r="C532" s="367">
        <v>114467037</v>
      </c>
      <c r="D532" s="273" t="s">
        <v>301</v>
      </c>
      <c r="E532" s="274">
        <v>39548</v>
      </c>
      <c r="F532" s="504" t="s">
        <v>920</v>
      </c>
      <c r="G532" s="393" t="s">
        <v>47</v>
      </c>
      <c r="H532" s="393" t="s">
        <v>304</v>
      </c>
      <c r="I532" s="393" t="s">
        <v>1388</v>
      </c>
      <c r="J532" s="393"/>
      <c r="K532" s="393"/>
      <c r="L532" s="393"/>
      <c r="M532" s="393"/>
      <c r="N532" s="393"/>
      <c r="O532" s="393"/>
      <c r="P532" s="393"/>
      <c r="Q532" s="393"/>
      <c r="R532" s="393"/>
      <c r="S532" s="393"/>
      <c r="T532" s="393"/>
      <c r="U532" s="393"/>
      <c r="V532" s="393"/>
      <c r="W532" s="277"/>
      <c r="X532" s="277"/>
      <c r="Y532" s="277" t="str">
        <f t="shared" si="250"/>
        <v/>
      </c>
      <c r="Z532" s="277" t="str">
        <f t="shared" si="251"/>
        <v/>
      </c>
      <c r="AA532" s="277" t="str">
        <f t="shared" si="239"/>
        <v/>
      </c>
      <c r="AB532" s="277" t="str">
        <f t="shared" si="240"/>
        <v/>
      </c>
      <c r="AC532" s="277" t="str">
        <f t="shared" si="241"/>
        <v/>
      </c>
      <c r="AD532" s="277" t="str">
        <f t="shared" si="242"/>
        <v/>
      </c>
      <c r="AE532" s="277" t="str">
        <f t="shared" si="243"/>
        <v/>
      </c>
      <c r="AF532" s="277" t="str">
        <f t="shared" si="244"/>
        <v/>
      </c>
      <c r="AG532" s="277" t="str">
        <f t="shared" si="245"/>
        <v/>
      </c>
      <c r="AH532" s="277" t="str">
        <f t="shared" si="246"/>
        <v/>
      </c>
      <c r="AI532" s="277" t="str">
        <f t="shared" si="247"/>
        <v/>
      </c>
      <c r="AJ532" s="277" t="str">
        <f t="shared" si="248"/>
        <v/>
      </c>
      <c r="AK532" s="277">
        <v>1</v>
      </c>
      <c r="AL532" s="277">
        <f t="shared" ca="1" si="236"/>
        <v>0</v>
      </c>
      <c r="AM532" s="277">
        <f t="shared" ca="1" si="237"/>
        <v>0</v>
      </c>
      <c r="AN532" s="277" t="str">
        <f ca="1">IF(AND(Tabla7[[#This Row],[UltLec]]&lt;&gt;0,Tabla7[[#This Row],[PenLect]]&lt;&gt;0),(AM532-AL532)*Tabla7[[#This Row],[RT]],"N/A")</f>
        <v>N/A</v>
      </c>
      <c r="AO532" s="393" t="s">
        <v>1160</v>
      </c>
      <c r="AP532" s="277" t="s">
        <v>1075</v>
      </c>
      <c r="AQ532" s="277" t="s">
        <v>1074</v>
      </c>
      <c r="AR532" s="277">
        <f t="shared" si="238"/>
        <v>0</v>
      </c>
      <c r="AT532" s="2" t="e">
        <f t="shared" ca="1" si="249"/>
        <v>#VALUE!</v>
      </c>
    </row>
    <row r="533" spans="1:46" ht="18" hidden="1" customHeight="1" x14ac:dyDescent="0.25">
      <c r="A533" s="406" t="s">
        <v>1080</v>
      </c>
      <c r="B533" s="273" t="s">
        <v>296</v>
      </c>
      <c r="C533" s="367">
        <v>114481080</v>
      </c>
      <c r="D533" s="273" t="s">
        <v>301</v>
      </c>
      <c r="E533" s="274">
        <v>39547</v>
      </c>
      <c r="F533" s="504" t="s">
        <v>922</v>
      </c>
      <c r="G533" s="393" t="s">
        <v>47</v>
      </c>
      <c r="H533" s="393" t="s">
        <v>303</v>
      </c>
      <c r="I533" s="393" t="s">
        <v>1388</v>
      </c>
      <c r="J533" s="393"/>
      <c r="K533" s="393"/>
      <c r="L533" s="393"/>
      <c r="M533" s="393"/>
      <c r="N533" s="393"/>
      <c r="O533" s="393"/>
      <c r="P533" s="393"/>
      <c r="Q533" s="393"/>
      <c r="R533" s="393"/>
      <c r="S533" s="393"/>
      <c r="T533" s="393"/>
      <c r="U533" s="393"/>
      <c r="V533" s="393"/>
      <c r="W533" s="277"/>
      <c r="X533" s="277"/>
      <c r="Y533" s="277" t="str">
        <f t="shared" si="250"/>
        <v/>
      </c>
      <c r="Z533" s="277" t="str">
        <f t="shared" si="251"/>
        <v/>
      </c>
      <c r="AA533" s="277" t="str">
        <f t="shared" si="239"/>
        <v/>
      </c>
      <c r="AB533" s="277" t="str">
        <f t="shared" si="240"/>
        <v/>
      </c>
      <c r="AC533" s="277" t="str">
        <f t="shared" si="241"/>
        <v/>
      </c>
      <c r="AD533" s="277" t="str">
        <f t="shared" si="242"/>
        <v/>
      </c>
      <c r="AE533" s="277" t="str">
        <f t="shared" si="243"/>
        <v/>
      </c>
      <c r="AF533" s="277" t="str">
        <f t="shared" si="244"/>
        <v/>
      </c>
      <c r="AG533" s="277" t="str">
        <f t="shared" si="245"/>
        <v/>
      </c>
      <c r="AH533" s="277" t="str">
        <f t="shared" si="246"/>
        <v/>
      </c>
      <c r="AI533" s="277" t="str">
        <f t="shared" si="247"/>
        <v/>
      </c>
      <c r="AJ533" s="277" t="str">
        <f t="shared" si="248"/>
        <v/>
      </c>
      <c r="AK533" s="277">
        <v>1</v>
      </c>
      <c r="AL533" s="277">
        <f t="shared" ca="1" si="236"/>
        <v>0</v>
      </c>
      <c r="AM533" s="277">
        <f t="shared" ca="1" si="237"/>
        <v>0</v>
      </c>
      <c r="AN533" s="277" t="str">
        <f ca="1">IF(AND(Tabla7[[#This Row],[UltLec]]&lt;&gt;0,Tabla7[[#This Row],[PenLect]]&lt;&gt;0),(AM533-AL533)*Tabla7[[#This Row],[RT]],"N/A")</f>
        <v>N/A</v>
      </c>
      <c r="AO533" s="393" t="s">
        <v>1160</v>
      </c>
      <c r="AP533" s="277" t="s">
        <v>1075</v>
      </c>
      <c r="AQ533" s="277" t="s">
        <v>1074</v>
      </c>
      <c r="AR533" s="277">
        <f t="shared" si="238"/>
        <v>0</v>
      </c>
      <c r="AT533" s="2" t="e">
        <f t="shared" ca="1" si="249"/>
        <v>#VALUE!</v>
      </c>
    </row>
    <row r="534" spans="1:46" ht="18" hidden="1" customHeight="1" x14ac:dyDescent="0.25">
      <c r="A534" s="406" t="s">
        <v>1080</v>
      </c>
      <c r="B534" s="273">
        <v>2055</v>
      </c>
      <c r="C534" s="367">
        <v>1021184090</v>
      </c>
      <c r="D534" s="273" t="s">
        <v>301</v>
      </c>
      <c r="E534" s="274">
        <v>39710</v>
      </c>
      <c r="F534" s="504" t="s">
        <v>1656</v>
      </c>
      <c r="G534" s="393" t="s">
        <v>47</v>
      </c>
      <c r="H534" s="393" t="s">
        <v>1657</v>
      </c>
      <c r="I534" s="393" t="s">
        <v>1691</v>
      </c>
      <c r="J534" s="393">
        <v>8250</v>
      </c>
      <c r="K534" s="393"/>
      <c r="L534" s="393"/>
      <c r="M534" s="393"/>
      <c r="N534" s="393"/>
      <c r="O534" s="393"/>
      <c r="P534" s="393"/>
      <c r="Q534" s="393"/>
      <c r="R534" s="393"/>
      <c r="S534" s="393"/>
      <c r="T534" s="393"/>
      <c r="U534" s="393"/>
      <c r="V534" s="393"/>
      <c r="W534" s="393"/>
      <c r="X534" s="393"/>
      <c r="Y534" s="393" t="str">
        <f t="shared" si="250"/>
        <v/>
      </c>
      <c r="Z534" s="393" t="str">
        <f t="shared" si="251"/>
        <v/>
      </c>
      <c r="AA534" s="393" t="str">
        <f>IF(OR(ISBLANK(#REF!),ISBLANK(L534)),"",IF(AND(#REF!&gt;=L534,#REF!-L534&lt;=#REF!),(#REF!-L534)*$AK534,"!!!!"))</f>
        <v/>
      </c>
      <c r="AB534" s="393" t="str">
        <f>IF(OR(ISBLANK(N534),ISBLANK(#REF!)),"",IF(AND(N534&gt;=#REF!,N534-#REF!&lt;=N534),(N534-#REF!)*$AK534,"!!!!"))</f>
        <v/>
      </c>
      <c r="AC534" s="393" t="str">
        <f t="shared" si="241"/>
        <v/>
      </c>
      <c r="AD534" s="393" t="str">
        <f t="shared" si="242"/>
        <v/>
      </c>
      <c r="AE534" s="393" t="str">
        <f t="shared" si="243"/>
        <v/>
      </c>
      <c r="AF534" s="393" t="str">
        <f t="shared" si="244"/>
        <v/>
      </c>
      <c r="AG534" s="393" t="str">
        <f t="shared" si="245"/>
        <v/>
      </c>
      <c r="AH534" s="393" t="str">
        <f t="shared" si="246"/>
        <v/>
      </c>
      <c r="AI534" s="393" t="str">
        <f t="shared" si="247"/>
        <v/>
      </c>
      <c r="AJ534" s="393" t="str">
        <f t="shared" si="248"/>
        <v/>
      </c>
      <c r="AK534" s="393">
        <v>1</v>
      </c>
      <c r="AL534" s="393">
        <f t="shared" ca="1" si="236"/>
        <v>0</v>
      </c>
      <c r="AM534" s="393">
        <f t="shared" ca="1" si="237"/>
        <v>0</v>
      </c>
      <c r="AN534" s="393" t="str">
        <f ca="1">IF(AND(Tabla7[[#This Row],[UltLec]]&lt;&gt;0,Tabla7[[#This Row],[PenLect]]&lt;&gt;0),(AM534-AL534)*Tabla7[[#This Row],[RT]],"N/A")</f>
        <v>N/A</v>
      </c>
      <c r="AO534" s="393" t="s">
        <v>1160</v>
      </c>
      <c r="AP534" s="393" t="s">
        <v>1075</v>
      </c>
      <c r="AQ534" s="393" t="s">
        <v>1074</v>
      </c>
      <c r="AR534" s="393">
        <f t="shared" si="238"/>
        <v>0</v>
      </c>
      <c r="AT534" s="2" t="e">
        <f t="shared" ca="1" si="249"/>
        <v>#VALUE!</v>
      </c>
    </row>
    <row r="535" spans="1:46" ht="18" hidden="1" customHeight="1" x14ac:dyDescent="0.25">
      <c r="A535" s="406" t="s">
        <v>1080</v>
      </c>
      <c r="B535" s="273" t="s">
        <v>296</v>
      </c>
      <c r="C535" s="367" t="s">
        <v>1325</v>
      </c>
      <c r="D535" s="273" t="s">
        <v>301</v>
      </c>
      <c r="E535" s="274">
        <v>39526</v>
      </c>
      <c r="F535" s="393" t="s">
        <v>923</v>
      </c>
      <c r="G535" s="393" t="s">
        <v>47</v>
      </c>
      <c r="H535" s="393" t="s">
        <v>302</v>
      </c>
      <c r="I535" s="393" t="s">
        <v>1388</v>
      </c>
      <c r="J535" s="393"/>
      <c r="K535" s="393"/>
      <c r="L535" s="393"/>
      <c r="M535" s="393"/>
      <c r="N535" s="393"/>
      <c r="O535" s="393"/>
      <c r="P535" s="393"/>
      <c r="Q535" s="393"/>
      <c r="R535" s="393"/>
      <c r="S535" s="393"/>
      <c r="T535" s="393"/>
      <c r="U535" s="393"/>
      <c r="V535" s="393"/>
      <c r="W535" s="277"/>
      <c r="X535" s="277"/>
      <c r="Y535" s="277" t="str">
        <f t="shared" si="250"/>
        <v/>
      </c>
      <c r="Z535" s="277" t="str">
        <f t="shared" si="251"/>
        <v/>
      </c>
      <c r="AA535" s="277" t="str">
        <f t="shared" ref="AA535:AA545" si="252">IF(OR(ISBLANK(M535),ISBLANK(L535)),"",IF(AND(M535&gt;=L535,M535-L535&lt;=M535),(M535-L535)*$AK535,"!!!!"))</f>
        <v/>
      </c>
      <c r="AB535" s="277" t="str">
        <f t="shared" ref="AB535:AB545" si="253">IF(OR(ISBLANK(N535),ISBLANK(M535)),"",IF(AND(N535&gt;=M535,N535-M535&lt;=N535),(N535-M535)*$AK535,"!!!!"))</f>
        <v/>
      </c>
      <c r="AC535" s="277" t="str">
        <f t="shared" si="241"/>
        <v/>
      </c>
      <c r="AD535" s="277" t="str">
        <f t="shared" si="242"/>
        <v/>
      </c>
      <c r="AE535" s="277" t="str">
        <f t="shared" si="243"/>
        <v/>
      </c>
      <c r="AF535" s="277" t="str">
        <f t="shared" si="244"/>
        <v/>
      </c>
      <c r="AG535" s="277" t="str">
        <f t="shared" si="245"/>
        <v/>
      </c>
      <c r="AH535" s="277" t="str">
        <f t="shared" si="246"/>
        <v/>
      </c>
      <c r="AI535" s="277" t="str">
        <f t="shared" si="247"/>
        <v/>
      </c>
      <c r="AJ535" s="277" t="str">
        <f t="shared" si="248"/>
        <v/>
      </c>
      <c r="AK535" s="277">
        <v>1</v>
      </c>
      <c r="AL535" s="277">
        <f t="shared" ca="1" si="236"/>
        <v>0</v>
      </c>
      <c r="AM535" s="277">
        <f t="shared" ca="1" si="237"/>
        <v>0</v>
      </c>
      <c r="AN535" s="277" t="str">
        <f ca="1">IF(AND(Tabla7[[#This Row],[UltLec]]&lt;&gt;0,Tabla7[[#This Row],[PenLect]]&lt;&gt;0),(AM535-AL535)*Tabla7[[#This Row],[RT]],"N/A")</f>
        <v>N/A</v>
      </c>
      <c r="AO535" s="393" t="s">
        <v>1160</v>
      </c>
      <c r="AP535" s="277" t="s">
        <v>1075</v>
      </c>
      <c r="AQ535" s="277" t="s">
        <v>1074</v>
      </c>
      <c r="AR535" s="277">
        <f t="shared" si="238"/>
        <v>0</v>
      </c>
      <c r="AT535" s="2" t="e">
        <f t="shared" ca="1" si="249"/>
        <v>#VALUE!</v>
      </c>
    </row>
    <row r="536" spans="1:46" ht="18" hidden="1" customHeight="1" x14ac:dyDescent="0.25">
      <c r="A536" s="406" t="s">
        <v>1080</v>
      </c>
      <c r="B536" s="273" t="s">
        <v>296</v>
      </c>
      <c r="C536" s="367" t="s">
        <v>1326</v>
      </c>
      <c r="D536" s="273" t="s">
        <v>301</v>
      </c>
      <c r="E536" s="274">
        <v>39549</v>
      </c>
      <c r="F536" s="393" t="s">
        <v>921</v>
      </c>
      <c r="G536" s="393" t="s">
        <v>47</v>
      </c>
      <c r="H536" s="393" t="s">
        <v>305</v>
      </c>
      <c r="I536" s="393" t="s">
        <v>1388</v>
      </c>
      <c r="J536" s="393"/>
      <c r="K536" s="393"/>
      <c r="L536" s="393"/>
      <c r="M536" s="393"/>
      <c r="N536" s="393"/>
      <c r="O536" s="393"/>
      <c r="P536" s="393"/>
      <c r="Q536" s="393"/>
      <c r="R536" s="393"/>
      <c r="S536" s="393"/>
      <c r="T536" s="393"/>
      <c r="U536" s="393"/>
      <c r="V536" s="393"/>
      <c r="W536" s="277"/>
      <c r="X536" s="277"/>
      <c r="Y536" s="277" t="str">
        <f t="shared" si="250"/>
        <v/>
      </c>
      <c r="Z536" s="277" t="str">
        <f t="shared" si="251"/>
        <v/>
      </c>
      <c r="AA536" s="277" t="str">
        <f t="shared" si="252"/>
        <v/>
      </c>
      <c r="AB536" s="277" t="str">
        <f t="shared" si="253"/>
        <v/>
      </c>
      <c r="AC536" s="277" t="str">
        <f t="shared" si="241"/>
        <v/>
      </c>
      <c r="AD536" s="277" t="str">
        <f t="shared" si="242"/>
        <v/>
      </c>
      <c r="AE536" s="277" t="str">
        <f t="shared" si="243"/>
        <v/>
      </c>
      <c r="AF536" s="277" t="str">
        <f t="shared" si="244"/>
        <v/>
      </c>
      <c r="AG536" s="277" t="str">
        <f t="shared" si="245"/>
        <v/>
      </c>
      <c r="AH536" s="277" t="str">
        <f t="shared" si="246"/>
        <v/>
      </c>
      <c r="AI536" s="277" t="str">
        <f t="shared" si="247"/>
        <v/>
      </c>
      <c r="AJ536" s="277" t="str">
        <f t="shared" si="248"/>
        <v/>
      </c>
      <c r="AK536" s="277">
        <v>1</v>
      </c>
      <c r="AL536" s="277">
        <f t="shared" ca="1" si="236"/>
        <v>0</v>
      </c>
      <c r="AM536" s="277">
        <f t="shared" ca="1" si="237"/>
        <v>0</v>
      </c>
      <c r="AN536" s="277" t="str">
        <f ca="1">IF(AND(Tabla7[[#This Row],[UltLec]]&lt;&gt;0,Tabla7[[#This Row],[PenLect]]&lt;&gt;0),(AM536-AL536)*Tabla7[[#This Row],[RT]],"N/A")</f>
        <v>N/A</v>
      </c>
      <c r="AO536" s="393" t="s">
        <v>1160</v>
      </c>
      <c r="AP536" s="277" t="s">
        <v>1075</v>
      </c>
      <c r="AQ536" s="277" t="s">
        <v>1074</v>
      </c>
      <c r="AR536" s="277">
        <f t="shared" si="238"/>
        <v>0</v>
      </c>
      <c r="AT536" s="2" t="e">
        <f t="shared" ca="1" si="249"/>
        <v>#VALUE!</v>
      </c>
    </row>
    <row r="537" spans="1:46" ht="18" customHeight="1" x14ac:dyDescent="0.25">
      <c r="A537" s="405" t="s">
        <v>698</v>
      </c>
      <c r="B537" s="54"/>
      <c r="C537" s="239" t="s">
        <v>1126</v>
      </c>
      <c r="D537" s="54" t="s">
        <v>301</v>
      </c>
      <c r="E537" s="232">
        <v>30000</v>
      </c>
      <c r="F537" s="2" t="s">
        <v>700</v>
      </c>
      <c r="G537" s="2" t="s">
        <v>63</v>
      </c>
      <c r="H537" s="2"/>
      <c r="I537" s="2"/>
      <c r="J537" s="260">
        <v>347113</v>
      </c>
      <c r="K537" s="260">
        <v>352257</v>
      </c>
      <c r="L537" s="260"/>
      <c r="O537" s="260"/>
      <c r="P537" s="308"/>
      <c r="Q537" s="260"/>
      <c r="R537" s="260"/>
      <c r="S537" s="260"/>
      <c r="U537" s="260"/>
      <c r="V537" s="260"/>
      <c r="W537" s="2"/>
      <c r="X537" s="2"/>
      <c r="Y537" s="2">
        <f t="shared" si="250"/>
        <v>5144</v>
      </c>
      <c r="Z537" s="2" t="str">
        <f t="shared" si="251"/>
        <v/>
      </c>
      <c r="AA537" s="2" t="str">
        <f t="shared" si="252"/>
        <v/>
      </c>
      <c r="AB537" s="2" t="str">
        <f t="shared" si="253"/>
        <v/>
      </c>
      <c r="AC537" s="2" t="str">
        <f t="shared" si="241"/>
        <v/>
      </c>
      <c r="AD537" s="2" t="str">
        <f t="shared" si="242"/>
        <v/>
      </c>
      <c r="AE537" s="2" t="str">
        <f t="shared" si="243"/>
        <v/>
      </c>
      <c r="AF537" s="2" t="str">
        <f t="shared" si="244"/>
        <v/>
      </c>
      <c r="AG537" s="2" t="str">
        <f t="shared" si="245"/>
        <v/>
      </c>
      <c r="AH537" s="2" t="str">
        <f t="shared" si="246"/>
        <v/>
      </c>
      <c r="AI537" s="2" t="str">
        <f t="shared" si="247"/>
        <v/>
      </c>
      <c r="AJ537" s="2" t="str">
        <f t="shared" si="248"/>
        <v/>
      </c>
      <c r="AK537" s="2">
        <v>1</v>
      </c>
      <c r="AL537" s="260">
        <f t="shared" ca="1" si="236"/>
        <v>0</v>
      </c>
      <c r="AM537" s="260">
        <f t="shared" ca="1" si="237"/>
        <v>0</v>
      </c>
      <c r="AN537" s="260" t="str">
        <f ca="1">IF(AND(Tabla7[[#This Row],[UltLec]]&lt;&gt;0,Tabla7[[#This Row],[PenLect]]&lt;&gt;0),(AM537-AL537)*Tabla7[[#This Row],[RT]],"N/A")</f>
        <v>N/A</v>
      </c>
      <c r="AO537" s="380" t="s">
        <v>813</v>
      </c>
      <c r="AP537" s="380" t="s">
        <v>1076</v>
      </c>
      <c r="AQ537" s="380" t="s">
        <v>771</v>
      </c>
      <c r="AR537" s="2">
        <f t="shared" si="238"/>
        <v>0</v>
      </c>
      <c r="AT537" s="2" t="e">
        <f t="shared" ca="1" si="249"/>
        <v>#VALUE!</v>
      </c>
    </row>
    <row r="538" spans="1:46" ht="18" customHeight="1" x14ac:dyDescent="0.25">
      <c r="A538" s="405" t="s">
        <v>19</v>
      </c>
      <c r="B538" s="54" t="s">
        <v>296</v>
      </c>
      <c r="C538" s="239" t="s">
        <v>1127</v>
      </c>
      <c r="D538" s="54" t="s">
        <v>301</v>
      </c>
      <c r="E538" s="232">
        <v>132</v>
      </c>
      <c r="F538" s="2" t="s">
        <v>442</v>
      </c>
      <c r="G538" s="2" t="s">
        <v>47</v>
      </c>
      <c r="H538" s="2"/>
      <c r="I538" s="2"/>
      <c r="J538" s="260">
        <v>699434</v>
      </c>
      <c r="K538" s="260">
        <v>713838</v>
      </c>
      <c r="L538" s="260"/>
      <c r="O538" s="260"/>
      <c r="P538" s="308"/>
      <c r="Q538" s="260"/>
      <c r="R538" s="260"/>
      <c r="S538" s="260"/>
      <c r="U538" s="260"/>
      <c r="V538" s="260"/>
      <c r="W538" s="2"/>
      <c r="X538" s="2"/>
      <c r="Y538" s="2">
        <f t="shared" si="250"/>
        <v>14404</v>
      </c>
      <c r="Z538" s="2" t="str">
        <f t="shared" si="251"/>
        <v/>
      </c>
      <c r="AA538" s="2" t="str">
        <f t="shared" si="252"/>
        <v/>
      </c>
      <c r="AB538" s="2" t="str">
        <f t="shared" si="253"/>
        <v/>
      </c>
      <c r="AC538" s="2" t="str">
        <f t="shared" si="241"/>
        <v/>
      </c>
      <c r="AD538" s="2" t="str">
        <f t="shared" si="242"/>
        <v/>
      </c>
      <c r="AE538" s="2" t="str">
        <f t="shared" si="243"/>
        <v/>
      </c>
      <c r="AF538" s="2" t="str">
        <f t="shared" si="244"/>
        <v/>
      </c>
      <c r="AG538" s="2" t="str">
        <f t="shared" si="245"/>
        <v/>
      </c>
      <c r="AH538" s="2" t="str">
        <f t="shared" si="246"/>
        <v/>
      </c>
      <c r="AI538" s="2" t="str">
        <f t="shared" si="247"/>
        <v/>
      </c>
      <c r="AJ538" s="2" t="str">
        <f t="shared" si="248"/>
        <v/>
      </c>
      <c r="AK538" s="2">
        <v>1</v>
      </c>
      <c r="AL538" s="260">
        <f t="shared" ca="1" si="236"/>
        <v>0</v>
      </c>
      <c r="AM538" s="260">
        <f t="shared" ca="1" si="237"/>
        <v>0</v>
      </c>
      <c r="AN538" s="260" t="str">
        <f ca="1">IF(AND(Tabla7[[#This Row],[UltLec]]&lt;&gt;0,Tabla7[[#This Row],[PenLect]]&lt;&gt;0),(AM538-AL538)*Tabla7[[#This Row],[RT]],"N/A")</f>
        <v>N/A</v>
      </c>
      <c r="AO538" s="380" t="s">
        <v>813</v>
      </c>
      <c r="AP538" s="380" t="s">
        <v>1076</v>
      </c>
      <c r="AQ538" s="380" t="s">
        <v>771</v>
      </c>
      <c r="AR538" s="2">
        <f t="shared" si="238"/>
        <v>0</v>
      </c>
      <c r="AT538" s="2" t="e">
        <f t="shared" ca="1" si="249"/>
        <v>#VALUE!</v>
      </c>
    </row>
    <row r="539" spans="1:46" ht="18" customHeight="1" x14ac:dyDescent="0.25">
      <c r="A539" s="405" t="s">
        <v>19</v>
      </c>
      <c r="B539" s="54"/>
      <c r="C539" s="239" t="s">
        <v>1128</v>
      </c>
      <c r="D539" s="54" t="s">
        <v>301</v>
      </c>
      <c r="E539" s="232">
        <v>131</v>
      </c>
      <c r="F539" s="251" t="s">
        <v>440</v>
      </c>
      <c r="G539" s="2" t="s">
        <v>47</v>
      </c>
      <c r="H539" s="2"/>
      <c r="I539" s="2"/>
      <c r="J539" s="260">
        <v>92639</v>
      </c>
      <c r="K539" s="260">
        <v>93664</v>
      </c>
      <c r="L539" s="260"/>
      <c r="O539" s="260"/>
      <c r="P539" s="308"/>
      <c r="Q539" s="260"/>
      <c r="R539" s="260"/>
      <c r="S539" s="260"/>
      <c r="U539" s="260"/>
      <c r="V539" s="260"/>
      <c r="W539" s="2"/>
      <c r="X539" s="2"/>
      <c r="Y539" s="2">
        <f t="shared" si="250"/>
        <v>1025</v>
      </c>
      <c r="Z539" s="2" t="str">
        <f t="shared" si="251"/>
        <v/>
      </c>
      <c r="AA539" s="2" t="str">
        <f t="shared" si="252"/>
        <v/>
      </c>
      <c r="AB539" s="2" t="str">
        <f t="shared" si="253"/>
        <v/>
      </c>
      <c r="AC539" s="2" t="str">
        <f t="shared" si="241"/>
        <v/>
      </c>
      <c r="AD539" s="2" t="str">
        <f t="shared" si="242"/>
        <v/>
      </c>
      <c r="AE539" s="2" t="str">
        <f t="shared" si="243"/>
        <v/>
      </c>
      <c r="AF539" s="2" t="str">
        <f t="shared" si="244"/>
        <v/>
      </c>
      <c r="AG539" s="2" t="str">
        <f t="shared" si="245"/>
        <v/>
      </c>
      <c r="AH539" s="2" t="str">
        <f t="shared" si="246"/>
        <v/>
      </c>
      <c r="AI539" s="2" t="str">
        <f t="shared" si="247"/>
        <v/>
      </c>
      <c r="AJ539" s="2" t="str">
        <f t="shared" si="248"/>
        <v/>
      </c>
      <c r="AK539" s="2">
        <v>1</v>
      </c>
      <c r="AL539" s="260">
        <f t="shared" ca="1" si="236"/>
        <v>0</v>
      </c>
      <c r="AM539" s="260">
        <f t="shared" ca="1" si="237"/>
        <v>0</v>
      </c>
      <c r="AN539" s="260" t="str">
        <f ca="1">IF(AND(Tabla7[[#This Row],[UltLec]]&lt;&gt;0,Tabla7[[#This Row],[PenLect]]&lt;&gt;0),(AM539-AL539)*Tabla7[[#This Row],[RT]],"N/A")</f>
        <v>N/A</v>
      </c>
      <c r="AO539" s="380" t="s">
        <v>813</v>
      </c>
      <c r="AP539" s="380" t="s">
        <v>1076</v>
      </c>
      <c r="AQ539" s="380" t="s">
        <v>771</v>
      </c>
      <c r="AR539" s="2">
        <f t="shared" si="238"/>
        <v>0</v>
      </c>
      <c r="AT539" s="2" t="e">
        <f t="shared" ca="1" si="249"/>
        <v>#VALUE!</v>
      </c>
    </row>
    <row r="540" spans="1:46" ht="18" customHeight="1" x14ac:dyDescent="0.25">
      <c r="A540" s="405" t="s">
        <v>19</v>
      </c>
      <c r="B540" s="54" t="s">
        <v>296</v>
      </c>
      <c r="C540" s="239" t="s">
        <v>1129</v>
      </c>
      <c r="D540" s="54" t="s">
        <v>441</v>
      </c>
      <c r="E540" s="232">
        <v>131</v>
      </c>
      <c r="F540" s="2" t="s">
        <v>440</v>
      </c>
      <c r="G540" s="2" t="s">
        <v>47</v>
      </c>
      <c r="H540" s="2"/>
      <c r="I540" s="2"/>
      <c r="J540" s="260">
        <v>88883</v>
      </c>
      <c r="K540" s="260">
        <v>90006</v>
      </c>
      <c r="L540" s="260"/>
      <c r="O540" s="260"/>
      <c r="P540" s="308"/>
      <c r="Q540" s="260"/>
      <c r="R540" s="260"/>
      <c r="S540" s="260"/>
      <c r="U540" s="260"/>
      <c r="V540" s="260"/>
      <c r="W540" s="2"/>
      <c r="X540" s="2"/>
      <c r="Y540" s="2">
        <f t="shared" si="250"/>
        <v>1123</v>
      </c>
      <c r="Z540" s="2" t="str">
        <f t="shared" si="251"/>
        <v/>
      </c>
      <c r="AA540" s="2" t="str">
        <f t="shared" si="252"/>
        <v/>
      </c>
      <c r="AB540" s="2" t="str">
        <f t="shared" si="253"/>
        <v/>
      </c>
      <c r="AC540" s="2" t="str">
        <f t="shared" si="241"/>
        <v/>
      </c>
      <c r="AD540" s="2" t="str">
        <f t="shared" si="242"/>
        <v/>
      </c>
      <c r="AE540" s="2" t="str">
        <f t="shared" si="243"/>
        <v/>
      </c>
      <c r="AF540" s="2" t="str">
        <f t="shared" si="244"/>
        <v/>
      </c>
      <c r="AG540" s="2" t="str">
        <f t="shared" si="245"/>
        <v/>
      </c>
      <c r="AH540" s="2" t="str">
        <f t="shared" si="246"/>
        <v/>
      </c>
      <c r="AI540" s="2" t="str">
        <f t="shared" si="247"/>
        <v/>
      </c>
      <c r="AJ540" s="2" t="str">
        <f t="shared" si="248"/>
        <v/>
      </c>
      <c r="AK540" s="2">
        <v>1</v>
      </c>
      <c r="AL540" s="260">
        <f t="shared" ca="1" si="236"/>
        <v>0</v>
      </c>
      <c r="AM540" s="260">
        <f t="shared" ca="1" si="237"/>
        <v>0</v>
      </c>
      <c r="AN540" s="260" t="str">
        <f ca="1">IF(AND(Tabla7[[#This Row],[UltLec]]&lt;&gt;0,Tabla7[[#This Row],[PenLect]]&lt;&gt;0),(AM540-AL540)*Tabla7[[#This Row],[RT]],"N/A")</f>
        <v>N/A</v>
      </c>
      <c r="AO540" s="380" t="s">
        <v>813</v>
      </c>
      <c r="AP540" s="380" t="s">
        <v>1076</v>
      </c>
      <c r="AQ540" s="380" t="s">
        <v>771</v>
      </c>
      <c r="AR540" s="2">
        <f t="shared" si="238"/>
        <v>0</v>
      </c>
      <c r="AT540" s="2" t="e">
        <f t="shared" ca="1" si="249"/>
        <v>#VALUE!</v>
      </c>
    </row>
    <row r="541" spans="1:46" ht="18" customHeight="1" x14ac:dyDescent="0.25">
      <c r="A541" s="405" t="s">
        <v>19</v>
      </c>
      <c r="B541" s="54" t="s">
        <v>296</v>
      </c>
      <c r="C541" s="239" t="s">
        <v>1130</v>
      </c>
      <c r="D541" s="54" t="s">
        <v>441</v>
      </c>
      <c r="E541" s="232">
        <v>132</v>
      </c>
      <c r="F541" s="2" t="s">
        <v>442</v>
      </c>
      <c r="G541" s="2" t="s">
        <v>47</v>
      </c>
      <c r="H541" s="2"/>
      <c r="I541" s="2"/>
      <c r="J541" s="260">
        <v>112289</v>
      </c>
      <c r="K541" s="260">
        <v>114864</v>
      </c>
      <c r="L541" s="260"/>
      <c r="O541" s="260"/>
      <c r="P541" s="308"/>
      <c r="Q541" s="260"/>
      <c r="R541" s="260"/>
      <c r="S541" s="260"/>
      <c r="U541" s="260"/>
      <c r="V541" s="260"/>
      <c r="W541" s="2"/>
      <c r="X541" s="2"/>
      <c r="Y541" s="2">
        <f t="shared" si="250"/>
        <v>2575</v>
      </c>
      <c r="Z541" s="2" t="str">
        <f t="shared" si="251"/>
        <v/>
      </c>
      <c r="AA541" s="2" t="str">
        <f t="shared" si="252"/>
        <v/>
      </c>
      <c r="AB541" s="2" t="str">
        <f t="shared" si="253"/>
        <v/>
      </c>
      <c r="AC541" s="2" t="str">
        <f t="shared" si="241"/>
        <v/>
      </c>
      <c r="AD541" s="2" t="str">
        <f t="shared" si="242"/>
        <v/>
      </c>
      <c r="AE541" s="2" t="str">
        <f t="shared" si="243"/>
        <v/>
      </c>
      <c r="AF541" s="2" t="str">
        <f t="shared" si="244"/>
        <v/>
      </c>
      <c r="AG541" s="2" t="str">
        <f t="shared" si="245"/>
        <v/>
      </c>
      <c r="AH541" s="2" t="str">
        <f t="shared" si="246"/>
        <v/>
      </c>
      <c r="AI541" s="2" t="str">
        <f t="shared" si="247"/>
        <v/>
      </c>
      <c r="AJ541" s="2" t="str">
        <f t="shared" si="248"/>
        <v/>
      </c>
      <c r="AK541" s="2">
        <v>1</v>
      </c>
      <c r="AL541" s="260">
        <f t="shared" ca="1" si="236"/>
        <v>0</v>
      </c>
      <c r="AM541" s="260">
        <f t="shared" ca="1" si="237"/>
        <v>0</v>
      </c>
      <c r="AN541" s="260" t="str">
        <f ca="1">IF(AND(Tabla7[[#This Row],[UltLec]]&lt;&gt;0,Tabla7[[#This Row],[PenLect]]&lt;&gt;0),(AM541-AL541)*Tabla7[[#This Row],[RT]],"N/A")</f>
        <v>N/A</v>
      </c>
      <c r="AO541" s="380" t="s">
        <v>813</v>
      </c>
      <c r="AP541" s="380" t="s">
        <v>1076</v>
      </c>
      <c r="AQ541" s="380" t="s">
        <v>771</v>
      </c>
      <c r="AR541" s="2">
        <f t="shared" si="238"/>
        <v>0</v>
      </c>
      <c r="AT541" s="2" t="e">
        <f t="shared" ca="1" si="249"/>
        <v>#VALUE!</v>
      </c>
    </row>
    <row r="542" spans="1:46" ht="18" customHeight="1" x14ac:dyDescent="0.25">
      <c r="A542" s="405" t="s">
        <v>698</v>
      </c>
      <c r="B542" s="54"/>
      <c r="C542" s="239" t="s">
        <v>1131</v>
      </c>
      <c r="D542" s="54" t="s">
        <v>441</v>
      </c>
      <c r="E542" s="232">
        <v>30000</v>
      </c>
      <c r="F542" s="2" t="s">
        <v>700</v>
      </c>
      <c r="G542" s="2" t="s">
        <v>63</v>
      </c>
      <c r="H542" s="2"/>
      <c r="I542" s="2"/>
      <c r="J542" s="260">
        <v>143978</v>
      </c>
      <c r="K542" s="260">
        <v>146631</v>
      </c>
      <c r="L542" s="260"/>
      <c r="N542" s="290"/>
      <c r="O542" s="260"/>
      <c r="P542" s="308"/>
      <c r="Q542" s="260"/>
      <c r="R542" s="260"/>
      <c r="S542" s="260"/>
      <c r="U542" s="260"/>
      <c r="V542" s="260"/>
      <c r="W542" s="2"/>
      <c r="X542" s="2"/>
      <c r="Y542" s="2">
        <f t="shared" si="250"/>
        <v>2653</v>
      </c>
      <c r="Z542" s="2" t="str">
        <f t="shared" si="251"/>
        <v/>
      </c>
      <c r="AA542" s="2" t="str">
        <f t="shared" si="252"/>
        <v/>
      </c>
      <c r="AB542" s="2" t="str">
        <f t="shared" si="253"/>
        <v/>
      </c>
      <c r="AC542" s="2" t="str">
        <f t="shared" si="241"/>
        <v/>
      </c>
      <c r="AD542" s="2" t="str">
        <f t="shared" si="242"/>
        <v/>
      </c>
      <c r="AE542" s="2" t="str">
        <f t="shared" si="243"/>
        <v/>
      </c>
      <c r="AF542" s="2" t="str">
        <f t="shared" si="244"/>
        <v/>
      </c>
      <c r="AG542" s="2" t="str">
        <f t="shared" si="245"/>
        <v/>
      </c>
      <c r="AH542" s="2" t="str">
        <f t="shared" si="246"/>
        <v/>
      </c>
      <c r="AI542" s="2" t="str">
        <f t="shared" si="247"/>
        <v/>
      </c>
      <c r="AJ542" s="2" t="str">
        <f t="shared" si="248"/>
        <v/>
      </c>
      <c r="AK542" s="2">
        <v>1</v>
      </c>
      <c r="AL542" s="260">
        <f t="shared" ca="1" si="236"/>
        <v>0</v>
      </c>
      <c r="AM542" s="260">
        <f t="shared" ca="1" si="237"/>
        <v>0</v>
      </c>
      <c r="AN542" s="260" t="str">
        <f ca="1">IF(AND(Tabla7[[#This Row],[UltLec]]&lt;&gt;0,Tabla7[[#This Row],[PenLect]]&lt;&gt;0),(AM542-AL542)*Tabla7[[#This Row],[RT]],"N/A")</f>
        <v>N/A</v>
      </c>
      <c r="AO542" s="380" t="s">
        <v>813</v>
      </c>
      <c r="AP542" s="380" t="s">
        <v>1076</v>
      </c>
      <c r="AQ542" s="380" t="s">
        <v>771</v>
      </c>
      <c r="AR542" s="2">
        <f t="shared" si="238"/>
        <v>0</v>
      </c>
      <c r="AT542" s="2" t="e">
        <f t="shared" ca="1" si="249"/>
        <v>#VALUE!</v>
      </c>
    </row>
    <row r="543" spans="1:46" ht="18" customHeight="1" x14ac:dyDescent="0.25">
      <c r="A543" s="405" t="s">
        <v>19</v>
      </c>
      <c r="B543" s="54" t="s">
        <v>296</v>
      </c>
      <c r="C543" s="239" t="s">
        <v>1091</v>
      </c>
      <c r="D543" s="54" t="s">
        <v>443</v>
      </c>
      <c r="E543" s="232">
        <v>131</v>
      </c>
      <c r="F543" s="2" t="s">
        <v>440</v>
      </c>
      <c r="G543" s="2" t="s">
        <v>47</v>
      </c>
      <c r="H543" s="2" t="s">
        <v>161</v>
      </c>
      <c r="I543" s="2"/>
      <c r="J543" s="260">
        <v>32342</v>
      </c>
      <c r="K543" s="260">
        <v>33627</v>
      </c>
      <c r="L543" s="260"/>
      <c r="O543" s="260"/>
      <c r="P543" s="308"/>
      <c r="Q543" s="260"/>
      <c r="R543" s="260"/>
      <c r="S543" s="260"/>
      <c r="U543" s="260"/>
      <c r="V543" s="260"/>
      <c r="W543" s="2"/>
      <c r="X543" s="2"/>
      <c r="Y543" s="2">
        <f t="shared" si="250"/>
        <v>1285</v>
      </c>
      <c r="Z543" s="2" t="str">
        <f t="shared" si="251"/>
        <v/>
      </c>
      <c r="AA543" s="2" t="str">
        <f t="shared" si="252"/>
        <v/>
      </c>
      <c r="AB543" s="2" t="str">
        <f t="shared" si="253"/>
        <v/>
      </c>
      <c r="AC543" s="2" t="str">
        <f t="shared" si="241"/>
        <v/>
      </c>
      <c r="AD543" s="2" t="str">
        <f t="shared" si="242"/>
        <v/>
      </c>
      <c r="AE543" s="2" t="str">
        <f t="shared" si="243"/>
        <v/>
      </c>
      <c r="AF543" s="2" t="str">
        <f t="shared" si="244"/>
        <v/>
      </c>
      <c r="AG543" s="2" t="str">
        <f t="shared" si="245"/>
        <v/>
      </c>
      <c r="AH543" s="2" t="str">
        <f t="shared" si="246"/>
        <v/>
      </c>
      <c r="AI543" s="2" t="str">
        <f t="shared" si="247"/>
        <v/>
      </c>
      <c r="AJ543" s="2" t="str">
        <f t="shared" si="248"/>
        <v/>
      </c>
      <c r="AK543" s="2">
        <v>1</v>
      </c>
      <c r="AL543" s="260">
        <f t="shared" ca="1" si="236"/>
        <v>0</v>
      </c>
      <c r="AM543" s="260">
        <f t="shared" ca="1" si="237"/>
        <v>0</v>
      </c>
      <c r="AN543" s="260" t="str">
        <f ca="1">IF(AND(Tabla7[[#This Row],[UltLec]]&lt;&gt;0,Tabla7[[#This Row],[PenLect]]&lt;&gt;0),(AM543-AL543)*Tabla7[[#This Row],[RT]],"N/A")</f>
        <v>N/A</v>
      </c>
      <c r="AO543" s="380" t="s">
        <v>813</v>
      </c>
      <c r="AP543" s="380" t="s">
        <v>1075</v>
      </c>
      <c r="AQ543" s="380" t="s">
        <v>1074</v>
      </c>
      <c r="AR543" s="2">
        <f t="shared" si="238"/>
        <v>0</v>
      </c>
      <c r="AT543" s="2" t="e">
        <f t="shared" ca="1" si="249"/>
        <v>#VALUE!</v>
      </c>
    </row>
    <row r="544" spans="1:46" ht="18.75" hidden="1" x14ac:dyDescent="0.25">
      <c r="A544" s="406" t="s">
        <v>1080</v>
      </c>
      <c r="B544" s="273" t="s">
        <v>296</v>
      </c>
      <c r="C544" s="367" t="s">
        <v>1091</v>
      </c>
      <c r="D544" s="273" t="s">
        <v>443</v>
      </c>
      <c r="E544" s="274">
        <v>140</v>
      </c>
      <c r="F544" s="275" t="s">
        <v>714</v>
      </c>
      <c r="G544" s="275" t="s">
        <v>47</v>
      </c>
      <c r="H544" s="275" t="s">
        <v>444</v>
      </c>
      <c r="I544" s="275"/>
      <c r="J544" s="275"/>
      <c r="K544" s="275"/>
      <c r="L544" s="275"/>
      <c r="M544" s="275"/>
      <c r="N544" s="275"/>
      <c r="O544" s="277"/>
      <c r="P544" s="349"/>
      <c r="Q544" s="275"/>
      <c r="R544" s="275"/>
      <c r="S544" s="275"/>
      <c r="T544" s="275"/>
      <c r="U544" s="277"/>
      <c r="V544" s="275"/>
      <c r="W544" s="275"/>
      <c r="X544" s="275"/>
      <c r="Y544" s="275" t="str">
        <f t="shared" si="250"/>
        <v/>
      </c>
      <c r="Z544" s="275" t="str">
        <f t="shared" si="251"/>
        <v/>
      </c>
      <c r="AA544" s="275" t="str">
        <f t="shared" si="252"/>
        <v/>
      </c>
      <c r="AB544" s="275" t="str">
        <f t="shared" si="253"/>
        <v/>
      </c>
      <c r="AC544" s="275" t="str">
        <f t="shared" si="241"/>
        <v/>
      </c>
      <c r="AD544" s="275" t="str">
        <f t="shared" si="242"/>
        <v/>
      </c>
      <c r="AE544" s="275" t="str">
        <f t="shared" si="243"/>
        <v/>
      </c>
      <c r="AF544" s="275" t="str">
        <f t="shared" si="244"/>
        <v/>
      </c>
      <c r="AG544" s="275" t="str">
        <f t="shared" si="245"/>
        <v/>
      </c>
      <c r="AH544" s="275" t="str">
        <f t="shared" si="246"/>
        <v/>
      </c>
      <c r="AI544" s="275" t="str">
        <f t="shared" si="247"/>
        <v/>
      </c>
      <c r="AJ544" s="275" t="str">
        <f t="shared" si="248"/>
        <v/>
      </c>
      <c r="AK544" s="275">
        <v>1</v>
      </c>
      <c r="AL544" s="277">
        <f t="shared" ca="1" si="236"/>
        <v>0</v>
      </c>
      <c r="AM544" s="277">
        <f t="shared" ca="1" si="237"/>
        <v>0</v>
      </c>
      <c r="AN544" s="277" t="str">
        <f ca="1">IF(AND(Tabla7[[#This Row],[UltLec]]&lt;&gt;0,Tabla7[[#This Row],[PenLect]]&lt;&gt;0),(AM544-AL544)*Tabla7[[#This Row],[RT]],"N/A")</f>
        <v>N/A</v>
      </c>
      <c r="AO544" s="393" t="s">
        <v>1160</v>
      </c>
      <c r="AP544" s="393" t="s">
        <v>1075</v>
      </c>
      <c r="AQ544" s="393" t="s">
        <v>1074</v>
      </c>
      <c r="AR544" s="275">
        <f t="shared" si="238"/>
        <v>0</v>
      </c>
      <c r="AT544" s="2" t="e">
        <f t="shared" ca="1" si="249"/>
        <v>#VALUE!</v>
      </c>
    </row>
    <row r="545" spans="1:46" ht="18.75" x14ac:dyDescent="0.25">
      <c r="A545" s="448" t="s">
        <v>19</v>
      </c>
      <c r="B545" s="254"/>
      <c r="C545" s="252" t="s">
        <v>1180</v>
      </c>
      <c r="D545" s="254" t="s">
        <v>443</v>
      </c>
      <c r="E545" s="450"/>
      <c r="F545" s="2"/>
      <c r="G545" s="2"/>
      <c r="H545" s="2"/>
      <c r="I545" s="2"/>
      <c r="J545" s="260">
        <v>9</v>
      </c>
      <c r="K545" s="260">
        <v>9</v>
      </c>
      <c r="L545" s="260"/>
      <c r="O545" s="260"/>
      <c r="P545" s="260"/>
      <c r="Q545" s="260"/>
      <c r="R545" s="260"/>
      <c r="S545" s="260"/>
      <c r="U545" s="260"/>
      <c r="V545" s="260"/>
      <c r="W545" s="260"/>
      <c r="X545" s="260"/>
      <c r="Y545" s="260">
        <f t="shared" si="250"/>
        <v>0</v>
      </c>
      <c r="Z545" s="260" t="str">
        <f t="shared" si="251"/>
        <v/>
      </c>
      <c r="AA545" s="260" t="str">
        <f t="shared" si="252"/>
        <v/>
      </c>
      <c r="AB545" s="260" t="str">
        <f t="shared" si="253"/>
        <v/>
      </c>
      <c r="AC545" s="260" t="str">
        <f t="shared" si="241"/>
        <v/>
      </c>
      <c r="AD545" s="260" t="str">
        <f t="shared" si="242"/>
        <v/>
      </c>
      <c r="AE545" s="260" t="str">
        <f t="shared" si="243"/>
        <v/>
      </c>
      <c r="AF545" s="260" t="str">
        <f t="shared" si="244"/>
        <v/>
      </c>
      <c r="AG545" s="260" t="str">
        <f t="shared" si="245"/>
        <v/>
      </c>
      <c r="AH545" s="260" t="str">
        <f t="shared" si="246"/>
        <v/>
      </c>
      <c r="AI545" s="260" t="str">
        <f t="shared" si="247"/>
        <v/>
      </c>
      <c r="AJ545" s="260" t="str">
        <f t="shared" si="248"/>
        <v/>
      </c>
      <c r="AK545" s="260">
        <v>1</v>
      </c>
      <c r="AL545" s="260">
        <f t="shared" ca="1" si="236"/>
        <v>0</v>
      </c>
      <c r="AM545" s="260">
        <f t="shared" ca="1" si="237"/>
        <v>0</v>
      </c>
      <c r="AN545" s="260" t="str">
        <f ca="1">IF(AND(Tabla7[[#This Row],[UltLec]]&lt;&gt;0,Tabla7[[#This Row],[PenLect]]&lt;&gt;0),(AM545-AL545)*Tabla7[[#This Row],[RT]],"N/A")</f>
        <v>N/A</v>
      </c>
      <c r="AO545" s="380" t="s">
        <v>813</v>
      </c>
      <c r="AP545" s="380"/>
      <c r="AQ545" s="380"/>
      <c r="AR545" s="380">
        <f t="shared" si="238"/>
        <v>0</v>
      </c>
      <c r="AT545" s="2" t="e">
        <f t="shared" ca="1" si="249"/>
        <v>#VALUE!</v>
      </c>
    </row>
    <row r="546" spans="1:46" ht="18" hidden="1" customHeight="1" x14ac:dyDescent="0.25">
      <c r="A546" s="518"/>
      <c r="B546" s="254"/>
      <c r="C546" s="519"/>
      <c r="D546" s="254"/>
      <c r="E546" s="448"/>
      <c r="F546" s="2"/>
      <c r="G546" s="2"/>
      <c r="H546" s="2"/>
      <c r="I546" s="2"/>
      <c r="J546" s="260"/>
      <c r="K546" s="2">
        <v>124126</v>
      </c>
      <c r="L546" s="260"/>
      <c r="M546" s="2"/>
      <c r="O546" s="2"/>
      <c r="P546" s="1"/>
      <c r="Q546" s="2"/>
      <c r="R546" s="260"/>
      <c r="S546" s="2"/>
      <c r="T546" s="2"/>
      <c r="U546" s="260"/>
      <c r="V546" s="2"/>
      <c r="W546" s="2"/>
      <c r="X546" s="2"/>
      <c r="Y546" s="2" t="str">
        <f t="shared" si="250"/>
        <v/>
      </c>
      <c r="Z546" s="2" t="str">
        <f t="shared" si="251"/>
        <v/>
      </c>
      <c r="AA546" s="2" t="str">
        <f>IF(OR(ISBLANK(#REF!),ISBLANK(L546)),"",IF(AND(#REF!&gt;=L546,#REF!-L546&lt;=#REF!),(#REF!-L546)*$AK546,"!!!!"))</f>
        <v/>
      </c>
      <c r="AB546" s="2" t="str">
        <f>IF(OR(ISBLANK(N546),ISBLANK(#REF!)),"",IF(AND(N546&gt;=#REF!,N546-#REF!&lt;=N546),(N546-#REF!)*$AK546,"!!!!"))</f>
        <v/>
      </c>
      <c r="AC546" s="2" t="str">
        <f t="shared" si="241"/>
        <v/>
      </c>
      <c r="AD546" s="2" t="str">
        <f t="shared" si="242"/>
        <v/>
      </c>
      <c r="AE546" s="2" t="str">
        <f t="shared" si="243"/>
        <v/>
      </c>
      <c r="AF546" s="2" t="str">
        <f t="shared" si="244"/>
        <v/>
      </c>
      <c r="AG546" s="2" t="str">
        <f t="shared" si="245"/>
        <v/>
      </c>
      <c r="AH546" s="2" t="str">
        <f t="shared" si="246"/>
        <v/>
      </c>
      <c r="AI546" s="2" t="str">
        <f t="shared" si="247"/>
        <v/>
      </c>
      <c r="AJ546" s="2" t="str">
        <f t="shared" si="248"/>
        <v/>
      </c>
      <c r="AK546" s="2"/>
      <c r="AL546" s="260">
        <f t="shared" ca="1" si="236"/>
        <v>0</v>
      </c>
      <c r="AM546" s="260">
        <f t="shared" ca="1" si="237"/>
        <v>0</v>
      </c>
      <c r="AN546" s="260" t="str">
        <f ca="1">IF(AND(Tabla7[[#This Row],[UltLec]]&lt;&gt;0,Tabla7[[#This Row],[PenLect]]&lt;&gt;0),(AM546-AL546)*Tabla7[[#This Row],[RT]],"N/A")</f>
        <v>N/A</v>
      </c>
      <c r="AO546" s="520"/>
      <c r="AP546" s="520"/>
      <c r="AQ546" s="520"/>
      <c r="AR546" s="2">
        <f t="shared" si="238"/>
        <v>0</v>
      </c>
      <c r="AT546" s="2"/>
    </row>
    <row r="547" spans="1:46" ht="18.600000000000001" hidden="1" customHeight="1" x14ac:dyDescent="0.25">
      <c r="A547" s="518"/>
      <c r="B547" s="254"/>
      <c r="C547" s="519"/>
      <c r="D547" s="254"/>
      <c r="E547" s="448"/>
      <c r="F547" s="2"/>
      <c r="G547" s="2"/>
      <c r="H547" s="2"/>
      <c r="I547" s="2"/>
      <c r="J547" s="260"/>
      <c r="K547" s="2"/>
      <c r="L547" s="260"/>
      <c r="M547" s="2"/>
      <c r="O547" s="2"/>
      <c r="P547" s="1"/>
      <c r="Q547" s="2"/>
      <c r="R547" s="260"/>
      <c r="S547" s="2"/>
      <c r="T547" s="2"/>
      <c r="U547" s="260"/>
      <c r="V547" s="2"/>
      <c r="W547" s="2"/>
      <c r="X547" s="2"/>
      <c r="Y547" s="2" t="str">
        <f t="shared" si="250"/>
        <v/>
      </c>
      <c r="Z547" s="2" t="str">
        <f t="shared" si="251"/>
        <v/>
      </c>
      <c r="AA547" s="2" t="str">
        <f>IF(OR(ISBLANK(#REF!),ISBLANK(L547)),"",IF(AND(#REF!&gt;=L547,#REF!-L547&lt;=#REF!),(#REF!-L547)*$AK547,"!!!!"))</f>
        <v/>
      </c>
      <c r="AB547" s="2" t="str">
        <f>IF(OR(ISBLANK(N547),ISBLANK(#REF!)),"",IF(AND(N547&gt;=#REF!,N547-#REF!&lt;=N547),(N547-#REF!)*$AK547,"!!!!"))</f>
        <v/>
      </c>
      <c r="AC547" s="2" t="str">
        <f t="shared" si="241"/>
        <v/>
      </c>
      <c r="AD547" s="2" t="str">
        <f t="shared" si="242"/>
        <v/>
      </c>
      <c r="AE547" s="2" t="str">
        <f t="shared" si="243"/>
        <v/>
      </c>
      <c r="AF547" s="2" t="str">
        <f t="shared" si="244"/>
        <v/>
      </c>
      <c r="AG547" s="2" t="str">
        <f t="shared" si="245"/>
        <v/>
      </c>
      <c r="AH547" s="2" t="str">
        <f t="shared" si="246"/>
        <v/>
      </c>
      <c r="AI547" s="2" t="str">
        <f t="shared" si="247"/>
        <v/>
      </c>
      <c r="AJ547" s="2" t="str">
        <f t="shared" si="248"/>
        <v/>
      </c>
      <c r="AK547" s="2"/>
      <c r="AL547" s="260">
        <f t="shared" ca="1" si="236"/>
        <v>0</v>
      </c>
      <c r="AM547" s="260">
        <f t="shared" ca="1" si="237"/>
        <v>0</v>
      </c>
      <c r="AN547" s="260" t="str">
        <f ca="1">IF(AND(Tabla7[[#This Row],[UltLec]]&lt;&gt;0,Tabla7[[#This Row],[PenLect]]&lt;&gt;0),(AM547-AL547)*Tabla7[[#This Row],[RT]],"N/A")</f>
        <v>N/A</v>
      </c>
      <c r="AO547" s="520"/>
      <c r="AP547" s="520"/>
      <c r="AQ547" s="520"/>
      <c r="AR547" s="2">
        <f t="shared" si="238"/>
        <v>0</v>
      </c>
      <c r="AT547" s="2"/>
    </row>
    <row r="548" spans="1:46" ht="18.75" hidden="1" x14ac:dyDescent="0.25">
      <c r="A548" s="518"/>
      <c r="B548" s="254"/>
      <c r="C548" s="519"/>
      <c r="D548" s="254"/>
      <c r="E548" s="448"/>
      <c r="F548" s="2"/>
      <c r="G548" s="2"/>
      <c r="H548" s="2"/>
      <c r="I548" s="2"/>
      <c r="J548" s="260"/>
      <c r="K548" s="2">
        <v>275943</v>
      </c>
      <c r="L548" s="260"/>
      <c r="M548" s="2"/>
      <c r="O548" s="2"/>
      <c r="P548" s="1"/>
      <c r="Q548" s="2"/>
      <c r="R548" s="260"/>
      <c r="S548" s="2"/>
      <c r="T548" s="2"/>
      <c r="U548" s="260"/>
      <c r="V548" s="2"/>
      <c r="W548" s="2"/>
      <c r="X548" s="2"/>
      <c r="Y548" s="2" t="str">
        <f t="shared" si="250"/>
        <v/>
      </c>
      <c r="Z548" s="2" t="str">
        <f t="shared" si="251"/>
        <v/>
      </c>
      <c r="AA548" s="2" t="str">
        <f>IF(OR(ISBLANK(#REF!),ISBLANK(L548)),"",IF(AND(#REF!&gt;=L548,#REF!-L548&lt;=#REF!),(#REF!-L548)*$AK548,"!!!!"))</f>
        <v/>
      </c>
      <c r="AB548" s="2" t="str">
        <f>IF(OR(ISBLANK(N548),ISBLANK(#REF!)),"",IF(AND(N548&gt;=#REF!,N548-#REF!&lt;=N548),(N548-#REF!)*$AK548,"!!!!"))</f>
        <v/>
      </c>
      <c r="AC548" s="2" t="str">
        <f t="shared" si="241"/>
        <v/>
      </c>
      <c r="AD548" s="2" t="str">
        <f t="shared" si="242"/>
        <v/>
      </c>
      <c r="AE548" s="2" t="str">
        <f t="shared" si="243"/>
        <v/>
      </c>
      <c r="AF548" s="2" t="str">
        <f t="shared" si="244"/>
        <v/>
      </c>
      <c r="AG548" s="2" t="str">
        <f t="shared" si="245"/>
        <v/>
      </c>
      <c r="AH548" s="2" t="str">
        <f t="shared" si="246"/>
        <v/>
      </c>
      <c r="AI548" s="2" t="str">
        <f t="shared" si="247"/>
        <v/>
      </c>
      <c r="AJ548" s="2" t="str">
        <f t="shared" si="248"/>
        <v/>
      </c>
      <c r="AK548" s="2"/>
      <c r="AL548" s="260">
        <f t="shared" ca="1" si="236"/>
        <v>0</v>
      </c>
      <c r="AM548" s="260">
        <f t="shared" ca="1" si="237"/>
        <v>0</v>
      </c>
      <c r="AN548" s="260" t="str">
        <f ca="1">IF(AND(Tabla7[[#This Row],[UltLec]]&lt;&gt;0,Tabla7[[#This Row],[PenLect]]&lt;&gt;0),(AM548-AL548)*Tabla7[[#This Row],[RT]],"N/A")</f>
        <v>N/A</v>
      </c>
      <c r="AO548" s="520"/>
      <c r="AP548" s="520"/>
      <c r="AQ548" s="520"/>
      <c r="AR548" s="2">
        <f t="shared" si="238"/>
        <v>0</v>
      </c>
      <c r="AT548" s="2"/>
    </row>
    <row r="549" spans="1:46" x14ac:dyDescent="0.25">
      <c r="K549" s="260"/>
      <c r="P549" s="260"/>
      <c r="S549" s="260"/>
    </row>
    <row r="550" spans="1:46" x14ac:dyDescent="0.25">
      <c r="K550" s="260"/>
    </row>
    <row r="551" spans="1:46" x14ac:dyDescent="0.25">
      <c r="K551" s="260"/>
    </row>
    <row r="552" spans="1:46" x14ac:dyDescent="0.25">
      <c r="K552" s="260"/>
    </row>
    <row r="553" spans="1:46" x14ac:dyDescent="0.25">
      <c r="K553" s="260"/>
    </row>
    <row r="554" spans="1:46" x14ac:dyDescent="0.25">
      <c r="K554" s="260"/>
    </row>
    <row r="555" spans="1:46" x14ac:dyDescent="0.25">
      <c r="K555" s="260"/>
    </row>
    <row r="556" spans="1:46" x14ac:dyDescent="0.25">
      <c r="K556" s="260"/>
    </row>
    <row r="557" spans="1:46" x14ac:dyDescent="0.25">
      <c r="K557" s="260"/>
    </row>
    <row r="558" spans="1:46" x14ac:dyDescent="0.25">
      <c r="K558" s="260"/>
    </row>
    <row r="559" spans="1:46" x14ac:dyDescent="0.25">
      <c r="K559" s="260"/>
    </row>
    <row r="560" spans="1:46" x14ac:dyDescent="0.25">
      <c r="K560" s="260"/>
    </row>
    <row r="561" spans="11:11" x14ac:dyDescent="0.25">
      <c r="K561" s="260"/>
    </row>
    <row r="562" spans="11:11" x14ac:dyDescent="0.25">
      <c r="K562" s="260"/>
    </row>
    <row r="563" spans="11:11" x14ac:dyDescent="0.25">
      <c r="K563" s="260"/>
    </row>
    <row r="571" spans="11:11" ht="18.75" customHeight="1" x14ac:dyDescent="0.25"/>
    <row r="575" spans="11:11" ht="18.75" customHeight="1" x14ac:dyDescent="0.25"/>
    <row r="685" ht="18.75" customHeight="1" x14ac:dyDescent="0.25"/>
    <row r="704" ht="18.75" customHeight="1" x14ac:dyDescent="0.25"/>
    <row r="705" ht="18.75" customHeight="1" x14ac:dyDescent="0.25"/>
    <row r="746" ht="18.75" customHeight="1" x14ac:dyDescent="0.25"/>
  </sheetData>
  <autoFilter ref="AT3:AT545" xr:uid="{00000000-0001-0000-0000-000000000000}"/>
  <mergeCells count="3">
    <mergeCell ref="Y1:AJ1"/>
    <mergeCell ref="J1:X1"/>
    <mergeCell ref="A1:I1"/>
  </mergeCells>
  <conditionalFormatting sqref="Q500">
    <cfRule type="expression" dxfId="176" priority="303">
      <formula>MOD(RIGHT($A500,1),2)=0</formula>
    </cfRule>
    <cfRule type="expression" dxfId="175" priority="305">
      <formula>$A500="VARIOS"</formula>
    </cfRule>
  </conditionalFormatting>
  <conditionalFormatting sqref="Q500">
    <cfRule type="expression" priority="302" stopIfTrue="1">
      <formula>$A500="VCT00"</formula>
    </cfRule>
    <cfRule type="expression" dxfId="174" priority="304">
      <formula>$A500="VCT A.E.M"</formula>
    </cfRule>
  </conditionalFormatting>
  <conditionalFormatting sqref="K295">
    <cfRule type="expression" dxfId="173" priority="169">
      <formula>MOD(RIGHT($A295,1),2)=0</formula>
    </cfRule>
    <cfRule type="expression" dxfId="172" priority="171">
      <formula>$A295="VARIOS"</formula>
    </cfRule>
  </conditionalFormatting>
  <conditionalFormatting sqref="K295">
    <cfRule type="expression" priority="168" stopIfTrue="1">
      <formula>$A295="VCT00"</formula>
    </cfRule>
    <cfRule type="expression" dxfId="171" priority="170">
      <formula>$A295="VCT A.E.M"</formula>
    </cfRule>
  </conditionalFormatting>
  <conditionalFormatting sqref="AT3:AT548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2:L239">
    <cfRule type="expression" dxfId="170" priority="2">
      <formula>MOD(RIGHT($A232,1),2)=0</formula>
    </cfRule>
    <cfRule type="expression" dxfId="169" priority="4">
      <formula>$A232="VARIOS"</formula>
    </cfRule>
  </conditionalFormatting>
  <conditionalFormatting sqref="L232:L239">
    <cfRule type="expression" priority="1" stopIfTrue="1">
      <formula>$A232="VCT00"</formula>
    </cfRule>
    <cfRule type="expression" dxfId="168" priority="3">
      <formula>$A232="VCT A.E.M"</formula>
    </cfRule>
  </conditionalFormatting>
  <pageMargins left="3.937007874015748E-2" right="3.937007874015748E-2" top="0.74803149606299213" bottom="0.74803149606299213" header="0.31496062992125984" footer="0.31496062992125984"/>
  <pageSetup paperSize="8" scale="2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factDoS2020">
                <anchor moveWithCells="1" sizeWithCells="1">
                  <from>
                    <xdr:col>45</xdr:col>
                    <xdr:colOff>123825</xdr:colOff>
                    <xdr:row>0</xdr:row>
                    <xdr:rowOff>66675</xdr:rowOff>
                  </from>
                  <to>
                    <xdr:col>46</xdr:col>
                    <xdr:colOff>390525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5" name="Button 112">
              <controlPr defaultSize="0" print="0" autoFill="0" autoPict="0" macro="[0]!AUTOCONSUMO2020">
                <anchor moveWithCells="1" sizeWithCells="1">
                  <from>
                    <xdr:col>46</xdr:col>
                    <xdr:colOff>476250</xdr:colOff>
                    <xdr:row>0</xdr:row>
                    <xdr:rowOff>28575</xdr:rowOff>
                  </from>
                  <to>
                    <xdr:col>47</xdr:col>
                    <xdr:colOff>828675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1:AL736"/>
  <sheetViews>
    <sheetView zoomScale="55" zoomScaleNormal="55" workbookViewId="0"/>
  </sheetViews>
  <sheetFormatPr baseColWidth="10" defaultRowHeight="15" x14ac:dyDescent="0.25"/>
  <cols>
    <col min="2" max="2" width="39.5703125" bestFit="1" customWidth="1"/>
    <col min="3" max="3" width="15.42578125" bestFit="1" customWidth="1"/>
    <col min="4" max="4" width="13.7109375" bestFit="1" customWidth="1"/>
    <col min="5" max="5" width="45.28515625" bestFit="1" customWidth="1"/>
    <col min="6" max="6" width="50" bestFit="1" customWidth="1"/>
    <col min="7" max="7" width="57.28515625" bestFit="1" customWidth="1"/>
    <col min="8" max="8" width="71.140625" bestFit="1" customWidth="1"/>
    <col min="9" max="9" width="17.28515625" bestFit="1" customWidth="1"/>
    <col min="10" max="10" width="17.28515625" customWidth="1"/>
    <col min="11" max="11" width="17.85546875" bestFit="1" customWidth="1"/>
    <col min="12" max="22" width="17.85546875" customWidth="1"/>
    <col min="23" max="23" width="11.5703125" customWidth="1"/>
    <col min="24" max="24" width="14.42578125" style="2" bestFit="1" customWidth="1"/>
    <col min="25" max="28" width="11.5703125" style="2"/>
    <col min="29" max="29" width="13" style="2" bestFit="1" customWidth="1"/>
    <col min="30" max="32" width="11.5703125" style="2"/>
    <col min="33" max="33" width="14.140625" style="2" customWidth="1"/>
    <col min="34" max="34" width="11.5703125" style="2" customWidth="1"/>
    <col min="35" max="35" width="11.5703125" style="2"/>
    <col min="36" max="36" width="0" hidden="1" customWidth="1"/>
    <col min="38" max="38" width="12.5703125" bestFit="1" customWidth="1"/>
  </cols>
  <sheetData>
    <row r="1" spans="2:38" ht="15.75" thickBot="1" x14ac:dyDescent="0.3"/>
    <row r="2" spans="2:38" ht="15.75" thickBot="1" x14ac:dyDescent="0.3">
      <c r="B2" s="526" t="s">
        <v>673</v>
      </c>
      <c r="C2" s="527"/>
      <c r="D2" s="527"/>
      <c r="E2" s="527"/>
      <c r="F2" s="527"/>
      <c r="G2" s="527"/>
      <c r="H2" s="527"/>
      <c r="I2" s="527"/>
      <c r="J2" s="527"/>
      <c r="K2" s="527"/>
      <c r="L2" s="527"/>
      <c r="M2" s="527"/>
      <c r="N2" s="527"/>
      <c r="O2" s="527"/>
      <c r="P2" s="527"/>
      <c r="Q2" s="527"/>
      <c r="R2" s="527"/>
      <c r="S2" s="527"/>
      <c r="T2" s="527"/>
      <c r="U2" s="527"/>
      <c r="V2" s="527"/>
      <c r="W2" s="527"/>
      <c r="X2" s="527"/>
      <c r="Y2" s="527"/>
      <c r="Z2" s="527"/>
      <c r="AA2" s="527"/>
      <c r="AB2" s="527"/>
      <c r="AC2" s="527"/>
      <c r="AD2" s="527"/>
      <c r="AE2" s="527"/>
      <c r="AF2" s="527"/>
      <c r="AG2" s="527"/>
      <c r="AH2" s="527"/>
      <c r="AI2" s="529"/>
    </row>
    <row r="3" spans="2:38" ht="19.5" thickBot="1" x14ac:dyDescent="0.3">
      <c r="B3" s="132" t="s">
        <v>18</v>
      </c>
      <c r="C3" s="116" t="s">
        <v>0</v>
      </c>
      <c r="D3" s="116" t="s">
        <v>671</v>
      </c>
      <c r="E3" s="133" t="s">
        <v>1</v>
      </c>
      <c r="F3" s="133" t="s">
        <v>2</v>
      </c>
      <c r="G3" s="133" t="s">
        <v>3</v>
      </c>
      <c r="H3" s="133" t="s">
        <v>4</v>
      </c>
      <c r="I3" s="218" t="s">
        <v>1527</v>
      </c>
      <c r="J3" s="218" t="s">
        <v>1528</v>
      </c>
      <c r="K3" s="218" t="s">
        <v>1702</v>
      </c>
      <c r="L3" s="218" t="s">
        <v>1703</v>
      </c>
      <c r="M3" s="218" t="s">
        <v>1704</v>
      </c>
      <c r="N3" s="218" t="s">
        <v>1705</v>
      </c>
      <c r="O3" s="218" t="s">
        <v>1706</v>
      </c>
      <c r="P3" s="218" t="s">
        <v>1707</v>
      </c>
      <c r="Q3" s="218" t="s">
        <v>1708</v>
      </c>
      <c r="R3" s="218" t="s">
        <v>1709</v>
      </c>
      <c r="S3" s="218" t="s">
        <v>1710</v>
      </c>
      <c r="T3" s="218" t="s">
        <v>1711</v>
      </c>
      <c r="U3" s="218" t="s">
        <v>1712</v>
      </c>
      <c r="V3" s="227" t="s">
        <v>1713</v>
      </c>
      <c r="W3" s="134" t="s">
        <v>711</v>
      </c>
      <c r="X3" s="91" t="s">
        <v>463</v>
      </c>
      <c r="Y3" s="91" t="s">
        <v>464</v>
      </c>
      <c r="Z3" s="91" t="s">
        <v>465</v>
      </c>
      <c r="AA3" s="91" t="s">
        <v>466</v>
      </c>
      <c r="AB3" s="91" t="s">
        <v>467</v>
      </c>
      <c r="AC3" s="91" t="s">
        <v>468</v>
      </c>
      <c r="AD3" s="91" t="s">
        <v>469</v>
      </c>
      <c r="AE3" s="91" t="s">
        <v>470</v>
      </c>
      <c r="AF3" s="91" t="s">
        <v>471</v>
      </c>
      <c r="AG3" s="91" t="s">
        <v>472</v>
      </c>
      <c r="AH3" s="92" t="s">
        <v>473</v>
      </c>
      <c r="AI3" s="93" t="s">
        <v>474</v>
      </c>
    </row>
    <row r="4" spans="2:38" ht="18.75" x14ac:dyDescent="0.25">
      <c r="B4" s="117">
        <v>28302205</v>
      </c>
      <c r="C4" s="118" t="s">
        <v>484</v>
      </c>
      <c r="D4" s="119">
        <v>39501</v>
      </c>
      <c r="E4" s="120" t="s">
        <v>499</v>
      </c>
      <c r="F4" s="140" t="s">
        <v>500</v>
      </c>
      <c r="G4" s="354" t="s">
        <v>345</v>
      </c>
      <c r="H4" s="140" t="s">
        <v>1041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02"/>
      <c r="T4" s="102"/>
      <c r="U4" s="102"/>
      <c r="V4" s="103"/>
      <c r="X4" s="109" t="s">
        <v>692</v>
      </c>
      <c r="Y4" s="110" t="s">
        <v>692</v>
      </c>
      <c r="Z4" s="110" t="s">
        <v>692</v>
      </c>
      <c r="AA4" s="110" t="s">
        <v>692</v>
      </c>
      <c r="AB4" s="110" t="s">
        <v>692</v>
      </c>
      <c r="AC4" s="110" t="s">
        <v>692</v>
      </c>
      <c r="AD4" s="110" t="s">
        <v>692</v>
      </c>
      <c r="AE4" s="110" t="s">
        <v>692</v>
      </c>
      <c r="AF4" s="110" t="s">
        <v>692</v>
      </c>
      <c r="AG4" s="110" t="s">
        <v>692</v>
      </c>
      <c r="AH4" s="110" t="s">
        <v>692</v>
      </c>
      <c r="AI4" s="111" t="s">
        <v>692</v>
      </c>
      <c r="AK4" s="237"/>
      <c r="AL4" s="237"/>
    </row>
    <row r="5" spans="2:38" ht="18.75" x14ac:dyDescent="0.25">
      <c r="B5" s="121">
        <v>94811349</v>
      </c>
      <c r="C5" s="14" t="s">
        <v>484</v>
      </c>
      <c r="D5" s="11">
        <v>39971</v>
      </c>
      <c r="E5" s="8" t="s">
        <v>492</v>
      </c>
      <c r="F5" s="139" t="s">
        <v>493</v>
      </c>
      <c r="G5" s="355" t="s">
        <v>494</v>
      </c>
      <c r="H5" s="139" t="s">
        <v>345</v>
      </c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01"/>
      <c r="T5" s="101"/>
      <c r="U5" s="101"/>
      <c r="V5" s="105"/>
      <c r="X5" s="112" t="s">
        <v>692</v>
      </c>
      <c r="Y5" s="44" t="s">
        <v>692</v>
      </c>
      <c r="Z5" s="44" t="s">
        <v>692</v>
      </c>
      <c r="AA5" s="44" t="s">
        <v>692</v>
      </c>
      <c r="AB5" s="44" t="s">
        <v>692</v>
      </c>
      <c r="AC5" s="44" t="s">
        <v>692</v>
      </c>
      <c r="AD5" s="44" t="s">
        <v>692</v>
      </c>
      <c r="AE5" s="44" t="s">
        <v>692</v>
      </c>
      <c r="AF5" s="44" t="s">
        <v>692</v>
      </c>
      <c r="AG5" s="44" t="s">
        <v>692</v>
      </c>
      <c r="AH5" s="44" t="s">
        <v>692</v>
      </c>
      <c r="AI5" s="113" t="s">
        <v>692</v>
      </c>
      <c r="AK5" s="237"/>
      <c r="AL5" s="237"/>
    </row>
    <row r="6" spans="2:38" ht="18.75" x14ac:dyDescent="0.25">
      <c r="B6" s="121">
        <v>95589698</v>
      </c>
      <c r="C6" s="14" t="s">
        <v>342</v>
      </c>
      <c r="D6" s="11">
        <v>39471</v>
      </c>
      <c r="E6" s="8" t="s">
        <v>364</v>
      </c>
      <c r="F6" s="139" t="s">
        <v>365</v>
      </c>
      <c r="G6" s="355"/>
      <c r="H6" s="139" t="s">
        <v>873</v>
      </c>
      <c r="I6" s="139">
        <v>7340076</v>
      </c>
      <c r="J6" s="139"/>
      <c r="K6" s="139"/>
      <c r="L6" s="139"/>
      <c r="M6" s="139"/>
      <c r="N6" s="139"/>
      <c r="O6" s="139"/>
      <c r="P6" s="139"/>
      <c r="Q6" s="139"/>
      <c r="R6" s="139"/>
      <c r="S6" s="101"/>
      <c r="T6" s="101"/>
      <c r="U6" s="101"/>
      <c r="V6" s="105"/>
      <c r="X6" s="112" t="s">
        <v>692</v>
      </c>
      <c r="Y6" s="44" t="s">
        <v>692</v>
      </c>
      <c r="Z6" s="44" t="s">
        <v>692</v>
      </c>
      <c r="AA6" s="44" t="s">
        <v>692</v>
      </c>
      <c r="AB6" s="44" t="s">
        <v>692</v>
      </c>
      <c r="AC6" s="44" t="s">
        <v>692</v>
      </c>
      <c r="AD6" s="44" t="s">
        <v>692</v>
      </c>
      <c r="AE6" s="44" t="s">
        <v>692</v>
      </c>
      <c r="AF6" s="44" t="s">
        <v>692</v>
      </c>
      <c r="AG6" s="44" t="s">
        <v>692</v>
      </c>
      <c r="AH6" s="44" t="s">
        <v>692</v>
      </c>
      <c r="AI6" s="113" t="s">
        <v>692</v>
      </c>
      <c r="AK6" s="237"/>
      <c r="AL6" s="237"/>
    </row>
    <row r="7" spans="2:38" ht="18.75" x14ac:dyDescent="0.25">
      <c r="B7" s="121">
        <v>95589705</v>
      </c>
      <c r="C7" s="14" t="s">
        <v>342</v>
      </c>
      <c r="D7" s="11">
        <v>39017</v>
      </c>
      <c r="E7" s="8" t="s">
        <v>1374</v>
      </c>
      <c r="F7" s="139" t="s">
        <v>452</v>
      </c>
      <c r="G7" s="355" t="s">
        <v>662</v>
      </c>
      <c r="H7" s="139" t="s">
        <v>874</v>
      </c>
      <c r="I7" s="139">
        <v>1000631</v>
      </c>
      <c r="J7" s="139"/>
      <c r="K7" s="139"/>
      <c r="L7" s="139"/>
      <c r="M7" s="139"/>
      <c r="N7" s="139"/>
      <c r="O7" s="139"/>
      <c r="P7" s="139"/>
      <c r="Q7" s="139"/>
      <c r="R7" s="139"/>
      <c r="S7" s="101"/>
      <c r="T7" s="101"/>
      <c r="U7" s="101"/>
      <c r="V7" s="105"/>
      <c r="X7" s="112" t="s">
        <v>692</v>
      </c>
      <c r="Y7" s="44" t="s">
        <v>692</v>
      </c>
      <c r="Z7" s="44" t="s">
        <v>692</v>
      </c>
      <c r="AA7" s="44" t="s">
        <v>692</v>
      </c>
      <c r="AB7" s="44" t="s">
        <v>692</v>
      </c>
      <c r="AC7" s="44" t="s">
        <v>692</v>
      </c>
      <c r="AD7" s="44" t="s">
        <v>692</v>
      </c>
      <c r="AE7" s="44" t="s">
        <v>692</v>
      </c>
      <c r="AF7" s="44" t="s">
        <v>692</v>
      </c>
      <c r="AG7" s="44" t="s">
        <v>692</v>
      </c>
      <c r="AH7" s="44" t="s">
        <v>692</v>
      </c>
      <c r="AI7" s="113" t="s">
        <v>692</v>
      </c>
      <c r="AK7" s="237"/>
      <c r="AL7" s="237"/>
    </row>
    <row r="8" spans="2:38" ht="18.75" x14ac:dyDescent="0.25">
      <c r="B8" s="121">
        <v>95589721</v>
      </c>
      <c r="C8" s="14" t="s">
        <v>342</v>
      </c>
      <c r="D8" s="11">
        <v>39145</v>
      </c>
      <c r="E8" s="8" t="s">
        <v>1374</v>
      </c>
      <c r="F8" s="139" t="s">
        <v>367</v>
      </c>
      <c r="G8" s="355" t="s">
        <v>1079</v>
      </c>
      <c r="H8" s="139" t="s">
        <v>877</v>
      </c>
      <c r="I8" s="139">
        <v>3249811</v>
      </c>
      <c r="J8" s="139"/>
      <c r="K8" s="139"/>
      <c r="L8" s="139"/>
      <c r="M8" s="139"/>
      <c r="N8" s="139"/>
      <c r="O8" s="139"/>
      <c r="P8" s="139"/>
      <c r="Q8" s="139"/>
      <c r="R8" s="139"/>
      <c r="S8" s="101"/>
      <c r="T8" s="101"/>
      <c r="U8" s="101"/>
      <c r="V8" s="105"/>
      <c r="X8" s="112" t="s">
        <v>692</v>
      </c>
      <c r="Y8" s="44" t="s">
        <v>692</v>
      </c>
      <c r="Z8" s="44" t="s">
        <v>692</v>
      </c>
      <c r="AA8" s="44" t="s">
        <v>692</v>
      </c>
      <c r="AB8" s="44" t="s">
        <v>692</v>
      </c>
      <c r="AC8" s="44" t="s">
        <v>692</v>
      </c>
      <c r="AD8" s="44" t="s">
        <v>692</v>
      </c>
      <c r="AE8" s="44" t="s">
        <v>692</v>
      </c>
      <c r="AF8" s="44" t="s">
        <v>692</v>
      </c>
      <c r="AG8" s="44" t="s">
        <v>692</v>
      </c>
      <c r="AH8" s="44" t="s">
        <v>692</v>
      </c>
      <c r="AI8" s="113" t="s">
        <v>692</v>
      </c>
      <c r="AK8" s="237"/>
      <c r="AL8" s="237"/>
    </row>
    <row r="9" spans="2:38" ht="18.75" x14ac:dyDescent="0.25">
      <c r="B9" s="121">
        <v>95589723</v>
      </c>
      <c r="C9" s="14" t="s">
        <v>342</v>
      </c>
      <c r="D9" s="11">
        <v>39667</v>
      </c>
      <c r="E9" s="8" t="s">
        <v>1374</v>
      </c>
      <c r="F9" s="139" t="s">
        <v>348</v>
      </c>
      <c r="G9" s="355" t="s">
        <v>1373</v>
      </c>
      <c r="H9" s="139" t="s">
        <v>876</v>
      </c>
      <c r="I9" s="139"/>
      <c r="J9" s="139"/>
      <c r="K9" s="139"/>
      <c r="L9" s="139"/>
      <c r="M9" s="139"/>
      <c r="N9" s="139"/>
      <c r="O9" s="139"/>
      <c r="P9" s="139"/>
      <c r="Q9" s="139"/>
      <c r="R9" s="139"/>
      <c r="S9" s="101"/>
      <c r="T9" s="101"/>
      <c r="U9" s="101"/>
      <c r="V9" s="105"/>
      <c r="X9" s="112" t="s">
        <v>692</v>
      </c>
      <c r="Y9" s="44" t="s">
        <v>692</v>
      </c>
      <c r="Z9" s="44" t="s">
        <v>692</v>
      </c>
      <c r="AA9" s="44" t="s">
        <v>692</v>
      </c>
      <c r="AB9" s="44" t="s">
        <v>692</v>
      </c>
      <c r="AC9" s="44" t="s">
        <v>692</v>
      </c>
      <c r="AD9" s="44" t="s">
        <v>692</v>
      </c>
      <c r="AE9" s="44" t="s">
        <v>692</v>
      </c>
      <c r="AF9" s="44" t="s">
        <v>692</v>
      </c>
      <c r="AG9" s="44" t="s">
        <v>692</v>
      </c>
      <c r="AH9" s="44" t="s">
        <v>692</v>
      </c>
      <c r="AI9" s="113" t="s">
        <v>692</v>
      </c>
      <c r="AK9" s="237"/>
      <c r="AL9" s="237"/>
    </row>
    <row r="10" spans="2:38" ht="18.75" x14ac:dyDescent="0.25">
      <c r="B10" s="121">
        <v>95589730</v>
      </c>
      <c r="C10" s="14" t="s">
        <v>342</v>
      </c>
      <c r="D10" s="11">
        <v>39729</v>
      </c>
      <c r="E10" s="8" t="s">
        <v>145</v>
      </c>
      <c r="F10" s="139" t="s">
        <v>361</v>
      </c>
      <c r="G10" s="355" t="s">
        <v>1696</v>
      </c>
      <c r="H10" s="139" t="s">
        <v>884</v>
      </c>
      <c r="I10" s="139">
        <v>9497244</v>
      </c>
      <c r="J10" s="139"/>
      <c r="K10" s="139"/>
      <c r="L10" s="139"/>
      <c r="M10" s="139"/>
      <c r="N10" s="139"/>
      <c r="O10" s="139"/>
      <c r="P10" s="139"/>
      <c r="Q10" s="139"/>
      <c r="R10" s="139"/>
      <c r="S10" s="101"/>
      <c r="T10" s="101"/>
      <c r="U10" s="101"/>
      <c r="V10" s="105"/>
      <c r="X10" s="112" t="s">
        <v>692</v>
      </c>
      <c r="Y10" s="44" t="s">
        <v>692</v>
      </c>
      <c r="Z10" s="44" t="s">
        <v>692</v>
      </c>
      <c r="AA10" s="44" t="s">
        <v>692</v>
      </c>
      <c r="AB10" s="44" t="s">
        <v>692</v>
      </c>
      <c r="AC10" s="44" t="s">
        <v>692</v>
      </c>
      <c r="AD10" s="44" t="s">
        <v>692</v>
      </c>
      <c r="AE10" s="44" t="s">
        <v>692</v>
      </c>
      <c r="AF10" s="44" t="s">
        <v>692</v>
      </c>
      <c r="AG10" s="44" t="s">
        <v>692</v>
      </c>
      <c r="AH10" s="44" t="s">
        <v>692</v>
      </c>
      <c r="AI10" s="113" t="s">
        <v>692</v>
      </c>
      <c r="AK10" s="237"/>
      <c r="AL10" s="237"/>
    </row>
    <row r="11" spans="2:38" ht="18.75" x14ac:dyDescent="0.25">
      <c r="B11" s="121">
        <v>95589744</v>
      </c>
      <c r="C11" s="14" t="s">
        <v>342</v>
      </c>
      <c r="D11" s="11">
        <v>39000</v>
      </c>
      <c r="E11" s="8" t="s">
        <v>357</v>
      </c>
      <c r="F11" s="139" t="s">
        <v>357</v>
      </c>
      <c r="G11" s="355" t="s">
        <v>661</v>
      </c>
      <c r="H11" s="139" t="s">
        <v>882</v>
      </c>
      <c r="I11" s="139">
        <v>2955799</v>
      </c>
      <c r="J11" s="139"/>
      <c r="K11" s="139"/>
      <c r="L11" s="139"/>
      <c r="M11" s="139"/>
      <c r="N11" s="139"/>
      <c r="O11" s="139"/>
      <c r="P11" s="139"/>
      <c r="Q11" s="139"/>
      <c r="R11" s="139"/>
      <c r="S11" s="101"/>
      <c r="T11" s="101"/>
      <c r="U11" s="101"/>
      <c r="V11" s="105"/>
      <c r="X11" s="112" t="s">
        <v>692</v>
      </c>
      <c r="Y11" s="44" t="s">
        <v>692</v>
      </c>
      <c r="Z11" s="44" t="s">
        <v>692</v>
      </c>
      <c r="AA11" s="44" t="s">
        <v>692</v>
      </c>
      <c r="AB11" s="44" t="s">
        <v>692</v>
      </c>
      <c r="AC11" s="44" t="s">
        <v>692</v>
      </c>
      <c r="AD11" s="44" t="s">
        <v>692</v>
      </c>
      <c r="AE11" s="44" t="s">
        <v>692</v>
      </c>
      <c r="AF11" s="44" t="s">
        <v>692</v>
      </c>
      <c r="AG11" s="44" t="s">
        <v>692</v>
      </c>
      <c r="AH11" s="44" t="s">
        <v>692</v>
      </c>
      <c r="AI11" s="113" t="s">
        <v>692</v>
      </c>
      <c r="AK11" s="237"/>
      <c r="AL11" s="237"/>
    </row>
    <row r="12" spans="2:38" ht="18.75" x14ac:dyDescent="0.25">
      <c r="B12" s="121">
        <v>97560644</v>
      </c>
      <c r="C12" s="14" t="s">
        <v>342</v>
      </c>
      <c r="D12" s="11">
        <v>39281</v>
      </c>
      <c r="E12" s="8" t="s">
        <v>370</v>
      </c>
      <c r="F12" s="139" t="s">
        <v>371</v>
      </c>
      <c r="G12" s="355"/>
      <c r="H12" s="139" t="s">
        <v>864</v>
      </c>
      <c r="I12" s="139">
        <v>6278957</v>
      </c>
      <c r="J12" s="139"/>
      <c r="K12" s="139"/>
      <c r="L12" s="139"/>
      <c r="M12" s="139"/>
      <c r="N12" s="139"/>
      <c r="O12" s="139"/>
      <c r="P12" s="139"/>
      <c r="Q12" s="139"/>
      <c r="R12" s="139"/>
      <c r="S12" s="101"/>
      <c r="T12" s="101"/>
      <c r="U12" s="101"/>
      <c r="V12" s="105"/>
      <c r="X12" s="112" t="s">
        <v>692</v>
      </c>
      <c r="Y12" s="44" t="s">
        <v>692</v>
      </c>
      <c r="Z12" s="44" t="s">
        <v>692</v>
      </c>
      <c r="AA12" s="44" t="s">
        <v>692</v>
      </c>
      <c r="AB12" s="44" t="s">
        <v>692</v>
      </c>
      <c r="AC12" s="44" t="s">
        <v>692</v>
      </c>
      <c r="AD12" s="44" t="s">
        <v>692</v>
      </c>
      <c r="AE12" s="44" t="s">
        <v>692</v>
      </c>
      <c r="AF12" s="44" t="s">
        <v>692</v>
      </c>
      <c r="AG12" s="44" t="s">
        <v>692</v>
      </c>
      <c r="AH12" s="44" t="s">
        <v>692</v>
      </c>
      <c r="AI12" s="113" t="s">
        <v>692</v>
      </c>
      <c r="AK12" s="237"/>
      <c r="AL12" s="237"/>
    </row>
    <row r="13" spans="2:38" ht="18.75" x14ac:dyDescent="0.25">
      <c r="B13" s="121">
        <v>15051348800</v>
      </c>
      <c r="C13" s="14" t="s">
        <v>342</v>
      </c>
      <c r="D13" s="11">
        <v>39030</v>
      </c>
      <c r="E13" s="8" t="s">
        <v>1374</v>
      </c>
      <c r="F13" s="139" t="s">
        <v>1431</v>
      </c>
      <c r="G13" s="355" t="s">
        <v>1432</v>
      </c>
      <c r="H13" s="139" t="s">
        <v>883</v>
      </c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01"/>
      <c r="T13" s="101"/>
      <c r="U13" s="101"/>
      <c r="V13" s="105"/>
      <c r="X13" s="112" t="s">
        <v>692</v>
      </c>
      <c r="Y13" s="44" t="s">
        <v>692</v>
      </c>
      <c r="Z13" s="44" t="s">
        <v>692</v>
      </c>
      <c r="AA13" s="44" t="s">
        <v>692</v>
      </c>
      <c r="AB13" s="44" t="s">
        <v>692</v>
      </c>
      <c r="AC13" s="44" t="s">
        <v>692</v>
      </c>
      <c r="AD13" s="44" t="s">
        <v>692</v>
      </c>
      <c r="AE13" s="44" t="s">
        <v>692</v>
      </c>
      <c r="AF13" s="44" t="s">
        <v>692</v>
      </c>
      <c r="AG13" s="44" t="s">
        <v>692</v>
      </c>
      <c r="AH13" s="44" t="s">
        <v>692</v>
      </c>
      <c r="AI13" s="113" t="s">
        <v>692</v>
      </c>
      <c r="AK13" s="237"/>
      <c r="AL13" s="237"/>
    </row>
    <row r="14" spans="2:38" ht="18.75" x14ac:dyDescent="0.25">
      <c r="B14" s="121" t="s">
        <v>1150</v>
      </c>
      <c r="C14" s="14" t="s">
        <v>342</v>
      </c>
      <c r="D14" s="11">
        <v>39413</v>
      </c>
      <c r="E14" s="8" t="s">
        <v>362</v>
      </c>
      <c r="F14" s="139" t="s">
        <v>363</v>
      </c>
      <c r="G14" s="355" t="s">
        <v>363</v>
      </c>
      <c r="H14" s="139" t="s">
        <v>878</v>
      </c>
      <c r="I14" s="139">
        <v>1011472</v>
      </c>
      <c r="J14" s="139"/>
      <c r="K14" s="139"/>
      <c r="L14" s="139"/>
      <c r="M14" s="139"/>
      <c r="N14" s="139"/>
      <c r="O14" s="139"/>
      <c r="P14" s="139"/>
      <c r="Q14" s="139"/>
      <c r="R14" s="139"/>
      <c r="S14" s="101"/>
      <c r="T14" s="101"/>
      <c r="U14" s="101"/>
      <c r="V14" s="105"/>
      <c r="X14" s="112" t="s">
        <v>692</v>
      </c>
      <c r="Y14" s="44" t="s">
        <v>692</v>
      </c>
      <c r="Z14" s="44" t="s">
        <v>692</v>
      </c>
      <c r="AA14" s="44" t="s">
        <v>692</v>
      </c>
      <c r="AB14" s="44" t="s">
        <v>692</v>
      </c>
      <c r="AC14" s="44" t="s">
        <v>692</v>
      </c>
      <c r="AD14" s="44" t="s">
        <v>692</v>
      </c>
      <c r="AE14" s="44" t="s">
        <v>692</v>
      </c>
      <c r="AF14" s="44" t="s">
        <v>692</v>
      </c>
      <c r="AG14" s="44" t="s">
        <v>692</v>
      </c>
      <c r="AH14" s="44" t="s">
        <v>692</v>
      </c>
      <c r="AI14" s="113" t="s">
        <v>692</v>
      </c>
      <c r="AK14" s="237"/>
      <c r="AL14" s="237"/>
    </row>
    <row r="15" spans="2:38" ht="18.75" x14ac:dyDescent="0.25">
      <c r="B15" s="121" t="s">
        <v>1149</v>
      </c>
      <c r="C15" s="14" t="s">
        <v>342</v>
      </c>
      <c r="D15" s="11">
        <v>39053</v>
      </c>
      <c r="E15" s="8" t="s">
        <v>1411</v>
      </c>
      <c r="F15" s="139" t="s">
        <v>351</v>
      </c>
      <c r="G15" s="355" t="s">
        <v>1410</v>
      </c>
      <c r="H15" s="139" t="s">
        <v>880</v>
      </c>
      <c r="I15" s="139">
        <v>24279910</v>
      </c>
      <c r="J15" s="139"/>
      <c r="K15" s="139"/>
      <c r="L15" s="139"/>
      <c r="M15" s="139"/>
      <c r="N15" s="139"/>
      <c r="O15" s="139"/>
      <c r="P15" s="139"/>
      <c r="Q15" s="139"/>
      <c r="R15" s="139"/>
      <c r="S15" s="101"/>
      <c r="T15" s="101"/>
      <c r="U15" s="101"/>
      <c r="V15" s="105"/>
      <c r="X15" s="112" t="s">
        <v>692</v>
      </c>
      <c r="Y15" s="44" t="s">
        <v>692</v>
      </c>
      <c r="Z15" s="44" t="s">
        <v>692</v>
      </c>
      <c r="AA15" s="44" t="s">
        <v>692</v>
      </c>
      <c r="AB15" s="44" t="s">
        <v>692</v>
      </c>
      <c r="AC15" s="44" t="s">
        <v>692</v>
      </c>
      <c r="AD15" s="44" t="s">
        <v>692</v>
      </c>
      <c r="AE15" s="44" t="s">
        <v>692</v>
      </c>
      <c r="AF15" s="44" t="s">
        <v>692</v>
      </c>
      <c r="AG15" s="44" t="s">
        <v>692</v>
      </c>
      <c r="AH15" s="44" t="s">
        <v>692</v>
      </c>
      <c r="AI15" s="113" t="s">
        <v>692</v>
      </c>
      <c r="AK15" s="237"/>
      <c r="AL15" s="237"/>
    </row>
    <row r="16" spans="2:38" ht="18.75" x14ac:dyDescent="0.25">
      <c r="B16" s="121" t="s">
        <v>1151</v>
      </c>
      <c r="C16" s="14" t="s">
        <v>342</v>
      </c>
      <c r="D16" s="11">
        <v>39202</v>
      </c>
      <c r="E16" s="8" t="s">
        <v>368</v>
      </c>
      <c r="F16" s="139" t="s">
        <v>369</v>
      </c>
      <c r="G16" s="355"/>
      <c r="H16" s="139" t="s">
        <v>870</v>
      </c>
      <c r="I16" s="139">
        <v>754342</v>
      </c>
      <c r="J16" s="139"/>
      <c r="K16" s="139"/>
      <c r="L16" s="139"/>
      <c r="M16" s="139"/>
      <c r="N16" s="139"/>
      <c r="O16" s="139"/>
      <c r="P16" s="139"/>
      <c r="Q16" s="139"/>
      <c r="R16" s="139"/>
      <c r="S16" s="101"/>
      <c r="T16" s="101"/>
      <c r="U16" s="101"/>
      <c r="V16" s="105"/>
      <c r="X16" s="112" t="s">
        <v>692</v>
      </c>
      <c r="Y16" s="44" t="s">
        <v>692</v>
      </c>
      <c r="Z16" s="44" t="s">
        <v>692</v>
      </c>
      <c r="AA16" s="44" t="s">
        <v>692</v>
      </c>
      <c r="AB16" s="44" t="s">
        <v>692</v>
      </c>
      <c r="AC16" s="44" t="s">
        <v>692</v>
      </c>
      <c r="AD16" s="44" t="s">
        <v>692</v>
      </c>
      <c r="AE16" s="44" t="s">
        <v>692</v>
      </c>
      <c r="AF16" s="44" t="s">
        <v>692</v>
      </c>
      <c r="AG16" s="44" t="s">
        <v>692</v>
      </c>
      <c r="AH16" s="44" t="s">
        <v>692</v>
      </c>
      <c r="AI16" s="113" t="s">
        <v>692</v>
      </c>
      <c r="AK16" s="237"/>
      <c r="AL16" s="237"/>
    </row>
    <row r="17" spans="2:38" ht="18.75" x14ac:dyDescent="0.25">
      <c r="B17" s="121" t="s">
        <v>1152</v>
      </c>
      <c r="C17" s="14" t="s">
        <v>342</v>
      </c>
      <c r="D17" s="11">
        <v>39473</v>
      </c>
      <c r="E17" s="8" t="s">
        <v>352</v>
      </c>
      <c r="F17" s="139" t="s">
        <v>352</v>
      </c>
      <c r="G17" s="355" t="s">
        <v>353</v>
      </c>
      <c r="H17" s="139" t="s">
        <v>871</v>
      </c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01"/>
      <c r="T17" s="101"/>
      <c r="U17" s="101"/>
      <c r="V17" s="105"/>
      <c r="X17" s="112" t="s">
        <v>692</v>
      </c>
      <c r="Y17" s="44" t="s">
        <v>692</v>
      </c>
      <c r="Z17" s="44" t="s">
        <v>692</v>
      </c>
      <c r="AA17" s="44" t="s">
        <v>692</v>
      </c>
      <c r="AB17" s="44" t="s">
        <v>692</v>
      </c>
      <c r="AC17" s="44" t="s">
        <v>692</v>
      </c>
      <c r="AD17" s="44" t="s">
        <v>692</v>
      </c>
      <c r="AE17" s="44" t="s">
        <v>692</v>
      </c>
      <c r="AF17" s="44" t="s">
        <v>692</v>
      </c>
      <c r="AG17" s="44" t="s">
        <v>692</v>
      </c>
      <c r="AH17" s="44" t="s">
        <v>692</v>
      </c>
      <c r="AI17" s="113" t="s">
        <v>692</v>
      </c>
      <c r="AK17" s="237"/>
      <c r="AL17" s="237"/>
    </row>
    <row r="18" spans="2:38" ht="18.75" x14ac:dyDescent="0.25">
      <c r="B18" s="121" t="s">
        <v>1152</v>
      </c>
      <c r="C18" s="14" t="s">
        <v>342</v>
      </c>
      <c r="D18" s="11">
        <v>39486</v>
      </c>
      <c r="E18" s="8" t="s">
        <v>354</v>
      </c>
      <c r="F18" s="139" t="s">
        <v>355</v>
      </c>
      <c r="G18" s="355" t="s">
        <v>356</v>
      </c>
      <c r="H18" s="139" t="s">
        <v>872</v>
      </c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01"/>
      <c r="T18" s="101"/>
      <c r="U18" s="101"/>
      <c r="V18" s="105"/>
      <c r="X18" s="112" t="s">
        <v>692</v>
      </c>
      <c r="Y18" s="44" t="s">
        <v>692</v>
      </c>
      <c r="Z18" s="44" t="s">
        <v>692</v>
      </c>
      <c r="AA18" s="44" t="s">
        <v>692</v>
      </c>
      <c r="AB18" s="44" t="s">
        <v>692</v>
      </c>
      <c r="AC18" s="44" t="s">
        <v>692</v>
      </c>
      <c r="AD18" s="44" t="s">
        <v>692</v>
      </c>
      <c r="AE18" s="44" t="s">
        <v>692</v>
      </c>
      <c r="AF18" s="44" t="s">
        <v>692</v>
      </c>
      <c r="AG18" s="44" t="s">
        <v>692</v>
      </c>
      <c r="AH18" s="44" t="s">
        <v>692</v>
      </c>
      <c r="AI18" s="113" t="s">
        <v>692</v>
      </c>
      <c r="AK18" s="237"/>
      <c r="AL18" s="237"/>
    </row>
    <row r="19" spans="2:38" ht="18.75" x14ac:dyDescent="0.25">
      <c r="B19" s="121" t="s">
        <v>1152</v>
      </c>
      <c r="C19" s="14" t="s">
        <v>342</v>
      </c>
      <c r="D19" s="11">
        <v>39486</v>
      </c>
      <c r="E19" s="8" t="s">
        <v>354</v>
      </c>
      <c r="F19" s="139" t="s">
        <v>355</v>
      </c>
      <c r="G19" s="355" t="s">
        <v>1221</v>
      </c>
      <c r="H19" s="139" t="s">
        <v>1220</v>
      </c>
      <c r="I19" s="139">
        <v>2829797</v>
      </c>
      <c r="J19" s="139"/>
      <c r="K19" s="139"/>
      <c r="L19" s="139"/>
      <c r="M19" s="139"/>
      <c r="N19" s="139"/>
      <c r="O19" s="139"/>
      <c r="P19" s="139"/>
      <c r="Q19" s="139"/>
      <c r="R19" s="139"/>
      <c r="S19" s="101"/>
      <c r="T19" s="101"/>
      <c r="U19" s="101"/>
      <c r="V19" s="105"/>
      <c r="X19" s="112" t="s">
        <v>692</v>
      </c>
      <c r="Y19" s="44" t="s">
        <v>692</v>
      </c>
      <c r="Z19" s="44" t="s">
        <v>692</v>
      </c>
      <c r="AA19" s="44" t="s">
        <v>692</v>
      </c>
      <c r="AB19" s="44" t="s">
        <v>692</v>
      </c>
      <c r="AC19" s="44" t="s">
        <v>692</v>
      </c>
      <c r="AD19" s="44" t="s">
        <v>692</v>
      </c>
      <c r="AE19" s="44" t="s">
        <v>692</v>
      </c>
      <c r="AF19" s="44" t="s">
        <v>692</v>
      </c>
      <c r="AG19" s="44" t="s">
        <v>692</v>
      </c>
      <c r="AH19" s="44" t="s">
        <v>692</v>
      </c>
      <c r="AI19" s="113" t="s">
        <v>692</v>
      </c>
      <c r="AK19" s="237"/>
      <c r="AL19" s="237"/>
    </row>
    <row r="20" spans="2:38" ht="18.75" x14ac:dyDescent="0.25">
      <c r="B20" s="121" t="s">
        <v>1153</v>
      </c>
      <c r="C20" s="14" t="s">
        <v>342</v>
      </c>
      <c r="D20" s="11">
        <v>39514</v>
      </c>
      <c r="E20" s="8" t="s">
        <v>1678</v>
      </c>
      <c r="F20" s="139"/>
      <c r="G20" s="355" t="s">
        <v>1682</v>
      </c>
      <c r="H20" s="139" t="s">
        <v>885</v>
      </c>
      <c r="I20" s="139">
        <v>8075129</v>
      </c>
      <c r="J20" s="139"/>
      <c r="K20" s="139"/>
      <c r="L20" s="139"/>
      <c r="M20" s="139"/>
      <c r="N20" s="139"/>
      <c r="O20" s="139"/>
      <c r="P20" s="139"/>
      <c r="Q20" s="139"/>
      <c r="R20" s="139"/>
      <c r="S20" s="101"/>
      <c r="T20" s="101"/>
      <c r="U20" s="101"/>
      <c r="V20" s="105"/>
      <c r="X20" s="112" t="s">
        <v>692</v>
      </c>
      <c r="Y20" s="44" t="s">
        <v>692</v>
      </c>
      <c r="Z20" s="44" t="s">
        <v>692</v>
      </c>
      <c r="AA20" s="44" t="s">
        <v>692</v>
      </c>
      <c r="AB20" s="44" t="s">
        <v>692</v>
      </c>
      <c r="AC20" s="44" t="s">
        <v>692</v>
      </c>
      <c r="AD20" s="44" t="s">
        <v>692</v>
      </c>
      <c r="AE20" s="44" t="s">
        <v>692</v>
      </c>
      <c r="AF20" s="44" t="s">
        <v>692</v>
      </c>
      <c r="AG20" s="44" t="s">
        <v>692</v>
      </c>
      <c r="AH20" s="44" t="s">
        <v>692</v>
      </c>
      <c r="AI20" s="113" t="s">
        <v>692</v>
      </c>
      <c r="AK20" s="237"/>
      <c r="AL20" s="237"/>
    </row>
    <row r="21" spans="2:38" ht="18.75" x14ac:dyDescent="0.25">
      <c r="B21" s="121" t="s">
        <v>1154</v>
      </c>
      <c r="C21" s="14" t="s">
        <v>342</v>
      </c>
      <c r="D21" s="11">
        <v>39100</v>
      </c>
      <c r="E21" s="8" t="s">
        <v>343</v>
      </c>
      <c r="F21" s="139" t="s">
        <v>344</v>
      </c>
      <c r="G21" s="355" t="s">
        <v>817</v>
      </c>
      <c r="H21" s="139" t="s">
        <v>886</v>
      </c>
      <c r="I21" s="139">
        <v>165038109</v>
      </c>
      <c r="J21" s="139"/>
      <c r="K21" s="139"/>
      <c r="L21" s="139"/>
      <c r="M21" s="139"/>
      <c r="N21" s="139"/>
      <c r="O21" s="139"/>
      <c r="P21" s="139"/>
      <c r="Q21" s="139"/>
      <c r="R21" s="139"/>
      <c r="S21" s="101"/>
      <c r="T21" s="101"/>
      <c r="U21" s="101"/>
      <c r="V21" s="105"/>
      <c r="X21" s="112" t="s">
        <v>692</v>
      </c>
      <c r="Y21" s="44" t="s">
        <v>692</v>
      </c>
      <c r="Z21" s="44" t="s">
        <v>692</v>
      </c>
      <c r="AA21" s="44" t="s">
        <v>692</v>
      </c>
      <c r="AB21" s="44" t="s">
        <v>692</v>
      </c>
      <c r="AC21" s="44" t="s">
        <v>692</v>
      </c>
      <c r="AD21" s="44" t="s">
        <v>692</v>
      </c>
      <c r="AE21" s="44" t="s">
        <v>692</v>
      </c>
      <c r="AF21" s="44" t="s">
        <v>692</v>
      </c>
      <c r="AG21" s="44" t="s">
        <v>692</v>
      </c>
      <c r="AH21" s="44" t="s">
        <v>692</v>
      </c>
      <c r="AI21" s="113" t="s">
        <v>692</v>
      </c>
      <c r="AK21" s="237"/>
      <c r="AL21" s="237"/>
    </row>
    <row r="22" spans="2:38" ht="18.75" x14ac:dyDescent="0.25">
      <c r="B22" s="121" t="s">
        <v>1155</v>
      </c>
      <c r="C22" s="14" t="s">
        <v>342</v>
      </c>
      <c r="D22" s="11">
        <v>39235</v>
      </c>
      <c r="E22" s="8" t="s">
        <v>346</v>
      </c>
      <c r="F22" s="139" t="s">
        <v>347</v>
      </c>
      <c r="G22" s="355"/>
      <c r="H22" s="139" t="s">
        <v>875</v>
      </c>
      <c r="I22" s="139">
        <v>10508964</v>
      </c>
      <c r="J22" s="139"/>
      <c r="K22" s="139"/>
      <c r="L22" s="139"/>
      <c r="M22" s="139"/>
      <c r="N22" s="139"/>
      <c r="O22" s="139"/>
      <c r="P22" s="139"/>
      <c r="Q22" s="139"/>
      <c r="R22" s="139"/>
      <c r="S22" s="101"/>
      <c r="T22" s="101"/>
      <c r="U22" s="101"/>
      <c r="V22" s="105"/>
      <c r="X22" s="112" t="s">
        <v>692</v>
      </c>
      <c r="Y22" s="44" t="s">
        <v>692</v>
      </c>
      <c r="Z22" s="44" t="s">
        <v>692</v>
      </c>
      <c r="AA22" s="44" t="s">
        <v>692</v>
      </c>
      <c r="AB22" s="44" t="s">
        <v>692</v>
      </c>
      <c r="AC22" s="44" t="s">
        <v>692</v>
      </c>
      <c r="AD22" s="44" t="s">
        <v>692</v>
      </c>
      <c r="AE22" s="44" t="s">
        <v>692</v>
      </c>
      <c r="AF22" s="44" t="s">
        <v>692</v>
      </c>
      <c r="AG22" s="44" t="s">
        <v>692</v>
      </c>
      <c r="AH22" s="44" t="s">
        <v>692</v>
      </c>
      <c r="AI22" s="113" t="s">
        <v>692</v>
      </c>
      <c r="AK22" s="237"/>
      <c r="AL22" s="237"/>
    </row>
    <row r="23" spans="2:38" ht="18.75" x14ac:dyDescent="0.25">
      <c r="B23" s="121" t="s">
        <v>1156</v>
      </c>
      <c r="C23" s="14" t="s">
        <v>342</v>
      </c>
      <c r="D23" s="11">
        <v>39316</v>
      </c>
      <c r="E23" s="8" t="s">
        <v>358</v>
      </c>
      <c r="F23" s="139" t="s">
        <v>359</v>
      </c>
      <c r="G23" s="355"/>
      <c r="H23" s="139" t="s">
        <v>879</v>
      </c>
      <c r="I23" s="139">
        <v>9094209</v>
      </c>
      <c r="J23" s="139"/>
      <c r="K23" s="139"/>
      <c r="L23" s="139"/>
      <c r="M23" s="139"/>
      <c r="N23" s="139"/>
      <c r="O23" s="139"/>
      <c r="P23" s="139"/>
      <c r="Q23" s="139"/>
      <c r="R23" s="139"/>
      <c r="S23" s="101"/>
      <c r="T23" s="101"/>
      <c r="U23" s="101"/>
      <c r="V23" s="105"/>
      <c r="X23" s="112" t="s">
        <v>692</v>
      </c>
      <c r="Y23" s="44" t="s">
        <v>692</v>
      </c>
      <c r="Z23" s="44" t="s">
        <v>692</v>
      </c>
      <c r="AA23" s="44" t="s">
        <v>692</v>
      </c>
      <c r="AB23" s="44" t="s">
        <v>692</v>
      </c>
      <c r="AC23" s="44" t="s">
        <v>692</v>
      </c>
      <c r="AD23" s="44" t="s">
        <v>692</v>
      </c>
      <c r="AE23" s="44" t="s">
        <v>692</v>
      </c>
      <c r="AF23" s="44" t="s">
        <v>692</v>
      </c>
      <c r="AG23" s="44" t="s">
        <v>692</v>
      </c>
      <c r="AH23" s="44" t="s">
        <v>692</v>
      </c>
      <c r="AI23" s="113" t="s">
        <v>692</v>
      </c>
      <c r="AK23" s="237"/>
      <c r="AL23" s="237"/>
    </row>
    <row r="24" spans="2:38" ht="18.75" x14ac:dyDescent="0.25">
      <c r="B24" s="121" t="s">
        <v>1157</v>
      </c>
      <c r="C24" s="14" t="s">
        <v>342</v>
      </c>
      <c r="D24" s="11">
        <v>39189</v>
      </c>
      <c r="E24" s="8" t="s">
        <v>349</v>
      </c>
      <c r="F24" s="139" t="s">
        <v>350</v>
      </c>
      <c r="G24" s="355"/>
      <c r="H24" s="139" t="s">
        <v>881</v>
      </c>
      <c r="I24" s="139">
        <v>4599107</v>
      </c>
      <c r="J24" s="139"/>
      <c r="K24" s="139"/>
      <c r="L24" s="139"/>
      <c r="M24" s="139"/>
      <c r="N24" s="139"/>
      <c r="O24" s="139"/>
      <c r="P24" s="139"/>
      <c r="Q24" s="139"/>
      <c r="R24" s="139"/>
      <c r="S24" s="101"/>
      <c r="T24" s="101"/>
      <c r="U24" s="101"/>
      <c r="V24" s="105"/>
      <c r="X24" s="112" t="s">
        <v>692</v>
      </c>
      <c r="Y24" s="44" t="s">
        <v>692</v>
      </c>
      <c r="Z24" s="44" t="s">
        <v>692</v>
      </c>
      <c r="AA24" s="44" t="s">
        <v>692</v>
      </c>
      <c r="AB24" s="44" t="s">
        <v>692</v>
      </c>
      <c r="AC24" s="44" t="s">
        <v>692</v>
      </c>
      <c r="AD24" s="44" t="s">
        <v>692</v>
      </c>
      <c r="AE24" s="44" t="s">
        <v>692</v>
      </c>
      <c r="AF24" s="44" t="s">
        <v>692</v>
      </c>
      <c r="AG24" s="44" t="s">
        <v>692</v>
      </c>
      <c r="AH24" s="44" t="s">
        <v>692</v>
      </c>
      <c r="AI24" s="113" t="s">
        <v>692</v>
      </c>
      <c r="AK24" s="237"/>
      <c r="AL24" s="237"/>
    </row>
    <row r="25" spans="2:38" ht="18.75" x14ac:dyDescent="0.25">
      <c r="B25" s="121" t="s">
        <v>1158</v>
      </c>
      <c r="C25" s="14" t="s">
        <v>342</v>
      </c>
      <c r="D25" s="11">
        <v>39760</v>
      </c>
      <c r="E25" s="8" t="s">
        <v>1362</v>
      </c>
      <c r="F25" s="139" t="s">
        <v>372</v>
      </c>
      <c r="G25" s="355" t="s">
        <v>817</v>
      </c>
      <c r="H25" s="139" t="s">
        <v>862</v>
      </c>
      <c r="I25" s="139">
        <v>244491502</v>
      </c>
      <c r="J25" s="139"/>
      <c r="K25" s="139"/>
      <c r="L25" s="139"/>
      <c r="M25" s="139"/>
      <c r="N25" s="139"/>
      <c r="O25" s="139"/>
      <c r="P25" s="139"/>
      <c r="Q25" s="139"/>
      <c r="R25" s="139"/>
      <c r="S25" s="101"/>
      <c r="T25" s="101"/>
      <c r="U25" s="101"/>
      <c r="V25" s="105"/>
      <c r="X25" s="112" t="s">
        <v>692</v>
      </c>
      <c r="Y25" s="44" t="s">
        <v>692</v>
      </c>
      <c r="Z25" s="44" t="s">
        <v>692</v>
      </c>
      <c r="AA25" s="44" t="s">
        <v>692</v>
      </c>
      <c r="AB25" s="44" t="s">
        <v>692</v>
      </c>
      <c r="AC25" s="44" t="s">
        <v>692</v>
      </c>
      <c r="AD25" s="44" t="s">
        <v>692</v>
      </c>
      <c r="AE25" s="44" t="s">
        <v>692</v>
      </c>
      <c r="AF25" s="44" t="s">
        <v>692</v>
      </c>
      <c r="AG25" s="44" t="s">
        <v>692</v>
      </c>
      <c r="AH25" s="44" t="s">
        <v>692</v>
      </c>
      <c r="AI25" s="113" t="s">
        <v>692</v>
      </c>
      <c r="AK25" s="237"/>
      <c r="AL25" s="237"/>
    </row>
    <row r="26" spans="2:38" ht="18.75" x14ac:dyDescent="0.25">
      <c r="B26" s="128" t="s">
        <v>1159</v>
      </c>
      <c r="C26" s="97" t="s">
        <v>342</v>
      </c>
      <c r="D26" s="88">
        <v>39407</v>
      </c>
      <c r="E26" s="185" t="s">
        <v>373</v>
      </c>
      <c r="F26" s="139" t="s">
        <v>374</v>
      </c>
      <c r="G26" s="355" t="s">
        <v>375</v>
      </c>
      <c r="H26" s="139" t="s">
        <v>863</v>
      </c>
      <c r="I26" s="139">
        <v>2735540</v>
      </c>
      <c r="J26" s="139"/>
      <c r="K26" s="139"/>
      <c r="L26" s="139"/>
      <c r="M26" s="139"/>
      <c r="N26" s="139"/>
      <c r="O26" s="139"/>
      <c r="P26" s="139"/>
      <c r="Q26" s="139"/>
      <c r="R26" s="139"/>
      <c r="S26" s="101"/>
      <c r="T26" s="101"/>
      <c r="U26" s="101"/>
      <c r="V26" s="105"/>
      <c r="X26" s="112" t="s">
        <v>692</v>
      </c>
      <c r="Y26" s="44" t="s">
        <v>692</v>
      </c>
      <c r="Z26" s="44" t="s">
        <v>692</v>
      </c>
      <c r="AA26" s="44" t="s">
        <v>692</v>
      </c>
      <c r="AB26" s="44" t="s">
        <v>692</v>
      </c>
      <c r="AC26" s="44" t="s">
        <v>692</v>
      </c>
      <c r="AD26" s="44" t="s">
        <v>692</v>
      </c>
      <c r="AE26" s="44" t="s">
        <v>692</v>
      </c>
      <c r="AF26" s="44" t="s">
        <v>692</v>
      </c>
      <c r="AG26" s="44" t="s">
        <v>692</v>
      </c>
      <c r="AH26" s="44" t="s">
        <v>692</v>
      </c>
      <c r="AI26" s="113" t="s">
        <v>692</v>
      </c>
      <c r="AK26" s="237"/>
      <c r="AL26" s="237"/>
    </row>
    <row r="27" spans="2:38" ht="18.75" x14ac:dyDescent="0.25">
      <c r="B27" s="128" t="s">
        <v>1382</v>
      </c>
      <c r="C27" s="97" t="s">
        <v>342</v>
      </c>
      <c r="D27" s="88">
        <v>39667</v>
      </c>
      <c r="E27" s="185" t="s">
        <v>1374</v>
      </c>
      <c r="F27" s="139" t="s">
        <v>348</v>
      </c>
      <c r="G27" s="355" t="s">
        <v>1383</v>
      </c>
      <c r="H27" s="139" t="s">
        <v>876</v>
      </c>
      <c r="I27" s="139">
        <v>29769542</v>
      </c>
      <c r="J27" s="139"/>
      <c r="K27" s="139"/>
      <c r="L27" s="139"/>
      <c r="M27" s="139"/>
      <c r="N27" s="139"/>
      <c r="O27" s="139"/>
      <c r="P27" s="139"/>
      <c r="Q27" s="139"/>
      <c r="R27" s="139"/>
      <c r="S27" s="101"/>
      <c r="T27" s="101"/>
      <c r="U27" s="101"/>
      <c r="V27" s="105"/>
      <c r="X27" s="112" t="s">
        <v>692</v>
      </c>
      <c r="Y27" s="44" t="s">
        <v>692</v>
      </c>
      <c r="Z27" s="44" t="s">
        <v>692</v>
      </c>
      <c r="AA27" s="44" t="s">
        <v>692</v>
      </c>
      <c r="AB27" s="44" t="s">
        <v>692</v>
      </c>
      <c r="AC27" s="44" t="s">
        <v>692</v>
      </c>
      <c r="AD27" s="44" t="s">
        <v>692</v>
      </c>
      <c r="AE27" s="44" t="s">
        <v>692</v>
      </c>
      <c r="AF27" s="44" t="s">
        <v>692</v>
      </c>
      <c r="AG27" s="44" t="s">
        <v>692</v>
      </c>
      <c r="AH27" s="44" t="s">
        <v>692</v>
      </c>
      <c r="AI27" s="113" t="s">
        <v>692</v>
      </c>
      <c r="AK27" s="237"/>
      <c r="AL27" s="237"/>
    </row>
    <row r="28" spans="2:38" ht="18.75" x14ac:dyDescent="0.25">
      <c r="B28" s="128" t="s">
        <v>1147</v>
      </c>
      <c r="C28" s="97" t="s">
        <v>342</v>
      </c>
      <c r="D28" s="88">
        <v>39509</v>
      </c>
      <c r="E28" s="185" t="s">
        <v>966</v>
      </c>
      <c r="F28" s="139" t="s">
        <v>819</v>
      </c>
      <c r="G28" s="355"/>
      <c r="H28" s="139" t="s">
        <v>1013</v>
      </c>
      <c r="I28" s="139">
        <v>768906</v>
      </c>
      <c r="J28" s="139"/>
      <c r="K28" s="139"/>
      <c r="L28" s="139"/>
      <c r="M28" s="139"/>
      <c r="N28" s="139"/>
      <c r="O28" s="139"/>
      <c r="P28" s="139"/>
      <c r="Q28" s="139"/>
      <c r="R28" s="139"/>
      <c r="S28" s="101"/>
      <c r="T28" s="101"/>
      <c r="U28" s="101"/>
      <c r="V28" s="105"/>
      <c r="X28" s="112" t="s">
        <v>692</v>
      </c>
      <c r="Y28" s="44" t="s">
        <v>692</v>
      </c>
      <c r="Z28" s="44" t="s">
        <v>692</v>
      </c>
      <c r="AA28" s="44" t="s">
        <v>692</v>
      </c>
      <c r="AB28" s="44" t="s">
        <v>692</v>
      </c>
      <c r="AC28" s="44" t="s">
        <v>692</v>
      </c>
      <c r="AD28" s="44" t="s">
        <v>692</v>
      </c>
      <c r="AE28" s="44" t="s">
        <v>692</v>
      </c>
      <c r="AF28" s="44" t="s">
        <v>692</v>
      </c>
      <c r="AG28" s="44" t="s">
        <v>692</v>
      </c>
      <c r="AH28" s="44" t="s">
        <v>692</v>
      </c>
      <c r="AI28" s="113" t="s">
        <v>692</v>
      </c>
      <c r="AK28" s="237"/>
      <c r="AL28" s="237"/>
    </row>
    <row r="29" spans="2:38" ht="18.75" x14ac:dyDescent="0.25">
      <c r="B29" s="128" t="s">
        <v>1375</v>
      </c>
      <c r="C29" s="97" t="s">
        <v>342</v>
      </c>
      <c r="D29" s="88">
        <v>39672</v>
      </c>
      <c r="E29" s="185" t="s">
        <v>1376</v>
      </c>
      <c r="F29" s="139" t="s">
        <v>1377</v>
      </c>
      <c r="G29" s="355" t="s">
        <v>1378</v>
      </c>
      <c r="H29" s="139" t="s">
        <v>1608</v>
      </c>
      <c r="I29" s="139">
        <v>619743</v>
      </c>
      <c r="J29" s="139"/>
      <c r="K29" s="139"/>
      <c r="L29" s="139"/>
      <c r="M29" s="139"/>
      <c r="N29" s="139"/>
      <c r="O29" s="139"/>
      <c r="P29" s="139"/>
      <c r="Q29" s="139"/>
      <c r="R29" s="139"/>
      <c r="S29" s="101"/>
      <c r="T29" s="101"/>
      <c r="U29" s="101"/>
      <c r="V29" s="105"/>
      <c r="X29" s="112" t="s">
        <v>692</v>
      </c>
      <c r="Y29" s="44" t="s">
        <v>692</v>
      </c>
      <c r="Z29" s="44" t="s">
        <v>692</v>
      </c>
      <c r="AA29" s="44" t="s">
        <v>692</v>
      </c>
      <c r="AB29" s="44" t="s">
        <v>692</v>
      </c>
      <c r="AC29" s="44" t="s">
        <v>692</v>
      </c>
      <c r="AD29" s="44" t="s">
        <v>692</v>
      </c>
      <c r="AE29" s="44" t="s">
        <v>692</v>
      </c>
      <c r="AF29" s="44" t="s">
        <v>692</v>
      </c>
      <c r="AG29" s="44" t="s">
        <v>692</v>
      </c>
      <c r="AH29" s="44" t="s">
        <v>692</v>
      </c>
      <c r="AI29" s="113" t="s">
        <v>692</v>
      </c>
      <c r="AK29" s="237"/>
      <c r="AL29" s="237"/>
    </row>
    <row r="30" spans="2:38" ht="18.75" x14ac:dyDescent="0.25">
      <c r="B30" s="128" t="s">
        <v>1406</v>
      </c>
      <c r="C30" s="97" t="s">
        <v>342</v>
      </c>
      <c r="D30" s="88">
        <v>39593</v>
      </c>
      <c r="E30" s="185" t="s">
        <v>1407</v>
      </c>
      <c r="F30" s="139" t="s">
        <v>1408</v>
      </c>
      <c r="G30" s="355" t="s">
        <v>1409</v>
      </c>
      <c r="H30" s="139" t="s">
        <v>345</v>
      </c>
      <c r="I30" s="139">
        <v>781971</v>
      </c>
      <c r="J30" s="139"/>
      <c r="K30" s="139"/>
      <c r="L30" s="139"/>
      <c r="M30" s="139"/>
      <c r="N30" s="139"/>
      <c r="O30" s="139"/>
      <c r="P30" s="139"/>
      <c r="Q30" s="139"/>
      <c r="R30" s="139"/>
      <c r="S30" s="101"/>
      <c r="T30" s="101"/>
      <c r="U30" s="101"/>
      <c r="V30" s="105"/>
      <c r="X30" s="112" t="s">
        <v>692</v>
      </c>
      <c r="Y30" s="44" t="s">
        <v>692</v>
      </c>
      <c r="Z30" s="44" t="s">
        <v>692</v>
      </c>
      <c r="AA30" s="44" t="s">
        <v>692</v>
      </c>
      <c r="AB30" s="44" t="s">
        <v>692</v>
      </c>
      <c r="AC30" s="44" t="s">
        <v>692</v>
      </c>
      <c r="AD30" s="44" t="s">
        <v>692</v>
      </c>
      <c r="AE30" s="44" t="s">
        <v>692</v>
      </c>
      <c r="AF30" s="44" t="s">
        <v>692</v>
      </c>
      <c r="AG30" s="44" t="s">
        <v>692</v>
      </c>
      <c r="AH30" s="44" t="s">
        <v>692</v>
      </c>
      <c r="AI30" s="113" t="s">
        <v>692</v>
      </c>
      <c r="AK30" s="237"/>
      <c r="AL30" s="237"/>
    </row>
    <row r="31" spans="2:38" ht="18.75" x14ac:dyDescent="0.25">
      <c r="B31" s="128" t="s">
        <v>314</v>
      </c>
      <c r="C31" s="97" t="s">
        <v>310</v>
      </c>
      <c r="D31" s="88">
        <v>39074</v>
      </c>
      <c r="E31" s="185" t="s">
        <v>315</v>
      </c>
      <c r="F31" s="139" t="s">
        <v>316</v>
      </c>
      <c r="G31" s="355" t="s">
        <v>317</v>
      </c>
      <c r="H31" s="139"/>
      <c r="I31" s="139"/>
      <c r="J31" s="139"/>
      <c r="K31" s="139"/>
      <c r="L31" s="139"/>
      <c r="M31" s="139"/>
      <c r="N31" s="139"/>
      <c r="O31" s="139"/>
      <c r="P31" s="139"/>
      <c r="Q31" s="139"/>
      <c r="R31" s="139"/>
      <c r="S31" s="101"/>
      <c r="T31" s="101"/>
      <c r="U31" s="101"/>
      <c r="V31" s="105"/>
      <c r="X31" s="112" t="s">
        <v>692</v>
      </c>
      <c r="Y31" s="44" t="s">
        <v>692</v>
      </c>
      <c r="Z31" s="44" t="s">
        <v>692</v>
      </c>
      <c r="AA31" s="44" t="s">
        <v>692</v>
      </c>
      <c r="AB31" s="44" t="s">
        <v>692</v>
      </c>
      <c r="AC31" s="44" t="s">
        <v>692</v>
      </c>
      <c r="AD31" s="44" t="s">
        <v>692</v>
      </c>
      <c r="AE31" s="44" t="s">
        <v>692</v>
      </c>
      <c r="AF31" s="44" t="s">
        <v>692</v>
      </c>
      <c r="AG31" s="44" t="s">
        <v>692</v>
      </c>
      <c r="AH31" s="44" t="s">
        <v>692</v>
      </c>
      <c r="AI31" s="113" t="s">
        <v>692</v>
      </c>
      <c r="AK31" s="237"/>
      <c r="AL31" s="237"/>
    </row>
    <row r="32" spans="2:38" ht="18.75" x14ac:dyDescent="0.25">
      <c r="B32" s="128">
        <v>11210006</v>
      </c>
      <c r="C32" s="97" t="s">
        <v>318</v>
      </c>
      <c r="D32" s="88">
        <v>39033</v>
      </c>
      <c r="E32" s="185" t="s">
        <v>447</v>
      </c>
      <c r="F32" s="139" t="s">
        <v>963</v>
      </c>
      <c r="G32" s="355" t="s">
        <v>807</v>
      </c>
      <c r="H32" s="139" t="s">
        <v>751</v>
      </c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01"/>
      <c r="T32" s="101"/>
      <c r="U32" s="101"/>
      <c r="V32" s="105"/>
      <c r="X32" s="112" t="s">
        <v>692</v>
      </c>
      <c r="Y32" s="44" t="s">
        <v>692</v>
      </c>
      <c r="Z32" s="44" t="s">
        <v>692</v>
      </c>
      <c r="AA32" s="44" t="s">
        <v>692</v>
      </c>
      <c r="AB32" s="44" t="s">
        <v>692</v>
      </c>
      <c r="AC32" s="44" t="s">
        <v>692</v>
      </c>
      <c r="AD32" s="44" t="s">
        <v>692</v>
      </c>
      <c r="AE32" s="44" t="s">
        <v>692</v>
      </c>
      <c r="AF32" s="44" t="s">
        <v>692</v>
      </c>
      <c r="AG32" s="44" t="s">
        <v>692</v>
      </c>
      <c r="AH32" s="44" t="s">
        <v>692</v>
      </c>
      <c r="AI32" s="113" t="s">
        <v>692</v>
      </c>
      <c r="AK32" s="237"/>
      <c r="AL32" s="237"/>
    </row>
    <row r="33" spans="2:38" ht="18.75" x14ac:dyDescent="0.25">
      <c r="B33" s="128">
        <v>50990019</v>
      </c>
      <c r="C33" s="97" t="s">
        <v>318</v>
      </c>
      <c r="D33" s="88">
        <v>39072</v>
      </c>
      <c r="E33" s="185" t="s">
        <v>447</v>
      </c>
      <c r="F33" s="139" t="s">
        <v>901</v>
      </c>
      <c r="G33" s="355"/>
      <c r="H33" s="139" t="s">
        <v>751</v>
      </c>
      <c r="I33" s="139"/>
      <c r="J33" s="139"/>
      <c r="K33" s="139"/>
      <c r="L33" s="139"/>
      <c r="M33" s="139"/>
      <c r="N33" s="139"/>
      <c r="O33" s="139"/>
      <c r="P33" s="139"/>
      <c r="Q33" s="139"/>
      <c r="R33" s="139"/>
      <c r="S33" s="101"/>
      <c r="T33" s="101"/>
      <c r="U33" s="101"/>
      <c r="V33" s="105"/>
      <c r="X33" s="112" t="s">
        <v>692</v>
      </c>
      <c r="Y33" s="44" t="s">
        <v>692</v>
      </c>
      <c r="Z33" s="44" t="s">
        <v>692</v>
      </c>
      <c r="AA33" s="44" t="s">
        <v>692</v>
      </c>
      <c r="AB33" s="44" t="s">
        <v>692</v>
      </c>
      <c r="AC33" s="44" t="s">
        <v>692</v>
      </c>
      <c r="AD33" s="44" t="s">
        <v>692</v>
      </c>
      <c r="AE33" s="44" t="s">
        <v>692</v>
      </c>
      <c r="AF33" s="44" t="s">
        <v>692</v>
      </c>
      <c r="AG33" s="44" t="s">
        <v>692</v>
      </c>
      <c r="AH33" s="44" t="s">
        <v>692</v>
      </c>
      <c r="AI33" s="113" t="s">
        <v>692</v>
      </c>
      <c r="AK33" s="237"/>
      <c r="AL33" s="237"/>
    </row>
    <row r="34" spans="2:38" ht="18.75" x14ac:dyDescent="0.25">
      <c r="B34" s="128" t="s">
        <v>1224</v>
      </c>
      <c r="C34" s="97" t="s">
        <v>318</v>
      </c>
      <c r="D34" s="88">
        <v>39033</v>
      </c>
      <c r="E34" s="185" t="s">
        <v>447</v>
      </c>
      <c r="F34" s="139" t="s">
        <v>963</v>
      </c>
      <c r="G34" s="355" t="s">
        <v>1234</v>
      </c>
      <c r="H34" s="139" t="s">
        <v>1547</v>
      </c>
      <c r="I34" s="139"/>
      <c r="J34" s="139"/>
      <c r="K34" s="139"/>
      <c r="L34" s="139"/>
      <c r="M34" s="139"/>
      <c r="N34" s="139"/>
      <c r="O34" s="139"/>
      <c r="P34" s="139"/>
      <c r="Q34" s="139"/>
      <c r="R34" s="139"/>
      <c r="S34" s="101"/>
      <c r="T34" s="101"/>
      <c r="U34" s="101"/>
      <c r="V34" s="105"/>
      <c r="X34" s="112" t="s">
        <v>692</v>
      </c>
      <c r="Y34" s="44" t="s">
        <v>692</v>
      </c>
      <c r="Z34" s="44" t="s">
        <v>692</v>
      </c>
      <c r="AA34" s="44" t="s">
        <v>692</v>
      </c>
      <c r="AB34" s="44" t="s">
        <v>692</v>
      </c>
      <c r="AC34" s="44" t="s">
        <v>692</v>
      </c>
      <c r="AD34" s="44" t="s">
        <v>692</v>
      </c>
      <c r="AE34" s="44" t="s">
        <v>692</v>
      </c>
      <c r="AF34" s="44" t="s">
        <v>692</v>
      </c>
      <c r="AG34" s="44" t="s">
        <v>692</v>
      </c>
      <c r="AH34" s="44" t="s">
        <v>692</v>
      </c>
      <c r="AI34" s="113" t="s">
        <v>692</v>
      </c>
      <c r="AK34" s="237"/>
      <c r="AL34" s="237"/>
    </row>
    <row r="35" spans="2:38" ht="18.75" x14ac:dyDescent="0.25">
      <c r="B35" s="128" t="s">
        <v>1225</v>
      </c>
      <c r="C35" s="97" t="s">
        <v>318</v>
      </c>
      <c r="D35" s="88">
        <v>39072</v>
      </c>
      <c r="E35" s="185" t="s">
        <v>447</v>
      </c>
      <c r="F35" s="139" t="s">
        <v>901</v>
      </c>
      <c r="G35" s="355"/>
      <c r="H35" s="139" t="s">
        <v>1548</v>
      </c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01"/>
      <c r="T35" s="101"/>
      <c r="U35" s="101"/>
      <c r="V35" s="105"/>
      <c r="X35" s="112" t="s">
        <v>692</v>
      </c>
      <c r="Y35" s="44" t="s">
        <v>692</v>
      </c>
      <c r="Z35" s="44" t="s">
        <v>692</v>
      </c>
      <c r="AA35" s="44" t="s">
        <v>692</v>
      </c>
      <c r="AB35" s="44" t="s">
        <v>692</v>
      </c>
      <c r="AC35" s="44" t="s">
        <v>692</v>
      </c>
      <c r="AD35" s="44" t="s">
        <v>692</v>
      </c>
      <c r="AE35" s="44" t="s">
        <v>692</v>
      </c>
      <c r="AF35" s="44" t="s">
        <v>692</v>
      </c>
      <c r="AG35" s="44" t="s">
        <v>692</v>
      </c>
      <c r="AH35" s="44" t="s">
        <v>692</v>
      </c>
      <c r="AI35" s="113" t="s">
        <v>692</v>
      </c>
      <c r="AK35" s="237"/>
      <c r="AL35" s="237"/>
    </row>
    <row r="36" spans="2:38" ht="18.75" x14ac:dyDescent="0.25">
      <c r="B36" s="128" t="s">
        <v>340</v>
      </c>
      <c r="C36" s="97" t="s">
        <v>318</v>
      </c>
      <c r="D36" s="88">
        <v>39270</v>
      </c>
      <c r="E36" s="185" t="s">
        <v>341</v>
      </c>
      <c r="F36" s="139" t="s">
        <v>1598</v>
      </c>
      <c r="G36" s="355"/>
      <c r="H36" s="139"/>
      <c r="I36" s="139">
        <v>115474</v>
      </c>
      <c r="J36" s="139"/>
      <c r="K36" s="139"/>
      <c r="L36" s="139"/>
      <c r="M36" s="139"/>
      <c r="N36" s="139"/>
      <c r="O36" s="139"/>
      <c r="P36" s="139"/>
      <c r="Q36" s="139"/>
      <c r="R36" s="139"/>
      <c r="S36" s="101"/>
      <c r="T36" s="101"/>
      <c r="U36" s="101"/>
      <c r="V36" s="105"/>
      <c r="X36" s="112" t="s">
        <v>692</v>
      </c>
      <c r="Y36" s="44" t="s">
        <v>692</v>
      </c>
      <c r="Z36" s="44" t="s">
        <v>692</v>
      </c>
      <c r="AA36" s="44" t="s">
        <v>692</v>
      </c>
      <c r="AB36" s="44" t="s">
        <v>692</v>
      </c>
      <c r="AC36" s="44" t="s">
        <v>692</v>
      </c>
      <c r="AD36" s="44" t="s">
        <v>692</v>
      </c>
      <c r="AE36" s="44" t="s">
        <v>692</v>
      </c>
      <c r="AF36" s="44" t="s">
        <v>692</v>
      </c>
      <c r="AG36" s="44" t="s">
        <v>692</v>
      </c>
      <c r="AH36" s="44" t="s">
        <v>692</v>
      </c>
      <c r="AI36" s="113" t="s">
        <v>692</v>
      </c>
      <c r="AK36" s="237"/>
      <c r="AL36" s="237"/>
    </row>
    <row r="37" spans="2:38" ht="18.75" x14ac:dyDescent="0.25">
      <c r="B37" s="128" t="s">
        <v>1246</v>
      </c>
      <c r="C37" s="97" t="s">
        <v>318</v>
      </c>
      <c r="D37" s="88">
        <v>39848</v>
      </c>
      <c r="E37" s="185" t="s">
        <v>1247</v>
      </c>
      <c r="F37" s="139" t="s">
        <v>1248</v>
      </c>
      <c r="G37" s="355" t="s">
        <v>1322</v>
      </c>
      <c r="H37" s="139" t="s">
        <v>1324</v>
      </c>
      <c r="I37" s="139"/>
      <c r="J37" s="139"/>
      <c r="K37" s="139"/>
      <c r="L37" s="139"/>
      <c r="M37" s="139"/>
      <c r="N37" s="139"/>
      <c r="O37" s="139"/>
      <c r="P37" s="139"/>
      <c r="Q37" s="139"/>
      <c r="R37" s="139"/>
      <c r="S37" s="101"/>
      <c r="T37" s="101"/>
      <c r="U37" s="101"/>
      <c r="V37" s="105"/>
      <c r="X37" s="112" t="s">
        <v>692</v>
      </c>
      <c r="Y37" s="44" t="s">
        <v>692</v>
      </c>
      <c r="Z37" s="44" t="s">
        <v>692</v>
      </c>
      <c r="AA37" s="44" t="s">
        <v>692</v>
      </c>
      <c r="AB37" s="44" t="s">
        <v>692</v>
      </c>
      <c r="AC37" s="44" t="s">
        <v>692</v>
      </c>
      <c r="AD37" s="44" t="s">
        <v>692</v>
      </c>
      <c r="AE37" s="44" t="s">
        <v>692</v>
      </c>
      <c r="AF37" s="44" t="s">
        <v>692</v>
      </c>
      <c r="AG37" s="44" t="s">
        <v>692</v>
      </c>
      <c r="AH37" s="44" t="s">
        <v>692</v>
      </c>
      <c r="AI37" s="113" t="s">
        <v>692</v>
      </c>
      <c r="AK37" s="237"/>
      <c r="AL37" s="237"/>
    </row>
    <row r="38" spans="2:38" ht="18.75" x14ac:dyDescent="0.25">
      <c r="B38" s="128" t="s">
        <v>1310</v>
      </c>
      <c r="C38" s="97" t="s">
        <v>318</v>
      </c>
      <c r="D38" s="88">
        <v>39397</v>
      </c>
      <c r="E38" s="185" t="s">
        <v>1417</v>
      </c>
      <c r="F38" s="139" t="s">
        <v>1596</v>
      </c>
      <c r="G38" s="355"/>
      <c r="H38" s="139" t="s">
        <v>1416</v>
      </c>
      <c r="I38" s="139">
        <v>27207</v>
      </c>
      <c r="J38" s="139"/>
      <c r="K38" s="139"/>
      <c r="L38" s="139"/>
      <c r="M38" s="139"/>
      <c r="N38" s="139"/>
      <c r="O38" s="139"/>
      <c r="P38" s="139"/>
      <c r="Q38" s="139"/>
      <c r="R38" s="139"/>
      <c r="S38" s="101"/>
      <c r="T38" s="101"/>
      <c r="U38" s="101"/>
      <c r="V38" s="105"/>
      <c r="X38" s="112" t="s">
        <v>692</v>
      </c>
      <c r="Y38" s="44" t="s">
        <v>692</v>
      </c>
      <c r="Z38" s="44" t="s">
        <v>692</v>
      </c>
      <c r="AA38" s="44" t="s">
        <v>692</v>
      </c>
      <c r="AB38" s="44" t="s">
        <v>692</v>
      </c>
      <c r="AC38" s="44" t="s">
        <v>692</v>
      </c>
      <c r="AD38" s="44" t="s">
        <v>692</v>
      </c>
      <c r="AE38" s="44" t="s">
        <v>692</v>
      </c>
      <c r="AF38" s="44" t="s">
        <v>692</v>
      </c>
      <c r="AG38" s="44" t="s">
        <v>692</v>
      </c>
      <c r="AH38" s="44" t="s">
        <v>692</v>
      </c>
      <c r="AI38" s="113" t="s">
        <v>692</v>
      </c>
      <c r="AK38" s="237"/>
      <c r="AL38" s="237"/>
    </row>
    <row r="39" spans="2:38" ht="18.75" x14ac:dyDescent="0.25">
      <c r="B39" s="128" t="s">
        <v>1310</v>
      </c>
      <c r="C39" s="97" t="s">
        <v>318</v>
      </c>
      <c r="D39" s="88">
        <v>39397</v>
      </c>
      <c r="E39" s="185" t="s">
        <v>1311</v>
      </c>
      <c r="F39" s="139" t="s">
        <v>1248</v>
      </c>
      <c r="G39" s="355"/>
      <c r="H39" s="139" t="s">
        <v>1415</v>
      </c>
      <c r="I39" s="139"/>
      <c r="J39" s="139"/>
      <c r="K39" s="139"/>
      <c r="L39" s="139"/>
      <c r="M39" s="139"/>
      <c r="N39" s="139"/>
      <c r="O39" s="139"/>
      <c r="P39" s="139"/>
      <c r="Q39" s="139"/>
      <c r="R39" s="139"/>
      <c r="S39" s="101"/>
      <c r="T39" s="101"/>
      <c r="U39" s="101"/>
      <c r="V39" s="105"/>
      <c r="X39" s="112" t="s">
        <v>692</v>
      </c>
      <c r="Y39" s="44" t="s">
        <v>692</v>
      </c>
      <c r="Z39" s="44" t="s">
        <v>692</v>
      </c>
      <c r="AA39" s="44" t="s">
        <v>692</v>
      </c>
      <c r="AB39" s="44" t="s">
        <v>692</v>
      </c>
      <c r="AC39" s="44" t="s">
        <v>692</v>
      </c>
      <c r="AD39" s="44" t="s">
        <v>692</v>
      </c>
      <c r="AE39" s="44" t="s">
        <v>692</v>
      </c>
      <c r="AF39" s="44" t="s">
        <v>692</v>
      </c>
      <c r="AG39" s="44" t="s">
        <v>692</v>
      </c>
      <c r="AH39" s="44" t="s">
        <v>692</v>
      </c>
      <c r="AI39" s="113" t="s">
        <v>692</v>
      </c>
      <c r="AK39" s="237"/>
      <c r="AL39" s="237"/>
    </row>
    <row r="40" spans="2:38" ht="18.75" x14ac:dyDescent="0.25">
      <c r="B40" s="128" t="s">
        <v>1551</v>
      </c>
      <c r="C40" s="97" t="s">
        <v>318</v>
      </c>
      <c r="D40" s="88">
        <v>39456</v>
      </c>
      <c r="E40" s="185" t="s">
        <v>1552</v>
      </c>
      <c r="F40" s="139" t="s">
        <v>1602</v>
      </c>
      <c r="G40" s="355" t="s">
        <v>1553</v>
      </c>
      <c r="H40" s="139"/>
      <c r="I40" s="139">
        <v>26599</v>
      </c>
      <c r="J40" s="139"/>
      <c r="K40" s="139"/>
      <c r="L40" s="139"/>
      <c r="M40" s="139"/>
      <c r="N40" s="139"/>
      <c r="O40" s="139"/>
      <c r="P40" s="139"/>
      <c r="Q40" s="139"/>
      <c r="R40" s="139"/>
      <c r="S40" s="101"/>
      <c r="T40" s="101"/>
      <c r="U40" s="101"/>
      <c r="V40" s="105"/>
      <c r="X40" s="112" t="s">
        <v>692</v>
      </c>
      <c r="Y40" s="44" t="s">
        <v>692</v>
      </c>
      <c r="Z40" s="44" t="s">
        <v>692</v>
      </c>
      <c r="AA40" s="44" t="s">
        <v>692</v>
      </c>
      <c r="AB40" s="44" t="s">
        <v>692</v>
      </c>
      <c r="AC40" s="44" t="s">
        <v>692</v>
      </c>
      <c r="AD40" s="44" t="s">
        <v>692</v>
      </c>
      <c r="AE40" s="44" t="s">
        <v>692</v>
      </c>
      <c r="AF40" s="44" t="s">
        <v>692</v>
      </c>
      <c r="AG40" s="44" t="s">
        <v>692</v>
      </c>
      <c r="AH40" s="44" t="s">
        <v>692</v>
      </c>
      <c r="AI40" s="113" t="s">
        <v>692</v>
      </c>
      <c r="AK40" s="237"/>
      <c r="AL40" s="237"/>
    </row>
    <row r="41" spans="2:38" ht="18.75" x14ac:dyDescent="0.25">
      <c r="B41" s="128" t="s">
        <v>337</v>
      </c>
      <c r="C41" s="97" t="s">
        <v>318</v>
      </c>
      <c r="D41" s="88">
        <v>39358</v>
      </c>
      <c r="E41" s="185" t="s">
        <v>338</v>
      </c>
      <c r="F41" s="139" t="s">
        <v>1599</v>
      </c>
      <c r="G41" s="355" t="s">
        <v>339</v>
      </c>
      <c r="H41" s="139"/>
      <c r="I41" s="139">
        <v>119388</v>
      </c>
      <c r="J41" s="139"/>
      <c r="K41" s="139"/>
      <c r="L41" s="139"/>
      <c r="M41" s="139"/>
      <c r="N41" s="139"/>
      <c r="O41" s="139"/>
      <c r="P41" s="139"/>
      <c r="Q41" s="139"/>
      <c r="R41" s="139"/>
      <c r="S41" s="101"/>
      <c r="T41" s="101"/>
      <c r="U41" s="101"/>
      <c r="V41" s="105"/>
      <c r="X41" s="112" t="s">
        <v>692</v>
      </c>
      <c r="Y41" s="44" t="s">
        <v>692</v>
      </c>
      <c r="Z41" s="44" t="s">
        <v>692</v>
      </c>
      <c r="AA41" s="44" t="s">
        <v>692</v>
      </c>
      <c r="AB41" s="44" t="s">
        <v>692</v>
      </c>
      <c r="AC41" s="44" t="s">
        <v>692</v>
      </c>
      <c r="AD41" s="44" t="s">
        <v>692</v>
      </c>
      <c r="AE41" s="44" t="s">
        <v>692</v>
      </c>
      <c r="AF41" s="44" t="s">
        <v>692</v>
      </c>
      <c r="AG41" s="44" t="s">
        <v>692</v>
      </c>
      <c r="AH41" s="44" t="s">
        <v>692</v>
      </c>
      <c r="AI41" s="113" t="s">
        <v>692</v>
      </c>
      <c r="AK41" s="237"/>
      <c r="AL41" s="237"/>
    </row>
    <row r="42" spans="2:38" ht="18.75" x14ac:dyDescent="0.25">
      <c r="B42" s="128" t="s">
        <v>1235</v>
      </c>
      <c r="C42" s="97" t="s">
        <v>318</v>
      </c>
      <c r="D42" s="88">
        <v>39684</v>
      </c>
      <c r="E42" s="185" t="s">
        <v>1249</v>
      </c>
      <c r="F42" s="139" t="s">
        <v>1597</v>
      </c>
      <c r="G42" s="355" t="s">
        <v>1414</v>
      </c>
      <c r="H42" s="139"/>
      <c r="I42" s="139">
        <v>3878</v>
      </c>
      <c r="J42" s="139"/>
      <c r="K42" s="139"/>
      <c r="L42" s="139"/>
      <c r="M42" s="139"/>
      <c r="N42" s="139"/>
      <c r="O42" s="139"/>
      <c r="P42" s="139"/>
      <c r="Q42" s="139"/>
      <c r="R42" s="139"/>
      <c r="S42" s="101"/>
      <c r="T42" s="101"/>
      <c r="U42" s="101"/>
      <c r="V42" s="105"/>
      <c r="X42" s="112" t="s">
        <v>692</v>
      </c>
      <c r="Y42" s="44" t="s">
        <v>692</v>
      </c>
      <c r="Z42" s="44" t="s">
        <v>692</v>
      </c>
      <c r="AA42" s="44" t="s">
        <v>692</v>
      </c>
      <c r="AB42" s="44" t="s">
        <v>692</v>
      </c>
      <c r="AC42" s="44" t="s">
        <v>692</v>
      </c>
      <c r="AD42" s="44" t="s">
        <v>692</v>
      </c>
      <c r="AE42" s="44" t="s">
        <v>692</v>
      </c>
      <c r="AF42" s="44" t="s">
        <v>692</v>
      </c>
      <c r="AG42" s="44" t="s">
        <v>692</v>
      </c>
      <c r="AH42" s="44" t="s">
        <v>692</v>
      </c>
      <c r="AI42" s="113" t="s">
        <v>692</v>
      </c>
      <c r="AK42" s="237"/>
      <c r="AL42" s="237"/>
    </row>
    <row r="43" spans="2:38" ht="18.75" x14ac:dyDescent="0.3">
      <c r="B43" s="129" t="s">
        <v>1235</v>
      </c>
      <c r="C43" s="94" t="s">
        <v>318</v>
      </c>
      <c r="D43" s="94">
        <v>39684</v>
      </c>
      <c r="E43" s="95" t="s">
        <v>1249</v>
      </c>
      <c r="F43" s="139" t="s">
        <v>1248</v>
      </c>
      <c r="G43" s="355" t="s">
        <v>1334</v>
      </c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01"/>
      <c r="T43" s="101"/>
      <c r="U43" s="101"/>
      <c r="V43" s="105"/>
      <c r="X43" s="112" t="s">
        <v>692</v>
      </c>
      <c r="Y43" s="44" t="s">
        <v>692</v>
      </c>
      <c r="Z43" s="44" t="s">
        <v>692</v>
      </c>
      <c r="AA43" s="44" t="s">
        <v>692</v>
      </c>
      <c r="AB43" s="44" t="s">
        <v>692</v>
      </c>
      <c r="AC43" s="44" t="s">
        <v>692</v>
      </c>
      <c r="AD43" s="44" t="s">
        <v>692</v>
      </c>
      <c r="AE43" s="44" t="s">
        <v>692</v>
      </c>
      <c r="AF43" s="44" t="s">
        <v>692</v>
      </c>
      <c r="AG43" s="44" t="s">
        <v>692</v>
      </c>
      <c r="AH43" s="44" t="s">
        <v>692</v>
      </c>
      <c r="AI43" s="113" t="s">
        <v>692</v>
      </c>
      <c r="AK43" s="237"/>
      <c r="AL43" s="237"/>
    </row>
    <row r="44" spans="2:38" ht="18.75" x14ac:dyDescent="0.25">
      <c r="B44" s="129" t="s">
        <v>1099</v>
      </c>
      <c r="C44" s="97" t="s">
        <v>318</v>
      </c>
      <c r="D44" s="97">
        <v>39648</v>
      </c>
      <c r="E44" s="98" t="s">
        <v>1203</v>
      </c>
      <c r="F44" s="139" t="s">
        <v>322</v>
      </c>
      <c r="G44" s="355" t="s">
        <v>323</v>
      </c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01"/>
      <c r="T44" s="101"/>
      <c r="U44" s="101"/>
      <c r="V44" s="105"/>
      <c r="X44" s="112" t="s">
        <v>692</v>
      </c>
      <c r="Y44" s="44" t="s">
        <v>692</v>
      </c>
      <c r="Z44" s="44" t="s">
        <v>692</v>
      </c>
      <c r="AA44" s="44" t="s">
        <v>692</v>
      </c>
      <c r="AB44" s="44" t="s">
        <v>692</v>
      </c>
      <c r="AC44" s="44" t="s">
        <v>692</v>
      </c>
      <c r="AD44" s="44" t="s">
        <v>692</v>
      </c>
      <c r="AE44" s="44" t="s">
        <v>692</v>
      </c>
      <c r="AF44" s="44" t="s">
        <v>692</v>
      </c>
      <c r="AG44" s="44" t="s">
        <v>692</v>
      </c>
      <c r="AH44" s="44" t="s">
        <v>692</v>
      </c>
      <c r="AI44" s="113" t="s">
        <v>692</v>
      </c>
      <c r="AK44" s="237"/>
      <c r="AL44" s="237"/>
    </row>
    <row r="45" spans="2:38" ht="18.75" x14ac:dyDescent="0.25">
      <c r="B45" s="129" t="s">
        <v>1105</v>
      </c>
      <c r="C45" s="97" t="s">
        <v>318</v>
      </c>
      <c r="D45" s="97">
        <v>39648</v>
      </c>
      <c r="E45" s="98" t="s">
        <v>1204</v>
      </c>
      <c r="F45" s="139" t="s">
        <v>1592</v>
      </c>
      <c r="G45" s="355" t="s">
        <v>323</v>
      </c>
      <c r="H45" s="139"/>
      <c r="I45" s="139">
        <v>3658554</v>
      </c>
      <c r="J45" s="139"/>
      <c r="K45" s="139"/>
      <c r="L45" s="139"/>
      <c r="M45" s="139"/>
      <c r="N45" s="139"/>
      <c r="O45" s="139"/>
      <c r="P45" s="139"/>
      <c r="Q45" s="139"/>
      <c r="R45" s="139"/>
      <c r="S45" s="101"/>
      <c r="T45" s="101"/>
      <c r="U45" s="101"/>
      <c r="V45" s="105"/>
      <c r="X45" s="112" t="s">
        <v>692</v>
      </c>
      <c r="Y45" s="44" t="s">
        <v>692</v>
      </c>
      <c r="Z45" s="44" t="s">
        <v>692</v>
      </c>
      <c r="AA45" s="44" t="s">
        <v>692</v>
      </c>
      <c r="AB45" s="44" t="s">
        <v>692</v>
      </c>
      <c r="AC45" s="44" t="s">
        <v>692</v>
      </c>
      <c r="AD45" s="44" t="s">
        <v>692</v>
      </c>
      <c r="AE45" s="44" t="s">
        <v>692</v>
      </c>
      <c r="AF45" s="44" t="s">
        <v>692</v>
      </c>
      <c r="AG45" s="44" t="s">
        <v>692</v>
      </c>
      <c r="AH45" s="44" t="s">
        <v>692</v>
      </c>
      <c r="AI45" s="113" t="s">
        <v>692</v>
      </c>
      <c r="AK45" s="237"/>
      <c r="AL45" s="237"/>
    </row>
    <row r="46" spans="2:38" ht="18.75" x14ac:dyDescent="0.25">
      <c r="B46" s="129" t="s">
        <v>1102</v>
      </c>
      <c r="C46" s="94" t="s">
        <v>318</v>
      </c>
      <c r="D46" s="94">
        <v>39241</v>
      </c>
      <c r="E46" s="174" t="s">
        <v>1205</v>
      </c>
      <c r="F46" s="139" t="s">
        <v>1593</v>
      </c>
      <c r="G46" s="355" t="s">
        <v>325</v>
      </c>
      <c r="H46" s="139"/>
      <c r="I46" s="139">
        <v>7420672</v>
      </c>
      <c r="J46" s="139"/>
      <c r="K46" s="139"/>
      <c r="L46" s="139"/>
      <c r="M46" s="139"/>
      <c r="N46" s="139"/>
      <c r="O46" s="139"/>
      <c r="P46" s="139"/>
      <c r="Q46" s="139"/>
      <c r="R46" s="139"/>
      <c r="S46" s="101"/>
      <c r="T46" s="101"/>
      <c r="U46" s="101"/>
      <c r="V46" s="105"/>
      <c r="X46" s="112" t="s">
        <v>692</v>
      </c>
      <c r="Y46" s="44" t="s">
        <v>692</v>
      </c>
      <c r="Z46" s="44" t="s">
        <v>692</v>
      </c>
      <c r="AA46" s="44" t="s">
        <v>692</v>
      </c>
      <c r="AB46" s="44" t="s">
        <v>692</v>
      </c>
      <c r="AC46" s="44" t="s">
        <v>692</v>
      </c>
      <c r="AD46" s="44" t="s">
        <v>692</v>
      </c>
      <c r="AE46" s="44" t="s">
        <v>692</v>
      </c>
      <c r="AF46" s="44" t="s">
        <v>692</v>
      </c>
      <c r="AG46" s="44" t="s">
        <v>692</v>
      </c>
      <c r="AH46" s="44" t="s">
        <v>692</v>
      </c>
      <c r="AI46" s="113" t="s">
        <v>692</v>
      </c>
      <c r="AK46" s="237"/>
      <c r="AL46" s="237"/>
    </row>
    <row r="47" spans="2:38" ht="18.75" x14ac:dyDescent="0.25">
      <c r="B47" s="189" t="s">
        <v>1195</v>
      </c>
      <c r="C47" s="87" t="s">
        <v>318</v>
      </c>
      <c r="D47" s="87">
        <v>39241</v>
      </c>
      <c r="E47" s="174" t="s">
        <v>1206</v>
      </c>
      <c r="F47" s="139" t="s">
        <v>1516</v>
      </c>
      <c r="G47" s="355" t="s">
        <v>325</v>
      </c>
      <c r="H47" s="139"/>
      <c r="I47" s="139">
        <v>4637200</v>
      </c>
      <c r="J47" s="139"/>
      <c r="K47" s="139"/>
      <c r="L47" s="139"/>
      <c r="M47" s="139"/>
      <c r="N47" s="139"/>
      <c r="O47" s="139"/>
      <c r="P47" s="139"/>
      <c r="Q47" s="139"/>
      <c r="R47" s="139"/>
      <c r="S47" s="101"/>
      <c r="T47" s="101"/>
      <c r="U47" s="101"/>
      <c r="V47" s="105"/>
      <c r="X47" s="112" t="s">
        <v>692</v>
      </c>
      <c r="Y47" s="44" t="s">
        <v>692</v>
      </c>
      <c r="Z47" s="44" t="s">
        <v>692</v>
      </c>
      <c r="AA47" s="44" t="s">
        <v>692</v>
      </c>
      <c r="AB47" s="44" t="s">
        <v>692</v>
      </c>
      <c r="AC47" s="44" t="s">
        <v>692</v>
      </c>
      <c r="AD47" s="44" t="s">
        <v>692</v>
      </c>
      <c r="AE47" s="44" t="s">
        <v>692</v>
      </c>
      <c r="AF47" s="44" t="s">
        <v>692</v>
      </c>
      <c r="AG47" s="44" t="s">
        <v>692</v>
      </c>
      <c r="AH47" s="44" t="s">
        <v>692</v>
      </c>
      <c r="AI47" s="113" t="s">
        <v>692</v>
      </c>
      <c r="AK47" s="237"/>
      <c r="AL47" s="237"/>
    </row>
    <row r="48" spans="2:38" ht="18.75" x14ac:dyDescent="0.25">
      <c r="B48" s="129" t="s">
        <v>1317</v>
      </c>
      <c r="C48" s="97" t="s">
        <v>318</v>
      </c>
      <c r="D48" s="97">
        <v>39648</v>
      </c>
      <c r="E48" s="98" t="s">
        <v>1203</v>
      </c>
      <c r="F48" s="139" t="s">
        <v>1519</v>
      </c>
      <c r="G48" s="355" t="s">
        <v>323</v>
      </c>
      <c r="H48" s="139"/>
      <c r="I48" s="139">
        <v>155382</v>
      </c>
      <c r="J48" s="139"/>
      <c r="K48" s="139"/>
      <c r="L48" s="139"/>
      <c r="M48" s="139"/>
      <c r="N48" s="139"/>
      <c r="O48" s="139"/>
      <c r="P48" s="139"/>
      <c r="Q48" s="139"/>
      <c r="R48" s="139"/>
      <c r="S48" s="101"/>
      <c r="T48" s="101"/>
      <c r="U48" s="101"/>
      <c r="V48" s="105"/>
      <c r="X48" s="112" t="s">
        <v>692</v>
      </c>
      <c r="Y48" s="44" t="s">
        <v>692</v>
      </c>
      <c r="Z48" s="44" t="s">
        <v>692</v>
      </c>
      <c r="AA48" s="44" t="s">
        <v>692</v>
      </c>
      <c r="AB48" s="44" t="s">
        <v>692</v>
      </c>
      <c r="AC48" s="44" t="s">
        <v>692</v>
      </c>
      <c r="AD48" s="44" t="s">
        <v>692</v>
      </c>
      <c r="AE48" s="44" t="s">
        <v>692</v>
      </c>
      <c r="AF48" s="44" t="s">
        <v>692</v>
      </c>
      <c r="AG48" s="44" t="s">
        <v>692</v>
      </c>
      <c r="AH48" s="44" t="s">
        <v>692</v>
      </c>
      <c r="AI48" s="113" t="s">
        <v>692</v>
      </c>
      <c r="AK48" s="237"/>
      <c r="AL48" s="237"/>
    </row>
    <row r="49" spans="2:38" ht="18.75" x14ac:dyDescent="0.25">
      <c r="B49" s="129" t="s">
        <v>1542</v>
      </c>
      <c r="C49" s="94" t="s">
        <v>318</v>
      </c>
      <c r="D49" s="94">
        <v>39343</v>
      </c>
      <c r="E49" s="174" t="s">
        <v>1541</v>
      </c>
      <c r="F49" s="139" t="s">
        <v>1601</v>
      </c>
      <c r="G49" s="355" t="s">
        <v>1543</v>
      </c>
      <c r="H49" s="139"/>
      <c r="I49" s="139">
        <v>9892</v>
      </c>
      <c r="J49" s="139"/>
      <c r="K49" s="139"/>
      <c r="L49" s="139"/>
      <c r="M49" s="139"/>
      <c r="N49" s="139"/>
      <c r="O49" s="139"/>
      <c r="P49" s="139"/>
      <c r="Q49" s="139"/>
      <c r="R49" s="139"/>
      <c r="S49" s="101"/>
      <c r="T49" s="101"/>
      <c r="U49" s="101"/>
      <c r="V49" s="105"/>
      <c r="X49" s="112" t="s">
        <v>692</v>
      </c>
      <c r="Y49" s="44" t="s">
        <v>692</v>
      </c>
      <c r="Z49" s="44" t="s">
        <v>692</v>
      </c>
      <c r="AA49" s="44" t="s">
        <v>692</v>
      </c>
      <c r="AB49" s="44" t="s">
        <v>692</v>
      </c>
      <c r="AC49" s="44" t="s">
        <v>692</v>
      </c>
      <c r="AD49" s="44" t="s">
        <v>692</v>
      </c>
      <c r="AE49" s="44" t="s">
        <v>692</v>
      </c>
      <c r="AF49" s="44" t="s">
        <v>692</v>
      </c>
      <c r="AG49" s="44" t="s">
        <v>692</v>
      </c>
      <c r="AH49" s="44" t="s">
        <v>692</v>
      </c>
      <c r="AI49" s="113" t="s">
        <v>692</v>
      </c>
      <c r="AK49" s="237"/>
      <c r="AL49" s="237"/>
    </row>
    <row r="50" spans="2:38" ht="18.75" x14ac:dyDescent="0.25">
      <c r="B50" s="129" t="s">
        <v>307</v>
      </c>
      <c r="C50" s="97" t="s">
        <v>306</v>
      </c>
      <c r="D50" s="97">
        <v>39075</v>
      </c>
      <c r="E50" s="98" t="s">
        <v>82</v>
      </c>
      <c r="F50" s="139" t="s">
        <v>308</v>
      </c>
      <c r="G50" s="355" t="s">
        <v>445</v>
      </c>
      <c r="H50" s="139" t="s">
        <v>1412</v>
      </c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01"/>
      <c r="T50" s="101"/>
      <c r="U50" s="101"/>
      <c r="V50" s="105"/>
      <c r="X50" s="112" t="s">
        <v>692</v>
      </c>
      <c r="Y50" s="44" t="s">
        <v>692</v>
      </c>
      <c r="Z50" s="44" t="s">
        <v>692</v>
      </c>
      <c r="AA50" s="44" t="s">
        <v>692</v>
      </c>
      <c r="AB50" s="44" t="s">
        <v>692</v>
      </c>
      <c r="AC50" s="44" t="s">
        <v>692</v>
      </c>
      <c r="AD50" s="44" t="s">
        <v>692</v>
      </c>
      <c r="AE50" s="44" t="s">
        <v>692</v>
      </c>
      <c r="AF50" s="44" t="s">
        <v>692</v>
      </c>
      <c r="AG50" s="44" t="s">
        <v>692</v>
      </c>
      <c r="AH50" s="44" t="s">
        <v>692</v>
      </c>
      <c r="AI50" s="113" t="s">
        <v>692</v>
      </c>
      <c r="AK50" s="237"/>
      <c r="AL50" s="237"/>
    </row>
    <row r="51" spans="2:38" ht="18.75" x14ac:dyDescent="0.25">
      <c r="B51" s="129">
        <v>500018</v>
      </c>
      <c r="C51" s="94" t="s">
        <v>22</v>
      </c>
      <c r="D51" s="94">
        <v>39331</v>
      </c>
      <c r="E51" s="174" t="s">
        <v>1374</v>
      </c>
      <c r="F51" s="139" t="s">
        <v>894</v>
      </c>
      <c r="G51" s="355" t="s">
        <v>24</v>
      </c>
      <c r="H51" s="139" t="s">
        <v>1373</v>
      </c>
      <c r="I51" s="139">
        <v>42866</v>
      </c>
      <c r="J51" s="139"/>
      <c r="K51" s="139"/>
      <c r="L51" s="139"/>
      <c r="M51" s="139"/>
      <c r="N51" s="139"/>
      <c r="O51" s="139"/>
      <c r="P51" s="139"/>
      <c r="Q51" s="139"/>
      <c r="R51" s="139"/>
      <c r="S51" s="101"/>
      <c r="T51" s="101"/>
      <c r="U51" s="101"/>
      <c r="V51" s="105"/>
      <c r="X51" s="112" t="s">
        <v>692</v>
      </c>
      <c r="Y51" s="44" t="s">
        <v>692</v>
      </c>
      <c r="Z51" s="44" t="s">
        <v>692</v>
      </c>
      <c r="AA51" s="44" t="s">
        <v>692</v>
      </c>
      <c r="AB51" s="44" t="s">
        <v>692</v>
      </c>
      <c r="AC51" s="44" t="s">
        <v>692</v>
      </c>
      <c r="AD51" s="44" t="s">
        <v>692</v>
      </c>
      <c r="AE51" s="44" t="s">
        <v>692</v>
      </c>
      <c r="AF51" s="44" t="s">
        <v>692</v>
      </c>
      <c r="AG51" s="44" t="s">
        <v>692</v>
      </c>
      <c r="AH51" s="44" t="s">
        <v>692</v>
      </c>
      <c r="AI51" s="113" t="s">
        <v>692</v>
      </c>
      <c r="AK51" s="237"/>
      <c r="AL51" s="237"/>
    </row>
    <row r="52" spans="2:38" ht="18.75" x14ac:dyDescent="0.3">
      <c r="B52" s="189">
        <v>18506393</v>
      </c>
      <c r="C52" s="87" t="s">
        <v>22</v>
      </c>
      <c r="D52" s="87">
        <v>39416</v>
      </c>
      <c r="E52" s="183" t="s">
        <v>1374</v>
      </c>
      <c r="F52" s="139" t="s">
        <v>895</v>
      </c>
      <c r="G52" s="355" t="s">
        <v>29</v>
      </c>
      <c r="H52" s="139" t="s">
        <v>1373</v>
      </c>
      <c r="I52" s="139">
        <v>172271</v>
      </c>
      <c r="J52" s="139"/>
      <c r="K52" s="139"/>
      <c r="L52" s="139"/>
      <c r="M52" s="139"/>
      <c r="N52" s="139"/>
      <c r="O52" s="139"/>
      <c r="P52" s="139"/>
      <c r="Q52" s="139"/>
      <c r="R52" s="139"/>
      <c r="S52" s="101"/>
      <c r="T52" s="101"/>
      <c r="U52" s="101"/>
      <c r="V52" s="105"/>
      <c r="X52" s="112" t="s">
        <v>692</v>
      </c>
      <c r="Y52" s="44" t="s">
        <v>692</v>
      </c>
      <c r="Z52" s="44" t="s">
        <v>692</v>
      </c>
      <c r="AA52" s="44" t="s">
        <v>692</v>
      </c>
      <c r="AB52" s="44" t="s">
        <v>692</v>
      </c>
      <c r="AC52" s="44" t="s">
        <v>692</v>
      </c>
      <c r="AD52" s="44" t="s">
        <v>692</v>
      </c>
      <c r="AE52" s="44" t="s">
        <v>692</v>
      </c>
      <c r="AF52" s="44" t="s">
        <v>692</v>
      </c>
      <c r="AG52" s="44" t="s">
        <v>692</v>
      </c>
      <c r="AH52" s="44" t="s">
        <v>692</v>
      </c>
      <c r="AI52" s="113" t="s">
        <v>692</v>
      </c>
      <c r="AK52" s="237"/>
      <c r="AL52" s="237"/>
    </row>
    <row r="53" spans="2:38" ht="18.75" x14ac:dyDescent="0.25">
      <c r="B53" s="129" t="s">
        <v>30</v>
      </c>
      <c r="C53" s="97" t="s">
        <v>22</v>
      </c>
      <c r="D53" s="97">
        <v>39430</v>
      </c>
      <c r="E53" s="98" t="s">
        <v>1374</v>
      </c>
      <c r="F53" s="139" t="s">
        <v>896</v>
      </c>
      <c r="G53" s="355" t="s">
        <v>31</v>
      </c>
      <c r="H53" s="139" t="s">
        <v>1373</v>
      </c>
      <c r="I53" s="139">
        <v>697032</v>
      </c>
      <c r="J53" s="139"/>
      <c r="K53" s="139"/>
      <c r="L53" s="139"/>
      <c r="M53" s="139"/>
      <c r="N53" s="139"/>
      <c r="O53" s="139"/>
      <c r="P53" s="139"/>
      <c r="Q53" s="139"/>
      <c r="R53" s="139"/>
      <c r="S53" s="101"/>
      <c r="T53" s="101"/>
      <c r="U53" s="101"/>
      <c r="V53" s="105"/>
      <c r="X53" s="112" t="s">
        <v>692</v>
      </c>
      <c r="Y53" s="44" t="s">
        <v>692</v>
      </c>
      <c r="Z53" s="44" t="s">
        <v>692</v>
      </c>
      <c r="AA53" s="44" t="s">
        <v>692</v>
      </c>
      <c r="AB53" s="44" t="s">
        <v>692</v>
      </c>
      <c r="AC53" s="44" t="s">
        <v>692</v>
      </c>
      <c r="AD53" s="44" t="s">
        <v>692</v>
      </c>
      <c r="AE53" s="44" t="s">
        <v>692</v>
      </c>
      <c r="AF53" s="44" t="s">
        <v>692</v>
      </c>
      <c r="AG53" s="44" t="s">
        <v>692</v>
      </c>
      <c r="AH53" s="44" t="s">
        <v>692</v>
      </c>
      <c r="AI53" s="113" t="s">
        <v>692</v>
      </c>
      <c r="AK53" s="237"/>
      <c r="AL53" s="237"/>
    </row>
    <row r="54" spans="2:38" ht="18.75" x14ac:dyDescent="0.3">
      <c r="B54" s="129" t="s">
        <v>25</v>
      </c>
      <c r="C54" s="94" t="s">
        <v>22</v>
      </c>
      <c r="D54" s="94">
        <v>39638</v>
      </c>
      <c r="E54" s="183" t="s">
        <v>1374</v>
      </c>
      <c r="F54" s="139" t="s">
        <v>897</v>
      </c>
      <c r="G54" s="355" t="s">
        <v>26</v>
      </c>
      <c r="H54" s="139" t="s">
        <v>1373</v>
      </c>
      <c r="I54" s="139">
        <v>672052</v>
      </c>
      <c r="J54" s="139"/>
      <c r="K54" s="139"/>
      <c r="L54" s="139"/>
      <c r="M54" s="139"/>
      <c r="N54" s="139"/>
      <c r="O54" s="139"/>
      <c r="P54" s="139"/>
      <c r="Q54" s="139"/>
      <c r="R54" s="139"/>
      <c r="S54" s="101"/>
      <c r="T54" s="101"/>
      <c r="U54" s="101"/>
      <c r="V54" s="105"/>
      <c r="X54" s="112" t="s">
        <v>692</v>
      </c>
      <c r="Y54" s="44" t="s">
        <v>692</v>
      </c>
      <c r="Z54" s="44" t="s">
        <v>692</v>
      </c>
      <c r="AA54" s="44" t="s">
        <v>692</v>
      </c>
      <c r="AB54" s="44" t="s">
        <v>692</v>
      </c>
      <c r="AC54" s="44" t="s">
        <v>692</v>
      </c>
      <c r="AD54" s="44" t="s">
        <v>692</v>
      </c>
      <c r="AE54" s="44" t="s">
        <v>692</v>
      </c>
      <c r="AF54" s="44" t="s">
        <v>692</v>
      </c>
      <c r="AG54" s="44" t="s">
        <v>692</v>
      </c>
      <c r="AH54" s="44" t="s">
        <v>692</v>
      </c>
      <c r="AI54" s="113" t="s">
        <v>692</v>
      </c>
      <c r="AK54" s="237"/>
      <c r="AL54" s="237"/>
    </row>
    <row r="55" spans="2:38" ht="18.75" x14ac:dyDescent="0.25">
      <c r="B55" s="129" t="s">
        <v>27</v>
      </c>
      <c r="C55" s="97" t="s">
        <v>22</v>
      </c>
      <c r="D55" s="97">
        <v>39426</v>
      </c>
      <c r="E55" s="98" t="s">
        <v>1374</v>
      </c>
      <c r="F55" s="139" t="s">
        <v>898</v>
      </c>
      <c r="G55" s="355" t="s">
        <v>28</v>
      </c>
      <c r="H55" s="139" t="s">
        <v>1373</v>
      </c>
      <c r="I55" s="139">
        <v>1007416</v>
      </c>
      <c r="J55" s="139"/>
      <c r="K55" s="139"/>
      <c r="L55" s="139"/>
      <c r="M55" s="139"/>
      <c r="N55" s="139"/>
      <c r="O55" s="139"/>
      <c r="P55" s="139"/>
      <c r="Q55" s="139"/>
      <c r="R55" s="139"/>
      <c r="S55" s="101"/>
      <c r="T55" s="101"/>
      <c r="U55" s="101"/>
      <c r="V55" s="105"/>
      <c r="X55" s="112" t="s">
        <v>692</v>
      </c>
      <c r="Y55" s="44" t="s">
        <v>692</v>
      </c>
      <c r="Z55" s="44" t="s">
        <v>692</v>
      </c>
      <c r="AA55" s="44" t="s">
        <v>692</v>
      </c>
      <c r="AB55" s="44" t="s">
        <v>692</v>
      </c>
      <c r="AC55" s="44" t="s">
        <v>692</v>
      </c>
      <c r="AD55" s="44" t="s">
        <v>692</v>
      </c>
      <c r="AE55" s="44" t="s">
        <v>692</v>
      </c>
      <c r="AF55" s="44" t="s">
        <v>692</v>
      </c>
      <c r="AG55" s="44" t="s">
        <v>692</v>
      </c>
      <c r="AH55" s="44" t="s">
        <v>692</v>
      </c>
      <c r="AI55" s="113" t="s">
        <v>692</v>
      </c>
      <c r="AK55" s="237"/>
      <c r="AL55" s="237"/>
    </row>
    <row r="56" spans="2:38" ht="18.75" x14ac:dyDescent="0.25">
      <c r="B56" s="129">
        <v>5215981</v>
      </c>
      <c r="C56" s="94" t="s">
        <v>32</v>
      </c>
      <c r="D56" s="94">
        <v>39334</v>
      </c>
      <c r="E56" s="174" t="s">
        <v>1374</v>
      </c>
      <c r="F56" s="139" t="s">
        <v>33</v>
      </c>
      <c r="G56" s="355"/>
      <c r="H56" s="139" t="s">
        <v>1373</v>
      </c>
      <c r="I56" s="139">
        <v>428144</v>
      </c>
      <c r="J56" s="139"/>
      <c r="K56" s="139"/>
      <c r="L56" s="139"/>
      <c r="M56" s="139"/>
      <c r="N56" s="139"/>
      <c r="O56" s="139"/>
      <c r="P56" s="139"/>
      <c r="Q56" s="139"/>
      <c r="R56" s="139"/>
      <c r="S56" s="101"/>
      <c r="T56" s="101"/>
      <c r="U56" s="101"/>
      <c r="V56" s="105"/>
      <c r="X56" s="112" t="s">
        <v>692</v>
      </c>
      <c r="Y56" s="44" t="s">
        <v>692</v>
      </c>
      <c r="Z56" s="44" t="s">
        <v>692</v>
      </c>
      <c r="AA56" s="44" t="s">
        <v>692</v>
      </c>
      <c r="AB56" s="44" t="s">
        <v>692</v>
      </c>
      <c r="AC56" s="44" t="s">
        <v>692</v>
      </c>
      <c r="AD56" s="44" t="s">
        <v>692</v>
      </c>
      <c r="AE56" s="44" t="s">
        <v>692</v>
      </c>
      <c r="AF56" s="44" t="s">
        <v>692</v>
      </c>
      <c r="AG56" s="44" t="s">
        <v>692</v>
      </c>
      <c r="AH56" s="44" t="s">
        <v>692</v>
      </c>
      <c r="AI56" s="113" t="s">
        <v>692</v>
      </c>
      <c r="AK56" s="237"/>
      <c r="AL56" s="237"/>
    </row>
    <row r="57" spans="2:38" ht="18.75" x14ac:dyDescent="0.25">
      <c r="B57" s="189">
        <v>55158086</v>
      </c>
      <c r="C57" s="87" t="s">
        <v>32</v>
      </c>
      <c r="D57" s="87">
        <v>39495</v>
      </c>
      <c r="E57" s="174" t="s">
        <v>1374</v>
      </c>
      <c r="F57" s="139" t="s">
        <v>34</v>
      </c>
      <c r="G57" s="355" t="s">
        <v>35</v>
      </c>
      <c r="H57" s="139" t="s">
        <v>1373</v>
      </c>
      <c r="I57" s="139">
        <v>8598</v>
      </c>
      <c r="J57" s="139"/>
      <c r="K57" s="139"/>
      <c r="L57" s="139"/>
      <c r="M57" s="139"/>
      <c r="N57" s="139"/>
      <c r="O57" s="139"/>
      <c r="P57" s="139"/>
      <c r="Q57" s="139"/>
      <c r="R57" s="139"/>
      <c r="S57" s="101"/>
      <c r="T57" s="101"/>
      <c r="U57" s="101"/>
      <c r="V57" s="105"/>
      <c r="X57" s="112" t="s">
        <v>692</v>
      </c>
      <c r="Y57" s="44" t="s">
        <v>692</v>
      </c>
      <c r="Z57" s="44" t="s">
        <v>692</v>
      </c>
      <c r="AA57" s="44" t="s">
        <v>692</v>
      </c>
      <c r="AB57" s="44" t="s">
        <v>692</v>
      </c>
      <c r="AC57" s="44" t="s">
        <v>692</v>
      </c>
      <c r="AD57" s="44" t="s">
        <v>692</v>
      </c>
      <c r="AE57" s="44" t="s">
        <v>692</v>
      </c>
      <c r="AF57" s="44" t="s">
        <v>692</v>
      </c>
      <c r="AG57" s="44" t="s">
        <v>692</v>
      </c>
      <c r="AH57" s="44" t="s">
        <v>692</v>
      </c>
      <c r="AI57" s="113" t="s">
        <v>692</v>
      </c>
      <c r="AK57" s="237"/>
      <c r="AL57" s="237"/>
    </row>
    <row r="58" spans="2:38" ht="18.75" x14ac:dyDescent="0.25">
      <c r="B58" s="129">
        <v>5356191</v>
      </c>
      <c r="C58" s="94" t="s">
        <v>36</v>
      </c>
      <c r="D58" s="94">
        <v>39333</v>
      </c>
      <c r="E58" s="174" t="s">
        <v>23</v>
      </c>
      <c r="F58" s="139" t="s">
        <v>38</v>
      </c>
      <c r="G58" s="355" t="s">
        <v>45</v>
      </c>
      <c r="H58" s="139" t="s">
        <v>753</v>
      </c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01"/>
      <c r="T58" s="101"/>
      <c r="U58" s="101"/>
      <c r="V58" s="105"/>
      <c r="X58" s="112" t="s">
        <v>692</v>
      </c>
      <c r="Y58" s="44" t="s">
        <v>692</v>
      </c>
      <c r="Z58" s="44" t="s">
        <v>692</v>
      </c>
      <c r="AA58" s="44" t="s">
        <v>692</v>
      </c>
      <c r="AB58" s="44" t="s">
        <v>692</v>
      </c>
      <c r="AC58" s="44" t="s">
        <v>692</v>
      </c>
      <c r="AD58" s="44" t="s">
        <v>692</v>
      </c>
      <c r="AE58" s="44" t="s">
        <v>692</v>
      </c>
      <c r="AF58" s="44" t="s">
        <v>692</v>
      </c>
      <c r="AG58" s="44" t="s">
        <v>692</v>
      </c>
      <c r="AH58" s="44" t="s">
        <v>692</v>
      </c>
      <c r="AI58" s="113" t="s">
        <v>692</v>
      </c>
      <c r="AK58" s="237"/>
      <c r="AL58" s="237"/>
    </row>
    <row r="59" spans="2:38" ht="18.75" x14ac:dyDescent="0.25">
      <c r="B59" s="189" t="s">
        <v>1358</v>
      </c>
      <c r="C59" s="87" t="s">
        <v>36</v>
      </c>
      <c r="D59" s="87">
        <v>39333</v>
      </c>
      <c r="E59" s="174" t="s">
        <v>1374</v>
      </c>
      <c r="F59" s="139" t="s">
        <v>38</v>
      </c>
      <c r="G59" s="355" t="s">
        <v>45</v>
      </c>
      <c r="H59" s="139" t="s">
        <v>1366</v>
      </c>
      <c r="I59" s="139">
        <v>8772</v>
      </c>
      <c r="J59" s="139"/>
      <c r="K59" s="139"/>
      <c r="L59" s="139"/>
      <c r="M59" s="139"/>
      <c r="N59" s="139"/>
      <c r="O59" s="139"/>
      <c r="P59" s="139"/>
      <c r="Q59" s="139"/>
      <c r="R59" s="139"/>
      <c r="S59" s="101"/>
      <c r="T59" s="101"/>
      <c r="U59" s="101"/>
      <c r="V59" s="105"/>
      <c r="X59" s="112" t="s">
        <v>692</v>
      </c>
      <c r="Y59" s="44" t="s">
        <v>692</v>
      </c>
      <c r="Z59" s="44" t="s">
        <v>692</v>
      </c>
      <c r="AA59" s="44" t="s">
        <v>692</v>
      </c>
      <c r="AB59" s="44" t="s">
        <v>692</v>
      </c>
      <c r="AC59" s="44" t="s">
        <v>692</v>
      </c>
      <c r="AD59" s="44" t="s">
        <v>692</v>
      </c>
      <c r="AE59" s="44" t="s">
        <v>692</v>
      </c>
      <c r="AF59" s="44" t="s">
        <v>692</v>
      </c>
      <c r="AG59" s="44" t="s">
        <v>692</v>
      </c>
      <c r="AH59" s="44" t="s">
        <v>692</v>
      </c>
      <c r="AI59" s="113" t="s">
        <v>692</v>
      </c>
      <c r="AK59" s="237"/>
      <c r="AL59" s="237"/>
    </row>
    <row r="60" spans="2:38" ht="18.75" x14ac:dyDescent="0.25">
      <c r="B60" s="129" t="s">
        <v>41</v>
      </c>
      <c r="C60" s="94" t="s">
        <v>36</v>
      </c>
      <c r="D60" s="94">
        <v>39014</v>
      </c>
      <c r="E60" s="174" t="s">
        <v>1374</v>
      </c>
      <c r="F60" s="139" t="s">
        <v>38</v>
      </c>
      <c r="G60" s="139" t="s">
        <v>42</v>
      </c>
      <c r="H60" s="139" t="s">
        <v>1373</v>
      </c>
      <c r="I60" s="139">
        <v>112873</v>
      </c>
      <c r="J60" s="139"/>
      <c r="K60" s="139"/>
      <c r="L60" s="139"/>
      <c r="M60" s="139"/>
      <c r="N60" s="139"/>
      <c r="O60" s="139"/>
      <c r="P60" s="139"/>
      <c r="Q60" s="139"/>
      <c r="R60" s="139"/>
      <c r="S60" s="101"/>
      <c r="T60" s="101"/>
      <c r="U60" s="101"/>
      <c r="V60" s="105"/>
      <c r="X60" s="112" t="s">
        <v>692</v>
      </c>
      <c r="Y60" s="44" t="s">
        <v>692</v>
      </c>
      <c r="Z60" s="44" t="s">
        <v>692</v>
      </c>
      <c r="AA60" s="44" t="s">
        <v>692</v>
      </c>
      <c r="AB60" s="44" t="s">
        <v>692</v>
      </c>
      <c r="AC60" s="44" t="s">
        <v>692</v>
      </c>
      <c r="AD60" s="44" t="s">
        <v>692</v>
      </c>
      <c r="AE60" s="44" t="s">
        <v>692</v>
      </c>
      <c r="AF60" s="44" t="s">
        <v>692</v>
      </c>
      <c r="AG60" s="44" t="s">
        <v>692</v>
      </c>
      <c r="AH60" s="44" t="s">
        <v>692</v>
      </c>
      <c r="AI60" s="113" t="s">
        <v>692</v>
      </c>
      <c r="AK60" s="237"/>
      <c r="AL60" s="237"/>
    </row>
    <row r="61" spans="2:38" ht="18.75" x14ac:dyDescent="0.3">
      <c r="B61" s="189" t="s">
        <v>37</v>
      </c>
      <c r="C61" s="87" t="s">
        <v>36</v>
      </c>
      <c r="D61" s="87">
        <v>39417</v>
      </c>
      <c r="E61" s="183" t="s">
        <v>1374</v>
      </c>
      <c r="F61" s="139" t="s">
        <v>38</v>
      </c>
      <c r="G61" s="139" t="s">
        <v>39</v>
      </c>
      <c r="H61" s="139" t="s">
        <v>1373</v>
      </c>
      <c r="I61" s="139">
        <v>719631</v>
      </c>
      <c r="J61" s="139"/>
      <c r="K61" s="139"/>
      <c r="L61" s="139"/>
      <c r="M61" s="139"/>
      <c r="N61" s="139"/>
      <c r="O61" s="139"/>
      <c r="P61" s="139"/>
      <c r="Q61" s="139"/>
      <c r="R61" s="139"/>
      <c r="S61" s="101"/>
      <c r="T61" s="101"/>
      <c r="U61" s="101"/>
      <c r="V61" s="105"/>
      <c r="X61" s="112" t="s">
        <v>692</v>
      </c>
      <c r="Y61" s="44" t="s">
        <v>692</v>
      </c>
      <c r="Z61" s="44" t="s">
        <v>692</v>
      </c>
      <c r="AA61" s="44" t="s">
        <v>692</v>
      </c>
      <c r="AB61" s="44" t="s">
        <v>692</v>
      </c>
      <c r="AC61" s="44" t="s">
        <v>692</v>
      </c>
      <c r="AD61" s="44" t="s">
        <v>692</v>
      </c>
      <c r="AE61" s="44" t="s">
        <v>692</v>
      </c>
      <c r="AF61" s="44" t="s">
        <v>692</v>
      </c>
      <c r="AG61" s="44" t="s">
        <v>692</v>
      </c>
      <c r="AH61" s="44" t="s">
        <v>692</v>
      </c>
      <c r="AI61" s="113" t="s">
        <v>692</v>
      </c>
      <c r="AK61" s="237"/>
      <c r="AL61" s="237"/>
    </row>
    <row r="62" spans="2:38" ht="18.75" x14ac:dyDescent="0.3">
      <c r="B62" s="189">
        <v>1025626</v>
      </c>
      <c r="C62" s="87" t="s">
        <v>46</v>
      </c>
      <c r="D62" s="87">
        <v>39325</v>
      </c>
      <c r="E62" s="183" t="s">
        <v>51</v>
      </c>
      <c r="F62" s="139" t="s">
        <v>52</v>
      </c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01"/>
      <c r="T62" s="101"/>
      <c r="U62" s="101"/>
      <c r="V62" s="105"/>
      <c r="X62" s="112" t="s">
        <v>692</v>
      </c>
      <c r="Y62" s="44" t="s">
        <v>692</v>
      </c>
      <c r="Z62" s="44" t="s">
        <v>692</v>
      </c>
      <c r="AA62" s="44" t="s">
        <v>692</v>
      </c>
      <c r="AB62" s="44" t="s">
        <v>692</v>
      </c>
      <c r="AC62" s="44" t="s">
        <v>692</v>
      </c>
      <c r="AD62" s="44" t="s">
        <v>692</v>
      </c>
      <c r="AE62" s="44" t="s">
        <v>692</v>
      </c>
      <c r="AF62" s="44" t="s">
        <v>692</v>
      </c>
      <c r="AG62" s="44" t="s">
        <v>692</v>
      </c>
      <c r="AH62" s="44" t="s">
        <v>692</v>
      </c>
      <c r="AI62" s="113" t="s">
        <v>692</v>
      </c>
      <c r="AK62" s="237"/>
      <c r="AL62" s="237"/>
    </row>
    <row r="63" spans="2:38" ht="18.75" x14ac:dyDescent="0.3">
      <c r="B63" s="123">
        <v>142100532</v>
      </c>
      <c r="C63" s="5" t="s">
        <v>46</v>
      </c>
      <c r="D63" s="5">
        <v>39712</v>
      </c>
      <c r="E63" s="6" t="s">
        <v>145</v>
      </c>
      <c r="F63" s="139" t="s">
        <v>1693</v>
      </c>
      <c r="G63" s="139" t="s">
        <v>1694</v>
      </c>
      <c r="H63" s="139"/>
      <c r="I63" s="139">
        <v>80</v>
      </c>
      <c r="J63" s="139"/>
      <c r="K63" s="139"/>
      <c r="L63" s="139"/>
      <c r="M63" s="139"/>
      <c r="N63" s="139"/>
      <c r="O63" s="139"/>
      <c r="P63" s="139"/>
      <c r="Q63" s="139"/>
      <c r="R63" s="139"/>
      <c r="S63" s="101"/>
      <c r="T63" s="101"/>
      <c r="U63" s="101"/>
      <c r="V63" s="105"/>
      <c r="X63" s="112" t="s">
        <v>692</v>
      </c>
      <c r="Y63" s="44" t="s">
        <v>692</v>
      </c>
      <c r="Z63" s="44" t="s">
        <v>692</v>
      </c>
      <c r="AA63" s="44" t="s">
        <v>692</v>
      </c>
      <c r="AB63" s="44" t="s">
        <v>692</v>
      </c>
      <c r="AC63" s="44" t="s">
        <v>692</v>
      </c>
      <c r="AD63" s="44" t="s">
        <v>692</v>
      </c>
      <c r="AE63" s="44" t="s">
        <v>692</v>
      </c>
      <c r="AF63" s="44" t="s">
        <v>692</v>
      </c>
      <c r="AG63" s="44" t="s">
        <v>692</v>
      </c>
      <c r="AH63" s="44" t="s">
        <v>692</v>
      </c>
      <c r="AI63" s="113" t="s">
        <v>692</v>
      </c>
      <c r="AK63" s="237"/>
      <c r="AL63" s="237"/>
    </row>
    <row r="64" spans="2:38" ht="18.75" x14ac:dyDescent="0.3">
      <c r="B64" s="126" t="s">
        <v>1176</v>
      </c>
      <c r="C64" s="14" t="s">
        <v>46</v>
      </c>
      <c r="D64" s="14">
        <v>39328</v>
      </c>
      <c r="E64" s="13" t="s">
        <v>145</v>
      </c>
      <c r="F64" s="139" t="s">
        <v>54</v>
      </c>
      <c r="G64" s="139" t="s">
        <v>1696</v>
      </c>
      <c r="H64" s="139"/>
      <c r="I64" s="139">
        <v>247455</v>
      </c>
      <c r="J64" s="139"/>
      <c r="K64" s="139"/>
      <c r="L64" s="139"/>
      <c r="M64" s="139"/>
      <c r="N64" s="139"/>
      <c r="O64" s="139"/>
      <c r="P64" s="139"/>
      <c r="Q64" s="139"/>
      <c r="R64" s="139"/>
      <c r="S64" s="101"/>
      <c r="T64" s="101"/>
      <c r="U64" s="101"/>
      <c r="V64" s="105"/>
      <c r="X64" s="112" t="s">
        <v>692</v>
      </c>
      <c r="Y64" s="44" t="s">
        <v>692</v>
      </c>
      <c r="Z64" s="44" t="s">
        <v>692</v>
      </c>
      <c r="AA64" s="44" t="s">
        <v>692</v>
      </c>
      <c r="AB64" s="44" t="s">
        <v>692</v>
      </c>
      <c r="AC64" s="44" t="s">
        <v>692</v>
      </c>
      <c r="AD64" s="44" t="s">
        <v>692</v>
      </c>
      <c r="AE64" s="44" t="s">
        <v>692</v>
      </c>
      <c r="AF64" s="44" t="s">
        <v>692</v>
      </c>
      <c r="AG64" s="44" t="s">
        <v>692</v>
      </c>
      <c r="AH64" s="44" t="s">
        <v>692</v>
      </c>
      <c r="AI64" s="113" t="s">
        <v>692</v>
      </c>
      <c r="AK64" s="237"/>
      <c r="AL64" s="237"/>
    </row>
    <row r="65" spans="2:38" ht="18.75" x14ac:dyDescent="0.25">
      <c r="B65" s="122" t="s">
        <v>1177</v>
      </c>
      <c r="C65" s="3" t="s">
        <v>46</v>
      </c>
      <c r="D65" s="3">
        <v>39326</v>
      </c>
      <c r="E65" s="4" t="s">
        <v>145</v>
      </c>
      <c r="F65" s="139" t="s">
        <v>53</v>
      </c>
      <c r="G65" s="139" t="s">
        <v>1696</v>
      </c>
      <c r="H65" s="139"/>
      <c r="I65" s="139">
        <v>179054</v>
      </c>
      <c r="J65" s="139"/>
      <c r="K65" s="139"/>
      <c r="L65" s="139"/>
      <c r="M65" s="139"/>
      <c r="N65" s="139"/>
      <c r="O65" s="139"/>
      <c r="P65" s="139"/>
      <c r="Q65" s="139"/>
      <c r="R65" s="139"/>
      <c r="S65" s="101"/>
      <c r="T65" s="101"/>
      <c r="U65" s="101"/>
      <c r="V65" s="105"/>
      <c r="X65" s="112" t="s">
        <v>692</v>
      </c>
      <c r="Y65" s="44" t="s">
        <v>692</v>
      </c>
      <c r="Z65" s="44" t="s">
        <v>692</v>
      </c>
      <c r="AA65" s="44" t="s">
        <v>692</v>
      </c>
      <c r="AB65" s="44" t="s">
        <v>692</v>
      </c>
      <c r="AC65" s="44" t="s">
        <v>692</v>
      </c>
      <c r="AD65" s="44" t="s">
        <v>692</v>
      </c>
      <c r="AE65" s="44" t="s">
        <v>692</v>
      </c>
      <c r="AF65" s="44" t="s">
        <v>692</v>
      </c>
      <c r="AG65" s="44" t="s">
        <v>692</v>
      </c>
      <c r="AH65" s="44" t="s">
        <v>692</v>
      </c>
      <c r="AI65" s="113" t="s">
        <v>692</v>
      </c>
      <c r="AK65" s="237"/>
      <c r="AL65" s="237"/>
    </row>
    <row r="66" spans="2:38" ht="18.75" x14ac:dyDescent="0.25">
      <c r="B66" s="122" t="s">
        <v>1641</v>
      </c>
      <c r="C66" s="3" t="s">
        <v>46</v>
      </c>
      <c r="D66" s="3">
        <v>39325</v>
      </c>
      <c r="E66" s="4" t="s">
        <v>145</v>
      </c>
      <c r="F66" s="139" t="s">
        <v>52</v>
      </c>
      <c r="G66" s="139" t="s">
        <v>1696</v>
      </c>
      <c r="H66" s="139" t="s">
        <v>1642</v>
      </c>
      <c r="I66" s="139">
        <v>81759</v>
      </c>
      <c r="J66" s="139"/>
      <c r="K66" s="139"/>
      <c r="L66" s="139"/>
      <c r="M66" s="139"/>
      <c r="N66" s="139"/>
      <c r="O66" s="139"/>
      <c r="P66" s="139"/>
      <c r="Q66" s="139"/>
      <c r="R66" s="139"/>
      <c r="S66" s="101"/>
      <c r="T66" s="101"/>
      <c r="U66" s="101"/>
      <c r="V66" s="105"/>
      <c r="X66" s="112" t="s">
        <v>692</v>
      </c>
      <c r="Y66" s="44" t="s">
        <v>692</v>
      </c>
      <c r="Z66" s="44" t="s">
        <v>692</v>
      </c>
      <c r="AA66" s="44" t="s">
        <v>692</v>
      </c>
      <c r="AB66" s="44" t="s">
        <v>692</v>
      </c>
      <c r="AC66" s="44" t="s">
        <v>692</v>
      </c>
      <c r="AD66" s="44" t="s">
        <v>692</v>
      </c>
      <c r="AE66" s="44" t="s">
        <v>692</v>
      </c>
      <c r="AF66" s="44" t="s">
        <v>692</v>
      </c>
      <c r="AG66" s="44" t="s">
        <v>692</v>
      </c>
      <c r="AH66" s="44" t="s">
        <v>692</v>
      </c>
      <c r="AI66" s="113" t="s">
        <v>692</v>
      </c>
      <c r="AK66" s="237"/>
      <c r="AL66" s="237"/>
    </row>
    <row r="67" spans="2:38" ht="18.75" x14ac:dyDescent="0.25">
      <c r="B67" s="129">
        <v>141201860</v>
      </c>
      <c r="C67" s="94" t="s">
        <v>419</v>
      </c>
      <c r="D67" s="94">
        <v>39708</v>
      </c>
      <c r="E67" s="174" t="s">
        <v>1638</v>
      </c>
      <c r="F67" s="139" t="s">
        <v>1639</v>
      </c>
      <c r="G67" s="139" t="s">
        <v>1640</v>
      </c>
      <c r="H67" s="139"/>
      <c r="I67" s="139">
        <v>99</v>
      </c>
      <c r="J67" s="139"/>
      <c r="K67" s="139"/>
      <c r="L67" s="139"/>
      <c r="M67" s="139"/>
      <c r="N67" s="139"/>
      <c r="O67" s="139"/>
      <c r="P67" s="139"/>
      <c r="Q67" s="139"/>
      <c r="R67" s="139"/>
      <c r="S67" s="101"/>
      <c r="T67" s="101"/>
      <c r="U67" s="101"/>
      <c r="V67" s="105"/>
      <c r="X67" s="112" t="s">
        <v>692</v>
      </c>
      <c r="Y67" s="44" t="s">
        <v>692</v>
      </c>
      <c r="Z67" s="44" t="s">
        <v>692</v>
      </c>
      <c r="AA67" s="44" t="s">
        <v>692</v>
      </c>
      <c r="AB67" s="44" t="s">
        <v>692</v>
      </c>
      <c r="AC67" s="44" t="s">
        <v>692</v>
      </c>
      <c r="AD67" s="44" t="s">
        <v>692</v>
      </c>
      <c r="AE67" s="44" t="s">
        <v>692</v>
      </c>
      <c r="AF67" s="44" t="s">
        <v>692</v>
      </c>
      <c r="AG67" s="44" t="s">
        <v>692</v>
      </c>
      <c r="AH67" s="44" t="s">
        <v>692</v>
      </c>
      <c r="AI67" s="113" t="s">
        <v>692</v>
      </c>
      <c r="AK67" s="237"/>
      <c r="AL67" s="237"/>
    </row>
    <row r="68" spans="2:38" ht="18.75" x14ac:dyDescent="0.25">
      <c r="B68" s="129">
        <v>2507435</v>
      </c>
      <c r="C68" s="97" t="s">
        <v>55</v>
      </c>
      <c r="D68" s="97">
        <v>39620</v>
      </c>
      <c r="E68" s="98" t="s">
        <v>1311</v>
      </c>
      <c r="F68" s="139" t="s">
        <v>1433</v>
      </c>
      <c r="G68" s="139" t="s">
        <v>1479</v>
      </c>
      <c r="H68" s="139" t="s">
        <v>1434</v>
      </c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01"/>
      <c r="T68" s="101"/>
      <c r="U68" s="101"/>
      <c r="V68" s="105"/>
      <c r="X68" s="112" t="s">
        <v>692</v>
      </c>
      <c r="Y68" s="44" t="s">
        <v>692</v>
      </c>
      <c r="Z68" s="44" t="s">
        <v>692</v>
      </c>
      <c r="AA68" s="44" t="s">
        <v>692</v>
      </c>
      <c r="AB68" s="44" t="s">
        <v>692</v>
      </c>
      <c r="AC68" s="44" t="s">
        <v>692</v>
      </c>
      <c r="AD68" s="44" t="s">
        <v>692</v>
      </c>
      <c r="AE68" s="44" t="s">
        <v>692</v>
      </c>
      <c r="AF68" s="44" t="s">
        <v>692</v>
      </c>
      <c r="AG68" s="44" t="s">
        <v>692</v>
      </c>
      <c r="AH68" s="44" t="s">
        <v>692</v>
      </c>
      <c r="AI68" s="113" t="s">
        <v>692</v>
      </c>
      <c r="AK68" s="237"/>
      <c r="AL68" s="237"/>
    </row>
    <row r="69" spans="2:38" ht="18.75" x14ac:dyDescent="0.25">
      <c r="B69" s="129" t="s">
        <v>56</v>
      </c>
      <c r="C69" s="94" t="s">
        <v>55</v>
      </c>
      <c r="D69" s="94">
        <v>39254</v>
      </c>
      <c r="E69" s="174" t="s">
        <v>57</v>
      </c>
      <c r="F69" s="139" t="s">
        <v>58</v>
      </c>
      <c r="G69" s="139"/>
      <c r="H69" s="139"/>
      <c r="I69" s="139">
        <v>131022</v>
      </c>
      <c r="J69" s="139"/>
      <c r="K69" s="139"/>
      <c r="L69" s="139"/>
      <c r="M69" s="139"/>
      <c r="N69" s="139"/>
      <c r="O69" s="139"/>
      <c r="P69" s="139"/>
      <c r="Q69" s="139"/>
      <c r="R69" s="139"/>
      <c r="S69" s="101"/>
      <c r="T69" s="101"/>
      <c r="U69" s="101"/>
      <c r="V69" s="105"/>
      <c r="X69" s="112" t="s">
        <v>692</v>
      </c>
      <c r="Y69" s="44" t="s">
        <v>692</v>
      </c>
      <c r="Z69" s="44" t="s">
        <v>692</v>
      </c>
      <c r="AA69" s="44" t="s">
        <v>692</v>
      </c>
      <c r="AB69" s="44" t="s">
        <v>692</v>
      </c>
      <c r="AC69" s="44" t="s">
        <v>692</v>
      </c>
      <c r="AD69" s="44" t="s">
        <v>692</v>
      </c>
      <c r="AE69" s="44" t="s">
        <v>692</v>
      </c>
      <c r="AF69" s="44" t="s">
        <v>692</v>
      </c>
      <c r="AG69" s="44" t="s">
        <v>692</v>
      </c>
      <c r="AH69" s="44" t="s">
        <v>692</v>
      </c>
      <c r="AI69" s="113" t="s">
        <v>692</v>
      </c>
      <c r="AK69" s="237"/>
      <c r="AL69" s="237"/>
    </row>
    <row r="70" spans="2:38" ht="18.75" x14ac:dyDescent="0.25">
      <c r="B70" s="129" t="s">
        <v>68</v>
      </c>
      <c r="C70" s="94" t="s">
        <v>55</v>
      </c>
      <c r="D70" s="94">
        <v>39088</v>
      </c>
      <c r="E70" s="174" t="s">
        <v>421</v>
      </c>
      <c r="F70" s="139" t="s">
        <v>69</v>
      </c>
      <c r="G70" s="139"/>
      <c r="H70" s="139"/>
      <c r="I70" s="139">
        <v>1026091</v>
      </c>
      <c r="J70" s="139"/>
      <c r="K70" s="139"/>
      <c r="L70" s="139"/>
      <c r="M70" s="139"/>
      <c r="N70" s="139"/>
      <c r="O70" s="139"/>
      <c r="P70" s="139"/>
      <c r="Q70" s="139"/>
      <c r="R70" s="139"/>
      <c r="S70" s="101"/>
      <c r="T70" s="101"/>
      <c r="U70" s="101"/>
      <c r="V70" s="105"/>
      <c r="X70" s="112" t="s">
        <v>692</v>
      </c>
      <c r="Y70" s="44" t="s">
        <v>692</v>
      </c>
      <c r="Z70" s="44" t="s">
        <v>692</v>
      </c>
      <c r="AA70" s="44" t="s">
        <v>692</v>
      </c>
      <c r="AB70" s="44" t="s">
        <v>692</v>
      </c>
      <c r="AC70" s="44" t="s">
        <v>692</v>
      </c>
      <c r="AD70" s="44" t="s">
        <v>692</v>
      </c>
      <c r="AE70" s="44" t="s">
        <v>692</v>
      </c>
      <c r="AF70" s="44" t="s">
        <v>692</v>
      </c>
      <c r="AG70" s="44" t="s">
        <v>692</v>
      </c>
      <c r="AH70" s="44" t="s">
        <v>692</v>
      </c>
      <c r="AI70" s="113" t="s">
        <v>692</v>
      </c>
      <c r="AK70" s="237"/>
      <c r="AL70" s="237"/>
    </row>
    <row r="71" spans="2:38" ht="18.75" x14ac:dyDescent="0.3">
      <c r="B71" s="186" t="s">
        <v>61</v>
      </c>
      <c r="C71" s="187" t="s">
        <v>55</v>
      </c>
      <c r="D71" s="187">
        <v>39160</v>
      </c>
      <c r="E71" s="183" t="s">
        <v>62</v>
      </c>
      <c r="F71" s="139" t="s">
        <v>928</v>
      </c>
      <c r="G71" s="139"/>
      <c r="H71" s="139"/>
      <c r="I71" s="139">
        <v>231891</v>
      </c>
      <c r="J71" s="139"/>
      <c r="K71" s="139"/>
      <c r="L71" s="139"/>
      <c r="M71" s="139"/>
      <c r="N71" s="139"/>
      <c r="O71" s="139"/>
      <c r="P71" s="139"/>
      <c r="Q71" s="139"/>
      <c r="R71" s="139"/>
      <c r="S71" s="101"/>
      <c r="T71" s="101"/>
      <c r="U71" s="101"/>
      <c r="V71" s="105"/>
      <c r="X71" s="112" t="s">
        <v>692</v>
      </c>
      <c r="Y71" s="44" t="s">
        <v>692</v>
      </c>
      <c r="Z71" s="44" t="s">
        <v>692</v>
      </c>
      <c r="AA71" s="44" t="s">
        <v>692</v>
      </c>
      <c r="AB71" s="44" t="s">
        <v>692</v>
      </c>
      <c r="AC71" s="44" t="s">
        <v>692</v>
      </c>
      <c r="AD71" s="44" t="s">
        <v>692</v>
      </c>
      <c r="AE71" s="44" t="s">
        <v>692</v>
      </c>
      <c r="AF71" s="44" t="s">
        <v>692</v>
      </c>
      <c r="AG71" s="44" t="s">
        <v>692</v>
      </c>
      <c r="AH71" s="44" t="s">
        <v>692</v>
      </c>
      <c r="AI71" s="113" t="s">
        <v>692</v>
      </c>
      <c r="AK71" s="237"/>
      <c r="AL71" s="237"/>
    </row>
    <row r="72" spans="2:38" ht="18.75" x14ac:dyDescent="0.3">
      <c r="B72" s="205" t="s">
        <v>59</v>
      </c>
      <c r="C72" s="201" t="s">
        <v>55</v>
      </c>
      <c r="D72" s="201">
        <v>39255</v>
      </c>
      <c r="E72" s="183" t="s">
        <v>60</v>
      </c>
      <c r="F72" s="139" t="s">
        <v>58</v>
      </c>
      <c r="G72" s="139"/>
      <c r="H72" s="139"/>
      <c r="I72" s="139">
        <v>1239454</v>
      </c>
      <c r="J72" s="139"/>
      <c r="K72" s="139"/>
      <c r="L72" s="139"/>
      <c r="M72" s="139"/>
      <c r="N72" s="139"/>
      <c r="O72" s="139"/>
      <c r="P72" s="139"/>
      <c r="Q72" s="139"/>
      <c r="R72" s="139"/>
      <c r="S72" s="101"/>
      <c r="T72" s="101"/>
      <c r="U72" s="101"/>
      <c r="V72" s="105"/>
      <c r="X72" s="112" t="s">
        <v>692</v>
      </c>
      <c r="Y72" s="44" t="s">
        <v>692</v>
      </c>
      <c r="Z72" s="44" t="s">
        <v>692</v>
      </c>
      <c r="AA72" s="44" t="s">
        <v>692</v>
      </c>
      <c r="AB72" s="44" t="s">
        <v>692</v>
      </c>
      <c r="AC72" s="44" t="s">
        <v>692</v>
      </c>
      <c r="AD72" s="44" t="s">
        <v>692</v>
      </c>
      <c r="AE72" s="44" t="s">
        <v>692</v>
      </c>
      <c r="AF72" s="44" t="s">
        <v>692</v>
      </c>
      <c r="AG72" s="44" t="s">
        <v>692</v>
      </c>
      <c r="AH72" s="44" t="s">
        <v>692</v>
      </c>
      <c r="AI72" s="113" t="s">
        <v>692</v>
      </c>
      <c r="AK72" s="237"/>
      <c r="AL72" s="237"/>
    </row>
    <row r="73" spans="2:38" ht="18.75" x14ac:dyDescent="0.25">
      <c r="B73" s="129" t="s">
        <v>72</v>
      </c>
      <c r="C73" s="94" t="s">
        <v>55</v>
      </c>
      <c r="D73" s="94">
        <v>39256</v>
      </c>
      <c r="E73" s="174" t="s">
        <v>73</v>
      </c>
      <c r="F73" s="139" t="s">
        <v>74</v>
      </c>
      <c r="G73" s="139"/>
      <c r="H73" s="139"/>
      <c r="I73" s="139"/>
      <c r="J73" s="139"/>
      <c r="K73" s="139"/>
      <c r="L73" s="139"/>
      <c r="M73" s="139"/>
      <c r="N73" s="139"/>
      <c r="O73" s="139"/>
      <c r="P73" s="139"/>
      <c r="Q73" s="139"/>
      <c r="R73" s="139"/>
      <c r="S73" s="101"/>
      <c r="T73" s="101"/>
      <c r="U73" s="101"/>
      <c r="V73" s="105">
        <v>12600</v>
      </c>
      <c r="X73" s="112" t="s">
        <v>692</v>
      </c>
      <c r="Y73" s="44" t="s">
        <v>692</v>
      </c>
      <c r="Z73" s="44" t="s">
        <v>692</v>
      </c>
      <c r="AA73" s="44" t="s">
        <v>692</v>
      </c>
      <c r="AB73" s="44" t="s">
        <v>692</v>
      </c>
      <c r="AC73" s="44" t="s">
        <v>692</v>
      </c>
      <c r="AD73" s="44" t="s">
        <v>692</v>
      </c>
      <c r="AE73" s="44" t="s">
        <v>692</v>
      </c>
      <c r="AF73" s="44" t="s">
        <v>692</v>
      </c>
      <c r="AG73" s="44" t="s">
        <v>692</v>
      </c>
      <c r="AH73" s="44" t="s">
        <v>692</v>
      </c>
      <c r="AI73" s="113" t="s">
        <v>692</v>
      </c>
      <c r="AK73" s="237"/>
      <c r="AL73" s="237"/>
    </row>
    <row r="74" spans="2:38" ht="18.75" x14ac:dyDescent="0.25">
      <c r="B74" s="129" t="s">
        <v>75</v>
      </c>
      <c r="C74" s="97" t="s">
        <v>55</v>
      </c>
      <c r="D74" s="97">
        <v>39396</v>
      </c>
      <c r="E74" s="98" t="s">
        <v>73</v>
      </c>
      <c r="F74" s="139" t="s">
        <v>74</v>
      </c>
      <c r="G74" s="139"/>
      <c r="H74" s="139"/>
      <c r="I74" s="139"/>
      <c r="J74" s="139"/>
      <c r="K74" s="139"/>
      <c r="L74" s="139"/>
      <c r="M74" s="139"/>
      <c r="N74" s="139"/>
      <c r="O74" s="139"/>
      <c r="P74" s="139"/>
      <c r="Q74" s="139"/>
      <c r="R74" s="139"/>
      <c r="S74" s="101"/>
      <c r="T74" s="101"/>
      <c r="U74" s="101"/>
      <c r="V74" s="105">
        <v>36095</v>
      </c>
      <c r="X74" s="112" t="s">
        <v>692</v>
      </c>
      <c r="Y74" s="44" t="s">
        <v>692</v>
      </c>
      <c r="Z74" s="44" t="s">
        <v>692</v>
      </c>
      <c r="AA74" s="44" t="s">
        <v>692</v>
      </c>
      <c r="AB74" s="44" t="s">
        <v>692</v>
      </c>
      <c r="AC74" s="44" t="s">
        <v>692</v>
      </c>
      <c r="AD74" s="44" t="s">
        <v>692</v>
      </c>
      <c r="AE74" s="44" t="s">
        <v>692</v>
      </c>
      <c r="AF74" s="44" t="s">
        <v>692</v>
      </c>
      <c r="AG74" s="44" t="s">
        <v>692</v>
      </c>
      <c r="AH74" s="44" t="s">
        <v>692</v>
      </c>
      <c r="AI74" s="113" t="s">
        <v>692</v>
      </c>
      <c r="AK74" s="237"/>
      <c r="AL74" s="237"/>
    </row>
    <row r="75" spans="2:38" ht="18.75" x14ac:dyDescent="0.3">
      <c r="B75" s="129" t="s">
        <v>76</v>
      </c>
      <c r="C75" s="94" t="s">
        <v>55</v>
      </c>
      <c r="D75" s="94">
        <v>39399</v>
      </c>
      <c r="E75" s="95" t="s">
        <v>73</v>
      </c>
      <c r="F75" s="139" t="s">
        <v>77</v>
      </c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01"/>
      <c r="T75" s="101"/>
      <c r="U75" s="101"/>
      <c r="V75" s="105">
        <v>50208</v>
      </c>
      <c r="X75" s="112" t="s">
        <v>692</v>
      </c>
      <c r="Y75" s="44" t="s">
        <v>692</v>
      </c>
      <c r="Z75" s="44" t="s">
        <v>692</v>
      </c>
      <c r="AA75" s="44" t="s">
        <v>692</v>
      </c>
      <c r="AB75" s="44" t="s">
        <v>692</v>
      </c>
      <c r="AC75" s="44" t="s">
        <v>692</v>
      </c>
      <c r="AD75" s="44" t="s">
        <v>692</v>
      </c>
      <c r="AE75" s="44" t="s">
        <v>692</v>
      </c>
      <c r="AF75" s="44" t="s">
        <v>692</v>
      </c>
      <c r="AG75" s="44" t="s">
        <v>692</v>
      </c>
      <c r="AH75" s="44" t="s">
        <v>692</v>
      </c>
      <c r="AI75" s="113" t="s">
        <v>692</v>
      </c>
      <c r="AK75" s="237"/>
      <c r="AL75" s="237"/>
    </row>
    <row r="76" spans="2:38" ht="18.75" x14ac:dyDescent="0.25">
      <c r="B76" s="129" t="s">
        <v>1202</v>
      </c>
      <c r="C76" s="97" t="s">
        <v>80</v>
      </c>
      <c r="D76" s="97">
        <v>39142</v>
      </c>
      <c r="E76" s="98" t="s">
        <v>82</v>
      </c>
      <c r="F76" s="139" t="s">
        <v>84</v>
      </c>
      <c r="G76" s="139" t="s">
        <v>1245</v>
      </c>
      <c r="H76" s="139" t="s">
        <v>85</v>
      </c>
      <c r="I76" s="139"/>
      <c r="J76" s="139"/>
      <c r="K76" s="139"/>
      <c r="L76" s="139"/>
      <c r="M76" s="139"/>
      <c r="N76" s="139"/>
      <c r="O76" s="139"/>
      <c r="P76" s="139"/>
      <c r="Q76" s="139"/>
      <c r="R76" s="139"/>
      <c r="S76" s="101"/>
      <c r="T76" s="101"/>
      <c r="U76" s="101"/>
      <c r="V76" s="105"/>
      <c r="X76" s="112" t="s">
        <v>692</v>
      </c>
      <c r="Y76" s="44" t="s">
        <v>692</v>
      </c>
      <c r="Z76" s="44" t="s">
        <v>692</v>
      </c>
      <c r="AA76" s="44" t="s">
        <v>692</v>
      </c>
      <c r="AB76" s="44" t="s">
        <v>692</v>
      </c>
      <c r="AC76" s="44" t="s">
        <v>692</v>
      </c>
      <c r="AD76" s="44" t="s">
        <v>692</v>
      </c>
      <c r="AE76" s="44" t="s">
        <v>692</v>
      </c>
      <c r="AF76" s="44" t="s">
        <v>692</v>
      </c>
      <c r="AG76" s="44" t="s">
        <v>692</v>
      </c>
      <c r="AH76" s="44" t="s">
        <v>692</v>
      </c>
      <c r="AI76" s="113" t="s">
        <v>692</v>
      </c>
      <c r="AK76" s="237"/>
      <c r="AL76" s="237"/>
    </row>
    <row r="77" spans="2:38" ht="18.75" x14ac:dyDescent="0.3">
      <c r="B77" s="129" t="s">
        <v>81</v>
      </c>
      <c r="C77" s="94" t="s">
        <v>80</v>
      </c>
      <c r="D77" s="94">
        <v>39503</v>
      </c>
      <c r="E77" s="95" t="s">
        <v>82</v>
      </c>
      <c r="F77" s="139" t="s">
        <v>83</v>
      </c>
      <c r="G77" s="139" t="s">
        <v>423</v>
      </c>
      <c r="H77" s="139" t="s">
        <v>1399</v>
      </c>
      <c r="I77" s="139"/>
      <c r="J77" s="139"/>
      <c r="K77" s="139"/>
      <c r="L77" s="139"/>
      <c r="M77" s="139"/>
      <c r="N77" s="139"/>
      <c r="O77" s="139"/>
      <c r="P77" s="139"/>
      <c r="Q77" s="139"/>
      <c r="R77" s="139"/>
      <c r="S77" s="101"/>
      <c r="T77" s="101"/>
      <c r="U77" s="101"/>
      <c r="V77" s="105"/>
      <c r="X77" s="112" t="s">
        <v>692</v>
      </c>
      <c r="Y77" s="44" t="s">
        <v>692</v>
      </c>
      <c r="Z77" s="44" t="s">
        <v>692</v>
      </c>
      <c r="AA77" s="44" t="s">
        <v>692</v>
      </c>
      <c r="AB77" s="44" t="s">
        <v>692</v>
      </c>
      <c r="AC77" s="44" t="s">
        <v>692</v>
      </c>
      <c r="AD77" s="44" t="s">
        <v>692</v>
      </c>
      <c r="AE77" s="44" t="s">
        <v>692</v>
      </c>
      <c r="AF77" s="44" t="s">
        <v>692</v>
      </c>
      <c r="AG77" s="44" t="s">
        <v>692</v>
      </c>
      <c r="AH77" s="44" t="s">
        <v>692</v>
      </c>
      <c r="AI77" s="113" t="s">
        <v>692</v>
      </c>
      <c r="AK77" s="237"/>
      <c r="AL77" s="237"/>
    </row>
    <row r="78" spans="2:38" ht="18.75" x14ac:dyDescent="0.3">
      <c r="B78" s="129" t="s">
        <v>87</v>
      </c>
      <c r="C78" s="94" t="s">
        <v>86</v>
      </c>
      <c r="D78" s="94">
        <v>39742</v>
      </c>
      <c r="E78" s="95" t="s">
        <v>88</v>
      </c>
      <c r="F78" s="139" t="s">
        <v>89</v>
      </c>
      <c r="G78" s="139" t="s">
        <v>693</v>
      </c>
      <c r="H78" s="139"/>
      <c r="I78" s="139">
        <v>9723740</v>
      </c>
      <c r="J78" s="139"/>
      <c r="K78" s="139"/>
      <c r="L78" s="139"/>
      <c r="M78" s="139"/>
      <c r="N78" s="139"/>
      <c r="O78" s="139"/>
      <c r="P78" s="139"/>
      <c r="Q78" s="139"/>
      <c r="R78" s="139"/>
      <c r="S78" s="101"/>
      <c r="T78" s="101"/>
      <c r="U78" s="101"/>
      <c r="V78" s="105"/>
      <c r="X78" s="112" t="s">
        <v>692</v>
      </c>
      <c r="Y78" s="44" t="s">
        <v>692</v>
      </c>
      <c r="Z78" s="44" t="s">
        <v>692</v>
      </c>
      <c r="AA78" s="44" t="s">
        <v>692</v>
      </c>
      <c r="AB78" s="44" t="s">
        <v>692</v>
      </c>
      <c r="AC78" s="44" t="s">
        <v>692</v>
      </c>
      <c r="AD78" s="44" t="s">
        <v>692</v>
      </c>
      <c r="AE78" s="44" t="s">
        <v>692</v>
      </c>
      <c r="AF78" s="44" t="s">
        <v>692</v>
      </c>
      <c r="AG78" s="44" t="s">
        <v>692</v>
      </c>
      <c r="AH78" s="44" t="s">
        <v>692</v>
      </c>
      <c r="AI78" s="113" t="s">
        <v>692</v>
      </c>
      <c r="AK78" s="237"/>
      <c r="AL78" s="237"/>
    </row>
    <row r="79" spans="2:38" ht="18.75" x14ac:dyDescent="0.25">
      <c r="B79" s="129" t="s">
        <v>1201</v>
      </c>
      <c r="C79" s="94" t="s">
        <v>90</v>
      </c>
      <c r="D79" s="94">
        <v>39196</v>
      </c>
      <c r="E79" s="174" t="s">
        <v>145</v>
      </c>
      <c r="F79" s="139" t="s">
        <v>92</v>
      </c>
      <c r="G79" s="139" t="s">
        <v>1696</v>
      </c>
      <c r="H79" s="139" t="s">
        <v>93</v>
      </c>
      <c r="I79" s="139">
        <v>253311</v>
      </c>
      <c r="J79" s="139"/>
      <c r="K79" s="139"/>
      <c r="L79" s="139"/>
      <c r="M79" s="139"/>
      <c r="N79" s="139"/>
      <c r="O79" s="139"/>
      <c r="P79" s="139"/>
      <c r="Q79" s="139"/>
      <c r="R79" s="139"/>
      <c r="S79" s="101"/>
      <c r="T79" s="101"/>
      <c r="U79" s="101"/>
      <c r="V79" s="105"/>
      <c r="X79" s="112" t="s">
        <v>692</v>
      </c>
      <c r="Y79" s="44" t="s">
        <v>692</v>
      </c>
      <c r="Z79" s="44" t="s">
        <v>692</v>
      </c>
      <c r="AA79" s="44" t="s">
        <v>692</v>
      </c>
      <c r="AB79" s="44" t="s">
        <v>692</v>
      </c>
      <c r="AC79" s="44" t="s">
        <v>692</v>
      </c>
      <c r="AD79" s="44" t="s">
        <v>692</v>
      </c>
      <c r="AE79" s="44" t="s">
        <v>692</v>
      </c>
      <c r="AF79" s="44" t="s">
        <v>692</v>
      </c>
      <c r="AG79" s="44" t="s">
        <v>692</v>
      </c>
      <c r="AH79" s="44" t="s">
        <v>692</v>
      </c>
      <c r="AI79" s="113" t="s">
        <v>692</v>
      </c>
      <c r="AK79" s="237"/>
      <c r="AL79" s="237"/>
    </row>
    <row r="80" spans="2:38" ht="18.75" x14ac:dyDescent="0.25">
      <c r="B80" s="176" t="s">
        <v>1109</v>
      </c>
      <c r="C80" s="55" t="s">
        <v>90</v>
      </c>
      <c r="D80" s="55">
        <v>39054</v>
      </c>
      <c r="E80" s="177" t="s">
        <v>102</v>
      </c>
      <c r="F80" s="139" t="s">
        <v>934</v>
      </c>
      <c r="G80" s="139"/>
      <c r="H80" s="139"/>
      <c r="I80" s="139">
        <v>6811</v>
      </c>
      <c r="J80" s="139"/>
      <c r="K80" s="139"/>
      <c r="L80" s="139"/>
      <c r="M80" s="139"/>
      <c r="N80" s="139"/>
      <c r="O80" s="139"/>
      <c r="P80" s="139"/>
      <c r="Q80" s="139"/>
      <c r="R80" s="139"/>
      <c r="S80" s="101"/>
      <c r="T80" s="101"/>
      <c r="U80" s="101"/>
      <c r="V80" s="105"/>
      <c r="X80" s="112" t="s">
        <v>692</v>
      </c>
      <c r="Y80" s="44" t="s">
        <v>692</v>
      </c>
      <c r="Z80" s="44" t="s">
        <v>692</v>
      </c>
      <c r="AA80" s="44" t="s">
        <v>692</v>
      </c>
      <c r="AB80" s="44" t="s">
        <v>692</v>
      </c>
      <c r="AC80" s="44" t="s">
        <v>692</v>
      </c>
      <c r="AD80" s="44" t="s">
        <v>692</v>
      </c>
      <c r="AE80" s="44" t="s">
        <v>692</v>
      </c>
      <c r="AF80" s="44" t="s">
        <v>692</v>
      </c>
      <c r="AG80" s="44" t="s">
        <v>692</v>
      </c>
      <c r="AH80" s="44" t="s">
        <v>692</v>
      </c>
      <c r="AI80" s="113" t="s">
        <v>692</v>
      </c>
      <c r="AK80" s="237"/>
      <c r="AL80" s="237"/>
    </row>
    <row r="81" spans="2:38" ht="18.75" x14ac:dyDescent="0.3">
      <c r="B81" s="129" t="s">
        <v>1110</v>
      </c>
      <c r="C81" s="94" t="s">
        <v>90</v>
      </c>
      <c r="D81" s="94">
        <v>39057</v>
      </c>
      <c r="E81" s="95" t="s">
        <v>105</v>
      </c>
      <c r="F81" s="139" t="s">
        <v>938</v>
      </c>
      <c r="G81" s="139"/>
      <c r="H81" s="139"/>
      <c r="I81" s="139">
        <v>5523</v>
      </c>
      <c r="J81" s="139"/>
      <c r="K81" s="139"/>
      <c r="L81" s="139"/>
      <c r="M81" s="139"/>
      <c r="N81" s="139"/>
      <c r="O81" s="139"/>
      <c r="P81" s="139"/>
      <c r="Q81" s="139"/>
      <c r="R81" s="139"/>
      <c r="S81" s="101"/>
      <c r="T81" s="101"/>
      <c r="U81" s="101"/>
      <c r="V81" s="105"/>
      <c r="X81" s="112" t="s">
        <v>692</v>
      </c>
      <c r="Y81" s="44" t="s">
        <v>692</v>
      </c>
      <c r="Z81" s="44" t="s">
        <v>692</v>
      </c>
      <c r="AA81" s="44" t="s">
        <v>692</v>
      </c>
      <c r="AB81" s="44" t="s">
        <v>692</v>
      </c>
      <c r="AC81" s="44" t="s">
        <v>692</v>
      </c>
      <c r="AD81" s="44" t="s">
        <v>692</v>
      </c>
      <c r="AE81" s="44" t="s">
        <v>692</v>
      </c>
      <c r="AF81" s="44" t="s">
        <v>692</v>
      </c>
      <c r="AG81" s="44" t="s">
        <v>692</v>
      </c>
      <c r="AH81" s="44" t="s">
        <v>692</v>
      </c>
      <c r="AI81" s="113" t="s">
        <v>692</v>
      </c>
      <c r="AK81" s="237"/>
      <c r="AL81" s="237"/>
    </row>
    <row r="82" spans="2:38" ht="18.75" x14ac:dyDescent="0.3">
      <c r="B82" s="129" t="s">
        <v>1111</v>
      </c>
      <c r="C82" s="94" t="s">
        <v>90</v>
      </c>
      <c r="D82" s="94">
        <v>39715</v>
      </c>
      <c r="E82" s="95" t="s">
        <v>98</v>
      </c>
      <c r="F82" s="139" t="s">
        <v>936</v>
      </c>
      <c r="G82" s="139"/>
      <c r="H82" s="139" t="s">
        <v>1511</v>
      </c>
      <c r="I82" s="139"/>
      <c r="J82" s="139"/>
      <c r="K82" s="139"/>
      <c r="L82" s="139"/>
      <c r="M82" s="139"/>
      <c r="N82" s="139"/>
      <c r="O82" s="139"/>
      <c r="P82" s="139"/>
      <c r="Q82" s="139"/>
      <c r="R82" s="139"/>
      <c r="S82" s="101"/>
      <c r="T82" s="101"/>
      <c r="U82" s="101"/>
      <c r="V82" s="105"/>
      <c r="X82" s="112" t="s">
        <v>692</v>
      </c>
      <c r="Y82" s="44" t="s">
        <v>692</v>
      </c>
      <c r="Z82" s="44" t="s">
        <v>692</v>
      </c>
      <c r="AA82" s="44" t="s">
        <v>692</v>
      </c>
      <c r="AB82" s="44" t="s">
        <v>692</v>
      </c>
      <c r="AC82" s="44" t="s">
        <v>692</v>
      </c>
      <c r="AD82" s="44" t="s">
        <v>692</v>
      </c>
      <c r="AE82" s="44" t="s">
        <v>692</v>
      </c>
      <c r="AF82" s="44" t="s">
        <v>692</v>
      </c>
      <c r="AG82" s="44" t="s">
        <v>692</v>
      </c>
      <c r="AH82" s="44" t="s">
        <v>692</v>
      </c>
      <c r="AI82" s="113" t="s">
        <v>692</v>
      </c>
      <c r="AK82" s="237"/>
      <c r="AL82" s="237"/>
    </row>
    <row r="83" spans="2:38" ht="18.75" x14ac:dyDescent="0.3">
      <c r="B83" s="129" t="s">
        <v>1113</v>
      </c>
      <c r="C83" s="94" t="s">
        <v>90</v>
      </c>
      <c r="D83" s="94">
        <v>39245</v>
      </c>
      <c r="E83" s="95" t="s">
        <v>98</v>
      </c>
      <c r="F83" s="139" t="s">
        <v>939</v>
      </c>
      <c r="G83" s="139"/>
      <c r="H83" s="139" t="s">
        <v>1511</v>
      </c>
      <c r="I83" s="139"/>
      <c r="J83" s="139"/>
      <c r="K83" s="139"/>
      <c r="L83" s="139"/>
      <c r="M83" s="139"/>
      <c r="N83" s="139"/>
      <c r="O83" s="139"/>
      <c r="P83" s="139"/>
      <c r="Q83" s="139"/>
      <c r="R83" s="139"/>
      <c r="S83" s="101"/>
      <c r="T83" s="101"/>
      <c r="U83" s="101"/>
      <c r="V83" s="105"/>
      <c r="X83" s="112" t="s">
        <v>692</v>
      </c>
      <c r="Y83" s="44" t="s">
        <v>692</v>
      </c>
      <c r="Z83" s="44" t="s">
        <v>692</v>
      </c>
      <c r="AA83" s="44" t="s">
        <v>692</v>
      </c>
      <c r="AB83" s="44" t="s">
        <v>692</v>
      </c>
      <c r="AC83" s="44" t="s">
        <v>692</v>
      </c>
      <c r="AD83" s="44" t="s">
        <v>692</v>
      </c>
      <c r="AE83" s="44" t="s">
        <v>692</v>
      </c>
      <c r="AF83" s="44" t="s">
        <v>692</v>
      </c>
      <c r="AG83" s="44" t="s">
        <v>692</v>
      </c>
      <c r="AH83" s="44" t="s">
        <v>692</v>
      </c>
      <c r="AI83" s="113" t="s">
        <v>692</v>
      </c>
      <c r="AK83" s="237"/>
      <c r="AL83" s="237"/>
    </row>
    <row r="84" spans="2:38" ht="18.75" x14ac:dyDescent="0.3">
      <c r="B84" s="129" t="s">
        <v>1114</v>
      </c>
      <c r="C84" s="94" t="s">
        <v>90</v>
      </c>
      <c r="D84" s="94">
        <v>39695</v>
      </c>
      <c r="E84" s="95" t="s">
        <v>94</v>
      </c>
      <c r="F84" s="139" t="s">
        <v>940</v>
      </c>
      <c r="G84" s="139"/>
      <c r="H84" s="139" t="s">
        <v>1429</v>
      </c>
      <c r="I84" s="139"/>
      <c r="J84" s="139"/>
      <c r="K84" s="139"/>
      <c r="L84" s="139"/>
      <c r="M84" s="139"/>
      <c r="N84" s="139"/>
      <c r="O84" s="139"/>
      <c r="P84" s="139"/>
      <c r="Q84" s="139"/>
      <c r="R84" s="139"/>
      <c r="S84" s="101"/>
      <c r="T84" s="101"/>
      <c r="U84" s="101"/>
      <c r="V84" s="105"/>
      <c r="X84" s="112" t="s">
        <v>692</v>
      </c>
      <c r="Y84" s="44" t="s">
        <v>692</v>
      </c>
      <c r="Z84" s="44" t="s">
        <v>692</v>
      </c>
      <c r="AA84" s="44" t="s">
        <v>692</v>
      </c>
      <c r="AB84" s="44" t="s">
        <v>692</v>
      </c>
      <c r="AC84" s="44" t="s">
        <v>692</v>
      </c>
      <c r="AD84" s="44" t="s">
        <v>692</v>
      </c>
      <c r="AE84" s="44" t="s">
        <v>692</v>
      </c>
      <c r="AF84" s="44" t="s">
        <v>692</v>
      </c>
      <c r="AG84" s="44" t="s">
        <v>692</v>
      </c>
      <c r="AH84" s="44" t="s">
        <v>692</v>
      </c>
      <c r="AI84" s="113" t="s">
        <v>692</v>
      </c>
      <c r="AK84" s="237"/>
      <c r="AL84" s="237"/>
    </row>
    <row r="85" spans="2:38" ht="18.75" x14ac:dyDescent="0.3">
      <c r="B85" s="186" t="s">
        <v>1116</v>
      </c>
      <c r="C85" s="94" t="s">
        <v>90</v>
      </c>
      <c r="D85" s="94">
        <v>39022</v>
      </c>
      <c r="E85" s="95" t="s">
        <v>97</v>
      </c>
      <c r="F85" s="139" t="s">
        <v>941</v>
      </c>
      <c r="G85" s="139"/>
      <c r="H85" s="139"/>
      <c r="I85" s="139">
        <v>12462</v>
      </c>
      <c r="J85" s="139"/>
      <c r="K85" s="139"/>
      <c r="L85" s="139"/>
      <c r="M85" s="139"/>
      <c r="N85" s="139"/>
      <c r="O85" s="139"/>
      <c r="P85" s="139"/>
      <c r="Q85" s="139"/>
      <c r="R85" s="139"/>
      <c r="S85" s="101"/>
      <c r="T85" s="101"/>
      <c r="U85" s="101"/>
      <c r="V85" s="105"/>
      <c r="X85" s="112" t="s">
        <v>692</v>
      </c>
      <c r="Y85" s="44" t="s">
        <v>692</v>
      </c>
      <c r="Z85" s="44" t="s">
        <v>692</v>
      </c>
      <c r="AA85" s="44" t="s">
        <v>692</v>
      </c>
      <c r="AB85" s="44" t="s">
        <v>692</v>
      </c>
      <c r="AC85" s="44" t="s">
        <v>692</v>
      </c>
      <c r="AD85" s="44" t="s">
        <v>692</v>
      </c>
      <c r="AE85" s="44" t="s">
        <v>692</v>
      </c>
      <c r="AF85" s="44" t="s">
        <v>692</v>
      </c>
      <c r="AG85" s="44" t="s">
        <v>692</v>
      </c>
      <c r="AH85" s="44" t="s">
        <v>692</v>
      </c>
      <c r="AI85" s="113" t="s">
        <v>692</v>
      </c>
      <c r="AK85" s="237"/>
      <c r="AL85" s="237"/>
    </row>
    <row r="86" spans="2:38" ht="18.75" x14ac:dyDescent="0.25">
      <c r="B86" s="129" t="s">
        <v>1117</v>
      </c>
      <c r="C86" s="94" t="s">
        <v>90</v>
      </c>
      <c r="D86" s="94">
        <v>39436</v>
      </c>
      <c r="E86" s="96" t="s">
        <v>95</v>
      </c>
      <c r="F86" s="139" t="s">
        <v>910</v>
      </c>
      <c r="G86" s="139" t="s">
        <v>96</v>
      </c>
      <c r="H86" s="139"/>
      <c r="I86" s="139"/>
      <c r="J86" s="139"/>
      <c r="K86" s="139"/>
      <c r="L86" s="139"/>
      <c r="M86" s="139"/>
      <c r="N86" s="139"/>
      <c r="O86" s="139"/>
      <c r="P86" s="139"/>
      <c r="Q86" s="139"/>
      <c r="R86" s="139"/>
      <c r="S86" s="101"/>
      <c r="T86" s="101"/>
      <c r="U86" s="101"/>
      <c r="V86" s="105"/>
      <c r="X86" s="112" t="s">
        <v>692</v>
      </c>
      <c r="Y86" s="44" t="s">
        <v>692</v>
      </c>
      <c r="Z86" s="44" t="s">
        <v>692</v>
      </c>
      <c r="AA86" s="44" t="s">
        <v>692</v>
      </c>
      <c r="AB86" s="44" t="s">
        <v>692</v>
      </c>
      <c r="AC86" s="44" t="s">
        <v>692</v>
      </c>
      <c r="AD86" s="44" t="s">
        <v>692</v>
      </c>
      <c r="AE86" s="44" t="s">
        <v>692</v>
      </c>
      <c r="AF86" s="44" t="s">
        <v>692</v>
      </c>
      <c r="AG86" s="44" t="s">
        <v>692</v>
      </c>
      <c r="AH86" s="44" t="s">
        <v>692</v>
      </c>
      <c r="AI86" s="113" t="s">
        <v>692</v>
      </c>
      <c r="AK86" s="237"/>
      <c r="AL86" s="237"/>
    </row>
    <row r="87" spans="2:38" ht="18.75" x14ac:dyDescent="0.25">
      <c r="B87" s="129" t="s">
        <v>1390</v>
      </c>
      <c r="C87" s="97" t="s">
        <v>90</v>
      </c>
      <c r="D87" s="97">
        <v>39699</v>
      </c>
      <c r="E87" s="98" t="s">
        <v>1391</v>
      </c>
      <c r="F87" s="139" t="s">
        <v>1392</v>
      </c>
      <c r="G87" s="139" t="s">
        <v>1393</v>
      </c>
      <c r="H87" s="139" t="s">
        <v>1405</v>
      </c>
      <c r="I87" s="139"/>
      <c r="J87" s="139"/>
      <c r="K87" s="139"/>
      <c r="L87" s="139"/>
      <c r="M87" s="139"/>
      <c r="N87" s="139"/>
      <c r="O87" s="139"/>
      <c r="P87" s="139"/>
      <c r="Q87" s="139"/>
      <c r="R87" s="139"/>
      <c r="S87" s="101"/>
      <c r="T87" s="101"/>
      <c r="U87" s="101"/>
      <c r="V87" s="105"/>
      <c r="X87" s="112" t="s">
        <v>692</v>
      </c>
      <c r="Y87" s="44" t="s">
        <v>692</v>
      </c>
      <c r="Z87" s="44" t="s">
        <v>692</v>
      </c>
      <c r="AA87" s="44" t="s">
        <v>692</v>
      </c>
      <c r="AB87" s="44" t="s">
        <v>692</v>
      </c>
      <c r="AC87" s="44" t="s">
        <v>692</v>
      </c>
      <c r="AD87" s="44" t="s">
        <v>692</v>
      </c>
      <c r="AE87" s="44" t="s">
        <v>692</v>
      </c>
      <c r="AF87" s="44" t="s">
        <v>692</v>
      </c>
      <c r="AG87" s="44" t="s">
        <v>692</v>
      </c>
      <c r="AH87" s="44" t="s">
        <v>692</v>
      </c>
      <c r="AI87" s="113" t="s">
        <v>692</v>
      </c>
      <c r="AK87" s="237"/>
      <c r="AL87" s="237"/>
    </row>
    <row r="88" spans="2:38" ht="18.75" x14ac:dyDescent="0.25">
      <c r="B88" s="122" t="s">
        <v>1107</v>
      </c>
      <c r="C88" s="3" t="s">
        <v>90</v>
      </c>
      <c r="D88" s="3">
        <v>39650</v>
      </c>
      <c r="E88" s="4" t="s">
        <v>100</v>
      </c>
      <c r="F88" s="139" t="s">
        <v>933</v>
      </c>
      <c r="G88" s="139"/>
      <c r="H88" s="139"/>
      <c r="I88" s="139">
        <v>428609</v>
      </c>
      <c r="J88" s="139"/>
      <c r="K88" s="139"/>
      <c r="L88" s="139"/>
      <c r="M88" s="139"/>
      <c r="N88" s="139"/>
      <c r="O88" s="139"/>
      <c r="P88" s="139"/>
      <c r="Q88" s="139"/>
      <c r="R88" s="139"/>
      <c r="S88" s="101"/>
      <c r="T88" s="101"/>
      <c r="U88" s="101"/>
      <c r="V88" s="105"/>
      <c r="X88" s="112" t="s">
        <v>692</v>
      </c>
      <c r="Y88" s="44" t="s">
        <v>692</v>
      </c>
      <c r="Z88" s="44" t="s">
        <v>692</v>
      </c>
      <c r="AA88" s="44" t="s">
        <v>692</v>
      </c>
      <c r="AB88" s="44" t="s">
        <v>692</v>
      </c>
      <c r="AC88" s="44" t="s">
        <v>692</v>
      </c>
      <c r="AD88" s="44" t="s">
        <v>692</v>
      </c>
      <c r="AE88" s="44" t="s">
        <v>692</v>
      </c>
      <c r="AF88" s="44" t="s">
        <v>692</v>
      </c>
      <c r="AG88" s="44" t="s">
        <v>692</v>
      </c>
      <c r="AH88" s="44" t="s">
        <v>692</v>
      </c>
      <c r="AI88" s="113" t="s">
        <v>692</v>
      </c>
      <c r="AK88" s="237"/>
      <c r="AL88" s="237"/>
    </row>
    <row r="89" spans="2:38" ht="18.75" x14ac:dyDescent="0.25">
      <c r="B89" s="122" t="s">
        <v>1108</v>
      </c>
      <c r="C89" s="14" t="s">
        <v>90</v>
      </c>
      <c r="D89" s="14">
        <v>39044</v>
      </c>
      <c r="E89" s="13" t="s">
        <v>651</v>
      </c>
      <c r="F89" s="139" t="s">
        <v>937</v>
      </c>
      <c r="G89" s="139" t="s">
        <v>1145</v>
      </c>
      <c r="H89" s="139" t="s">
        <v>424</v>
      </c>
      <c r="I89" s="139">
        <v>85458</v>
      </c>
      <c r="J89" s="139"/>
      <c r="K89" s="139"/>
      <c r="L89" s="139"/>
      <c r="M89" s="139"/>
      <c r="N89" s="139"/>
      <c r="O89" s="139"/>
      <c r="P89" s="139"/>
      <c r="Q89" s="139"/>
      <c r="R89" s="139"/>
      <c r="S89" s="101"/>
      <c r="T89" s="101"/>
      <c r="U89" s="101"/>
      <c r="V89" s="105"/>
      <c r="X89" s="112" t="s">
        <v>692</v>
      </c>
      <c r="Y89" s="44" t="s">
        <v>692</v>
      </c>
      <c r="Z89" s="44" t="s">
        <v>692</v>
      </c>
      <c r="AA89" s="44" t="s">
        <v>692</v>
      </c>
      <c r="AB89" s="44" t="s">
        <v>692</v>
      </c>
      <c r="AC89" s="44" t="s">
        <v>692</v>
      </c>
      <c r="AD89" s="44" t="s">
        <v>692</v>
      </c>
      <c r="AE89" s="44" t="s">
        <v>692</v>
      </c>
      <c r="AF89" s="44" t="s">
        <v>692</v>
      </c>
      <c r="AG89" s="44" t="s">
        <v>692</v>
      </c>
      <c r="AH89" s="44" t="s">
        <v>692</v>
      </c>
      <c r="AI89" s="113" t="s">
        <v>692</v>
      </c>
      <c r="AK89" s="237"/>
      <c r="AL89" s="237"/>
    </row>
    <row r="90" spans="2:38" ht="18.75" x14ac:dyDescent="0.25">
      <c r="B90" s="122" t="s">
        <v>1106</v>
      </c>
      <c r="C90" s="3" t="s">
        <v>90</v>
      </c>
      <c r="D90" s="3">
        <v>39338</v>
      </c>
      <c r="E90" s="4" t="s">
        <v>103</v>
      </c>
      <c r="F90" s="139" t="s">
        <v>935</v>
      </c>
      <c r="G90" s="139" t="s">
        <v>65</v>
      </c>
      <c r="H90" s="139" t="s">
        <v>1455</v>
      </c>
      <c r="I90" s="139"/>
      <c r="J90" s="139"/>
      <c r="K90" s="139"/>
      <c r="L90" s="139"/>
      <c r="M90" s="139"/>
      <c r="N90" s="139"/>
      <c r="O90" s="139"/>
      <c r="P90" s="139"/>
      <c r="Q90" s="139"/>
      <c r="R90" s="139"/>
      <c r="S90" s="101"/>
      <c r="T90" s="101"/>
      <c r="U90" s="101"/>
      <c r="V90" s="105"/>
      <c r="X90" s="112" t="s">
        <v>692</v>
      </c>
      <c r="Y90" s="44" t="s">
        <v>692</v>
      </c>
      <c r="Z90" s="44" t="s">
        <v>692</v>
      </c>
      <c r="AA90" s="44" t="s">
        <v>692</v>
      </c>
      <c r="AB90" s="44" t="s">
        <v>692</v>
      </c>
      <c r="AC90" s="44" t="s">
        <v>692</v>
      </c>
      <c r="AD90" s="44" t="s">
        <v>692</v>
      </c>
      <c r="AE90" s="44" t="s">
        <v>692</v>
      </c>
      <c r="AF90" s="44" t="s">
        <v>692</v>
      </c>
      <c r="AG90" s="44" t="s">
        <v>692</v>
      </c>
      <c r="AH90" s="44" t="s">
        <v>692</v>
      </c>
      <c r="AI90" s="113" t="s">
        <v>692</v>
      </c>
      <c r="AK90" s="237"/>
      <c r="AL90" s="237"/>
    </row>
    <row r="91" spans="2:38" ht="18.75" x14ac:dyDescent="0.25">
      <c r="B91" s="129" t="s">
        <v>1162</v>
      </c>
      <c r="C91" s="97" t="s">
        <v>90</v>
      </c>
      <c r="D91" s="97">
        <v>39154</v>
      </c>
      <c r="E91" s="98" t="s">
        <v>974</v>
      </c>
      <c r="F91" s="139" t="s">
        <v>101</v>
      </c>
      <c r="G91" s="139" t="s">
        <v>652</v>
      </c>
      <c r="H91" s="139" t="s">
        <v>104</v>
      </c>
      <c r="I91" s="139"/>
      <c r="J91" s="139"/>
      <c r="K91" s="139"/>
      <c r="L91" s="139"/>
      <c r="M91" s="139"/>
      <c r="N91" s="139"/>
      <c r="O91" s="139"/>
      <c r="P91" s="139"/>
      <c r="Q91" s="139"/>
      <c r="R91" s="139"/>
      <c r="S91" s="101"/>
      <c r="T91" s="101"/>
      <c r="U91" s="101"/>
      <c r="V91" s="105"/>
      <c r="X91" s="112" t="s">
        <v>692</v>
      </c>
      <c r="Y91" s="44" t="s">
        <v>692</v>
      </c>
      <c r="Z91" s="44" t="s">
        <v>692</v>
      </c>
      <c r="AA91" s="44" t="s">
        <v>692</v>
      </c>
      <c r="AB91" s="44" t="s">
        <v>692</v>
      </c>
      <c r="AC91" s="44" t="s">
        <v>692</v>
      </c>
      <c r="AD91" s="44" t="s">
        <v>692</v>
      </c>
      <c r="AE91" s="44" t="s">
        <v>692</v>
      </c>
      <c r="AF91" s="44" t="s">
        <v>692</v>
      </c>
      <c r="AG91" s="44" t="s">
        <v>692</v>
      </c>
      <c r="AH91" s="44" t="s">
        <v>692</v>
      </c>
      <c r="AI91" s="113" t="s">
        <v>692</v>
      </c>
      <c r="AK91" s="237"/>
      <c r="AL91" s="237"/>
    </row>
    <row r="92" spans="2:38" ht="18.75" x14ac:dyDescent="0.25">
      <c r="B92" s="129">
        <v>502036281</v>
      </c>
      <c r="C92" s="97" t="s">
        <v>106</v>
      </c>
      <c r="D92" s="97">
        <v>39706</v>
      </c>
      <c r="E92" s="98" t="s">
        <v>1626</v>
      </c>
      <c r="F92" s="139" t="s">
        <v>101</v>
      </c>
      <c r="G92" s="139" t="s">
        <v>1627</v>
      </c>
      <c r="H92" s="139"/>
      <c r="I92" s="139">
        <v>7092</v>
      </c>
      <c r="J92" s="139"/>
      <c r="K92" s="139"/>
      <c r="L92" s="139"/>
      <c r="M92" s="139"/>
      <c r="N92" s="139"/>
      <c r="O92" s="139"/>
      <c r="P92" s="139"/>
      <c r="Q92" s="139"/>
      <c r="R92" s="139"/>
      <c r="S92" s="101"/>
      <c r="T92" s="101"/>
      <c r="U92" s="101"/>
      <c r="V92" s="105"/>
      <c r="X92" s="112" t="s">
        <v>692</v>
      </c>
      <c r="Y92" s="44" t="s">
        <v>692</v>
      </c>
      <c r="Z92" s="44" t="s">
        <v>692</v>
      </c>
      <c r="AA92" s="44" t="s">
        <v>692</v>
      </c>
      <c r="AB92" s="44" t="s">
        <v>692</v>
      </c>
      <c r="AC92" s="44" t="s">
        <v>692</v>
      </c>
      <c r="AD92" s="44" t="s">
        <v>692</v>
      </c>
      <c r="AE92" s="44" t="s">
        <v>692</v>
      </c>
      <c r="AF92" s="44" t="s">
        <v>692</v>
      </c>
      <c r="AG92" s="44" t="s">
        <v>692</v>
      </c>
      <c r="AH92" s="44" t="s">
        <v>692</v>
      </c>
      <c r="AI92" s="113" t="s">
        <v>692</v>
      </c>
      <c r="AK92" s="237"/>
      <c r="AL92" s="237"/>
    </row>
    <row r="93" spans="2:38" ht="18.75" x14ac:dyDescent="0.25">
      <c r="B93" s="129" t="s">
        <v>1450</v>
      </c>
      <c r="C93" s="94" t="s">
        <v>106</v>
      </c>
      <c r="D93" s="94">
        <v>39169</v>
      </c>
      <c r="E93" s="174" t="s">
        <v>1449</v>
      </c>
      <c r="F93" s="139" t="s">
        <v>904</v>
      </c>
      <c r="G93" s="139" t="s">
        <v>1451</v>
      </c>
      <c r="H93" s="139" t="s">
        <v>1453</v>
      </c>
      <c r="I93" s="139">
        <v>10</v>
      </c>
      <c r="J93" s="139"/>
      <c r="K93" s="139"/>
      <c r="L93" s="139"/>
      <c r="M93" s="139"/>
      <c r="N93" s="139"/>
      <c r="O93" s="139"/>
      <c r="P93" s="139"/>
      <c r="Q93" s="139"/>
      <c r="R93" s="139"/>
      <c r="S93" s="101"/>
      <c r="T93" s="101"/>
      <c r="U93" s="101"/>
      <c r="V93" s="105"/>
      <c r="X93" s="112" t="s">
        <v>692</v>
      </c>
      <c r="Y93" s="44" t="s">
        <v>692</v>
      </c>
      <c r="Z93" s="44" t="s">
        <v>692</v>
      </c>
      <c r="AA93" s="44" t="s">
        <v>692</v>
      </c>
      <c r="AB93" s="44" t="s">
        <v>692</v>
      </c>
      <c r="AC93" s="44" t="s">
        <v>692</v>
      </c>
      <c r="AD93" s="44" t="s">
        <v>692</v>
      </c>
      <c r="AE93" s="44" t="s">
        <v>692</v>
      </c>
      <c r="AF93" s="44" t="s">
        <v>692</v>
      </c>
      <c r="AG93" s="44" t="s">
        <v>692</v>
      </c>
      <c r="AH93" s="44" t="s">
        <v>692</v>
      </c>
      <c r="AI93" s="113" t="s">
        <v>692</v>
      </c>
      <c r="AK93" s="237"/>
      <c r="AL93" s="237"/>
    </row>
    <row r="94" spans="2:38" ht="18.75" x14ac:dyDescent="0.25">
      <c r="B94" s="129" t="s">
        <v>108</v>
      </c>
      <c r="C94" s="94" t="s">
        <v>106</v>
      </c>
      <c r="D94" s="94">
        <v>39655</v>
      </c>
      <c r="E94" s="174" t="s">
        <v>109</v>
      </c>
      <c r="F94" s="139" t="s">
        <v>904</v>
      </c>
      <c r="G94" s="139" t="s">
        <v>693</v>
      </c>
      <c r="H94" s="139" t="s">
        <v>1146</v>
      </c>
      <c r="I94" s="139"/>
      <c r="J94" s="139"/>
      <c r="K94" s="139"/>
      <c r="L94" s="139"/>
      <c r="M94" s="139"/>
      <c r="N94" s="139"/>
      <c r="O94" s="139"/>
      <c r="P94" s="139"/>
      <c r="Q94" s="139"/>
      <c r="R94" s="139"/>
      <c r="S94" s="101"/>
      <c r="T94" s="101"/>
      <c r="U94" s="101"/>
      <c r="V94" s="105"/>
      <c r="X94" s="112" t="s">
        <v>692</v>
      </c>
      <c r="Y94" s="44" t="s">
        <v>692</v>
      </c>
      <c r="Z94" s="44" t="s">
        <v>692</v>
      </c>
      <c r="AA94" s="44" t="s">
        <v>692</v>
      </c>
      <c r="AB94" s="44" t="s">
        <v>692</v>
      </c>
      <c r="AC94" s="44" t="s">
        <v>692</v>
      </c>
      <c r="AD94" s="44" t="s">
        <v>692</v>
      </c>
      <c r="AE94" s="44" t="s">
        <v>692</v>
      </c>
      <c r="AF94" s="44" t="s">
        <v>692</v>
      </c>
      <c r="AG94" s="44" t="s">
        <v>692</v>
      </c>
      <c r="AH94" s="44" t="s">
        <v>692</v>
      </c>
      <c r="AI94" s="113" t="s">
        <v>692</v>
      </c>
      <c r="AK94" s="237"/>
      <c r="AL94" s="237"/>
    </row>
    <row r="95" spans="2:38" ht="18.75" x14ac:dyDescent="0.25">
      <c r="B95" s="206" t="s">
        <v>107</v>
      </c>
      <c r="C95" s="204" t="s">
        <v>106</v>
      </c>
      <c r="D95" s="204">
        <v>39754</v>
      </c>
      <c r="E95" s="174" t="s">
        <v>1374</v>
      </c>
      <c r="F95" s="139" t="s">
        <v>911</v>
      </c>
      <c r="G95" s="139" t="s">
        <v>1617</v>
      </c>
      <c r="H95" s="139" t="s">
        <v>1373</v>
      </c>
      <c r="I95" s="139"/>
      <c r="J95" s="139"/>
      <c r="K95" s="139"/>
      <c r="L95" s="139"/>
      <c r="M95" s="139"/>
      <c r="N95" s="139"/>
      <c r="O95" s="139"/>
      <c r="P95" s="139"/>
      <c r="Q95" s="139"/>
      <c r="R95" s="139"/>
      <c r="S95" s="101"/>
      <c r="T95" s="101"/>
      <c r="U95" s="101"/>
      <c r="V95" s="105"/>
      <c r="X95" s="112" t="s">
        <v>692</v>
      </c>
      <c r="Y95" s="44" t="s">
        <v>692</v>
      </c>
      <c r="Z95" s="44" t="s">
        <v>692</v>
      </c>
      <c r="AA95" s="44" t="s">
        <v>692</v>
      </c>
      <c r="AB95" s="44" t="s">
        <v>692</v>
      </c>
      <c r="AC95" s="44" t="s">
        <v>692</v>
      </c>
      <c r="AD95" s="44" t="s">
        <v>692</v>
      </c>
      <c r="AE95" s="44" t="s">
        <v>692</v>
      </c>
      <c r="AF95" s="44" t="s">
        <v>692</v>
      </c>
      <c r="AG95" s="44" t="s">
        <v>692</v>
      </c>
      <c r="AH95" s="44" t="s">
        <v>692</v>
      </c>
      <c r="AI95" s="113" t="s">
        <v>692</v>
      </c>
      <c r="AK95" s="237"/>
      <c r="AL95" s="237"/>
    </row>
    <row r="96" spans="2:38" ht="18.75" x14ac:dyDescent="0.25">
      <c r="B96" s="129" t="s">
        <v>114</v>
      </c>
      <c r="C96" s="94" t="s">
        <v>106</v>
      </c>
      <c r="D96" s="94">
        <v>39021</v>
      </c>
      <c r="E96" s="96" t="s">
        <v>97</v>
      </c>
      <c r="F96" s="139" t="s">
        <v>912</v>
      </c>
      <c r="G96" s="139"/>
      <c r="H96" s="139"/>
      <c r="I96" s="139">
        <v>64566</v>
      </c>
      <c r="J96" s="139"/>
      <c r="K96" s="139"/>
      <c r="L96" s="139"/>
      <c r="M96" s="139"/>
      <c r="N96" s="139"/>
      <c r="O96" s="139"/>
      <c r="P96" s="139"/>
      <c r="Q96" s="139"/>
      <c r="R96" s="139"/>
      <c r="S96" s="101"/>
      <c r="T96" s="101"/>
      <c r="U96" s="101"/>
      <c r="V96" s="105"/>
      <c r="X96" s="112" t="s">
        <v>692</v>
      </c>
      <c r="Y96" s="44" t="s">
        <v>692</v>
      </c>
      <c r="Z96" s="44" t="s">
        <v>692</v>
      </c>
      <c r="AA96" s="44" t="s">
        <v>692</v>
      </c>
      <c r="AB96" s="44" t="s">
        <v>692</v>
      </c>
      <c r="AC96" s="44" t="s">
        <v>692</v>
      </c>
      <c r="AD96" s="44" t="s">
        <v>692</v>
      </c>
      <c r="AE96" s="44" t="s">
        <v>692</v>
      </c>
      <c r="AF96" s="44" t="s">
        <v>692</v>
      </c>
      <c r="AG96" s="44" t="s">
        <v>692</v>
      </c>
      <c r="AH96" s="44" t="s">
        <v>692</v>
      </c>
      <c r="AI96" s="113" t="s">
        <v>692</v>
      </c>
      <c r="AK96" s="237"/>
      <c r="AL96" s="237"/>
    </row>
    <row r="97" spans="2:38" ht="18.75" x14ac:dyDescent="0.25">
      <c r="B97" s="129" t="s">
        <v>112</v>
      </c>
      <c r="C97" s="94" t="s">
        <v>106</v>
      </c>
      <c r="D97" s="94">
        <v>39637</v>
      </c>
      <c r="E97" s="174" t="s">
        <v>113</v>
      </c>
      <c r="F97" s="139" t="s">
        <v>906</v>
      </c>
      <c r="G97" s="139"/>
      <c r="H97" s="139" t="s">
        <v>1323</v>
      </c>
      <c r="I97" s="139"/>
      <c r="J97" s="139"/>
      <c r="K97" s="139"/>
      <c r="L97" s="139"/>
      <c r="M97" s="139"/>
      <c r="N97" s="139"/>
      <c r="O97" s="139"/>
      <c r="P97" s="139"/>
      <c r="Q97" s="139"/>
      <c r="R97" s="139"/>
      <c r="S97" s="101"/>
      <c r="T97" s="101"/>
      <c r="U97" s="101"/>
      <c r="V97" s="105"/>
      <c r="X97" s="112" t="s">
        <v>692</v>
      </c>
      <c r="Y97" s="44" t="s">
        <v>692</v>
      </c>
      <c r="Z97" s="44" t="s">
        <v>692</v>
      </c>
      <c r="AA97" s="44" t="s">
        <v>692</v>
      </c>
      <c r="AB97" s="44" t="s">
        <v>692</v>
      </c>
      <c r="AC97" s="44" t="s">
        <v>692</v>
      </c>
      <c r="AD97" s="44" t="s">
        <v>692</v>
      </c>
      <c r="AE97" s="44" t="s">
        <v>692</v>
      </c>
      <c r="AF97" s="44" t="s">
        <v>692</v>
      </c>
      <c r="AG97" s="44" t="s">
        <v>692</v>
      </c>
      <c r="AH97" s="44" t="s">
        <v>692</v>
      </c>
      <c r="AI97" s="113" t="s">
        <v>692</v>
      </c>
      <c r="AK97" s="237"/>
      <c r="AL97" s="237"/>
    </row>
    <row r="98" spans="2:38" ht="18.75" x14ac:dyDescent="0.25">
      <c r="B98" s="129" t="s">
        <v>110</v>
      </c>
      <c r="C98" s="97" t="s">
        <v>106</v>
      </c>
      <c r="D98" s="97">
        <v>39774</v>
      </c>
      <c r="E98" s="98" t="s">
        <v>111</v>
      </c>
      <c r="F98" s="139" t="s">
        <v>903</v>
      </c>
      <c r="G98" s="139" t="s">
        <v>1323</v>
      </c>
      <c r="H98" s="139" t="s">
        <v>1323</v>
      </c>
      <c r="I98" s="139"/>
      <c r="J98" s="139"/>
      <c r="K98" s="139"/>
      <c r="L98" s="139"/>
      <c r="M98" s="139"/>
      <c r="N98" s="139"/>
      <c r="O98" s="139"/>
      <c r="P98" s="139"/>
      <c r="Q98" s="139"/>
      <c r="R98" s="139"/>
      <c r="S98" s="101"/>
      <c r="T98" s="101"/>
      <c r="U98" s="101"/>
      <c r="V98" s="105"/>
      <c r="X98" s="112" t="s">
        <v>692</v>
      </c>
      <c r="Y98" s="44" t="s">
        <v>692</v>
      </c>
      <c r="Z98" s="44" t="s">
        <v>692</v>
      </c>
      <c r="AA98" s="44" t="s">
        <v>692</v>
      </c>
      <c r="AB98" s="44" t="s">
        <v>692</v>
      </c>
      <c r="AC98" s="44" t="s">
        <v>692</v>
      </c>
      <c r="AD98" s="44" t="s">
        <v>692</v>
      </c>
      <c r="AE98" s="44" t="s">
        <v>692</v>
      </c>
      <c r="AF98" s="44" t="s">
        <v>692</v>
      </c>
      <c r="AG98" s="44" t="s">
        <v>692</v>
      </c>
      <c r="AH98" s="44" t="s">
        <v>692</v>
      </c>
      <c r="AI98" s="113" t="s">
        <v>692</v>
      </c>
      <c r="AK98" s="237"/>
      <c r="AL98" s="237"/>
    </row>
    <row r="99" spans="2:38" ht="18.75" x14ac:dyDescent="0.25">
      <c r="B99" s="129" t="s">
        <v>118</v>
      </c>
      <c r="C99" s="94" t="s">
        <v>106</v>
      </c>
      <c r="D99" s="94">
        <v>39137</v>
      </c>
      <c r="E99" s="174" t="s">
        <v>23</v>
      </c>
      <c r="F99" s="139" t="s">
        <v>908</v>
      </c>
      <c r="G99" s="139" t="s">
        <v>960</v>
      </c>
      <c r="H99" s="139"/>
      <c r="I99" s="139"/>
      <c r="J99" s="139"/>
      <c r="K99" s="139"/>
      <c r="L99" s="139"/>
      <c r="M99" s="139"/>
      <c r="N99" s="139"/>
      <c r="O99" s="139"/>
      <c r="P99" s="139"/>
      <c r="Q99" s="139"/>
      <c r="R99" s="139"/>
      <c r="S99" s="101"/>
      <c r="T99" s="101"/>
      <c r="U99" s="101"/>
      <c r="V99" s="105"/>
      <c r="X99" s="112" t="s">
        <v>692</v>
      </c>
      <c r="Y99" s="44" t="s">
        <v>692</v>
      </c>
      <c r="Z99" s="44" t="s">
        <v>692</v>
      </c>
      <c r="AA99" s="44" t="s">
        <v>692</v>
      </c>
      <c r="AB99" s="44" t="s">
        <v>692</v>
      </c>
      <c r="AC99" s="44" t="s">
        <v>692</v>
      </c>
      <c r="AD99" s="44" t="s">
        <v>692</v>
      </c>
      <c r="AE99" s="44" t="s">
        <v>692</v>
      </c>
      <c r="AF99" s="44" t="s">
        <v>692</v>
      </c>
      <c r="AG99" s="44" t="s">
        <v>692</v>
      </c>
      <c r="AH99" s="44" t="s">
        <v>692</v>
      </c>
      <c r="AI99" s="113" t="s">
        <v>692</v>
      </c>
      <c r="AK99" s="237"/>
      <c r="AL99" s="237"/>
    </row>
    <row r="100" spans="2:38" ht="18.75" x14ac:dyDescent="0.25">
      <c r="B100" s="129" t="s">
        <v>1200</v>
      </c>
      <c r="C100" s="94" t="s">
        <v>120</v>
      </c>
      <c r="D100" s="94">
        <v>39323</v>
      </c>
      <c r="E100" s="174" t="s">
        <v>122</v>
      </c>
      <c r="F100" s="139" t="s">
        <v>134</v>
      </c>
      <c r="G100" s="139"/>
      <c r="H100" s="139"/>
      <c r="I100" s="139">
        <v>181191</v>
      </c>
      <c r="J100" s="139"/>
      <c r="K100" s="139"/>
      <c r="L100" s="139"/>
      <c r="M100" s="139"/>
      <c r="N100" s="139"/>
      <c r="O100" s="139"/>
      <c r="P100" s="139"/>
      <c r="Q100" s="139"/>
      <c r="R100" s="139"/>
      <c r="S100" s="101"/>
      <c r="T100" s="101"/>
      <c r="U100" s="101"/>
      <c r="V100" s="105"/>
      <c r="X100" s="112" t="s">
        <v>692</v>
      </c>
      <c r="Y100" s="44" t="s">
        <v>692</v>
      </c>
      <c r="Z100" s="44" t="s">
        <v>692</v>
      </c>
      <c r="AA100" s="44" t="s">
        <v>692</v>
      </c>
      <c r="AB100" s="44" t="s">
        <v>692</v>
      </c>
      <c r="AC100" s="44" t="s">
        <v>692</v>
      </c>
      <c r="AD100" s="44" t="s">
        <v>692</v>
      </c>
      <c r="AE100" s="44" t="s">
        <v>692</v>
      </c>
      <c r="AF100" s="44" t="s">
        <v>692</v>
      </c>
      <c r="AG100" s="44" t="s">
        <v>692</v>
      </c>
      <c r="AH100" s="44" t="s">
        <v>692</v>
      </c>
      <c r="AI100" s="113" t="s">
        <v>692</v>
      </c>
      <c r="AK100" s="237"/>
      <c r="AL100" s="237"/>
    </row>
    <row r="101" spans="2:38" ht="18.75" x14ac:dyDescent="0.25">
      <c r="B101" s="129" t="s">
        <v>130</v>
      </c>
      <c r="C101" s="97" t="s">
        <v>120</v>
      </c>
      <c r="D101" s="97">
        <v>39383</v>
      </c>
      <c r="E101" s="98" t="s">
        <v>131</v>
      </c>
      <c r="F101" s="139" t="s">
        <v>132</v>
      </c>
      <c r="G101" s="139" t="s">
        <v>133</v>
      </c>
      <c r="H101" s="139" t="s">
        <v>1616</v>
      </c>
      <c r="I101" s="139"/>
      <c r="J101" s="139"/>
      <c r="K101" s="139"/>
      <c r="L101" s="139"/>
      <c r="M101" s="139"/>
      <c r="N101" s="139"/>
      <c r="O101" s="139"/>
      <c r="P101" s="139"/>
      <c r="Q101" s="139"/>
      <c r="R101" s="139"/>
      <c r="S101" s="101"/>
      <c r="T101" s="101"/>
      <c r="U101" s="101"/>
      <c r="V101" s="105"/>
      <c r="X101" s="112" t="s">
        <v>692</v>
      </c>
      <c r="Y101" s="44" t="s">
        <v>692</v>
      </c>
      <c r="Z101" s="44" t="s">
        <v>692</v>
      </c>
      <c r="AA101" s="44" t="s">
        <v>692</v>
      </c>
      <c r="AB101" s="44" t="s">
        <v>692</v>
      </c>
      <c r="AC101" s="44" t="s">
        <v>692</v>
      </c>
      <c r="AD101" s="44" t="s">
        <v>692</v>
      </c>
      <c r="AE101" s="44" t="s">
        <v>692</v>
      </c>
      <c r="AF101" s="44" t="s">
        <v>692</v>
      </c>
      <c r="AG101" s="44" t="s">
        <v>692</v>
      </c>
      <c r="AH101" s="44" t="s">
        <v>692</v>
      </c>
      <c r="AI101" s="113" t="s">
        <v>692</v>
      </c>
      <c r="AK101" s="237"/>
      <c r="AL101" s="237"/>
    </row>
    <row r="102" spans="2:38" ht="18.75" x14ac:dyDescent="0.25">
      <c r="B102" s="129" t="s">
        <v>126</v>
      </c>
      <c r="C102" s="97" t="s">
        <v>120</v>
      </c>
      <c r="D102" s="97">
        <v>39151</v>
      </c>
      <c r="E102" s="174" t="s">
        <v>127</v>
      </c>
      <c r="F102" s="139" t="s">
        <v>914</v>
      </c>
      <c r="G102" s="139" t="s">
        <v>1666</v>
      </c>
      <c r="H102" s="139"/>
      <c r="I102" s="139"/>
      <c r="J102" s="139"/>
      <c r="K102" s="139"/>
      <c r="L102" s="139"/>
      <c r="M102" s="139"/>
      <c r="N102" s="139"/>
      <c r="O102" s="139"/>
      <c r="P102" s="139"/>
      <c r="Q102" s="139"/>
      <c r="R102" s="139"/>
      <c r="S102" s="101"/>
      <c r="T102" s="101"/>
      <c r="U102" s="101"/>
      <c r="V102" s="105"/>
      <c r="X102" s="112" t="s">
        <v>692</v>
      </c>
      <c r="Y102" s="44" t="s">
        <v>692</v>
      </c>
      <c r="Z102" s="44" t="s">
        <v>692</v>
      </c>
      <c r="AA102" s="44" t="s">
        <v>692</v>
      </c>
      <c r="AB102" s="44" t="s">
        <v>692</v>
      </c>
      <c r="AC102" s="44" t="s">
        <v>692</v>
      </c>
      <c r="AD102" s="44" t="s">
        <v>692</v>
      </c>
      <c r="AE102" s="44" t="s">
        <v>692</v>
      </c>
      <c r="AF102" s="44" t="s">
        <v>692</v>
      </c>
      <c r="AG102" s="44" t="s">
        <v>692</v>
      </c>
      <c r="AH102" s="44" t="s">
        <v>692</v>
      </c>
      <c r="AI102" s="113" t="s">
        <v>692</v>
      </c>
      <c r="AK102" s="237"/>
      <c r="AL102" s="237"/>
    </row>
    <row r="103" spans="2:38" ht="18.75" x14ac:dyDescent="0.3">
      <c r="B103" s="207" t="s">
        <v>121</v>
      </c>
      <c r="C103" s="97" t="s">
        <v>120</v>
      </c>
      <c r="D103" s="97">
        <v>39150</v>
      </c>
      <c r="E103" s="98" t="s">
        <v>122</v>
      </c>
      <c r="F103" s="139" t="s">
        <v>916</v>
      </c>
      <c r="G103" s="139"/>
      <c r="H103" s="139"/>
      <c r="I103" s="139">
        <v>1155235</v>
      </c>
      <c r="J103" s="139"/>
      <c r="K103" s="139"/>
      <c r="L103" s="139"/>
      <c r="M103" s="139"/>
      <c r="N103" s="139"/>
      <c r="O103" s="139"/>
      <c r="P103" s="139"/>
      <c r="Q103" s="139"/>
      <c r="R103" s="139"/>
      <c r="S103" s="101"/>
      <c r="T103" s="101"/>
      <c r="U103" s="101"/>
      <c r="V103" s="105"/>
      <c r="X103" s="112" t="s">
        <v>692</v>
      </c>
      <c r="Y103" s="44" t="s">
        <v>692</v>
      </c>
      <c r="Z103" s="44" t="s">
        <v>692</v>
      </c>
      <c r="AA103" s="44" t="s">
        <v>692</v>
      </c>
      <c r="AB103" s="44" t="s">
        <v>692</v>
      </c>
      <c r="AC103" s="44" t="s">
        <v>692</v>
      </c>
      <c r="AD103" s="44" t="s">
        <v>692</v>
      </c>
      <c r="AE103" s="44" t="s">
        <v>692</v>
      </c>
      <c r="AF103" s="44" t="s">
        <v>692</v>
      </c>
      <c r="AG103" s="44" t="s">
        <v>692</v>
      </c>
      <c r="AH103" s="44" t="s">
        <v>692</v>
      </c>
      <c r="AI103" s="113" t="s">
        <v>692</v>
      </c>
      <c r="AK103" s="237"/>
      <c r="AL103" s="237"/>
    </row>
    <row r="104" spans="2:38" ht="18.75" x14ac:dyDescent="0.3">
      <c r="B104" s="207" t="s">
        <v>1469</v>
      </c>
      <c r="C104" s="97" t="s">
        <v>135</v>
      </c>
      <c r="D104" s="97">
        <v>39746</v>
      </c>
      <c r="E104" s="98" t="s">
        <v>195</v>
      </c>
      <c r="F104" s="139" t="s">
        <v>1491</v>
      </c>
      <c r="G104" s="139" t="s">
        <v>1470</v>
      </c>
      <c r="H104" s="139" t="s">
        <v>1471</v>
      </c>
      <c r="I104" s="139">
        <v>14499</v>
      </c>
      <c r="J104" s="139"/>
      <c r="K104" s="139"/>
      <c r="L104" s="139"/>
      <c r="M104" s="139"/>
      <c r="N104" s="139"/>
      <c r="O104" s="139"/>
      <c r="P104" s="139"/>
      <c r="Q104" s="139"/>
      <c r="R104" s="139"/>
      <c r="S104" s="101"/>
      <c r="T104" s="101"/>
      <c r="U104" s="101"/>
      <c r="V104" s="105"/>
      <c r="X104" s="112" t="s">
        <v>692</v>
      </c>
      <c r="Y104" s="44" t="s">
        <v>692</v>
      </c>
      <c r="Z104" s="44" t="s">
        <v>692</v>
      </c>
      <c r="AA104" s="44" t="s">
        <v>692</v>
      </c>
      <c r="AB104" s="44" t="s">
        <v>692</v>
      </c>
      <c r="AC104" s="44" t="s">
        <v>692</v>
      </c>
      <c r="AD104" s="44" t="s">
        <v>692</v>
      </c>
      <c r="AE104" s="44" t="s">
        <v>692</v>
      </c>
      <c r="AF104" s="44" t="s">
        <v>692</v>
      </c>
      <c r="AG104" s="44" t="s">
        <v>692</v>
      </c>
      <c r="AH104" s="44" t="s">
        <v>692</v>
      </c>
      <c r="AI104" s="113" t="s">
        <v>692</v>
      </c>
      <c r="AK104" s="237"/>
      <c r="AL104" s="237"/>
    </row>
    <row r="105" spans="2:38" ht="18.75" x14ac:dyDescent="0.25">
      <c r="B105" s="129" t="s">
        <v>1536</v>
      </c>
      <c r="C105" s="94" t="s">
        <v>135</v>
      </c>
      <c r="D105" s="94">
        <v>39730</v>
      </c>
      <c r="E105" s="174" t="s">
        <v>1535</v>
      </c>
      <c r="F105" s="139" t="s">
        <v>1537</v>
      </c>
      <c r="G105" s="139"/>
      <c r="H105" s="139" t="s">
        <v>1550</v>
      </c>
      <c r="I105" s="139">
        <v>22576</v>
      </c>
      <c r="J105" s="139"/>
      <c r="K105" s="139"/>
      <c r="L105" s="139"/>
      <c r="M105" s="139"/>
      <c r="N105" s="139"/>
      <c r="O105" s="139"/>
      <c r="P105" s="139"/>
      <c r="Q105" s="139"/>
      <c r="R105" s="139"/>
      <c r="S105" s="101"/>
      <c r="T105" s="101"/>
      <c r="U105" s="101"/>
      <c r="V105" s="105"/>
      <c r="X105" s="112" t="s">
        <v>692</v>
      </c>
      <c r="Y105" s="44" t="s">
        <v>692</v>
      </c>
      <c r="Z105" s="44" t="s">
        <v>692</v>
      </c>
      <c r="AA105" s="44" t="s">
        <v>692</v>
      </c>
      <c r="AB105" s="44" t="s">
        <v>692</v>
      </c>
      <c r="AC105" s="44" t="s">
        <v>692</v>
      </c>
      <c r="AD105" s="44" t="s">
        <v>692</v>
      </c>
      <c r="AE105" s="44" t="s">
        <v>692</v>
      </c>
      <c r="AF105" s="44" t="s">
        <v>692</v>
      </c>
      <c r="AG105" s="44" t="s">
        <v>692</v>
      </c>
      <c r="AH105" s="44" t="s">
        <v>692</v>
      </c>
      <c r="AI105" s="113" t="s">
        <v>692</v>
      </c>
      <c r="AK105" s="237"/>
      <c r="AL105" s="237"/>
    </row>
    <row r="106" spans="2:38" ht="18.75" x14ac:dyDescent="0.25">
      <c r="B106" s="189" t="s">
        <v>1199</v>
      </c>
      <c r="C106" s="200" t="s">
        <v>135</v>
      </c>
      <c r="D106" s="200">
        <v>39525</v>
      </c>
      <c r="E106" s="185" t="s">
        <v>702</v>
      </c>
      <c r="F106" s="139" t="s">
        <v>703</v>
      </c>
      <c r="G106" s="139"/>
      <c r="H106" s="139" t="s">
        <v>705</v>
      </c>
      <c r="I106" s="139">
        <v>423149</v>
      </c>
      <c r="J106" s="139"/>
      <c r="K106" s="139"/>
      <c r="L106" s="139"/>
      <c r="M106" s="139"/>
      <c r="N106" s="139"/>
      <c r="O106" s="139"/>
      <c r="P106" s="139"/>
      <c r="Q106" s="139"/>
      <c r="R106" s="139"/>
      <c r="S106" s="101"/>
      <c r="T106" s="101"/>
      <c r="U106" s="101"/>
      <c r="V106" s="105"/>
      <c r="X106" s="112" t="s">
        <v>692</v>
      </c>
      <c r="Y106" s="44" t="s">
        <v>692</v>
      </c>
      <c r="Z106" s="44" t="s">
        <v>692</v>
      </c>
      <c r="AA106" s="44" t="s">
        <v>692</v>
      </c>
      <c r="AB106" s="44" t="s">
        <v>692</v>
      </c>
      <c r="AC106" s="44" t="s">
        <v>692</v>
      </c>
      <c r="AD106" s="44" t="s">
        <v>692</v>
      </c>
      <c r="AE106" s="44" t="s">
        <v>692</v>
      </c>
      <c r="AF106" s="44" t="s">
        <v>692</v>
      </c>
      <c r="AG106" s="44" t="s">
        <v>692</v>
      </c>
      <c r="AH106" s="44" t="s">
        <v>692</v>
      </c>
      <c r="AI106" s="113" t="s">
        <v>692</v>
      </c>
      <c r="AK106" s="237"/>
      <c r="AL106" s="237"/>
    </row>
    <row r="107" spans="2:38" ht="18.75" x14ac:dyDescent="0.3">
      <c r="B107" s="180" t="s">
        <v>1330</v>
      </c>
      <c r="C107" s="181" t="s">
        <v>135</v>
      </c>
      <c r="D107" s="181">
        <v>39411</v>
      </c>
      <c r="E107" s="182" t="s">
        <v>1067</v>
      </c>
      <c r="F107" s="139" t="s">
        <v>683</v>
      </c>
      <c r="G107" s="139" t="s">
        <v>1335</v>
      </c>
      <c r="H107" s="139" t="s">
        <v>1299</v>
      </c>
      <c r="I107" s="139">
        <v>154547</v>
      </c>
      <c r="J107" s="139"/>
      <c r="K107" s="139"/>
      <c r="L107" s="139"/>
      <c r="M107" s="139"/>
      <c r="N107" s="139"/>
      <c r="O107" s="139"/>
      <c r="P107" s="139"/>
      <c r="Q107" s="139"/>
      <c r="R107" s="139"/>
      <c r="S107" s="101"/>
      <c r="T107" s="101"/>
      <c r="U107" s="101"/>
      <c r="V107" s="105"/>
      <c r="X107" s="112" t="s">
        <v>692</v>
      </c>
      <c r="Y107" s="44" t="s">
        <v>692</v>
      </c>
      <c r="Z107" s="44" t="s">
        <v>692</v>
      </c>
      <c r="AA107" s="44" t="s">
        <v>692</v>
      </c>
      <c r="AB107" s="44" t="s">
        <v>692</v>
      </c>
      <c r="AC107" s="44" t="s">
        <v>692</v>
      </c>
      <c r="AD107" s="44" t="s">
        <v>692</v>
      </c>
      <c r="AE107" s="44" t="s">
        <v>692</v>
      </c>
      <c r="AF107" s="44" t="s">
        <v>692</v>
      </c>
      <c r="AG107" s="44" t="s">
        <v>692</v>
      </c>
      <c r="AH107" s="44" t="s">
        <v>692</v>
      </c>
      <c r="AI107" s="113" t="s">
        <v>692</v>
      </c>
      <c r="AK107" s="237"/>
      <c r="AL107" s="237"/>
    </row>
    <row r="108" spans="2:38" ht="18.75" x14ac:dyDescent="0.25">
      <c r="B108" s="129" t="s">
        <v>1452</v>
      </c>
      <c r="C108" s="94" t="s">
        <v>135</v>
      </c>
      <c r="D108" s="94">
        <v>39247</v>
      </c>
      <c r="E108" s="174" t="s">
        <v>1400</v>
      </c>
      <c r="F108" s="139" t="s">
        <v>683</v>
      </c>
      <c r="G108" s="139" t="s">
        <v>1401</v>
      </c>
      <c r="H108" s="139"/>
      <c r="I108" s="139">
        <v>10588</v>
      </c>
      <c r="J108" s="139"/>
      <c r="K108" s="139"/>
      <c r="L108" s="139"/>
      <c r="M108" s="139"/>
      <c r="N108" s="139"/>
      <c r="O108" s="139"/>
      <c r="P108" s="139"/>
      <c r="Q108" s="139"/>
      <c r="R108" s="139"/>
      <c r="S108" s="101"/>
      <c r="T108" s="101"/>
      <c r="U108" s="101"/>
      <c r="V108" s="105"/>
      <c r="X108" s="112" t="s">
        <v>692</v>
      </c>
      <c r="Y108" s="44" t="s">
        <v>692</v>
      </c>
      <c r="Z108" s="44" t="s">
        <v>692</v>
      </c>
      <c r="AA108" s="44" t="s">
        <v>692</v>
      </c>
      <c r="AB108" s="44" t="s">
        <v>692</v>
      </c>
      <c r="AC108" s="44" t="s">
        <v>692</v>
      </c>
      <c r="AD108" s="44" t="s">
        <v>692</v>
      </c>
      <c r="AE108" s="44" t="s">
        <v>692</v>
      </c>
      <c r="AF108" s="44" t="s">
        <v>692</v>
      </c>
      <c r="AG108" s="44" t="s">
        <v>692</v>
      </c>
      <c r="AH108" s="44" t="s">
        <v>692</v>
      </c>
      <c r="AI108" s="113" t="s">
        <v>692</v>
      </c>
      <c r="AK108" s="237"/>
      <c r="AL108" s="237"/>
    </row>
    <row r="109" spans="2:38" ht="18.75" x14ac:dyDescent="0.25">
      <c r="B109" s="122" t="s">
        <v>140</v>
      </c>
      <c r="C109" s="3" t="s">
        <v>135</v>
      </c>
      <c r="D109" s="3">
        <v>39577</v>
      </c>
      <c r="E109" s="4" t="s">
        <v>1067</v>
      </c>
      <c r="F109" s="139" t="s">
        <v>683</v>
      </c>
      <c r="G109" s="139" t="s">
        <v>684</v>
      </c>
      <c r="H109" s="139" t="s">
        <v>1068</v>
      </c>
      <c r="I109" s="139">
        <v>66647</v>
      </c>
      <c r="J109" s="139"/>
      <c r="K109" s="139"/>
      <c r="L109" s="139"/>
      <c r="M109" s="139"/>
      <c r="N109" s="139"/>
      <c r="O109" s="139"/>
      <c r="P109" s="139"/>
      <c r="Q109" s="139"/>
      <c r="R109" s="139"/>
      <c r="S109" s="101"/>
      <c r="T109" s="101"/>
      <c r="U109" s="101"/>
      <c r="V109" s="105"/>
      <c r="X109" s="112" t="s">
        <v>692</v>
      </c>
      <c r="Y109" s="44" t="s">
        <v>692</v>
      </c>
      <c r="Z109" s="44" t="s">
        <v>692</v>
      </c>
      <c r="AA109" s="44" t="s">
        <v>692</v>
      </c>
      <c r="AB109" s="44" t="s">
        <v>692</v>
      </c>
      <c r="AC109" s="44" t="s">
        <v>692</v>
      </c>
      <c r="AD109" s="44" t="s">
        <v>692</v>
      </c>
      <c r="AE109" s="44" t="s">
        <v>692</v>
      </c>
      <c r="AF109" s="44" t="s">
        <v>692</v>
      </c>
      <c r="AG109" s="44" t="s">
        <v>692</v>
      </c>
      <c r="AH109" s="44" t="s">
        <v>692</v>
      </c>
      <c r="AI109" s="113" t="s">
        <v>692</v>
      </c>
      <c r="AK109" s="237"/>
      <c r="AL109" s="237"/>
    </row>
    <row r="110" spans="2:38" ht="18.75" x14ac:dyDescent="0.25">
      <c r="B110" s="129" t="s">
        <v>138</v>
      </c>
      <c r="C110" s="94" t="s">
        <v>135</v>
      </c>
      <c r="D110" s="94">
        <v>39185</v>
      </c>
      <c r="E110" s="174" t="s">
        <v>425</v>
      </c>
      <c r="F110" s="139" t="s">
        <v>123</v>
      </c>
      <c r="G110" s="139" t="s">
        <v>426</v>
      </c>
      <c r="H110" s="139" t="s">
        <v>427</v>
      </c>
      <c r="I110" s="139">
        <v>316189</v>
      </c>
      <c r="J110" s="139"/>
      <c r="K110" s="139"/>
      <c r="L110" s="139"/>
      <c r="M110" s="139"/>
      <c r="N110" s="139"/>
      <c r="O110" s="139"/>
      <c r="P110" s="139"/>
      <c r="Q110" s="139"/>
      <c r="R110" s="139"/>
      <c r="S110" s="101"/>
      <c r="T110" s="101"/>
      <c r="U110" s="101"/>
      <c r="V110" s="105"/>
      <c r="X110" s="112" t="s">
        <v>692</v>
      </c>
      <c r="Y110" s="44" t="s">
        <v>692</v>
      </c>
      <c r="Z110" s="44" t="s">
        <v>692</v>
      </c>
      <c r="AA110" s="44" t="s">
        <v>692</v>
      </c>
      <c r="AB110" s="44" t="s">
        <v>692</v>
      </c>
      <c r="AC110" s="44" t="s">
        <v>692</v>
      </c>
      <c r="AD110" s="44" t="s">
        <v>692</v>
      </c>
      <c r="AE110" s="44" t="s">
        <v>692</v>
      </c>
      <c r="AF110" s="44" t="s">
        <v>692</v>
      </c>
      <c r="AG110" s="44" t="s">
        <v>692</v>
      </c>
      <c r="AH110" s="44" t="s">
        <v>692</v>
      </c>
      <c r="AI110" s="113" t="s">
        <v>692</v>
      </c>
      <c r="AK110" s="237"/>
      <c r="AL110" s="237"/>
    </row>
    <row r="111" spans="2:38" ht="18.75" x14ac:dyDescent="0.25">
      <c r="B111" s="129" t="s">
        <v>655</v>
      </c>
      <c r="C111" s="94" t="s">
        <v>135</v>
      </c>
      <c r="D111" s="94">
        <v>39574</v>
      </c>
      <c r="E111" s="174" t="s">
        <v>425</v>
      </c>
      <c r="F111" s="139" t="s">
        <v>685</v>
      </c>
      <c r="G111" s="139"/>
      <c r="H111" s="139"/>
      <c r="I111" s="139">
        <v>1880</v>
      </c>
      <c r="J111" s="139"/>
      <c r="K111" s="139"/>
      <c r="L111" s="139"/>
      <c r="M111" s="139"/>
      <c r="N111" s="139"/>
      <c r="O111" s="139"/>
      <c r="P111" s="139"/>
      <c r="Q111" s="139"/>
      <c r="R111" s="139"/>
      <c r="S111" s="101"/>
      <c r="T111" s="101"/>
      <c r="U111" s="101"/>
      <c r="V111" s="105"/>
      <c r="X111" s="112" t="s">
        <v>692</v>
      </c>
      <c r="Y111" s="44" t="s">
        <v>692</v>
      </c>
      <c r="Z111" s="44" t="s">
        <v>692</v>
      </c>
      <c r="AA111" s="44" t="s">
        <v>692</v>
      </c>
      <c r="AB111" s="44" t="s">
        <v>692</v>
      </c>
      <c r="AC111" s="44" t="s">
        <v>692</v>
      </c>
      <c r="AD111" s="44" t="s">
        <v>692</v>
      </c>
      <c r="AE111" s="44" t="s">
        <v>692</v>
      </c>
      <c r="AF111" s="44" t="s">
        <v>692</v>
      </c>
      <c r="AG111" s="44" t="s">
        <v>692</v>
      </c>
      <c r="AH111" s="44" t="s">
        <v>692</v>
      </c>
      <c r="AI111" s="113" t="s">
        <v>692</v>
      </c>
      <c r="AK111" s="237"/>
      <c r="AL111" s="237"/>
    </row>
    <row r="112" spans="2:38" ht="18.75" x14ac:dyDescent="0.25">
      <c r="B112" s="129" t="s">
        <v>657</v>
      </c>
      <c r="C112" s="94" t="s">
        <v>135</v>
      </c>
      <c r="D112" s="94">
        <v>39290</v>
      </c>
      <c r="E112" s="174" t="s">
        <v>425</v>
      </c>
      <c r="F112" s="139" t="s">
        <v>685</v>
      </c>
      <c r="G112" s="139"/>
      <c r="H112" s="139" t="s">
        <v>656</v>
      </c>
      <c r="I112" s="139">
        <v>9693</v>
      </c>
      <c r="J112" s="139"/>
      <c r="K112" s="139"/>
      <c r="L112" s="139"/>
      <c r="M112" s="139"/>
      <c r="N112" s="139"/>
      <c r="O112" s="139"/>
      <c r="P112" s="139"/>
      <c r="Q112" s="139"/>
      <c r="R112" s="139"/>
      <c r="S112" s="101"/>
      <c r="T112" s="101"/>
      <c r="U112" s="101"/>
      <c r="V112" s="105"/>
      <c r="X112" s="112" t="s">
        <v>692</v>
      </c>
      <c r="Y112" s="44" t="s">
        <v>692</v>
      </c>
      <c r="Z112" s="44" t="s">
        <v>692</v>
      </c>
      <c r="AA112" s="44" t="s">
        <v>692</v>
      </c>
      <c r="AB112" s="44" t="s">
        <v>692</v>
      </c>
      <c r="AC112" s="44" t="s">
        <v>692</v>
      </c>
      <c r="AD112" s="44" t="s">
        <v>692</v>
      </c>
      <c r="AE112" s="44" t="s">
        <v>692</v>
      </c>
      <c r="AF112" s="44" t="s">
        <v>692</v>
      </c>
      <c r="AG112" s="44" t="s">
        <v>692</v>
      </c>
      <c r="AH112" s="44" t="s">
        <v>692</v>
      </c>
      <c r="AI112" s="113" t="s">
        <v>692</v>
      </c>
      <c r="AK112" s="237"/>
      <c r="AL112" s="237"/>
    </row>
    <row r="113" spans="2:38" ht="18.75" x14ac:dyDescent="0.25">
      <c r="B113" s="129" t="s">
        <v>1143</v>
      </c>
      <c r="C113" s="94" t="s">
        <v>142</v>
      </c>
      <c r="D113" s="94">
        <v>39011</v>
      </c>
      <c r="E113" s="174" t="s">
        <v>428</v>
      </c>
      <c r="F113" s="139" t="s">
        <v>38</v>
      </c>
      <c r="G113" s="139" t="s">
        <v>429</v>
      </c>
      <c r="H113" s="139" t="s">
        <v>430</v>
      </c>
      <c r="I113" s="139">
        <v>12068</v>
      </c>
      <c r="J113" s="139"/>
      <c r="K113" s="139"/>
      <c r="L113" s="139"/>
      <c r="M113" s="139"/>
      <c r="N113" s="139"/>
      <c r="O113" s="139"/>
      <c r="P113" s="139"/>
      <c r="Q113" s="139"/>
      <c r="R113" s="139"/>
      <c r="S113" s="101"/>
      <c r="T113" s="101"/>
      <c r="U113" s="101"/>
      <c r="V113" s="105"/>
      <c r="X113" s="112" t="s">
        <v>692</v>
      </c>
      <c r="Y113" s="44" t="s">
        <v>692</v>
      </c>
      <c r="Z113" s="44" t="s">
        <v>692</v>
      </c>
      <c r="AA113" s="44" t="s">
        <v>692</v>
      </c>
      <c r="AB113" s="44" t="s">
        <v>692</v>
      </c>
      <c r="AC113" s="44" t="s">
        <v>692</v>
      </c>
      <c r="AD113" s="44" t="s">
        <v>692</v>
      </c>
      <c r="AE113" s="44" t="s">
        <v>692</v>
      </c>
      <c r="AF113" s="44" t="s">
        <v>692</v>
      </c>
      <c r="AG113" s="44" t="s">
        <v>692</v>
      </c>
      <c r="AH113" s="44" t="s">
        <v>692</v>
      </c>
      <c r="AI113" s="113" t="s">
        <v>692</v>
      </c>
      <c r="AK113" s="237"/>
      <c r="AL113" s="237"/>
    </row>
    <row r="114" spans="2:38" ht="18.75" x14ac:dyDescent="0.25">
      <c r="B114" s="129" t="s">
        <v>1207</v>
      </c>
      <c r="C114" s="94" t="s">
        <v>142</v>
      </c>
      <c r="D114" s="94">
        <v>39645</v>
      </c>
      <c r="E114" s="174" t="s">
        <v>1219</v>
      </c>
      <c r="F114" s="139" t="s">
        <v>1239</v>
      </c>
      <c r="G114" s="139" t="s">
        <v>1209</v>
      </c>
      <c r="H114" s="139"/>
      <c r="I114" s="139">
        <v>578700</v>
      </c>
      <c r="J114" s="139"/>
      <c r="K114" s="139"/>
      <c r="L114" s="139"/>
      <c r="M114" s="139"/>
      <c r="N114" s="139"/>
      <c r="O114" s="139"/>
      <c r="P114" s="139"/>
      <c r="Q114" s="139"/>
      <c r="R114" s="139"/>
      <c r="S114" s="101"/>
      <c r="T114" s="101"/>
      <c r="U114" s="101"/>
      <c r="V114" s="105"/>
      <c r="X114" s="112" t="s">
        <v>692</v>
      </c>
      <c r="Y114" s="44" t="s">
        <v>692</v>
      </c>
      <c r="Z114" s="44" t="s">
        <v>692</v>
      </c>
      <c r="AA114" s="44" t="s">
        <v>692</v>
      </c>
      <c r="AB114" s="44" t="s">
        <v>692</v>
      </c>
      <c r="AC114" s="44" t="s">
        <v>692</v>
      </c>
      <c r="AD114" s="44" t="s">
        <v>692</v>
      </c>
      <c r="AE114" s="44" t="s">
        <v>692</v>
      </c>
      <c r="AF114" s="44" t="s">
        <v>692</v>
      </c>
      <c r="AG114" s="44" t="s">
        <v>692</v>
      </c>
      <c r="AH114" s="44" t="s">
        <v>692</v>
      </c>
      <c r="AI114" s="113" t="s">
        <v>692</v>
      </c>
      <c r="AK114" s="237"/>
      <c r="AL114" s="237"/>
    </row>
    <row r="115" spans="2:38" ht="18.75" x14ac:dyDescent="0.25">
      <c r="B115" s="129" t="s">
        <v>1208</v>
      </c>
      <c r="C115" s="94" t="s">
        <v>147</v>
      </c>
      <c r="D115" s="94">
        <v>39666</v>
      </c>
      <c r="E115" s="174" t="s">
        <v>1219</v>
      </c>
      <c r="F115" s="139" t="s">
        <v>1239</v>
      </c>
      <c r="G115" s="139" t="s">
        <v>1209</v>
      </c>
      <c r="H115" s="139"/>
      <c r="I115" s="139">
        <v>528020</v>
      </c>
      <c r="J115" s="139"/>
      <c r="K115" s="139"/>
      <c r="L115" s="139"/>
      <c r="M115" s="139"/>
      <c r="N115" s="139"/>
      <c r="O115" s="139"/>
      <c r="P115" s="139"/>
      <c r="Q115" s="139"/>
      <c r="R115" s="139"/>
      <c r="S115" s="101"/>
      <c r="T115" s="101"/>
      <c r="U115" s="101"/>
      <c r="V115" s="105"/>
      <c r="X115" s="112" t="s">
        <v>692</v>
      </c>
      <c r="Y115" s="44" t="s">
        <v>692</v>
      </c>
      <c r="Z115" s="44" t="s">
        <v>692</v>
      </c>
      <c r="AA115" s="44" t="s">
        <v>692</v>
      </c>
      <c r="AB115" s="44" t="s">
        <v>692</v>
      </c>
      <c r="AC115" s="44" t="s">
        <v>692</v>
      </c>
      <c r="AD115" s="44" t="s">
        <v>692</v>
      </c>
      <c r="AE115" s="44" t="s">
        <v>692</v>
      </c>
      <c r="AF115" s="44" t="s">
        <v>692</v>
      </c>
      <c r="AG115" s="44" t="s">
        <v>692</v>
      </c>
      <c r="AH115" s="44" t="s">
        <v>692</v>
      </c>
      <c r="AI115" s="113" t="s">
        <v>692</v>
      </c>
      <c r="AK115" s="237"/>
      <c r="AL115" s="237"/>
    </row>
    <row r="116" spans="2:38" ht="18.75" x14ac:dyDescent="0.25">
      <c r="B116" s="129" t="s">
        <v>1294</v>
      </c>
      <c r="C116" s="94" t="s">
        <v>147</v>
      </c>
      <c r="D116" s="94">
        <v>39664</v>
      </c>
      <c r="E116" s="174" t="s">
        <v>145</v>
      </c>
      <c r="F116" s="139" t="s">
        <v>1298</v>
      </c>
      <c r="G116" s="139" t="s">
        <v>1297</v>
      </c>
      <c r="H116" s="139" t="s">
        <v>1296</v>
      </c>
      <c r="I116" s="139">
        <v>154819</v>
      </c>
      <c r="J116" s="139"/>
      <c r="K116" s="139"/>
      <c r="L116" s="139"/>
      <c r="M116" s="139"/>
      <c r="N116" s="139"/>
      <c r="O116" s="139"/>
      <c r="P116" s="139"/>
      <c r="Q116" s="139"/>
      <c r="R116" s="139"/>
      <c r="S116" s="101"/>
      <c r="T116" s="101"/>
      <c r="U116" s="101"/>
      <c r="V116" s="105"/>
      <c r="X116" s="112" t="s">
        <v>692</v>
      </c>
      <c r="Y116" s="44" t="s">
        <v>692</v>
      </c>
      <c r="Z116" s="44" t="s">
        <v>692</v>
      </c>
      <c r="AA116" s="44" t="s">
        <v>692</v>
      </c>
      <c r="AB116" s="44" t="s">
        <v>692</v>
      </c>
      <c r="AC116" s="44" t="s">
        <v>692</v>
      </c>
      <c r="AD116" s="44" t="s">
        <v>692</v>
      </c>
      <c r="AE116" s="44" t="s">
        <v>692</v>
      </c>
      <c r="AF116" s="44" t="s">
        <v>692</v>
      </c>
      <c r="AG116" s="44" t="s">
        <v>692</v>
      </c>
      <c r="AH116" s="44" t="s">
        <v>692</v>
      </c>
      <c r="AI116" s="113" t="s">
        <v>692</v>
      </c>
      <c r="AK116" s="237"/>
      <c r="AL116" s="237"/>
    </row>
    <row r="117" spans="2:38" ht="18.75" x14ac:dyDescent="0.3">
      <c r="B117" s="205" t="s">
        <v>149</v>
      </c>
      <c r="C117" s="201" t="s">
        <v>147</v>
      </c>
      <c r="D117" s="201">
        <v>39041</v>
      </c>
      <c r="E117" s="183" t="s">
        <v>145</v>
      </c>
      <c r="F117" s="139" t="s">
        <v>38</v>
      </c>
      <c r="G117" s="139" t="s">
        <v>150</v>
      </c>
      <c r="H117" s="139" t="s">
        <v>1223</v>
      </c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01"/>
      <c r="T117" s="101"/>
      <c r="U117" s="101"/>
      <c r="V117" s="105"/>
      <c r="X117" s="112" t="s">
        <v>692</v>
      </c>
      <c r="Y117" s="44" t="s">
        <v>692</v>
      </c>
      <c r="Z117" s="44" t="s">
        <v>692</v>
      </c>
      <c r="AA117" s="44" t="s">
        <v>692</v>
      </c>
      <c r="AB117" s="44" t="s">
        <v>692</v>
      </c>
      <c r="AC117" s="44" t="s">
        <v>692</v>
      </c>
      <c r="AD117" s="44" t="s">
        <v>692</v>
      </c>
      <c r="AE117" s="44" t="s">
        <v>692</v>
      </c>
      <c r="AF117" s="44" t="s">
        <v>692</v>
      </c>
      <c r="AG117" s="44" t="s">
        <v>692</v>
      </c>
      <c r="AH117" s="44" t="s">
        <v>692</v>
      </c>
      <c r="AI117" s="113" t="s">
        <v>692</v>
      </c>
      <c r="AK117" s="237"/>
      <c r="AL117" s="237"/>
    </row>
    <row r="118" spans="2:38" ht="18.75" x14ac:dyDescent="0.25">
      <c r="B118" s="122" t="s">
        <v>1336</v>
      </c>
      <c r="C118" s="3" t="s">
        <v>147</v>
      </c>
      <c r="D118" s="3">
        <v>39644</v>
      </c>
      <c r="E118" s="4" t="s">
        <v>1337</v>
      </c>
      <c r="F118" s="139" t="s">
        <v>1298</v>
      </c>
      <c r="G118" s="139" t="s">
        <v>1338</v>
      </c>
      <c r="H118" s="139" t="s">
        <v>1339</v>
      </c>
      <c r="I118" s="139">
        <v>548574</v>
      </c>
      <c r="J118" s="139"/>
      <c r="K118" s="139"/>
      <c r="L118" s="139"/>
      <c r="M118" s="139"/>
      <c r="N118" s="139"/>
      <c r="O118" s="139"/>
      <c r="P118" s="139"/>
      <c r="Q118" s="139"/>
      <c r="R118" s="139"/>
      <c r="S118" s="101"/>
      <c r="T118" s="101"/>
      <c r="U118" s="101"/>
      <c r="V118" s="105"/>
      <c r="X118" s="112" t="s">
        <v>692</v>
      </c>
      <c r="Y118" s="44" t="s">
        <v>692</v>
      </c>
      <c r="Z118" s="44" t="s">
        <v>692</v>
      </c>
      <c r="AA118" s="44" t="s">
        <v>692</v>
      </c>
      <c r="AB118" s="44" t="s">
        <v>692</v>
      </c>
      <c r="AC118" s="44" t="s">
        <v>692</v>
      </c>
      <c r="AD118" s="44" t="s">
        <v>692</v>
      </c>
      <c r="AE118" s="44" t="s">
        <v>692</v>
      </c>
      <c r="AF118" s="44" t="s">
        <v>692</v>
      </c>
      <c r="AG118" s="44" t="s">
        <v>692</v>
      </c>
      <c r="AH118" s="44" t="s">
        <v>692</v>
      </c>
      <c r="AI118" s="113" t="s">
        <v>692</v>
      </c>
      <c r="AK118" s="237"/>
      <c r="AL118" s="237"/>
    </row>
    <row r="119" spans="2:38" ht="18.75" x14ac:dyDescent="0.25">
      <c r="B119" s="122" t="s">
        <v>167</v>
      </c>
      <c r="C119" s="3" t="s">
        <v>151</v>
      </c>
      <c r="D119" s="3">
        <v>39104</v>
      </c>
      <c r="E119" s="4" t="s">
        <v>168</v>
      </c>
      <c r="F119" s="139" t="s">
        <v>101</v>
      </c>
      <c r="G119" s="139"/>
      <c r="H119" s="139" t="s">
        <v>716</v>
      </c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01"/>
      <c r="T119" s="101"/>
      <c r="U119" s="101"/>
      <c r="V119" s="105"/>
      <c r="X119" s="112" t="s">
        <v>692</v>
      </c>
      <c r="Y119" s="44" t="s">
        <v>692</v>
      </c>
      <c r="Z119" s="44" t="s">
        <v>692</v>
      </c>
      <c r="AA119" s="44" t="s">
        <v>692</v>
      </c>
      <c r="AB119" s="44" t="s">
        <v>692</v>
      </c>
      <c r="AC119" s="44" t="s">
        <v>692</v>
      </c>
      <c r="AD119" s="44" t="s">
        <v>692</v>
      </c>
      <c r="AE119" s="44" t="s">
        <v>692</v>
      </c>
      <c r="AF119" s="44" t="s">
        <v>692</v>
      </c>
      <c r="AG119" s="44" t="s">
        <v>692</v>
      </c>
      <c r="AH119" s="44" t="s">
        <v>692</v>
      </c>
      <c r="AI119" s="113" t="s">
        <v>692</v>
      </c>
      <c r="AK119" s="237"/>
      <c r="AL119" s="237"/>
    </row>
    <row r="120" spans="2:38" ht="18.75" x14ac:dyDescent="0.25">
      <c r="B120" s="122" t="s">
        <v>165</v>
      </c>
      <c r="C120" s="14" t="s">
        <v>151</v>
      </c>
      <c r="D120" s="14">
        <v>39725</v>
      </c>
      <c r="E120" s="13" t="s">
        <v>166</v>
      </c>
      <c r="F120" s="139" t="s">
        <v>964</v>
      </c>
      <c r="G120" s="139" t="s">
        <v>1683</v>
      </c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01"/>
      <c r="T120" s="101"/>
      <c r="U120" s="101"/>
      <c r="V120" s="105"/>
      <c r="X120" s="112" t="s">
        <v>692</v>
      </c>
      <c r="Y120" s="44" t="s">
        <v>692</v>
      </c>
      <c r="Z120" s="44" t="s">
        <v>692</v>
      </c>
      <c r="AA120" s="44" t="s">
        <v>692</v>
      </c>
      <c r="AB120" s="44" t="s">
        <v>692</v>
      </c>
      <c r="AC120" s="44" t="s">
        <v>692</v>
      </c>
      <c r="AD120" s="44" t="s">
        <v>692</v>
      </c>
      <c r="AE120" s="44" t="s">
        <v>692</v>
      </c>
      <c r="AF120" s="44" t="s">
        <v>692</v>
      </c>
      <c r="AG120" s="44" t="s">
        <v>692</v>
      </c>
      <c r="AH120" s="44" t="s">
        <v>692</v>
      </c>
      <c r="AI120" s="113" t="s">
        <v>692</v>
      </c>
      <c r="AK120" s="237"/>
      <c r="AL120" s="237"/>
    </row>
    <row r="121" spans="2:38" ht="18.75" x14ac:dyDescent="0.25">
      <c r="B121" s="127" t="s">
        <v>165</v>
      </c>
      <c r="C121" s="3" t="s">
        <v>151</v>
      </c>
      <c r="D121" s="3">
        <v>39725</v>
      </c>
      <c r="E121" s="4" t="s">
        <v>1680</v>
      </c>
      <c r="F121" s="139" t="s">
        <v>964</v>
      </c>
      <c r="G121" s="139" t="s">
        <v>1684</v>
      </c>
      <c r="H121" s="139"/>
      <c r="I121" s="139">
        <v>820369</v>
      </c>
      <c r="J121" s="139"/>
      <c r="K121" s="139"/>
      <c r="L121" s="139"/>
      <c r="M121" s="139"/>
      <c r="N121" s="139"/>
      <c r="O121" s="139"/>
      <c r="P121" s="139"/>
      <c r="Q121" s="139"/>
      <c r="R121" s="139"/>
      <c r="S121" s="101"/>
      <c r="T121" s="101"/>
      <c r="U121" s="101"/>
      <c r="V121" s="105"/>
      <c r="X121" s="112" t="s">
        <v>692</v>
      </c>
      <c r="Y121" s="44" t="s">
        <v>692</v>
      </c>
      <c r="Z121" s="44" t="s">
        <v>692</v>
      </c>
      <c r="AA121" s="44" t="s">
        <v>692</v>
      </c>
      <c r="AB121" s="44" t="s">
        <v>692</v>
      </c>
      <c r="AC121" s="44" t="s">
        <v>692</v>
      </c>
      <c r="AD121" s="44" t="s">
        <v>692</v>
      </c>
      <c r="AE121" s="44" t="s">
        <v>692</v>
      </c>
      <c r="AF121" s="44" t="s">
        <v>692</v>
      </c>
      <c r="AG121" s="44" t="s">
        <v>692</v>
      </c>
      <c r="AH121" s="44" t="s">
        <v>692</v>
      </c>
      <c r="AI121" s="113" t="s">
        <v>692</v>
      </c>
      <c r="AK121" s="237"/>
      <c r="AL121" s="237"/>
    </row>
    <row r="122" spans="2:38" ht="18.75" x14ac:dyDescent="0.25">
      <c r="B122" s="122" t="s">
        <v>170</v>
      </c>
      <c r="C122" s="14" t="s">
        <v>151</v>
      </c>
      <c r="D122" s="14">
        <v>39007</v>
      </c>
      <c r="E122" s="13" t="s">
        <v>171</v>
      </c>
      <c r="F122" s="139" t="s">
        <v>101</v>
      </c>
      <c r="G122" s="139"/>
      <c r="H122" s="139" t="s">
        <v>715</v>
      </c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01"/>
      <c r="T122" s="101"/>
      <c r="U122" s="101"/>
      <c r="V122" s="105"/>
      <c r="X122" s="112" t="s">
        <v>692</v>
      </c>
      <c r="Y122" s="44" t="s">
        <v>692</v>
      </c>
      <c r="Z122" s="44" t="s">
        <v>692</v>
      </c>
      <c r="AA122" s="44" t="s">
        <v>692</v>
      </c>
      <c r="AB122" s="44" t="s">
        <v>692</v>
      </c>
      <c r="AC122" s="44" t="s">
        <v>692</v>
      </c>
      <c r="AD122" s="44" t="s">
        <v>692</v>
      </c>
      <c r="AE122" s="44" t="s">
        <v>692</v>
      </c>
      <c r="AF122" s="44" t="s">
        <v>692</v>
      </c>
      <c r="AG122" s="44" t="s">
        <v>692</v>
      </c>
      <c r="AH122" s="44" t="s">
        <v>692</v>
      </c>
      <c r="AI122" s="113" t="s">
        <v>692</v>
      </c>
      <c r="AK122" s="237"/>
      <c r="AL122" s="237"/>
    </row>
    <row r="123" spans="2:38" ht="18.75" x14ac:dyDescent="0.25">
      <c r="B123" s="122" t="s">
        <v>1089</v>
      </c>
      <c r="C123" s="14" t="s">
        <v>151</v>
      </c>
      <c r="D123" s="14">
        <v>39194</v>
      </c>
      <c r="E123" s="13" t="s">
        <v>803</v>
      </c>
      <c r="F123" s="139" t="s">
        <v>913</v>
      </c>
      <c r="G123" s="139" t="s">
        <v>814</v>
      </c>
      <c r="H123" s="139"/>
      <c r="I123" s="139">
        <v>511</v>
      </c>
      <c r="J123" s="139"/>
      <c r="K123" s="139"/>
      <c r="L123" s="139"/>
      <c r="M123" s="139"/>
      <c r="N123" s="139"/>
      <c r="O123" s="139"/>
      <c r="P123" s="139"/>
      <c r="Q123" s="139"/>
      <c r="R123" s="139"/>
      <c r="S123" s="101"/>
      <c r="T123" s="101"/>
      <c r="U123" s="101"/>
      <c r="V123" s="105"/>
      <c r="X123" s="112" t="s">
        <v>692</v>
      </c>
      <c r="Y123" s="44" t="s">
        <v>692</v>
      </c>
      <c r="Z123" s="44" t="s">
        <v>692</v>
      </c>
      <c r="AA123" s="44" t="s">
        <v>692</v>
      </c>
      <c r="AB123" s="44" t="s">
        <v>692</v>
      </c>
      <c r="AC123" s="44" t="s">
        <v>692</v>
      </c>
      <c r="AD123" s="44" t="s">
        <v>692</v>
      </c>
      <c r="AE123" s="44" t="s">
        <v>692</v>
      </c>
      <c r="AF123" s="44" t="s">
        <v>692</v>
      </c>
      <c r="AG123" s="44" t="s">
        <v>692</v>
      </c>
      <c r="AH123" s="44" t="s">
        <v>692</v>
      </c>
      <c r="AI123" s="113" t="s">
        <v>692</v>
      </c>
      <c r="AK123" s="237"/>
      <c r="AL123" s="237"/>
    </row>
    <row r="124" spans="2:38" ht="18.75" x14ac:dyDescent="0.25">
      <c r="B124" s="122" t="s">
        <v>1090</v>
      </c>
      <c r="C124" s="3" t="s">
        <v>151</v>
      </c>
      <c r="D124" s="3">
        <v>39757</v>
      </c>
      <c r="E124" s="4" t="s">
        <v>1437</v>
      </c>
      <c r="F124" s="139" t="s">
        <v>907</v>
      </c>
      <c r="G124" s="139" t="s">
        <v>1436</v>
      </c>
      <c r="H124" s="139"/>
      <c r="I124" s="139">
        <v>278262</v>
      </c>
      <c r="J124" s="139"/>
      <c r="K124" s="139"/>
      <c r="L124" s="139"/>
      <c r="M124" s="139"/>
      <c r="N124" s="139"/>
      <c r="O124" s="139"/>
      <c r="P124" s="139"/>
      <c r="Q124" s="139"/>
      <c r="R124" s="139"/>
      <c r="S124" s="101"/>
      <c r="T124" s="101"/>
      <c r="U124" s="101"/>
      <c r="V124" s="105"/>
      <c r="X124" s="112" t="s">
        <v>692</v>
      </c>
      <c r="Y124" s="44" t="s">
        <v>692</v>
      </c>
      <c r="Z124" s="44" t="s">
        <v>692</v>
      </c>
      <c r="AA124" s="44" t="s">
        <v>692</v>
      </c>
      <c r="AB124" s="44" t="s">
        <v>692</v>
      </c>
      <c r="AC124" s="44" t="s">
        <v>692</v>
      </c>
      <c r="AD124" s="44" t="s">
        <v>692</v>
      </c>
      <c r="AE124" s="44" t="s">
        <v>692</v>
      </c>
      <c r="AF124" s="44" t="s">
        <v>692</v>
      </c>
      <c r="AG124" s="44" t="s">
        <v>692</v>
      </c>
      <c r="AH124" s="44" t="s">
        <v>692</v>
      </c>
      <c r="AI124" s="113" t="s">
        <v>692</v>
      </c>
      <c r="AK124" s="237"/>
      <c r="AL124" s="237"/>
    </row>
    <row r="125" spans="2:38" ht="18.75" x14ac:dyDescent="0.25">
      <c r="B125" s="122" t="s">
        <v>172</v>
      </c>
      <c r="C125" s="3" t="s">
        <v>151</v>
      </c>
      <c r="D125" s="3">
        <v>39605</v>
      </c>
      <c r="E125" s="4" t="s">
        <v>173</v>
      </c>
      <c r="F125" s="139" t="s">
        <v>909</v>
      </c>
      <c r="G125" s="139"/>
      <c r="H125" s="139" t="s">
        <v>1012</v>
      </c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01"/>
      <c r="T125" s="101"/>
      <c r="U125" s="101"/>
      <c r="V125" s="105"/>
      <c r="X125" s="112" t="s">
        <v>692</v>
      </c>
      <c r="Y125" s="44" t="s">
        <v>692</v>
      </c>
      <c r="Z125" s="44" t="s">
        <v>692</v>
      </c>
      <c r="AA125" s="44" t="s">
        <v>692</v>
      </c>
      <c r="AB125" s="44" t="s">
        <v>692</v>
      </c>
      <c r="AC125" s="44" t="s">
        <v>692</v>
      </c>
      <c r="AD125" s="44" t="s">
        <v>692</v>
      </c>
      <c r="AE125" s="44" t="s">
        <v>692</v>
      </c>
      <c r="AF125" s="44" t="s">
        <v>692</v>
      </c>
      <c r="AG125" s="44" t="s">
        <v>692</v>
      </c>
      <c r="AH125" s="44" t="s">
        <v>692</v>
      </c>
      <c r="AI125" s="113" t="s">
        <v>692</v>
      </c>
      <c r="AK125" s="237"/>
      <c r="AL125" s="237"/>
    </row>
    <row r="126" spans="2:38" ht="18.75" x14ac:dyDescent="0.25">
      <c r="B126" s="122" t="s">
        <v>169</v>
      </c>
      <c r="C126" s="14" t="s">
        <v>151</v>
      </c>
      <c r="D126" s="14">
        <v>39108</v>
      </c>
      <c r="E126" s="13" t="s">
        <v>131</v>
      </c>
      <c r="F126" s="139" t="s">
        <v>101</v>
      </c>
      <c r="G126" s="139"/>
      <c r="H126" s="139" t="s">
        <v>715</v>
      </c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01"/>
      <c r="T126" s="101"/>
      <c r="U126" s="101"/>
      <c r="V126" s="105"/>
      <c r="X126" s="112" t="s">
        <v>692</v>
      </c>
      <c r="Y126" s="44" t="s">
        <v>692</v>
      </c>
      <c r="Z126" s="44" t="s">
        <v>692</v>
      </c>
      <c r="AA126" s="44" t="s">
        <v>692</v>
      </c>
      <c r="AB126" s="44" t="s">
        <v>692</v>
      </c>
      <c r="AC126" s="44" t="s">
        <v>692</v>
      </c>
      <c r="AD126" s="44" t="s">
        <v>692</v>
      </c>
      <c r="AE126" s="44" t="s">
        <v>692</v>
      </c>
      <c r="AF126" s="44" t="s">
        <v>692</v>
      </c>
      <c r="AG126" s="44" t="s">
        <v>692</v>
      </c>
      <c r="AH126" s="44" t="s">
        <v>692</v>
      </c>
      <c r="AI126" s="113" t="s">
        <v>692</v>
      </c>
      <c r="AK126" s="237"/>
      <c r="AL126" s="237"/>
    </row>
    <row r="127" spans="2:38" ht="18.75" x14ac:dyDescent="0.25">
      <c r="B127" s="122" t="s">
        <v>163</v>
      </c>
      <c r="C127" s="14" t="s">
        <v>151</v>
      </c>
      <c r="D127" s="14">
        <v>39657</v>
      </c>
      <c r="E127" s="13" t="s">
        <v>164</v>
      </c>
      <c r="F127" s="139" t="s">
        <v>1428</v>
      </c>
      <c r="G127" s="139"/>
      <c r="H127" s="139"/>
      <c r="I127" s="139">
        <v>73587</v>
      </c>
      <c r="J127" s="139"/>
      <c r="K127" s="139"/>
      <c r="L127" s="139"/>
      <c r="M127" s="139"/>
      <c r="N127" s="139"/>
      <c r="O127" s="139"/>
      <c r="P127" s="139"/>
      <c r="Q127" s="139"/>
      <c r="R127" s="139"/>
      <c r="S127" s="101"/>
      <c r="T127" s="101"/>
      <c r="U127" s="101"/>
      <c r="V127" s="105"/>
      <c r="X127" s="112" t="s">
        <v>692</v>
      </c>
      <c r="Y127" s="44" t="s">
        <v>692</v>
      </c>
      <c r="Z127" s="44" t="s">
        <v>692</v>
      </c>
      <c r="AA127" s="44" t="s">
        <v>692</v>
      </c>
      <c r="AB127" s="44" t="s">
        <v>692</v>
      </c>
      <c r="AC127" s="44" t="s">
        <v>692</v>
      </c>
      <c r="AD127" s="44" t="s">
        <v>692</v>
      </c>
      <c r="AE127" s="44" t="s">
        <v>692</v>
      </c>
      <c r="AF127" s="44" t="s">
        <v>692</v>
      </c>
      <c r="AG127" s="44" t="s">
        <v>692</v>
      </c>
      <c r="AH127" s="44" t="s">
        <v>692</v>
      </c>
      <c r="AI127" s="113" t="s">
        <v>692</v>
      </c>
      <c r="AK127" s="237"/>
      <c r="AL127" s="237"/>
    </row>
    <row r="128" spans="2:38" ht="18.75" x14ac:dyDescent="0.25">
      <c r="B128" s="122" t="s">
        <v>414</v>
      </c>
      <c r="C128" s="3" t="s">
        <v>151</v>
      </c>
      <c r="D128" s="3">
        <v>39259</v>
      </c>
      <c r="E128" s="4" t="s">
        <v>1374</v>
      </c>
      <c r="F128" s="139" t="s">
        <v>933</v>
      </c>
      <c r="G128" s="139"/>
      <c r="H128" s="139" t="s">
        <v>431</v>
      </c>
      <c r="I128" s="139">
        <v>878320</v>
      </c>
      <c r="J128" s="139"/>
      <c r="K128" s="139"/>
      <c r="L128" s="139"/>
      <c r="M128" s="139"/>
      <c r="N128" s="139"/>
      <c r="O128" s="139"/>
      <c r="P128" s="139"/>
      <c r="Q128" s="139"/>
      <c r="R128" s="139"/>
      <c r="S128" s="101"/>
      <c r="T128" s="101"/>
      <c r="U128" s="101"/>
      <c r="V128" s="105"/>
      <c r="X128" s="112" t="s">
        <v>692</v>
      </c>
      <c r="Y128" s="44" t="s">
        <v>692</v>
      </c>
      <c r="Z128" s="44" t="s">
        <v>692</v>
      </c>
      <c r="AA128" s="44" t="s">
        <v>692</v>
      </c>
      <c r="AB128" s="44" t="s">
        <v>692</v>
      </c>
      <c r="AC128" s="44" t="s">
        <v>692</v>
      </c>
      <c r="AD128" s="44" t="s">
        <v>692</v>
      </c>
      <c r="AE128" s="44" t="s">
        <v>692</v>
      </c>
      <c r="AF128" s="44" t="s">
        <v>692</v>
      </c>
      <c r="AG128" s="44" t="s">
        <v>692</v>
      </c>
      <c r="AH128" s="44" t="s">
        <v>692</v>
      </c>
      <c r="AI128" s="113" t="s">
        <v>692</v>
      </c>
      <c r="AK128" s="237"/>
      <c r="AL128" s="237"/>
    </row>
    <row r="129" spans="2:38" ht="18.75" x14ac:dyDescent="0.25">
      <c r="B129" s="122" t="s">
        <v>152</v>
      </c>
      <c r="C129" s="14" t="s">
        <v>151</v>
      </c>
      <c r="D129" s="14">
        <v>39259</v>
      </c>
      <c r="E129" s="13" t="s">
        <v>23</v>
      </c>
      <c r="F129" s="139" t="s">
        <v>101</v>
      </c>
      <c r="G129" s="139" t="s">
        <v>453</v>
      </c>
      <c r="H129" s="139" t="s">
        <v>454</v>
      </c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01"/>
      <c r="T129" s="101"/>
      <c r="U129" s="101"/>
      <c r="V129" s="105"/>
      <c r="X129" s="112" t="s">
        <v>692</v>
      </c>
      <c r="Y129" s="44" t="s">
        <v>692</v>
      </c>
      <c r="Z129" s="44" t="s">
        <v>692</v>
      </c>
      <c r="AA129" s="44" t="s">
        <v>692</v>
      </c>
      <c r="AB129" s="44" t="s">
        <v>692</v>
      </c>
      <c r="AC129" s="44" t="s">
        <v>692</v>
      </c>
      <c r="AD129" s="44" t="s">
        <v>692</v>
      </c>
      <c r="AE129" s="44" t="s">
        <v>692</v>
      </c>
      <c r="AF129" s="44" t="s">
        <v>692</v>
      </c>
      <c r="AG129" s="44" t="s">
        <v>692</v>
      </c>
      <c r="AH129" s="44" t="s">
        <v>692</v>
      </c>
      <c r="AI129" s="113" t="s">
        <v>692</v>
      </c>
      <c r="AK129" s="237"/>
      <c r="AL129" s="237"/>
    </row>
    <row r="130" spans="2:38" ht="18.75" x14ac:dyDescent="0.25">
      <c r="B130" s="122" t="s">
        <v>1463</v>
      </c>
      <c r="C130" s="14" t="s">
        <v>151</v>
      </c>
      <c r="D130" s="14">
        <v>39583</v>
      </c>
      <c r="E130" s="13" t="s">
        <v>1462</v>
      </c>
      <c r="F130" s="139" t="s">
        <v>1428</v>
      </c>
      <c r="G130" s="139" t="s">
        <v>1464</v>
      </c>
      <c r="H130" s="139" t="s">
        <v>1465</v>
      </c>
      <c r="I130" s="139">
        <v>912</v>
      </c>
      <c r="J130" s="139"/>
      <c r="K130" s="139"/>
      <c r="L130" s="139"/>
      <c r="M130" s="139"/>
      <c r="N130" s="139"/>
      <c r="O130" s="139"/>
      <c r="P130" s="139"/>
      <c r="Q130" s="139"/>
      <c r="R130" s="139"/>
      <c r="S130" s="101"/>
      <c r="T130" s="101"/>
      <c r="U130" s="101"/>
      <c r="V130" s="105"/>
      <c r="X130" s="112" t="s">
        <v>692</v>
      </c>
      <c r="Y130" s="44" t="s">
        <v>692</v>
      </c>
      <c r="Z130" s="44" t="s">
        <v>692</v>
      </c>
      <c r="AA130" s="44" t="s">
        <v>692</v>
      </c>
      <c r="AB130" s="44" t="s">
        <v>692</v>
      </c>
      <c r="AC130" s="44" t="s">
        <v>692</v>
      </c>
      <c r="AD130" s="44" t="s">
        <v>692</v>
      </c>
      <c r="AE130" s="44" t="s">
        <v>692</v>
      </c>
      <c r="AF130" s="44" t="s">
        <v>692</v>
      </c>
      <c r="AG130" s="44" t="s">
        <v>692</v>
      </c>
      <c r="AH130" s="44" t="s">
        <v>692</v>
      </c>
      <c r="AI130" s="113" t="s">
        <v>692</v>
      </c>
      <c r="AK130" s="237"/>
      <c r="AL130" s="237"/>
    </row>
    <row r="131" spans="2:38" ht="18.75" x14ac:dyDescent="0.25">
      <c r="B131" s="122" t="s">
        <v>1106</v>
      </c>
      <c r="C131" s="3" t="s">
        <v>174</v>
      </c>
      <c r="D131" s="3">
        <v>39246</v>
      </c>
      <c r="E131" s="4" t="s">
        <v>177</v>
      </c>
      <c r="F131" s="139" t="s">
        <v>101</v>
      </c>
      <c r="G131" s="139"/>
      <c r="H131" s="139" t="s">
        <v>1467</v>
      </c>
      <c r="I131" s="139">
        <v>316063</v>
      </c>
      <c r="J131" s="139"/>
      <c r="K131" s="139"/>
      <c r="L131" s="139"/>
      <c r="M131" s="139"/>
      <c r="N131" s="139"/>
      <c r="O131" s="139"/>
      <c r="P131" s="139"/>
      <c r="Q131" s="139"/>
      <c r="R131" s="139"/>
      <c r="S131" s="101"/>
      <c r="T131" s="101"/>
      <c r="U131" s="101"/>
      <c r="V131" s="105"/>
      <c r="X131" s="112" t="s">
        <v>692</v>
      </c>
      <c r="Y131" s="44" t="s">
        <v>692</v>
      </c>
      <c r="Z131" s="44" t="s">
        <v>692</v>
      </c>
      <c r="AA131" s="44" t="s">
        <v>692</v>
      </c>
      <c r="AB131" s="44" t="s">
        <v>692</v>
      </c>
      <c r="AC131" s="44" t="s">
        <v>692</v>
      </c>
      <c r="AD131" s="44" t="s">
        <v>692</v>
      </c>
      <c r="AE131" s="44" t="s">
        <v>692</v>
      </c>
      <c r="AF131" s="44" t="s">
        <v>692</v>
      </c>
      <c r="AG131" s="44" t="s">
        <v>692</v>
      </c>
      <c r="AH131" s="44" t="s">
        <v>692</v>
      </c>
      <c r="AI131" s="113" t="s">
        <v>692</v>
      </c>
      <c r="AK131" s="237"/>
      <c r="AL131" s="237"/>
    </row>
    <row r="132" spans="2:38" ht="18.75" x14ac:dyDescent="0.3">
      <c r="B132" s="128" t="s">
        <v>176</v>
      </c>
      <c r="C132" s="94" t="s">
        <v>174</v>
      </c>
      <c r="D132" s="94">
        <v>39246</v>
      </c>
      <c r="E132" s="95" t="s">
        <v>177</v>
      </c>
      <c r="F132" s="139" t="s">
        <v>101</v>
      </c>
      <c r="G132" s="139" t="s">
        <v>693</v>
      </c>
      <c r="H132" s="139" t="s">
        <v>1466</v>
      </c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01"/>
      <c r="T132" s="101"/>
      <c r="U132" s="101"/>
      <c r="V132" s="105"/>
      <c r="X132" s="112" t="s">
        <v>692</v>
      </c>
      <c r="Y132" s="44" t="s">
        <v>692</v>
      </c>
      <c r="Z132" s="44" t="s">
        <v>692</v>
      </c>
      <c r="AA132" s="44" t="s">
        <v>692</v>
      </c>
      <c r="AB132" s="44" t="s">
        <v>692</v>
      </c>
      <c r="AC132" s="44" t="s">
        <v>692</v>
      </c>
      <c r="AD132" s="44" t="s">
        <v>692</v>
      </c>
      <c r="AE132" s="44" t="s">
        <v>692</v>
      </c>
      <c r="AF132" s="44" t="s">
        <v>692</v>
      </c>
      <c r="AG132" s="44" t="s">
        <v>692</v>
      </c>
      <c r="AH132" s="44" t="s">
        <v>692</v>
      </c>
      <c r="AI132" s="113" t="s">
        <v>692</v>
      </c>
      <c r="AK132" s="237"/>
      <c r="AL132" s="237"/>
    </row>
    <row r="133" spans="2:38" ht="18.75" x14ac:dyDescent="0.25">
      <c r="B133" s="122" t="s">
        <v>175</v>
      </c>
      <c r="C133" s="3" t="s">
        <v>174</v>
      </c>
      <c r="D133" s="3">
        <v>39497</v>
      </c>
      <c r="E133" s="4" t="s">
        <v>1677</v>
      </c>
      <c r="F133" s="139" t="s">
        <v>101</v>
      </c>
      <c r="G133" s="139" t="s">
        <v>693</v>
      </c>
      <c r="H133" s="139" t="s">
        <v>1685</v>
      </c>
      <c r="I133" s="139">
        <v>5707185</v>
      </c>
      <c r="J133" s="139"/>
      <c r="K133" s="139"/>
      <c r="L133" s="139"/>
      <c r="M133" s="139"/>
      <c r="N133" s="139"/>
      <c r="O133" s="139"/>
      <c r="P133" s="139"/>
      <c r="Q133" s="139"/>
      <c r="R133" s="139"/>
      <c r="S133" s="101"/>
      <c r="T133" s="101"/>
      <c r="U133" s="101"/>
      <c r="V133" s="105"/>
      <c r="X133" s="112" t="s">
        <v>692</v>
      </c>
      <c r="Y133" s="44" t="s">
        <v>692</v>
      </c>
      <c r="Z133" s="44" t="s">
        <v>692</v>
      </c>
      <c r="AA133" s="44" t="s">
        <v>692</v>
      </c>
      <c r="AB133" s="44" t="s">
        <v>692</v>
      </c>
      <c r="AC133" s="44" t="s">
        <v>692</v>
      </c>
      <c r="AD133" s="44" t="s">
        <v>692</v>
      </c>
      <c r="AE133" s="44" t="s">
        <v>692</v>
      </c>
      <c r="AF133" s="44" t="s">
        <v>692</v>
      </c>
      <c r="AG133" s="44" t="s">
        <v>692</v>
      </c>
      <c r="AH133" s="44" t="s">
        <v>692</v>
      </c>
      <c r="AI133" s="113" t="s">
        <v>692</v>
      </c>
      <c r="AK133" s="237"/>
      <c r="AL133" s="237"/>
    </row>
    <row r="134" spans="2:38" ht="18.75" x14ac:dyDescent="0.3">
      <c r="B134" s="126" t="s">
        <v>181</v>
      </c>
      <c r="C134" s="9" t="s">
        <v>180</v>
      </c>
      <c r="D134" s="9">
        <v>39787</v>
      </c>
      <c r="E134" s="10" t="s">
        <v>182</v>
      </c>
      <c r="F134" s="139" t="s">
        <v>183</v>
      </c>
      <c r="G134" s="139" t="s">
        <v>693</v>
      </c>
      <c r="H134" s="139"/>
      <c r="I134" s="139">
        <v>195481</v>
      </c>
      <c r="J134" s="139"/>
      <c r="K134" s="139"/>
      <c r="L134" s="139"/>
      <c r="M134" s="139"/>
      <c r="N134" s="139"/>
      <c r="O134" s="139"/>
      <c r="P134" s="139"/>
      <c r="Q134" s="139"/>
      <c r="R134" s="139"/>
      <c r="S134" s="101"/>
      <c r="T134" s="101"/>
      <c r="U134" s="101"/>
      <c r="V134" s="105"/>
      <c r="X134" s="112" t="s">
        <v>692</v>
      </c>
      <c r="Y134" s="44" t="s">
        <v>692</v>
      </c>
      <c r="Z134" s="44" t="s">
        <v>692</v>
      </c>
      <c r="AA134" s="44" t="s">
        <v>692</v>
      </c>
      <c r="AB134" s="44" t="s">
        <v>692</v>
      </c>
      <c r="AC134" s="44" t="s">
        <v>692</v>
      </c>
      <c r="AD134" s="44" t="s">
        <v>692</v>
      </c>
      <c r="AE134" s="44" t="s">
        <v>692</v>
      </c>
      <c r="AF134" s="44" t="s">
        <v>692</v>
      </c>
      <c r="AG134" s="44" t="s">
        <v>692</v>
      </c>
      <c r="AH134" s="44" t="s">
        <v>692</v>
      </c>
      <c r="AI134" s="113" t="s">
        <v>692</v>
      </c>
      <c r="AK134" s="237"/>
      <c r="AL134" s="237"/>
    </row>
    <row r="135" spans="2:38" ht="18.75" x14ac:dyDescent="0.25">
      <c r="B135" s="122" t="s">
        <v>185</v>
      </c>
      <c r="C135" s="3" t="s">
        <v>180</v>
      </c>
      <c r="D135" s="3">
        <v>39051</v>
      </c>
      <c r="E135" s="4" t="s">
        <v>186</v>
      </c>
      <c r="F135" s="139" t="s">
        <v>101</v>
      </c>
      <c r="G135" s="139" t="s">
        <v>1618</v>
      </c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01"/>
      <c r="T135" s="101"/>
      <c r="U135" s="101"/>
      <c r="V135" s="105"/>
      <c r="X135" s="112" t="s">
        <v>692</v>
      </c>
      <c r="Y135" s="44" t="s">
        <v>692</v>
      </c>
      <c r="Z135" s="44" t="s">
        <v>692</v>
      </c>
      <c r="AA135" s="44" t="s">
        <v>692</v>
      </c>
      <c r="AB135" s="44" t="s">
        <v>692</v>
      </c>
      <c r="AC135" s="44" t="s">
        <v>692</v>
      </c>
      <c r="AD135" s="44" t="s">
        <v>692</v>
      </c>
      <c r="AE135" s="44" t="s">
        <v>692</v>
      </c>
      <c r="AF135" s="44" t="s">
        <v>692</v>
      </c>
      <c r="AG135" s="44" t="s">
        <v>692</v>
      </c>
      <c r="AH135" s="44" t="s">
        <v>692</v>
      </c>
      <c r="AI135" s="113" t="s">
        <v>692</v>
      </c>
      <c r="AK135" s="237"/>
      <c r="AL135" s="237"/>
    </row>
    <row r="136" spans="2:38" ht="18.75" x14ac:dyDescent="0.25">
      <c r="B136" s="122" t="s">
        <v>185</v>
      </c>
      <c r="C136" s="3" t="s">
        <v>180</v>
      </c>
      <c r="D136" s="3">
        <v>39705</v>
      </c>
      <c r="E136" s="4" t="s">
        <v>1630</v>
      </c>
      <c r="F136" s="139" t="s">
        <v>101</v>
      </c>
      <c r="G136" s="139" t="s">
        <v>1631</v>
      </c>
      <c r="H136" s="139" t="s">
        <v>1690</v>
      </c>
      <c r="I136" s="139">
        <v>32310</v>
      </c>
      <c r="J136" s="139"/>
      <c r="K136" s="139"/>
      <c r="L136" s="139"/>
      <c r="M136" s="139"/>
      <c r="N136" s="139"/>
      <c r="O136" s="139"/>
      <c r="P136" s="139"/>
      <c r="Q136" s="139"/>
      <c r="R136" s="139"/>
      <c r="S136" s="101"/>
      <c r="T136" s="101"/>
      <c r="U136" s="101"/>
      <c r="V136" s="105"/>
      <c r="X136" s="112" t="s">
        <v>692</v>
      </c>
      <c r="Y136" s="44" t="s">
        <v>692</v>
      </c>
      <c r="Z136" s="44" t="s">
        <v>692</v>
      </c>
      <c r="AA136" s="44" t="s">
        <v>692</v>
      </c>
      <c r="AB136" s="44" t="s">
        <v>692</v>
      </c>
      <c r="AC136" s="44" t="s">
        <v>692</v>
      </c>
      <c r="AD136" s="44" t="s">
        <v>692</v>
      </c>
      <c r="AE136" s="44" t="s">
        <v>692</v>
      </c>
      <c r="AF136" s="44" t="s">
        <v>692</v>
      </c>
      <c r="AG136" s="44" t="s">
        <v>692</v>
      </c>
      <c r="AH136" s="44" t="s">
        <v>692</v>
      </c>
      <c r="AI136" s="113" t="s">
        <v>692</v>
      </c>
      <c r="AK136" s="237"/>
      <c r="AL136" s="237"/>
    </row>
    <row r="137" spans="2:38" ht="18.75" x14ac:dyDescent="0.25">
      <c r="B137" s="129" t="s">
        <v>188</v>
      </c>
      <c r="C137" s="94" t="s">
        <v>187</v>
      </c>
      <c r="D137" s="94">
        <v>39434</v>
      </c>
      <c r="E137" s="96" t="s">
        <v>189</v>
      </c>
      <c r="F137" s="139" t="s">
        <v>903</v>
      </c>
      <c r="G137" s="139" t="s">
        <v>433</v>
      </c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01"/>
      <c r="T137" s="101"/>
      <c r="U137" s="101"/>
      <c r="V137" s="105"/>
      <c r="X137" s="112" t="s">
        <v>692</v>
      </c>
      <c r="Y137" s="44" t="s">
        <v>692</v>
      </c>
      <c r="Z137" s="44" t="s">
        <v>692</v>
      </c>
      <c r="AA137" s="44" t="s">
        <v>692</v>
      </c>
      <c r="AB137" s="44" t="s">
        <v>692</v>
      </c>
      <c r="AC137" s="44" t="s">
        <v>692</v>
      </c>
      <c r="AD137" s="44" t="s">
        <v>692</v>
      </c>
      <c r="AE137" s="44" t="s">
        <v>692</v>
      </c>
      <c r="AF137" s="44" t="s">
        <v>692</v>
      </c>
      <c r="AG137" s="44" t="s">
        <v>692</v>
      </c>
      <c r="AH137" s="44" t="s">
        <v>692</v>
      </c>
      <c r="AI137" s="113" t="s">
        <v>692</v>
      </c>
      <c r="AK137" s="237"/>
      <c r="AL137" s="237"/>
    </row>
    <row r="138" spans="2:38" ht="18.75" x14ac:dyDescent="0.25">
      <c r="B138" s="129" t="s">
        <v>194</v>
      </c>
      <c r="C138" s="97" t="s">
        <v>187</v>
      </c>
      <c r="D138" s="97">
        <v>39042</v>
      </c>
      <c r="E138" s="98" t="s">
        <v>195</v>
      </c>
      <c r="F138" s="139" t="s">
        <v>911</v>
      </c>
      <c r="G138" s="139" t="s">
        <v>196</v>
      </c>
      <c r="H138" s="139" t="s">
        <v>1468</v>
      </c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01"/>
      <c r="T138" s="101"/>
      <c r="U138" s="101"/>
      <c r="V138" s="105"/>
      <c r="X138" s="112" t="s">
        <v>692</v>
      </c>
      <c r="Y138" s="44" t="s">
        <v>692</v>
      </c>
      <c r="Z138" s="44" t="s">
        <v>692</v>
      </c>
      <c r="AA138" s="44" t="s">
        <v>692</v>
      </c>
      <c r="AB138" s="44" t="s">
        <v>692</v>
      </c>
      <c r="AC138" s="44" t="s">
        <v>692</v>
      </c>
      <c r="AD138" s="44" t="s">
        <v>692</v>
      </c>
      <c r="AE138" s="44" t="s">
        <v>692</v>
      </c>
      <c r="AF138" s="44" t="s">
        <v>692</v>
      </c>
      <c r="AG138" s="44" t="s">
        <v>692</v>
      </c>
      <c r="AH138" s="44" t="s">
        <v>692</v>
      </c>
      <c r="AI138" s="113" t="s">
        <v>692</v>
      </c>
      <c r="AK138" s="237"/>
      <c r="AL138" s="237"/>
    </row>
    <row r="139" spans="2:38" ht="18.75" x14ac:dyDescent="0.25">
      <c r="B139" s="129" t="s">
        <v>190</v>
      </c>
      <c r="C139" s="94" t="s">
        <v>187</v>
      </c>
      <c r="D139" s="94">
        <v>39275</v>
      </c>
      <c r="E139" s="174" t="s">
        <v>191</v>
      </c>
      <c r="F139" s="139" t="s">
        <v>904</v>
      </c>
      <c r="G139" s="139"/>
      <c r="H139" s="139"/>
      <c r="I139" s="139">
        <v>36906</v>
      </c>
      <c r="J139" s="139"/>
      <c r="K139" s="139"/>
      <c r="L139" s="139"/>
      <c r="M139" s="139"/>
      <c r="N139" s="139"/>
      <c r="O139" s="139"/>
      <c r="P139" s="139"/>
      <c r="Q139" s="139"/>
      <c r="R139" s="139"/>
      <c r="S139" s="101"/>
      <c r="T139" s="101"/>
      <c r="U139" s="101"/>
      <c r="V139" s="105"/>
      <c r="X139" s="112" t="s">
        <v>692</v>
      </c>
      <c r="Y139" s="44" t="s">
        <v>692</v>
      </c>
      <c r="Z139" s="44" t="s">
        <v>692</v>
      </c>
      <c r="AA139" s="44" t="s">
        <v>692</v>
      </c>
      <c r="AB139" s="44" t="s">
        <v>692</v>
      </c>
      <c r="AC139" s="44" t="s">
        <v>692</v>
      </c>
      <c r="AD139" s="44" t="s">
        <v>692</v>
      </c>
      <c r="AE139" s="44" t="s">
        <v>692</v>
      </c>
      <c r="AF139" s="44" t="s">
        <v>692</v>
      </c>
      <c r="AG139" s="44" t="s">
        <v>692</v>
      </c>
      <c r="AH139" s="44" t="s">
        <v>692</v>
      </c>
      <c r="AI139" s="113" t="s">
        <v>692</v>
      </c>
      <c r="AK139" s="237"/>
      <c r="AL139" s="237"/>
    </row>
    <row r="140" spans="2:38" ht="18.75" x14ac:dyDescent="0.25">
      <c r="B140" s="129" t="s">
        <v>192</v>
      </c>
      <c r="C140" s="97" t="s">
        <v>187</v>
      </c>
      <c r="D140" s="97">
        <v>39135</v>
      </c>
      <c r="E140" s="98" t="s">
        <v>193</v>
      </c>
      <c r="F140" s="139" t="s">
        <v>912</v>
      </c>
      <c r="G140" s="139" t="s">
        <v>434</v>
      </c>
      <c r="H140" s="139"/>
      <c r="I140" s="139">
        <v>1073063</v>
      </c>
      <c r="J140" s="139"/>
      <c r="K140" s="139"/>
      <c r="L140" s="139"/>
      <c r="M140" s="139"/>
      <c r="N140" s="139"/>
      <c r="O140" s="139"/>
      <c r="P140" s="139"/>
      <c r="Q140" s="139"/>
      <c r="R140" s="139"/>
      <c r="S140" s="101"/>
      <c r="T140" s="101"/>
      <c r="U140" s="101"/>
      <c r="V140" s="105"/>
      <c r="X140" s="112" t="s">
        <v>692</v>
      </c>
      <c r="Y140" s="44" t="s">
        <v>692</v>
      </c>
      <c r="Z140" s="44" t="s">
        <v>692</v>
      </c>
      <c r="AA140" s="44" t="s">
        <v>692</v>
      </c>
      <c r="AB140" s="44" t="s">
        <v>692</v>
      </c>
      <c r="AC140" s="44" t="s">
        <v>692</v>
      </c>
      <c r="AD140" s="44" t="s">
        <v>692</v>
      </c>
      <c r="AE140" s="44" t="s">
        <v>692</v>
      </c>
      <c r="AF140" s="44" t="s">
        <v>692</v>
      </c>
      <c r="AG140" s="44" t="s">
        <v>692</v>
      </c>
      <c r="AH140" s="44" t="s">
        <v>692</v>
      </c>
      <c r="AI140" s="113" t="s">
        <v>692</v>
      </c>
      <c r="AK140" s="237"/>
      <c r="AL140" s="237"/>
    </row>
    <row r="141" spans="2:38" ht="18.75" x14ac:dyDescent="0.25">
      <c r="B141" s="123" t="s">
        <v>1144</v>
      </c>
      <c r="C141" s="15" t="s">
        <v>197</v>
      </c>
      <c r="D141" s="15">
        <v>39783</v>
      </c>
      <c r="E141" s="8" t="s">
        <v>212</v>
      </c>
      <c r="F141" s="139" t="s">
        <v>213</v>
      </c>
      <c r="G141" s="139"/>
      <c r="H141" s="139"/>
      <c r="I141" s="139">
        <v>177979</v>
      </c>
      <c r="J141" s="139"/>
      <c r="K141" s="139"/>
      <c r="L141" s="139"/>
      <c r="M141" s="139"/>
      <c r="N141" s="139"/>
      <c r="O141" s="139"/>
      <c r="P141" s="139"/>
      <c r="Q141" s="139"/>
      <c r="R141" s="139"/>
      <c r="S141" s="101"/>
      <c r="T141" s="101"/>
      <c r="U141" s="101"/>
      <c r="V141" s="105"/>
      <c r="X141" s="112" t="s">
        <v>692</v>
      </c>
      <c r="Y141" s="44" t="s">
        <v>692</v>
      </c>
      <c r="Z141" s="44" t="s">
        <v>692</v>
      </c>
      <c r="AA141" s="44" t="s">
        <v>692</v>
      </c>
      <c r="AB141" s="44" t="s">
        <v>692</v>
      </c>
      <c r="AC141" s="44" t="s">
        <v>692</v>
      </c>
      <c r="AD141" s="44" t="s">
        <v>692</v>
      </c>
      <c r="AE141" s="44" t="s">
        <v>692</v>
      </c>
      <c r="AF141" s="44" t="s">
        <v>692</v>
      </c>
      <c r="AG141" s="44" t="s">
        <v>692</v>
      </c>
      <c r="AH141" s="44" t="s">
        <v>692</v>
      </c>
      <c r="AI141" s="113" t="s">
        <v>692</v>
      </c>
      <c r="AK141" s="237"/>
      <c r="AL141" s="237"/>
    </row>
    <row r="142" spans="2:38" ht="18.75" x14ac:dyDescent="0.25">
      <c r="B142" s="123" t="s">
        <v>1304</v>
      </c>
      <c r="C142" s="15" t="s">
        <v>197</v>
      </c>
      <c r="D142" s="15">
        <v>39662</v>
      </c>
      <c r="E142" s="8" t="s">
        <v>1305</v>
      </c>
      <c r="F142" s="139" t="s">
        <v>1239</v>
      </c>
      <c r="G142" s="139"/>
      <c r="H142" s="139" t="s">
        <v>1306</v>
      </c>
      <c r="I142" s="139">
        <v>527</v>
      </c>
      <c r="J142" s="139"/>
      <c r="K142" s="139"/>
      <c r="L142" s="139"/>
      <c r="M142" s="139"/>
      <c r="N142" s="139"/>
      <c r="O142" s="139"/>
      <c r="P142" s="139"/>
      <c r="Q142" s="139"/>
      <c r="R142" s="139"/>
      <c r="S142" s="101"/>
      <c r="T142" s="101"/>
      <c r="U142" s="101"/>
      <c r="V142" s="105"/>
      <c r="X142" s="112" t="s">
        <v>692</v>
      </c>
      <c r="Y142" s="44" t="s">
        <v>692</v>
      </c>
      <c r="Z142" s="44" t="s">
        <v>692</v>
      </c>
      <c r="AA142" s="44" t="s">
        <v>692</v>
      </c>
      <c r="AB142" s="44" t="s">
        <v>692</v>
      </c>
      <c r="AC142" s="44" t="s">
        <v>692</v>
      </c>
      <c r="AD142" s="44" t="s">
        <v>692</v>
      </c>
      <c r="AE142" s="44" t="s">
        <v>692</v>
      </c>
      <c r="AF142" s="44" t="s">
        <v>692</v>
      </c>
      <c r="AG142" s="44" t="s">
        <v>692</v>
      </c>
      <c r="AH142" s="44" t="s">
        <v>692</v>
      </c>
      <c r="AI142" s="113" t="s">
        <v>692</v>
      </c>
      <c r="AK142" s="237"/>
      <c r="AL142" s="237"/>
    </row>
    <row r="143" spans="2:38" ht="18.75" x14ac:dyDescent="0.25">
      <c r="B143" s="123" t="s">
        <v>167</v>
      </c>
      <c r="C143" s="15" t="s">
        <v>197</v>
      </c>
      <c r="D143" s="15">
        <v>39927</v>
      </c>
      <c r="E143" s="8" t="s">
        <v>1367</v>
      </c>
      <c r="F143" s="139" t="s">
        <v>1239</v>
      </c>
      <c r="G143" s="139" t="s">
        <v>1368</v>
      </c>
      <c r="H143" s="139" t="s">
        <v>1369</v>
      </c>
      <c r="I143" s="139">
        <v>63118</v>
      </c>
      <c r="J143" s="139"/>
      <c r="K143" s="139"/>
      <c r="L143" s="139"/>
      <c r="M143" s="139"/>
      <c r="N143" s="139"/>
      <c r="O143" s="139"/>
      <c r="P143" s="139"/>
      <c r="Q143" s="139"/>
      <c r="R143" s="139"/>
      <c r="S143" s="101"/>
      <c r="T143" s="101"/>
      <c r="U143" s="101"/>
      <c r="V143" s="105"/>
      <c r="X143" s="112" t="s">
        <v>692</v>
      </c>
      <c r="Y143" s="44" t="s">
        <v>692</v>
      </c>
      <c r="Z143" s="44" t="s">
        <v>692</v>
      </c>
      <c r="AA143" s="44" t="s">
        <v>692</v>
      </c>
      <c r="AB143" s="44" t="s">
        <v>692</v>
      </c>
      <c r="AC143" s="44" t="s">
        <v>692</v>
      </c>
      <c r="AD143" s="44" t="s">
        <v>692</v>
      </c>
      <c r="AE143" s="44" t="s">
        <v>692</v>
      </c>
      <c r="AF143" s="44" t="s">
        <v>692</v>
      </c>
      <c r="AG143" s="44" t="s">
        <v>692</v>
      </c>
      <c r="AH143" s="44" t="s">
        <v>692</v>
      </c>
      <c r="AI143" s="113" t="s">
        <v>692</v>
      </c>
      <c r="AK143" s="237"/>
      <c r="AL143" s="237"/>
    </row>
    <row r="144" spans="2:38" ht="18.75" x14ac:dyDescent="0.25">
      <c r="B144" s="123" t="s">
        <v>1175</v>
      </c>
      <c r="C144" s="15" t="s">
        <v>197</v>
      </c>
      <c r="D144" s="15">
        <v>39372</v>
      </c>
      <c r="E144" s="8" t="s">
        <v>1613</v>
      </c>
      <c r="F144" s="139" t="s">
        <v>906</v>
      </c>
      <c r="G144" s="139" t="s">
        <v>853</v>
      </c>
      <c r="H144" s="139" t="s">
        <v>1612</v>
      </c>
      <c r="I144" s="139">
        <v>27561</v>
      </c>
      <c r="J144" s="139"/>
      <c r="K144" s="139"/>
      <c r="L144" s="139"/>
      <c r="M144" s="139"/>
      <c r="N144" s="139"/>
      <c r="O144" s="139"/>
      <c r="P144" s="139"/>
      <c r="Q144" s="139"/>
      <c r="R144" s="139"/>
      <c r="S144" s="101"/>
      <c r="T144" s="101"/>
      <c r="U144" s="101"/>
      <c r="V144" s="105"/>
      <c r="X144" s="112" t="s">
        <v>692</v>
      </c>
      <c r="Y144" s="44" t="s">
        <v>692</v>
      </c>
      <c r="Z144" s="44" t="s">
        <v>692</v>
      </c>
      <c r="AA144" s="44" t="s">
        <v>692</v>
      </c>
      <c r="AB144" s="44" t="s">
        <v>692</v>
      </c>
      <c r="AC144" s="44" t="s">
        <v>692</v>
      </c>
      <c r="AD144" s="44" t="s">
        <v>692</v>
      </c>
      <c r="AE144" s="44" t="s">
        <v>692</v>
      </c>
      <c r="AF144" s="44" t="s">
        <v>692</v>
      </c>
      <c r="AG144" s="44" t="s">
        <v>692</v>
      </c>
      <c r="AH144" s="44" t="s">
        <v>692</v>
      </c>
      <c r="AI144" s="113" t="s">
        <v>692</v>
      </c>
      <c r="AK144" s="237"/>
      <c r="AL144" s="237"/>
    </row>
    <row r="145" spans="2:38" ht="18.75" x14ac:dyDescent="0.25">
      <c r="B145" s="123" t="s">
        <v>1508</v>
      </c>
      <c r="C145" s="15" t="s">
        <v>197</v>
      </c>
      <c r="D145" s="15">
        <v>39931</v>
      </c>
      <c r="E145" s="8" t="s">
        <v>204</v>
      </c>
      <c r="F145" s="139" t="s">
        <v>904</v>
      </c>
      <c r="G145" s="139" t="s">
        <v>812</v>
      </c>
      <c r="H145" s="139" t="s">
        <v>1509</v>
      </c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01"/>
      <c r="T145" s="101"/>
      <c r="U145" s="101"/>
      <c r="V145" s="105"/>
      <c r="X145" s="112" t="s">
        <v>692</v>
      </c>
      <c r="Y145" s="44" t="s">
        <v>692</v>
      </c>
      <c r="Z145" s="44" t="s">
        <v>692</v>
      </c>
      <c r="AA145" s="44" t="s">
        <v>692</v>
      </c>
      <c r="AB145" s="44" t="s">
        <v>692</v>
      </c>
      <c r="AC145" s="44" t="s">
        <v>692</v>
      </c>
      <c r="AD145" s="44" t="s">
        <v>692</v>
      </c>
      <c r="AE145" s="44" t="s">
        <v>692</v>
      </c>
      <c r="AF145" s="44" t="s">
        <v>692</v>
      </c>
      <c r="AG145" s="44" t="s">
        <v>692</v>
      </c>
      <c r="AH145" s="44" t="s">
        <v>692</v>
      </c>
      <c r="AI145" s="113" t="s">
        <v>692</v>
      </c>
      <c r="AK145" s="237"/>
      <c r="AL145" s="237"/>
    </row>
    <row r="146" spans="2:38" ht="18.75" x14ac:dyDescent="0.25">
      <c r="B146" s="123" t="s">
        <v>828</v>
      </c>
      <c r="C146" s="15" t="s">
        <v>197</v>
      </c>
      <c r="D146" s="15">
        <v>39477</v>
      </c>
      <c r="E146" s="8" t="s">
        <v>206</v>
      </c>
      <c r="F146" s="139" t="s">
        <v>903</v>
      </c>
      <c r="G146" s="139"/>
      <c r="H146" s="139" t="s">
        <v>854</v>
      </c>
      <c r="I146" s="139">
        <v>77004</v>
      </c>
      <c r="J146" s="139"/>
      <c r="K146" s="139"/>
      <c r="L146" s="139"/>
      <c r="M146" s="139"/>
      <c r="N146" s="139"/>
      <c r="O146" s="139"/>
      <c r="P146" s="139"/>
      <c r="Q146" s="139"/>
      <c r="R146" s="139"/>
      <c r="S146" s="101"/>
      <c r="T146" s="101"/>
      <c r="U146" s="101"/>
      <c r="V146" s="105"/>
      <c r="X146" s="112" t="s">
        <v>692</v>
      </c>
      <c r="Y146" s="44" t="s">
        <v>692</v>
      </c>
      <c r="Z146" s="44" t="s">
        <v>692</v>
      </c>
      <c r="AA146" s="44" t="s">
        <v>692</v>
      </c>
      <c r="AB146" s="44" t="s">
        <v>692</v>
      </c>
      <c r="AC146" s="44" t="s">
        <v>692</v>
      </c>
      <c r="AD146" s="44" t="s">
        <v>692</v>
      </c>
      <c r="AE146" s="44" t="s">
        <v>692</v>
      </c>
      <c r="AF146" s="44" t="s">
        <v>692</v>
      </c>
      <c r="AG146" s="44" t="s">
        <v>692</v>
      </c>
      <c r="AH146" s="44" t="s">
        <v>692</v>
      </c>
      <c r="AI146" s="113" t="s">
        <v>692</v>
      </c>
      <c r="AK146" s="237"/>
      <c r="AL146" s="237"/>
    </row>
    <row r="147" spans="2:38" ht="18.75" x14ac:dyDescent="0.25">
      <c r="B147" s="123" t="s">
        <v>828</v>
      </c>
      <c r="C147" s="15" t="s">
        <v>197</v>
      </c>
      <c r="D147" s="15">
        <v>39477</v>
      </c>
      <c r="E147" s="8" t="s">
        <v>206</v>
      </c>
      <c r="F147" s="139" t="s">
        <v>101</v>
      </c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01"/>
      <c r="T147" s="101"/>
      <c r="U147" s="101"/>
      <c r="V147" s="105"/>
      <c r="X147" s="112" t="s">
        <v>692</v>
      </c>
      <c r="Y147" s="44" t="s">
        <v>692</v>
      </c>
      <c r="Z147" s="44" t="s">
        <v>692</v>
      </c>
      <c r="AA147" s="44" t="s">
        <v>692</v>
      </c>
      <c r="AB147" s="44" t="s">
        <v>692</v>
      </c>
      <c r="AC147" s="44" t="s">
        <v>692</v>
      </c>
      <c r="AD147" s="44" t="s">
        <v>692</v>
      </c>
      <c r="AE147" s="44" t="s">
        <v>692</v>
      </c>
      <c r="AF147" s="44" t="s">
        <v>692</v>
      </c>
      <c r="AG147" s="44" t="s">
        <v>692</v>
      </c>
      <c r="AH147" s="44" t="s">
        <v>692</v>
      </c>
      <c r="AI147" s="113" t="s">
        <v>692</v>
      </c>
      <c r="AK147" s="237"/>
      <c r="AL147" s="237"/>
    </row>
    <row r="148" spans="2:38" ht="18.75" x14ac:dyDescent="0.25">
      <c r="B148" s="123" t="s">
        <v>991</v>
      </c>
      <c r="C148" s="15" t="s">
        <v>197</v>
      </c>
      <c r="D148" s="15">
        <v>39308</v>
      </c>
      <c r="E148" s="8" t="s">
        <v>109</v>
      </c>
      <c r="F148" s="139" t="s">
        <v>1213</v>
      </c>
      <c r="G148" s="139"/>
      <c r="H148" s="139" t="s">
        <v>994</v>
      </c>
      <c r="I148" s="139">
        <v>66076</v>
      </c>
      <c r="J148" s="139"/>
      <c r="K148" s="139"/>
      <c r="L148" s="139"/>
      <c r="M148" s="139"/>
      <c r="N148" s="139"/>
      <c r="O148" s="139"/>
      <c r="P148" s="139"/>
      <c r="Q148" s="139"/>
      <c r="R148" s="139"/>
      <c r="S148" s="101"/>
      <c r="T148" s="101"/>
      <c r="U148" s="101"/>
      <c r="V148" s="105"/>
      <c r="X148" s="112" t="s">
        <v>692</v>
      </c>
      <c r="Y148" s="44" t="s">
        <v>692</v>
      </c>
      <c r="Z148" s="44" t="s">
        <v>692</v>
      </c>
      <c r="AA148" s="44" t="s">
        <v>692</v>
      </c>
      <c r="AB148" s="44" t="s">
        <v>692</v>
      </c>
      <c r="AC148" s="44" t="s">
        <v>692</v>
      </c>
      <c r="AD148" s="44" t="s">
        <v>692</v>
      </c>
      <c r="AE148" s="44" t="s">
        <v>692</v>
      </c>
      <c r="AF148" s="44" t="s">
        <v>692</v>
      </c>
      <c r="AG148" s="44" t="s">
        <v>692</v>
      </c>
      <c r="AH148" s="44" t="s">
        <v>692</v>
      </c>
      <c r="AI148" s="113" t="s">
        <v>692</v>
      </c>
      <c r="AK148" s="237"/>
      <c r="AL148" s="237"/>
    </row>
    <row r="149" spans="2:38" ht="18.75" x14ac:dyDescent="0.25">
      <c r="B149" s="122" t="s">
        <v>993</v>
      </c>
      <c r="C149" s="3" t="s">
        <v>197</v>
      </c>
      <c r="D149" s="3">
        <v>39587</v>
      </c>
      <c r="E149" s="4" t="s">
        <v>992</v>
      </c>
      <c r="F149" s="139" t="s">
        <v>1214</v>
      </c>
      <c r="G149" s="139"/>
      <c r="H149" s="139" t="s">
        <v>994</v>
      </c>
      <c r="I149" s="139">
        <v>129432</v>
      </c>
      <c r="J149" s="139"/>
      <c r="K149" s="139"/>
      <c r="L149" s="139"/>
      <c r="M149" s="139"/>
      <c r="N149" s="139"/>
      <c r="O149" s="139"/>
      <c r="P149" s="139"/>
      <c r="Q149" s="139"/>
      <c r="R149" s="139"/>
      <c r="S149" s="101"/>
      <c r="T149" s="101"/>
      <c r="U149" s="101"/>
      <c r="V149" s="105"/>
      <c r="X149" s="112" t="s">
        <v>692</v>
      </c>
      <c r="Y149" s="44" t="s">
        <v>692</v>
      </c>
      <c r="Z149" s="44" t="s">
        <v>692</v>
      </c>
      <c r="AA149" s="44" t="s">
        <v>692</v>
      </c>
      <c r="AB149" s="44" t="s">
        <v>692</v>
      </c>
      <c r="AC149" s="44" t="s">
        <v>692</v>
      </c>
      <c r="AD149" s="44" t="s">
        <v>692</v>
      </c>
      <c r="AE149" s="44" t="s">
        <v>692</v>
      </c>
      <c r="AF149" s="44" t="s">
        <v>692</v>
      </c>
      <c r="AG149" s="44" t="s">
        <v>692</v>
      </c>
      <c r="AH149" s="44" t="s">
        <v>692</v>
      </c>
      <c r="AI149" s="113" t="s">
        <v>692</v>
      </c>
      <c r="AK149" s="237"/>
      <c r="AL149" s="237"/>
    </row>
    <row r="150" spans="2:38" ht="18.75" x14ac:dyDescent="0.25">
      <c r="B150" s="122" t="s">
        <v>1140</v>
      </c>
      <c r="C150" s="3" t="s">
        <v>197</v>
      </c>
      <c r="D150" s="3">
        <v>39313</v>
      </c>
      <c r="E150" s="4" t="s">
        <v>1141</v>
      </c>
      <c r="F150" s="139" t="s">
        <v>1215</v>
      </c>
      <c r="G150" s="139"/>
      <c r="H150" s="139" t="s">
        <v>1142</v>
      </c>
      <c r="I150" s="139">
        <v>74293</v>
      </c>
      <c r="J150" s="139"/>
      <c r="K150" s="139"/>
      <c r="L150" s="139"/>
      <c r="M150" s="139"/>
      <c r="N150" s="139"/>
      <c r="O150" s="139"/>
      <c r="P150" s="139"/>
      <c r="Q150" s="139"/>
      <c r="R150" s="139"/>
      <c r="S150" s="101"/>
      <c r="T150" s="101"/>
      <c r="U150" s="101"/>
      <c r="V150" s="105"/>
      <c r="X150" s="112" t="s">
        <v>692</v>
      </c>
      <c r="Y150" s="44" t="s">
        <v>692</v>
      </c>
      <c r="Z150" s="44" t="s">
        <v>692</v>
      </c>
      <c r="AA150" s="44" t="s">
        <v>692</v>
      </c>
      <c r="AB150" s="44" t="s">
        <v>692</v>
      </c>
      <c r="AC150" s="44" t="s">
        <v>692</v>
      </c>
      <c r="AD150" s="44" t="s">
        <v>692</v>
      </c>
      <c r="AE150" s="44" t="s">
        <v>692</v>
      </c>
      <c r="AF150" s="44" t="s">
        <v>692</v>
      </c>
      <c r="AG150" s="44" t="s">
        <v>692</v>
      </c>
      <c r="AH150" s="44" t="s">
        <v>692</v>
      </c>
      <c r="AI150" s="113" t="s">
        <v>692</v>
      </c>
      <c r="AK150" s="237"/>
      <c r="AL150" s="237"/>
    </row>
    <row r="151" spans="2:38" ht="18.75" x14ac:dyDescent="0.3">
      <c r="B151" s="124" t="s">
        <v>1017</v>
      </c>
      <c r="C151" s="3" t="s">
        <v>197</v>
      </c>
      <c r="D151" s="3">
        <v>39578</v>
      </c>
      <c r="E151" s="4" t="s">
        <v>1016</v>
      </c>
      <c r="F151" s="139" t="s">
        <v>1216</v>
      </c>
      <c r="G151" s="139"/>
      <c r="H151" s="139" t="s">
        <v>1018</v>
      </c>
      <c r="I151" s="139">
        <v>86260</v>
      </c>
      <c r="J151" s="139"/>
      <c r="K151" s="139"/>
      <c r="L151" s="139"/>
      <c r="M151" s="139"/>
      <c r="N151" s="139"/>
      <c r="O151" s="139"/>
      <c r="P151" s="139"/>
      <c r="Q151" s="139"/>
      <c r="R151" s="139"/>
      <c r="S151" s="101"/>
      <c r="T151" s="101"/>
      <c r="U151" s="101"/>
      <c r="V151" s="105"/>
      <c r="X151" s="112" t="s">
        <v>692</v>
      </c>
      <c r="Y151" s="44" t="s">
        <v>692</v>
      </c>
      <c r="Z151" s="44" t="s">
        <v>692</v>
      </c>
      <c r="AA151" s="44" t="s">
        <v>692</v>
      </c>
      <c r="AB151" s="44" t="s">
        <v>692</v>
      </c>
      <c r="AC151" s="44" t="s">
        <v>692</v>
      </c>
      <c r="AD151" s="44" t="s">
        <v>692</v>
      </c>
      <c r="AE151" s="44" t="s">
        <v>692</v>
      </c>
      <c r="AF151" s="44" t="s">
        <v>692</v>
      </c>
      <c r="AG151" s="44" t="s">
        <v>692</v>
      </c>
      <c r="AH151" s="44" t="s">
        <v>692</v>
      </c>
      <c r="AI151" s="113" t="s">
        <v>692</v>
      </c>
      <c r="AK151" s="237"/>
      <c r="AL151" s="237"/>
    </row>
    <row r="152" spans="2:38" ht="18.75" x14ac:dyDescent="0.25">
      <c r="B152" s="123" t="s">
        <v>967</v>
      </c>
      <c r="C152" s="15" t="s">
        <v>197</v>
      </c>
      <c r="D152" s="15">
        <v>39581</v>
      </c>
      <c r="E152" s="13" t="s">
        <v>1227</v>
      </c>
      <c r="F152" s="139" t="s">
        <v>979</v>
      </c>
      <c r="G152" s="139"/>
      <c r="H152" s="139" t="s">
        <v>1078</v>
      </c>
      <c r="I152" s="139">
        <v>94901</v>
      </c>
      <c r="J152" s="139"/>
      <c r="K152" s="139"/>
      <c r="L152" s="139"/>
      <c r="M152" s="139"/>
      <c r="N152" s="139"/>
      <c r="O152" s="139"/>
      <c r="P152" s="139"/>
      <c r="Q152" s="139"/>
      <c r="R152" s="139"/>
      <c r="S152" s="101"/>
      <c r="T152" s="101"/>
      <c r="U152" s="101"/>
      <c r="V152" s="105"/>
      <c r="X152" s="112" t="s">
        <v>692</v>
      </c>
      <c r="Y152" s="44" t="s">
        <v>692</v>
      </c>
      <c r="Z152" s="44" t="s">
        <v>692</v>
      </c>
      <c r="AA152" s="44" t="s">
        <v>692</v>
      </c>
      <c r="AB152" s="44" t="s">
        <v>692</v>
      </c>
      <c r="AC152" s="44" t="s">
        <v>692</v>
      </c>
      <c r="AD152" s="44" t="s">
        <v>692</v>
      </c>
      <c r="AE152" s="44" t="s">
        <v>692</v>
      </c>
      <c r="AF152" s="44" t="s">
        <v>692</v>
      </c>
      <c r="AG152" s="44" t="s">
        <v>692</v>
      </c>
      <c r="AH152" s="44" t="s">
        <v>692</v>
      </c>
      <c r="AI152" s="113" t="s">
        <v>692</v>
      </c>
      <c r="AK152" s="237"/>
      <c r="AL152" s="237"/>
    </row>
    <row r="153" spans="2:38" ht="18.75" x14ac:dyDescent="0.25">
      <c r="B153" s="123" t="s">
        <v>1402</v>
      </c>
      <c r="C153" s="15" t="s">
        <v>197</v>
      </c>
      <c r="D153" s="15">
        <v>39467</v>
      </c>
      <c r="E153" s="13" t="s">
        <v>1403</v>
      </c>
      <c r="F153" s="139" t="s">
        <v>979</v>
      </c>
      <c r="G153" s="139" t="s">
        <v>1404</v>
      </c>
      <c r="H153" s="139"/>
      <c r="I153" s="139">
        <v>50083</v>
      </c>
      <c r="J153" s="139"/>
      <c r="K153" s="139"/>
      <c r="L153" s="139"/>
      <c r="M153" s="139"/>
      <c r="N153" s="139"/>
      <c r="O153" s="139"/>
      <c r="P153" s="139"/>
      <c r="Q153" s="139"/>
      <c r="R153" s="139"/>
      <c r="S153" s="101"/>
      <c r="T153" s="101"/>
      <c r="U153" s="101"/>
      <c r="V153" s="105"/>
      <c r="X153" s="112" t="s">
        <v>692</v>
      </c>
      <c r="Y153" s="44" t="s">
        <v>692</v>
      </c>
      <c r="Z153" s="44" t="s">
        <v>692</v>
      </c>
      <c r="AA153" s="44" t="s">
        <v>692</v>
      </c>
      <c r="AB153" s="44" t="s">
        <v>692</v>
      </c>
      <c r="AC153" s="44" t="s">
        <v>692</v>
      </c>
      <c r="AD153" s="44" t="s">
        <v>692</v>
      </c>
      <c r="AE153" s="44" t="s">
        <v>692</v>
      </c>
      <c r="AF153" s="44" t="s">
        <v>692</v>
      </c>
      <c r="AG153" s="44" t="s">
        <v>692</v>
      </c>
      <c r="AH153" s="44" t="s">
        <v>692</v>
      </c>
      <c r="AI153" s="113" t="s">
        <v>692</v>
      </c>
      <c r="AK153" s="237"/>
      <c r="AL153" s="237"/>
    </row>
    <row r="154" spans="2:38" ht="18.75" x14ac:dyDescent="0.25">
      <c r="B154" s="123" t="s">
        <v>198</v>
      </c>
      <c r="C154" s="15" t="s">
        <v>197</v>
      </c>
      <c r="D154" s="15">
        <v>39439</v>
      </c>
      <c r="E154" s="13" t="s">
        <v>969</v>
      </c>
      <c r="F154" s="139" t="s">
        <v>199</v>
      </c>
      <c r="G154" s="139"/>
      <c r="H154" s="139"/>
      <c r="I154" s="139">
        <v>8701</v>
      </c>
      <c r="J154" s="139"/>
      <c r="K154" s="139"/>
      <c r="L154" s="139"/>
      <c r="M154" s="139"/>
      <c r="N154" s="139"/>
      <c r="O154" s="139"/>
      <c r="P154" s="139"/>
      <c r="Q154" s="139"/>
      <c r="R154" s="139"/>
      <c r="S154" s="101"/>
      <c r="T154" s="101"/>
      <c r="U154" s="101"/>
      <c r="V154" s="105"/>
      <c r="X154" s="112" t="s">
        <v>692</v>
      </c>
      <c r="Y154" s="44" t="s">
        <v>692</v>
      </c>
      <c r="Z154" s="44" t="s">
        <v>692</v>
      </c>
      <c r="AA154" s="44" t="s">
        <v>692</v>
      </c>
      <c r="AB154" s="44" t="s">
        <v>692</v>
      </c>
      <c r="AC154" s="44" t="s">
        <v>692</v>
      </c>
      <c r="AD154" s="44" t="s">
        <v>692</v>
      </c>
      <c r="AE154" s="44" t="s">
        <v>692</v>
      </c>
      <c r="AF154" s="44" t="s">
        <v>692</v>
      </c>
      <c r="AG154" s="44" t="s">
        <v>692</v>
      </c>
      <c r="AH154" s="44" t="s">
        <v>692</v>
      </c>
      <c r="AI154" s="170" t="s">
        <v>692</v>
      </c>
      <c r="AK154" s="237"/>
      <c r="AL154" s="237"/>
    </row>
    <row r="155" spans="2:38" ht="18.75" x14ac:dyDescent="0.25">
      <c r="B155" s="123" t="s">
        <v>209</v>
      </c>
      <c r="C155" s="15" t="s">
        <v>197</v>
      </c>
      <c r="D155" s="15">
        <v>39793</v>
      </c>
      <c r="E155" s="13" t="s">
        <v>210</v>
      </c>
      <c r="F155" s="139" t="s">
        <v>211</v>
      </c>
      <c r="G155" s="139"/>
      <c r="H155" s="139"/>
      <c r="I155" s="139">
        <v>91505</v>
      </c>
      <c r="J155" s="139"/>
      <c r="K155" s="139"/>
      <c r="L155" s="139"/>
      <c r="M155" s="139"/>
      <c r="N155" s="139"/>
      <c r="O155" s="139"/>
      <c r="P155" s="139"/>
      <c r="Q155" s="139"/>
      <c r="R155" s="139"/>
      <c r="S155" s="101"/>
      <c r="T155" s="101"/>
      <c r="U155" s="101"/>
      <c r="V155" s="105"/>
      <c r="X155" s="112" t="s">
        <v>692</v>
      </c>
      <c r="Y155" s="44" t="s">
        <v>692</v>
      </c>
      <c r="Z155" s="44" t="s">
        <v>692</v>
      </c>
      <c r="AA155" s="44" t="s">
        <v>692</v>
      </c>
      <c r="AB155" s="44" t="s">
        <v>692</v>
      </c>
      <c r="AC155" s="44" t="s">
        <v>692</v>
      </c>
      <c r="AD155" s="44" t="s">
        <v>692</v>
      </c>
      <c r="AE155" s="44" t="s">
        <v>692</v>
      </c>
      <c r="AF155" s="44" t="s">
        <v>692</v>
      </c>
      <c r="AG155" s="44" t="s">
        <v>692</v>
      </c>
      <c r="AH155" s="44" t="s">
        <v>692</v>
      </c>
      <c r="AI155" s="113" t="s">
        <v>692</v>
      </c>
      <c r="AK155" s="237"/>
      <c r="AL155" s="237"/>
    </row>
    <row r="156" spans="2:38" ht="18.75" x14ac:dyDescent="0.25">
      <c r="B156" s="123" t="s">
        <v>203</v>
      </c>
      <c r="C156" s="15" t="s">
        <v>197</v>
      </c>
      <c r="D156" s="15">
        <v>39238</v>
      </c>
      <c r="E156" s="13" t="s">
        <v>204</v>
      </c>
      <c r="F156" s="139" t="s">
        <v>912</v>
      </c>
      <c r="G156" s="139"/>
      <c r="H156" s="139"/>
      <c r="I156" s="139">
        <v>209567</v>
      </c>
      <c r="J156" s="139"/>
      <c r="K156" s="139"/>
      <c r="L156" s="139"/>
      <c r="M156" s="139"/>
      <c r="N156" s="139"/>
      <c r="O156" s="139"/>
      <c r="P156" s="139"/>
      <c r="Q156" s="139"/>
      <c r="R156" s="139"/>
      <c r="S156" s="101"/>
      <c r="T156" s="101"/>
      <c r="U156" s="101"/>
      <c r="V156" s="105"/>
      <c r="X156" s="112" t="s">
        <v>692</v>
      </c>
      <c r="Y156" s="44" t="s">
        <v>692</v>
      </c>
      <c r="Z156" s="44" t="s">
        <v>692</v>
      </c>
      <c r="AA156" s="44" t="s">
        <v>692</v>
      </c>
      <c r="AB156" s="44" t="s">
        <v>692</v>
      </c>
      <c r="AC156" s="44" t="s">
        <v>692</v>
      </c>
      <c r="AD156" s="44" t="s">
        <v>692</v>
      </c>
      <c r="AE156" s="44" t="s">
        <v>692</v>
      </c>
      <c r="AF156" s="44" t="s">
        <v>692</v>
      </c>
      <c r="AG156" s="44" t="s">
        <v>692</v>
      </c>
      <c r="AH156" s="44" t="s">
        <v>692</v>
      </c>
      <c r="AI156" s="113" t="s">
        <v>692</v>
      </c>
      <c r="AK156" s="237"/>
      <c r="AL156" s="237"/>
    </row>
    <row r="157" spans="2:38" ht="18.75" x14ac:dyDescent="0.25">
      <c r="B157" s="123" t="s">
        <v>205</v>
      </c>
      <c r="C157" s="15" t="s">
        <v>197</v>
      </c>
      <c r="D157" s="15">
        <v>39402</v>
      </c>
      <c r="E157" s="13" t="s">
        <v>206</v>
      </c>
      <c r="F157" s="139" t="s">
        <v>207</v>
      </c>
      <c r="G157" s="139"/>
      <c r="H157" s="139" t="s">
        <v>208</v>
      </c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01"/>
      <c r="T157" s="101"/>
      <c r="U157" s="101"/>
      <c r="V157" s="105"/>
      <c r="X157" s="112" t="s">
        <v>692</v>
      </c>
      <c r="Y157" s="44" t="s">
        <v>692</v>
      </c>
      <c r="Z157" s="44" t="s">
        <v>692</v>
      </c>
      <c r="AA157" s="44" t="s">
        <v>692</v>
      </c>
      <c r="AB157" s="44" t="s">
        <v>692</v>
      </c>
      <c r="AC157" s="44" t="s">
        <v>692</v>
      </c>
      <c r="AD157" s="44" t="s">
        <v>692</v>
      </c>
      <c r="AE157" s="44" t="s">
        <v>692</v>
      </c>
      <c r="AF157" s="44" t="s">
        <v>692</v>
      </c>
      <c r="AG157" s="44" t="s">
        <v>692</v>
      </c>
      <c r="AH157" s="44" t="s">
        <v>692</v>
      </c>
      <c r="AI157" s="113" t="s">
        <v>692</v>
      </c>
      <c r="AK157" s="237"/>
      <c r="AL157" s="237"/>
    </row>
    <row r="158" spans="2:38" ht="18.75" x14ac:dyDescent="0.25">
      <c r="B158" s="123" t="s">
        <v>200</v>
      </c>
      <c r="C158" s="15" t="s">
        <v>197</v>
      </c>
      <c r="D158" s="15">
        <v>39340</v>
      </c>
      <c r="E158" s="13" t="s">
        <v>201</v>
      </c>
      <c r="F158" s="139" t="s">
        <v>911</v>
      </c>
      <c r="G158" s="139"/>
      <c r="H158" s="139" t="s">
        <v>202</v>
      </c>
      <c r="I158" s="139">
        <v>1041127</v>
      </c>
      <c r="J158" s="139"/>
      <c r="K158" s="139"/>
      <c r="L158" s="139"/>
      <c r="M158" s="139"/>
      <c r="N158" s="139"/>
      <c r="O158" s="139"/>
      <c r="P158" s="139"/>
      <c r="Q158" s="139"/>
      <c r="R158" s="139"/>
      <c r="S158" s="101"/>
      <c r="T158" s="101"/>
      <c r="U158" s="101"/>
      <c r="V158" s="105"/>
      <c r="X158" s="112" t="s">
        <v>692</v>
      </c>
      <c r="Y158" s="44" t="s">
        <v>692</v>
      </c>
      <c r="Z158" s="44" t="s">
        <v>692</v>
      </c>
      <c r="AA158" s="44" t="s">
        <v>692</v>
      </c>
      <c r="AB158" s="44" t="s">
        <v>692</v>
      </c>
      <c r="AC158" s="44" t="s">
        <v>692</v>
      </c>
      <c r="AD158" s="44" t="s">
        <v>692</v>
      </c>
      <c r="AE158" s="44" t="s">
        <v>692</v>
      </c>
      <c r="AF158" s="44" t="s">
        <v>692</v>
      </c>
      <c r="AG158" s="44" t="s">
        <v>692</v>
      </c>
      <c r="AH158" s="44" t="s">
        <v>692</v>
      </c>
      <c r="AI158" s="113" t="s">
        <v>692</v>
      </c>
      <c r="AK158" s="237"/>
      <c r="AL158" s="237"/>
    </row>
    <row r="159" spans="2:38" ht="18.75" x14ac:dyDescent="0.25">
      <c r="B159" s="123" t="s">
        <v>219</v>
      </c>
      <c r="C159" s="15" t="s">
        <v>217</v>
      </c>
      <c r="D159" s="15">
        <v>39132</v>
      </c>
      <c r="E159" s="13" t="s">
        <v>220</v>
      </c>
      <c r="F159" s="139" t="s">
        <v>1023</v>
      </c>
      <c r="G159" s="139" t="s">
        <v>1607</v>
      </c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01"/>
      <c r="T159" s="101"/>
      <c r="U159" s="101"/>
      <c r="V159" s="105"/>
      <c r="X159" s="112" t="s">
        <v>692</v>
      </c>
      <c r="Y159" s="44" t="s">
        <v>692</v>
      </c>
      <c r="Z159" s="44" t="s">
        <v>692</v>
      </c>
      <c r="AA159" s="44" t="s">
        <v>692</v>
      </c>
      <c r="AB159" s="44" t="s">
        <v>692</v>
      </c>
      <c r="AC159" s="44" t="s">
        <v>692</v>
      </c>
      <c r="AD159" s="44" t="s">
        <v>692</v>
      </c>
      <c r="AE159" s="44" t="s">
        <v>692</v>
      </c>
      <c r="AF159" s="44" t="s">
        <v>692</v>
      </c>
      <c r="AG159" s="44" t="s">
        <v>692</v>
      </c>
      <c r="AH159" s="44" t="s">
        <v>692</v>
      </c>
      <c r="AI159" s="113" t="s">
        <v>692</v>
      </c>
      <c r="AK159" s="237"/>
      <c r="AL159" s="237"/>
    </row>
    <row r="160" spans="2:38" ht="18.75" x14ac:dyDescent="0.25">
      <c r="B160" s="123" t="s">
        <v>221</v>
      </c>
      <c r="C160" s="15" t="s">
        <v>217</v>
      </c>
      <c r="D160" s="15">
        <v>39036</v>
      </c>
      <c r="E160" s="13" t="s">
        <v>1549</v>
      </c>
      <c r="F160" s="139" t="s">
        <v>1024</v>
      </c>
      <c r="G160" s="139" t="s">
        <v>222</v>
      </c>
      <c r="H160" s="139"/>
      <c r="I160" s="139">
        <v>1264289</v>
      </c>
      <c r="J160" s="139"/>
      <c r="K160" s="139"/>
      <c r="L160" s="139"/>
      <c r="M160" s="139"/>
      <c r="N160" s="139"/>
      <c r="O160" s="139"/>
      <c r="P160" s="139"/>
      <c r="Q160" s="139"/>
      <c r="R160" s="139"/>
      <c r="S160" s="101"/>
      <c r="T160" s="101"/>
      <c r="U160" s="101"/>
      <c r="V160" s="105"/>
      <c r="X160" s="112" t="s">
        <v>692</v>
      </c>
      <c r="Y160" s="44" t="s">
        <v>692</v>
      </c>
      <c r="Z160" s="44" t="s">
        <v>692</v>
      </c>
      <c r="AA160" s="44" t="s">
        <v>692</v>
      </c>
      <c r="AB160" s="44" t="s">
        <v>692</v>
      </c>
      <c r="AC160" s="44" t="s">
        <v>692</v>
      </c>
      <c r="AD160" s="44" t="s">
        <v>692</v>
      </c>
      <c r="AE160" s="44" t="s">
        <v>692</v>
      </c>
      <c r="AF160" s="44" t="s">
        <v>692</v>
      </c>
      <c r="AG160" s="44" t="s">
        <v>692</v>
      </c>
      <c r="AH160" s="44" t="s">
        <v>692</v>
      </c>
      <c r="AI160" s="113" t="s">
        <v>692</v>
      </c>
      <c r="AK160" s="237"/>
      <c r="AL160" s="237"/>
    </row>
    <row r="161" spans="2:38" ht="18.75" x14ac:dyDescent="0.25">
      <c r="B161" s="122" t="s">
        <v>1604</v>
      </c>
      <c r="C161" s="3" t="s">
        <v>217</v>
      </c>
      <c r="D161" s="3">
        <v>39132</v>
      </c>
      <c r="E161" s="4" t="s">
        <v>220</v>
      </c>
      <c r="F161" s="139" t="s">
        <v>1023</v>
      </c>
      <c r="G161" s="139" t="s">
        <v>1605</v>
      </c>
      <c r="H161" s="139" t="s">
        <v>1606</v>
      </c>
      <c r="I161" s="139">
        <v>56912</v>
      </c>
      <c r="J161" s="139"/>
      <c r="K161" s="139"/>
      <c r="L161" s="139"/>
      <c r="M161" s="139"/>
      <c r="N161" s="139"/>
      <c r="O161" s="139"/>
      <c r="P161" s="139"/>
      <c r="Q161" s="139"/>
      <c r="R161" s="139"/>
      <c r="S161" s="101"/>
      <c r="T161" s="101"/>
      <c r="U161" s="101"/>
      <c r="V161" s="105"/>
      <c r="X161" s="112" t="s">
        <v>692</v>
      </c>
      <c r="Y161" s="44" t="s">
        <v>692</v>
      </c>
      <c r="Z161" s="44" t="s">
        <v>692</v>
      </c>
      <c r="AA161" s="44" t="s">
        <v>692</v>
      </c>
      <c r="AB161" s="44" t="s">
        <v>692</v>
      </c>
      <c r="AC161" s="44" t="s">
        <v>692</v>
      </c>
      <c r="AD161" s="44" t="s">
        <v>692</v>
      </c>
      <c r="AE161" s="44" t="s">
        <v>692</v>
      </c>
      <c r="AF161" s="44" t="s">
        <v>692</v>
      </c>
      <c r="AG161" s="44" t="s">
        <v>692</v>
      </c>
      <c r="AH161" s="44" t="s">
        <v>692</v>
      </c>
      <c r="AI161" s="113" t="s">
        <v>692</v>
      </c>
      <c r="AK161" s="237"/>
      <c r="AL161" s="237"/>
    </row>
    <row r="162" spans="2:38" ht="18.75" x14ac:dyDescent="0.25">
      <c r="B162" s="122" t="s">
        <v>230</v>
      </c>
      <c r="C162" s="14" t="s">
        <v>223</v>
      </c>
      <c r="D162" s="14">
        <v>39381</v>
      </c>
      <c r="E162" s="13" t="s">
        <v>231</v>
      </c>
      <c r="F162" s="139" t="s">
        <v>226</v>
      </c>
      <c r="G162" s="139"/>
      <c r="H162" s="139"/>
      <c r="I162" s="139">
        <v>23658</v>
      </c>
      <c r="J162" s="139"/>
      <c r="K162" s="139"/>
      <c r="L162" s="139"/>
      <c r="M162" s="139"/>
      <c r="N162" s="139"/>
      <c r="O162" s="139"/>
      <c r="P162" s="139"/>
      <c r="Q162" s="139"/>
      <c r="R162" s="139"/>
      <c r="S162" s="101"/>
      <c r="T162" s="101"/>
      <c r="U162" s="101"/>
      <c r="V162" s="105"/>
      <c r="X162" s="112" t="s">
        <v>692</v>
      </c>
      <c r="Y162" s="44" t="s">
        <v>692</v>
      </c>
      <c r="Z162" s="44" t="s">
        <v>692</v>
      </c>
      <c r="AA162" s="44" t="s">
        <v>692</v>
      </c>
      <c r="AB162" s="44" t="s">
        <v>692</v>
      </c>
      <c r="AC162" s="44" t="s">
        <v>692</v>
      </c>
      <c r="AD162" s="44" t="s">
        <v>692</v>
      </c>
      <c r="AE162" s="44" t="s">
        <v>692</v>
      </c>
      <c r="AF162" s="44" t="s">
        <v>692</v>
      </c>
      <c r="AG162" s="44" t="s">
        <v>692</v>
      </c>
      <c r="AH162" s="44" t="s">
        <v>692</v>
      </c>
      <c r="AI162" s="113" t="s">
        <v>692</v>
      </c>
      <c r="AK162" s="237"/>
      <c r="AL162" s="237"/>
    </row>
    <row r="163" spans="2:38" ht="18.75" x14ac:dyDescent="0.25">
      <c r="B163" s="122" t="s">
        <v>224</v>
      </c>
      <c r="C163" s="14" t="s">
        <v>223</v>
      </c>
      <c r="D163" s="14">
        <v>39291</v>
      </c>
      <c r="E163" s="13" t="s">
        <v>225</v>
      </c>
      <c r="F163" s="139" t="s">
        <v>226</v>
      </c>
      <c r="G163" s="139" t="s">
        <v>227</v>
      </c>
      <c r="H163" s="139"/>
      <c r="I163" s="139">
        <v>74787</v>
      </c>
      <c r="J163" s="139"/>
      <c r="K163" s="139"/>
      <c r="L163" s="139"/>
      <c r="M163" s="139"/>
      <c r="N163" s="139"/>
      <c r="O163" s="139"/>
      <c r="P163" s="139"/>
      <c r="Q163" s="139"/>
      <c r="R163" s="139"/>
      <c r="S163" s="101"/>
      <c r="T163" s="101"/>
      <c r="U163" s="101"/>
      <c r="V163" s="105"/>
      <c r="X163" s="112" t="s">
        <v>692</v>
      </c>
      <c r="Y163" s="44" t="s">
        <v>692</v>
      </c>
      <c r="Z163" s="44" t="s">
        <v>692</v>
      </c>
      <c r="AA163" s="44" t="s">
        <v>692</v>
      </c>
      <c r="AB163" s="44" t="s">
        <v>692</v>
      </c>
      <c r="AC163" s="44" t="s">
        <v>692</v>
      </c>
      <c r="AD163" s="44" t="s">
        <v>692</v>
      </c>
      <c r="AE163" s="44" t="s">
        <v>692</v>
      </c>
      <c r="AF163" s="44" t="s">
        <v>692</v>
      </c>
      <c r="AG163" s="44" t="s">
        <v>692</v>
      </c>
      <c r="AH163" s="44" t="s">
        <v>692</v>
      </c>
      <c r="AI163" s="113" t="s">
        <v>692</v>
      </c>
      <c r="AK163" s="237"/>
      <c r="AL163" s="237"/>
    </row>
    <row r="164" spans="2:38" ht="18.75" x14ac:dyDescent="0.25">
      <c r="B164" s="122" t="s">
        <v>1178</v>
      </c>
      <c r="C164" s="14" t="s">
        <v>235</v>
      </c>
      <c r="D164" s="14">
        <v>39010</v>
      </c>
      <c r="E164" s="13" t="s">
        <v>437</v>
      </c>
      <c r="F164" s="139" t="s">
        <v>63</v>
      </c>
      <c r="G164" s="139" t="s">
        <v>438</v>
      </c>
      <c r="H164" s="139" t="s">
        <v>430</v>
      </c>
      <c r="I164" s="139">
        <v>10826</v>
      </c>
      <c r="J164" s="139"/>
      <c r="K164" s="139"/>
      <c r="L164" s="139"/>
      <c r="M164" s="139"/>
      <c r="N164" s="139"/>
      <c r="O164" s="139"/>
      <c r="P164" s="139"/>
      <c r="Q164" s="139"/>
      <c r="R164" s="139"/>
      <c r="S164" s="101"/>
      <c r="T164" s="101"/>
      <c r="U164" s="101"/>
      <c r="V164" s="105"/>
      <c r="X164" s="112" t="s">
        <v>692</v>
      </c>
      <c r="Y164" s="44" t="s">
        <v>692</v>
      </c>
      <c r="Z164" s="44" t="s">
        <v>692</v>
      </c>
      <c r="AA164" s="44" t="s">
        <v>692</v>
      </c>
      <c r="AB164" s="44" t="s">
        <v>692</v>
      </c>
      <c r="AC164" s="44" t="s">
        <v>692</v>
      </c>
      <c r="AD164" s="44" t="s">
        <v>692</v>
      </c>
      <c r="AE164" s="44" t="s">
        <v>692</v>
      </c>
      <c r="AF164" s="44" t="s">
        <v>692</v>
      </c>
      <c r="AG164" s="44" t="s">
        <v>692</v>
      </c>
      <c r="AH164" s="44" t="s">
        <v>692</v>
      </c>
      <c r="AI164" s="113" t="s">
        <v>692</v>
      </c>
      <c r="AK164" s="237"/>
      <c r="AL164" s="237"/>
    </row>
    <row r="165" spans="2:38" ht="18.75" x14ac:dyDescent="0.25">
      <c r="B165" s="122" t="s">
        <v>236</v>
      </c>
      <c r="C165" s="14" t="s">
        <v>235</v>
      </c>
      <c r="D165" s="14">
        <v>39361</v>
      </c>
      <c r="E165" s="13" t="s">
        <v>237</v>
      </c>
      <c r="F165" s="139" t="s">
        <v>38</v>
      </c>
      <c r="G165" s="139" t="s">
        <v>238</v>
      </c>
      <c r="H165" s="139"/>
      <c r="I165" s="139">
        <v>71612</v>
      </c>
      <c r="J165" s="139"/>
      <c r="K165" s="139"/>
      <c r="L165" s="139"/>
      <c r="M165" s="139"/>
      <c r="N165" s="139"/>
      <c r="O165" s="139"/>
      <c r="P165" s="139"/>
      <c r="Q165" s="139"/>
      <c r="R165" s="139"/>
      <c r="S165" s="101"/>
      <c r="T165" s="101"/>
      <c r="U165" s="101"/>
      <c r="V165" s="105"/>
      <c r="X165" s="112" t="s">
        <v>692</v>
      </c>
      <c r="Y165" s="44" t="s">
        <v>692</v>
      </c>
      <c r="Z165" s="44" t="s">
        <v>692</v>
      </c>
      <c r="AA165" s="44" t="s">
        <v>692</v>
      </c>
      <c r="AB165" s="44" t="s">
        <v>692</v>
      </c>
      <c r="AC165" s="44" t="s">
        <v>692</v>
      </c>
      <c r="AD165" s="44" t="s">
        <v>692</v>
      </c>
      <c r="AE165" s="44" t="s">
        <v>692</v>
      </c>
      <c r="AF165" s="44" t="s">
        <v>692</v>
      </c>
      <c r="AG165" s="44" t="s">
        <v>692</v>
      </c>
      <c r="AH165" s="44" t="s">
        <v>692</v>
      </c>
      <c r="AI165" s="113" t="s">
        <v>692</v>
      </c>
      <c r="AK165" s="237"/>
      <c r="AL165" s="237"/>
    </row>
    <row r="166" spans="2:38" ht="18.75" x14ac:dyDescent="0.25">
      <c r="B166" s="122">
        <v>71300126545</v>
      </c>
      <c r="C166" s="14" t="s">
        <v>239</v>
      </c>
      <c r="D166" s="14">
        <v>39314</v>
      </c>
      <c r="E166" s="13" t="s">
        <v>245</v>
      </c>
      <c r="F166" s="139" t="s">
        <v>720</v>
      </c>
      <c r="G166" s="139" t="s">
        <v>247</v>
      </c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01"/>
      <c r="T166" s="101"/>
      <c r="U166" s="101"/>
      <c r="V166" s="105"/>
      <c r="X166" s="112" t="s">
        <v>692</v>
      </c>
      <c r="Y166" s="44" t="s">
        <v>692</v>
      </c>
      <c r="Z166" s="44" t="s">
        <v>692</v>
      </c>
      <c r="AA166" s="44" t="s">
        <v>692</v>
      </c>
      <c r="AB166" s="44" t="s">
        <v>692</v>
      </c>
      <c r="AC166" s="44" t="s">
        <v>692</v>
      </c>
      <c r="AD166" s="44" t="s">
        <v>692</v>
      </c>
      <c r="AE166" s="44" t="s">
        <v>692</v>
      </c>
      <c r="AF166" s="44" t="s">
        <v>692</v>
      </c>
      <c r="AG166" s="44" t="s">
        <v>692</v>
      </c>
      <c r="AH166" s="44" t="s">
        <v>692</v>
      </c>
      <c r="AI166" s="113" t="s">
        <v>692</v>
      </c>
      <c r="AK166" s="237"/>
      <c r="AL166" s="237"/>
    </row>
    <row r="167" spans="2:38" ht="18.75" x14ac:dyDescent="0.25">
      <c r="B167" s="122">
        <v>71300126550</v>
      </c>
      <c r="C167" s="14" t="s">
        <v>239</v>
      </c>
      <c r="D167" s="14">
        <v>39028</v>
      </c>
      <c r="E167" s="13" t="s">
        <v>241</v>
      </c>
      <c r="F167" s="139" t="s">
        <v>721</v>
      </c>
      <c r="G167" s="139" t="s">
        <v>249</v>
      </c>
      <c r="H167" s="139"/>
      <c r="I167" s="139">
        <v>516993</v>
      </c>
      <c r="J167" s="139"/>
      <c r="K167" s="139"/>
      <c r="L167" s="139"/>
      <c r="M167" s="139"/>
      <c r="N167" s="139"/>
      <c r="O167" s="139"/>
      <c r="P167" s="139"/>
      <c r="Q167" s="139"/>
      <c r="R167" s="139"/>
      <c r="S167" s="101"/>
      <c r="T167" s="101"/>
      <c r="U167" s="101"/>
      <c r="V167" s="105"/>
      <c r="X167" s="112" t="s">
        <v>692</v>
      </c>
      <c r="Y167" s="44" t="s">
        <v>692</v>
      </c>
      <c r="Z167" s="44" t="s">
        <v>692</v>
      </c>
      <c r="AA167" s="44" t="s">
        <v>692</v>
      </c>
      <c r="AB167" s="44" t="s">
        <v>692</v>
      </c>
      <c r="AC167" s="44" t="s">
        <v>692</v>
      </c>
      <c r="AD167" s="44" t="s">
        <v>692</v>
      </c>
      <c r="AE167" s="44" t="s">
        <v>692</v>
      </c>
      <c r="AF167" s="44" t="s">
        <v>692</v>
      </c>
      <c r="AG167" s="44" t="s">
        <v>692</v>
      </c>
      <c r="AH167" s="44" t="s">
        <v>692</v>
      </c>
      <c r="AI167" s="113" t="s">
        <v>692</v>
      </c>
      <c r="AK167" s="237"/>
      <c r="AL167" s="237"/>
    </row>
    <row r="168" spans="2:38" ht="18.75" x14ac:dyDescent="0.25">
      <c r="B168" s="122">
        <v>71300126611</v>
      </c>
      <c r="C168" s="14" t="s">
        <v>239</v>
      </c>
      <c r="D168" s="14">
        <v>39038</v>
      </c>
      <c r="E168" s="13" t="s">
        <v>241</v>
      </c>
      <c r="F168" s="139" t="s">
        <v>722</v>
      </c>
      <c r="G168" s="139" t="s">
        <v>251</v>
      </c>
      <c r="H168" s="139"/>
      <c r="I168" s="139">
        <v>409656</v>
      </c>
      <c r="J168" s="139"/>
      <c r="K168" s="139"/>
      <c r="L168" s="139"/>
      <c r="M168" s="139"/>
      <c r="N168" s="139"/>
      <c r="O168" s="139"/>
      <c r="P168" s="139"/>
      <c r="Q168" s="139"/>
      <c r="R168" s="139"/>
      <c r="S168" s="101"/>
      <c r="T168" s="101"/>
      <c r="U168" s="101"/>
      <c r="V168" s="105"/>
      <c r="X168" s="112" t="s">
        <v>692</v>
      </c>
      <c r="Y168" s="44" t="s">
        <v>692</v>
      </c>
      <c r="Z168" s="44" t="s">
        <v>692</v>
      </c>
      <c r="AA168" s="44" t="s">
        <v>692</v>
      </c>
      <c r="AB168" s="44" t="s">
        <v>692</v>
      </c>
      <c r="AC168" s="44" t="s">
        <v>692</v>
      </c>
      <c r="AD168" s="44" t="s">
        <v>692</v>
      </c>
      <c r="AE168" s="44" t="s">
        <v>692</v>
      </c>
      <c r="AF168" s="44" t="s">
        <v>692</v>
      </c>
      <c r="AG168" s="44" t="s">
        <v>692</v>
      </c>
      <c r="AH168" s="44" t="s">
        <v>692</v>
      </c>
      <c r="AI168" s="113" t="s">
        <v>692</v>
      </c>
      <c r="AK168" s="237"/>
      <c r="AL168" s="237"/>
    </row>
    <row r="169" spans="2:38" ht="18.75" x14ac:dyDescent="0.25">
      <c r="B169" s="122">
        <v>71300126612</v>
      </c>
      <c r="C169" s="14" t="s">
        <v>239</v>
      </c>
      <c r="D169" s="14">
        <v>39139</v>
      </c>
      <c r="E169" s="13" t="s">
        <v>245</v>
      </c>
      <c r="F169" s="139" t="s">
        <v>723</v>
      </c>
      <c r="G169" s="139" t="s">
        <v>246</v>
      </c>
      <c r="H169" s="139"/>
      <c r="I169" s="139">
        <v>264069</v>
      </c>
      <c r="J169" s="139"/>
      <c r="K169" s="139"/>
      <c r="L169" s="139"/>
      <c r="M169" s="139"/>
      <c r="N169" s="139"/>
      <c r="O169" s="139"/>
      <c r="P169" s="139"/>
      <c r="Q169" s="139"/>
      <c r="R169" s="139"/>
      <c r="S169" s="101"/>
      <c r="T169" s="101"/>
      <c r="U169" s="101"/>
      <c r="V169" s="105"/>
      <c r="X169" s="112" t="s">
        <v>692</v>
      </c>
      <c r="Y169" s="44" t="s">
        <v>692</v>
      </c>
      <c r="Z169" s="44" t="s">
        <v>692</v>
      </c>
      <c r="AA169" s="44" t="s">
        <v>692</v>
      </c>
      <c r="AB169" s="44" t="s">
        <v>692</v>
      </c>
      <c r="AC169" s="44" t="s">
        <v>692</v>
      </c>
      <c r="AD169" s="44" t="s">
        <v>692</v>
      </c>
      <c r="AE169" s="44" t="s">
        <v>692</v>
      </c>
      <c r="AF169" s="44" t="s">
        <v>692</v>
      </c>
      <c r="AG169" s="44" t="s">
        <v>692</v>
      </c>
      <c r="AH169" s="44" t="s">
        <v>692</v>
      </c>
      <c r="AI169" s="113" t="s">
        <v>692</v>
      </c>
      <c r="AK169" s="237"/>
      <c r="AL169" s="237"/>
    </row>
    <row r="170" spans="2:38" ht="18.75" x14ac:dyDescent="0.25">
      <c r="B170" s="122">
        <v>71300126614</v>
      </c>
      <c r="C170" s="14" t="s">
        <v>239</v>
      </c>
      <c r="D170" s="14">
        <v>39037</v>
      </c>
      <c r="E170" s="13" t="s">
        <v>241</v>
      </c>
      <c r="F170" s="139" t="s">
        <v>724</v>
      </c>
      <c r="G170" s="139" t="s">
        <v>250</v>
      </c>
      <c r="H170" s="139"/>
      <c r="I170" s="139">
        <v>451243</v>
      </c>
      <c r="J170" s="139"/>
      <c r="K170" s="139"/>
      <c r="L170" s="139"/>
      <c r="M170" s="139"/>
      <c r="N170" s="139"/>
      <c r="O170" s="139"/>
      <c r="P170" s="139"/>
      <c r="Q170" s="139"/>
      <c r="R170" s="139"/>
      <c r="S170" s="101"/>
      <c r="T170" s="101"/>
      <c r="U170" s="101"/>
      <c r="V170" s="105"/>
      <c r="X170" s="112" t="s">
        <v>692</v>
      </c>
      <c r="Y170" s="44" t="s">
        <v>692</v>
      </c>
      <c r="Z170" s="44" t="s">
        <v>692</v>
      </c>
      <c r="AA170" s="44" t="s">
        <v>692</v>
      </c>
      <c r="AB170" s="44" t="s">
        <v>692</v>
      </c>
      <c r="AC170" s="44" t="s">
        <v>692</v>
      </c>
      <c r="AD170" s="44" t="s">
        <v>692</v>
      </c>
      <c r="AE170" s="44" t="s">
        <v>692</v>
      </c>
      <c r="AF170" s="44" t="s">
        <v>692</v>
      </c>
      <c r="AG170" s="44" t="s">
        <v>692</v>
      </c>
      <c r="AH170" s="44" t="s">
        <v>692</v>
      </c>
      <c r="AI170" s="113" t="s">
        <v>692</v>
      </c>
      <c r="AK170" s="237"/>
      <c r="AL170" s="237"/>
    </row>
    <row r="171" spans="2:38" ht="18.75" x14ac:dyDescent="0.25">
      <c r="B171" s="122">
        <v>71300126675</v>
      </c>
      <c r="C171" s="14" t="s">
        <v>239</v>
      </c>
      <c r="D171" s="14">
        <v>39024</v>
      </c>
      <c r="E171" s="13" t="s">
        <v>241</v>
      </c>
      <c r="F171" s="139" t="s">
        <v>725</v>
      </c>
      <c r="G171" s="139" t="s">
        <v>244</v>
      </c>
      <c r="H171" s="139"/>
      <c r="I171" s="139">
        <v>228067</v>
      </c>
      <c r="J171" s="139"/>
      <c r="K171" s="139"/>
      <c r="L171" s="139"/>
      <c r="M171" s="139"/>
      <c r="N171" s="139"/>
      <c r="O171" s="139"/>
      <c r="P171" s="139"/>
      <c r="Q171" s="139"/>
      <c r="R171" s="139"/>
      <c r="S171" s="101"/>
      <c r="T171" s="101"/>
      <c r="U171" s="101"/>
      <c r="V171" s="105"/>
      <c r="X171" s="112" t="s">
        <v>692</v>
      </c>
      <c r="Y171" s="44" t="s">
        <v>692</v>
      </c>
      <c r="Z171" s="44" t="s">
        <v>692</v>
      </c>
      <c r="AA171" s="44" t="s">
        <v>692</v>
      </c>
      <c r="AB171" s="44" t="s">
        <v>692</v>
      </c>
      <c r="AC171" s="44" t="s">
        <v>692</v>
      </c>
      <c r="AD171" s="44" t="s">
        <v>692</v>
      </c>
      <c r="AE171" s="44" t="s">
        <v>692</v>
      </c>
      <c r="AF171" s="44" t="s">
        <v>692</v>
      </c>
      <c r="AG171" s="44" t="s">
        <v>692</v>
      </c>
      <c r="AH171" s="44" t="s">
        <v>692</v>
      </c>
      <c r="AI171" s="113" t="s">
        <v>692</v>
      </c>
      <c r="AK171" s="237"/>
      <c r="AL171" s="237"/>
    </row>
    <row r="172" spans="2:38" ht="18.75" x14ac:dyDescent="0.25">
      <c r="B172" s="122">
        <v>71300126679</v>
      </c>
      <c r="C172" s="14" t="s">
        <v>239</v>
      </c>
      <c r="D172" s="14">
        <v>39019</v>
      </c>
      <c r="E172" s="13" t="s">
        <v>241</v>
      </c>
      <c r="F172" s="139" t="s">
        <v>726</v>
      </c>
      <c r="G172" s="139" t="s">
        <v>243</v>
      </c>
      <c r="H172" s="139"/>
      <c r="I172" s="139">
        <v>336443</v>
      </c>
      <c r="J172" s="139"/>
      <c r="K172" s="139"/>
      <c r="L172" s="139"/>
      <c r="M172" s="139"/>
      <c r="N172" s="139"/>
      <c r="O172" s="139"/>
      <c r="P172" s="139"/>
      <c r="Q172" s="139"/>
      <c r="R172" s="139"/>
      <c r="S172" s="101"/>
      <c r="T172" s="101"/>
      <c r="U172" s="101"/>
      <c r="V172" s="105"/>
      <c r="X172" s="112" t="s">
        <v>692</v>
      </c>
      <c r="Y172" s="44" t="s">
        <v>692</v>
      </c>
      <c r="Z172" s="44" t="s">
        <v>692</v>
      </c>
      <c r="AA172" s="44" t="s">
        <v>692</v>
      </c>
      <c r="AB172" s="44" t="s">
        <v>692</v>
      </c>
      <c r="AC172" s="44" t="s">
        <v>692</v>
      </c>
      <c r="AD172" s="44" t="s">
        <v>692</v>
      </c>
      <c r="AE172" s="44" t="s">
        <v>692</v>
      </c>
      <c r="AF172" s="44" t="s">
        <v>692</v>
      </c>
      <c r="AG172" s="44" t="s">
        <v>692</v>
      </c>
      <c r="AH172" s="44" t="s">
        <v>692</v>
      </c>
      <c r="AI172" s="113" t="s">
        <v>692</v>
      </c>
      <c r="AK172" s="237"/>
      <c r="AL172" s="237"/>
    </row>
    <row r="173" spans="2:38" ht="18.75" x14ac:dyDescent="0.25">
      <c r="B173" s="122">
        <v>71300126840</v>
      </c>
      <c r="C173" s="14" t="s">
        <v>239</v>
      </c>
      <c r="D173" s="14">
        <v>39140</v>
      </c>
      <c r="E173" s="13" t="s">
        <v>245</v>
      </c>
      <c r="F173" s="139" t="s">
        <v>727</v>
      </c>
      <c r="G173" s="139" t="s">
        <v>248</v>
      </c>
      <c r="H173" s="139"/>
      <c r="I173" s="139">
        <v>410021</v>
      </c>
      <c r="J173" s="139"/>
      <c r="K173" s="139"/>
      <c r="L173" s="139"/>
      <c r="M173" s="139"/>
      <c r="N173" s="139"/>
      <c r="O173" s="139"/>
      <c r="P173" s="139"/>
      <c r="Q173" s="139"/>
      <c r="R173" s="139"/>
      <c r="S173" s="101"/>
      <c r="T173" s="101"/>
      <c r="U173" s="101"/>
      <c r="V173" s="105"/>
      <c r="X173" s="112" t="s">
        <v>692</v>
      </c>
      <c r="Y173" s="44" t="s">
        <v>692</v>
      </c>
      <c r="Z173" s="44" t="s">
        <v>692</v>
      </c>
      <c r="AA173" s="44" t="s">
        <v>692</v>
      </c>
      <c r="AB173" s="44" t="s">
        <v>692</v>
      </c>
      <c r="AC173" s="44" t="s">
        <v>692</v>
      </c>
      <c r="AD173" s="44" t="s">
        <v>692</v>
      </c>
      <c r="AE173" s="44" t="s">
        <v>692</v>
      </c>
      <c r="AF173" s="44" t="s">
        <v>692</v>
      </c>
      <c r="AG173" s="44" t="s">
        <v>692</v>
      </c>
      <c r="AH173" s="44" t="s">
        <v>692</v>
      </c>
      <c r="AI173" s="113" t="s">
        <v>692</v>
      </c>
      <c r="AK173" s="237"/>
      <c r="AL173" s="237"/>
    </row>
    <row r="174" spans="2:38" ht="18.75" x14ac:dyDescent="0.25">
      <c r="B174" s="122">
        <v>71300126846</v>
      </c>
      <c r="C174" s="14" t="s">
        <v>239</v>
      </c>
      <c r="D174" s="14">
        <v>39005</v>
      </c>
      <c r="E174" s="13" t="s">
        <v>241</v>
      </c>
      <c r="F174" s="139" t="s">
        <v>728</v>
      </c>
      <c r="G174" s="139" t="s">
        <v>242</v>
      </c>
      <c r="H174" s="139"/>
      <c r="I174" s="139">
        <v>271223</v>
      </c>
      <c r="J174" s="139"/>
      <c r="K174" s="139"/>
      <c r="L174" s="139"/>
      <c r="M174" s="139"/>
      <c r="N174" s="139"/>
      <c r="O174" s="139"/>
      <c r="P174" s="139"/>
      <c r="Q174" s="139"/>
      <c r="R174" s="139"/>
      <c r="S174" s="101"/>
      <c r="T174" s="101"/>
      <c r="U174" s="101"/>
      <c r="V174" s="105"/>
      <c r="X174" s="112" t="s">
        <v>692</v>
      </c>
      <c r="Y174" s="44" t="s">
        <v>692</v>
      </c>
      <c r="Z174" s="44" t="s">
        <v>692</v>
      </c>
      <c r="AA174" s="44" t="s">
        <v>692</v>
      </c>
      <c r="AB174" s="44" t="s">
        <v>692</v>
      </c>
      <c r="AC174" s="44" t="s">
        <v>692</v>
      </c>
      <c r="AD174" s="44" t="s">
        <v>692</v>
      </c>
      <c r="AE174" s="44" t="s">
        <v>692</v>
      </c>
      <c r="AF174" s="44" t="s">
        <v>692</v>
      </c>
      <c r="AG174" s="44" t="s">
        <v>692</v>
      </c>
      <c r="AH174" s="44" t="s">
        <v>692</v>
      </c>
      <c r="AI174" s="113" t="s">
        <v>692</v>
      </c>
      <c r="AK174" s="237"/>
      <c r="AL174" s="237"/>
    </row>
    <row r="175" spans="2:38" ht="18.75" x14ac:dyDescent="0.25">
      <c r="B175" s="122">
        <v>116104</v>
      </c>
      <c r="C175" s="14" t="s">
        <v>252</v>
      </c>
      <c r="D175" s="14">
        <v>39303</v>
      </c>
      <c r="E175" s="13" t="s">
        <v>245</v>
      </c>
      <c r="F175" s="139" t="s">
        <v>722</v>
      </c>
      <c r="G175" s="139" t="s">
        <v>266</v>
      </c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01"/>
      <c r="T175" s="101"/>
      <c r="U175" s="101"/>
      <c r="V175" s="105"/>
      <c r="X175" s="112" t="s">
        <v>692</v>
      </c>
      <c r="Y175" s="44" t="s">
        <v>692</v>
      </c>
      <c r="Z175" s="44" t="s">
        <v>692</v>
      </c>
      <c r="AA175" s="44" t="s">
        <v>692</v>
      </c>
      <c r="AB175" s="44" t="s">
        <v>692</v>
      </c>
      <c r="AC175" s="44" t="s">
        <v>692</v>
      </c>
      <c r="AD175" s="44" t="s">
        <v>692</v>
      </c>
      <c r="AE175" s="44" t="s">
        <v>692</v>
      </c>
      <c r="AF175" s="44" t="s">
        <v>692</v>
      </c>
      <c r="AG175" s="44" t="s">
        <v>692</v>
      </c>
      <c r="AH175" s="44" t="s">
        <v>692</v>
      </c>
      <c r="AI175" s="113" t="s">
        <v>692</v>
      </c>
      <c r="AK175" s="237"/>
      <c r="AL175" s="237"/>
    </row>
    <row r="176" spans="2:38" ht="18.75" x14ac:dyDescent="0.25">
      <c r="B176" s="122">
        <v>116446</v>
      </c>
      <c r="C176" s="14" t="s">
        <v>252</v>
      </c>
      <c r="D176" s="14">
        <v>39319</v>
      </c>
      <c r="E176" s="13" t="s">
        <v>245</v>
      </c>
      <c r="F176" s="139" t="s">
        <v>726</v>
      </c>
      <c r="G176" s="139" t="s">
        <v>259</v>
      </c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01"/>
      <c r="T176" s="101"/>
      <c r="U176" s="101"/>
      <c r="V176" s="105"/>
      <c r="X176" s="112" t="s">
        <v>692</v>
      </c>
      <c r="Y176" s="44" t="s">
        <v>692</v>
      </c>
      <c r="Z176" s="44" t="s">
        <v>692</v>
      </c>
      <c r="AA176" s="44" t="s">
        <v>692</v>
      </c>
      <c r="AB176" s="44" t="s">
        <v>692</v>
      </c>
      <c r="AC176" s="44" t="s">
        <v>692</v>
      </c>
      <c r="AD176" s="44" t="s">
        <v>692</v>
      </c>
      <c r="AE176" s="44" t="s">
        <v>692</v>
      </c>
      <c r="AF176" s="44" t="s">
        <v>692</v>
      </c>
      <c r="AG176" s="44" t="s">
        <v>692</v>
      </c>
      <c r="AH176" s="44" t="s">
        <v>692</v>
      </c>
      <c r="AI176" s="113" t="s">
        <v>692</v>
      </c>
      <c r="AK176" s="237"/>
      <c r="AL176" s="237"/>
    </row>
    <row r="177" spans="2:38" ht="18.75" x14ac:dyDescent="0.25">
      <c r="B177" s="122">
        <v>116498</v>
      </c>
      <c r="C177" s="14" t="s">
        <v>252</v>
      </c>
      <c r="D177" s="14">
        <v>39320</v>
      </c>
      <c r="E177" s="13" t="s">
        <v>245</v>
      </c>
      <c r="F177" s="139" t="s">
        <v>725</v>
      </c>
      <c r="G177" s="139" t="s">
        <v>260</v>
      </c>
      <c r="H177" s="139" t="s">
        <v>1365</v>
      </c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01"/>
      <c r="T177" s="101"/>
      <c r="U177" s="101"/>
      <c r="V177" s="105"/>
      <c r="X177" s="112" t="s">
        <v>692</v>
      </c>
      <c r="Y177" s="44" t="s">
        <v>692</v>
      </c>
      <c r="Z177" s="44" t="s">
        <v>692</v>
      </c>
      <c r="AA177" s="44" t="s">
        <v>692</v>
      </c>
      <c r="AB177" s="44" t="s">
        <v>692</v>
      </c>
      <c r="AC177" s="44" t="s">
        <v>692</v>
      </c>
      <c r="AD177" s="44" t="s">
        <v>692</v>
      </c>
      <c r="AE177" s="44" t="s">
        <v>692</v>
      </c>
      <c r="AF177" s="44" t="s">
        <v>692</v>
      </c>
      <c r="AG177" s="44" t="s">
        <v>692</v>
      </c>
      <c r="AH177" s="44" t="s">
        <v>692</v>
      </c>
      <c r="AI177" s="113" t="s">
        <v>692</v>
      </c>
      <c r="AK177" s="237"/>
      <c r="AL177" s="237"/>
    </row>
    <row r="178" spans="2:38" ht="18.75" x14ac:dyDescent="0.25">
      <c r="B178" s="122">
        <v>126610</v>
      </c>
      <c r="C178" s="14" t="s">
        <v>252</v>
      </c>
      <c r="D178" s="14">
        <v>39321</v>
      </c>
      <c r="E178" s="13" t="s">
        <v>245</v>
      </c>
      <c r="F178" s="139" t="s">
        <v>723</v>
      </c>
      <c r="G178" s="139" t="s">
        <v>261</v>
      </c>
      <c r="H178" s="139" t="s">
        <v>1365</v>
      </c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01"/>
      <c r="T178" s="101"/>
      <c r="U178" s="101"/>
      <c r="V178" s="105"/>
      <c r="X178" s="112" t="s">
        <v>692</v>
      </c>
      <c r="Y178" s="44" t="s">
        <v>692</v>
      </c>
      <c r="Z178" s="44" t="s">
        <v>692</v>
      </c>
      <c r="AA178" s="44" t="s">
        <v>692</v>
      </c>
      <c r="AB178" s="44" t="s">
        <v>692</v>
      </c>
      <c r="AC178" s="44" t="s">
        <v>692</v>
      </c>
      <c r="AD178" s="44" t="s">
        <v>692</v>
      </c>
      <c r="AE178" s="44" t="s">
        <v>692</v>
      </c>
      <c r="AF178" s="44" t="s">
        <v>692</v>
      </c>
      <c r="AG178" s="44" t="s">
        <v>692</v>
      </c>
      <c r="AH178" s="44" t="s">
        <v>692</v>
      </c>
      <c r="AI178" s="113" t="s">
        <v>692</v>
      </c>
      <c r="AK178" s="237"/>
      <c r="AL178" s="237"/>
    </row>
    <row r="179" spans="2:38" ht="18.75" x14ac:dyDescent="0.25">
      <c r="B179" s="122">
        <v>126682</v>
      </c>
      <c r="C179" s="14" t="s">
        <v>252</v>
      </c>
      <c r="D179" s="14">
        <v>39318</v>
      </c>
      <c r="E179" s="13" t="s">
        <v>245</v>
      </c>
      <c r="F179" s="139" t="s">
        <v>728</v>
      </c>
      <c r="G179" s="139" t="s">
        <v>258</v>
      </c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01"/>
      <c r="T179" s="101"/>
      <c r="U179" s="101"/>
      <c r="V179" s="105"/>
      <c r="X179" s="112" t="s">
        <v>692</v>
      </c>
      <c r="Y179" s="44" t="s">
        <v>692</v>
      </c>
      <c r="Z179" s="44" t="s">
        <v>692</v>
      </c>
      <c r="AA179" s="44" t="s">
        <v>692</v>
      </c>
      <c r="AB179" s="44" t="s">
        <v>692</v>
      </c>
      <c r="AC179" s="44" t="s">
        <v>692</v>
      </c>
      <c r="AD179" s="44" t="s">
        <v>692</v>
      </c>
      <c r="AE179" s="44" t="s">
        <v>692</v>
      </c>
      <c r="AF179" s="44" t="s">
        <v>692</v>
      </c>
      <c r="AG179" s="44" t="s">
        <v>692</v>
      </c>
      <c r="AH179" s="44" t="s">
        <v>692</v>
      </c>
      <c r="AI179" s="113" t="s">
        <v>692</v>
      </c>
      <c r="AK179" s="237"/>
      <c r="AL179" s="237"/>
    </row>
    <row r="180" spans="2:38" ht="18.75" x14ac:dyDescent="0.25">
      <c r="B180" s="122">
        <v>140754</v>
      </c>
      <c r="C180" s="14" t="s">
        <v>252</v>
      </c>
      <c r="D180" s="14">
        <v>39302</v>
      </c>
      <c r="E180" s="13" t="s">
        <v>245</v>
      </c>
      <c r="F180" s="139" t="s">
        <v>724</v>
      </c>
      <c r="G180" s="139" t="s">
        <v>265</v>
      </c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01"/>
      <c r="T180" s="101"/>
      <c r="U180" s="101"/>
      <c r="V180" s="105"/>
      <c r="X180" s="112" t="s">
        <v>692</v>
      </c>
      <c r="Y180" s="44" t="s">
        <v>692</v>
      </c>
      <c r="Z180" s="44" t="s">
        <v>692</v>
      </c>
      <c r="AA180" s="44" t="s">
        <v>692</v>
      </c>
      <c r="AB180" s="44" t="s">
        <v>692</v>
      </c>
      <c r="AC180" s="44" t="s">
        <v>692</v>
      </c>
      <c r="AD180" s="44" t="s">
        <v>692</v>
      </c>
      <c r="AE180" s="44" t="s">
        <v>692</v>
      </c>
      <c r="AF180" s="44" t="s">
        <v>692</v>
      </c>
      <c r="AG180" s="44" t="s">
        <v>692</v>
      </c>
      <c r="AH180" s="44" t="s">
        <v>692</v>
      </c>
      <c r="AI180" s="113" t="s">
        <v>692</v>
      </c>
      <c r="AK180" s="237"/>
      <c r="AL180" s="237"/>
    </row>
    <row r="181" spans="2:38" ht="18.75" x14ac:dyDescent="0.25">
      <c r="B181" s="122">
        <v>65100116117</v>
      </c>
      <c r="C181" s="14" t="s">
        <v>252</v>
      </c>
      <c r="D181" s="14">
        <v>39299</v>
      </c>
      <c r="E181" s="13" t="s">
        <v>245</v>
      </c>
      <c r="F181" s="139" t="s">
        <v>720</v>
      </c>
      <c r="G181" s="139" t="s">
        <v>262</v>
      </c>
      <c r="H181" s="139" t="s">
        <v>1365</v>
      </c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01"/>
      <c r="T181" s="101"/>
      <c r="U181" s="101"/>
      <c r="V181" s="105"/>
      <c r="X181" s="112" t="s">
        <v>692</v>
      </c>
      <c r="Y181" s="44" t="s">
        <v>692</v>
      </c>
      <c r="Z181" s="44" t="s">
        <v>692</v>
      </c>
      <c r="AA181" s="44" t="s">
        <v>692</v>
      </c>
      <c r="AB181" s="44" t="s">
        <v>692</v>
      </c>
      <c r="AC181" s="44" t="s">
        <v>692</v>
      </c>
      <c r="AD181" s="44" t="s">
        <v>692</v>
      </c>
      <c r="AE181" s="44" t="s">
        <v>692</v>
      </c>
      <c r="AF181" s="44" t="s">
        <v>692</v>
      </c>
      <c r="AG181" s="44" t="s">
        <v>692</v>
      </c>
      <c r="AH181" s="44" t="s">
        <v>692</v>
      </c>
      <c r="AI181" s="113" t="s">
        <v>692</v>
      </c>
      <c r="AK181" s="237"/>
      <c r="AL181" s="237"/>
    </row>
    <row r="182" spans="2:38" ht="18.75" x14ac:dyDescent="0.25">
      <c r="B182" s="122">
        <v>71300126672</v>
      </c>
      <c r="C182" s="14" t="s">
        <v>252</v>
      </c>
      <c r="D182" s="14">
        <v>39301</v>
      </c>
      <c r="E182" s="13" t="s">
        <v>245</v>
      </c>
      <c r="F182" s="139" t="s">
        <v>721</v>
      </c>
      <c r="G182" s="139" t="s">
        <v>264</v>
      </c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01"/>
      <c r="T182" s="101"/>
      <c r="U182" s="101"/>
      <c r="V182" s="105"/>
      <c r="X182" s="112" t="s">
        <v>692</v>
      </c>
      <c r="Y182" s="44" t="s">
        <v>692</v>
      </c>
      <c r="Z182" s="44" t="s">
        <v>692</v>
      </c>
      <c r="AA182" s="44" t="s">
        <v>692</v>
      </c>
      <c r="AB182" s="44" t="s">
        <v>692</v>
      </c>
      <c r="AC182" s="44" t="s">
        <v>692</v>
      </c>
      <c r="AD182" s="44" t="s">
        <v>692</v>
      </c>
      <c r="AE182" s="44" t="s">
        <v>692</v>
      </c>
      <c r="AF182" s="44" t="s">
        <v>692</v>
      </c>
      <c r="AG182" s="44" t="s">
        <v>692</v>
      </c>
      <c r="AH182" s="44" t="s">
        <v>692</v>
      </c>
      <c r="AI182" s="113" t="s">
        <v>692</v>
      </c>
      <c r="AK182" s="237"/>
      <c r="AL182" s="237"/>
    </row>
    <row r="183" spans="2:38" ht="18.75" x14ac:dyDescent="0.25">
      <c r="B183" s="122">
        <v>73900146533</v>
      </c>
      <c r="C183" s="14" t="s">
        <v>252</v>
      </c>
      <c r="D183" s="14">
        <v>39300</v>
      </c>
      <c r="E183" s="13" t="s">
        <v>245</v>
      </c>
      <c r="F183" s="139" t="s">
        <v>727</v>
      </c>
      <c r="G183" s="139" t="s">
        <v>263</v>
      </c>
      <c r="H183" s="139" t="s">
        <v>1365</v>
      </c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01"/>
      <c r="T183" s="101"/>
      <c r="U183" s="101"/>
      <c r="V183" s="105"/>
      <c r="X183" s="112" t="s">
        <v>692</v>
      </c>
      <c r="Y183" s="44" t="s">
        <v>692</v>
      </c>
      <c r="Z183" s="44" t="s">
        <v>692</v>
      </c>
      <c r="AA183" s="44" t="s">
        <v>692</v>
      </c>
      <c r="AB183" s="44" t="s">
        <v>692</v>
      </c>
      <c r="AC183" s="44" t="s">
        <v>692</v>
      </c>
      <c r="AD183" s="44" t="s">
        <v>692</v>
      </c>
      <c r="AE183" s="44" t="s">
        <v>692</v>
      </c>
      <c r="AF183" s="44" t="s">
        <v>692</v>
      </c>
      <c r="AG183" s="44" t="s">
        <v>692</v>
      </c>
      <c r="AH183" s="44" t="s">
        <v>692</v>
      </c>
      <c r="AI183" s="113" t="s">
        <v>692</v>
      </c>
      <c r="AK183" s="237"/>
      <c r="AL183" s="237"/>
    </row>
    <row r="184" spans="2:38" ht="18.75" x14ac:dyDescent="0.25">
      <c r="B184" s="122" t="s">
        <v>1347</v>
      </c>
      <c r="C184" s="14" t="s">
        <v>252</v>
      </c>
      <c r="D184" s="14">
        <v>39694</v>
      </c>
      <c r="E184" s="13" t="s">
        <v>245</v>
      </c>
      <c r="F184" s="139" t="s">
        <v>1620</v>
      </c>
      <c r="G184" s="139" t="s">
        <v>1349</v>
      </c>
      <c r="H184" s="139"/>
      <c r="I184" s="139">
        <v>1400</v>
      </c>
      <c r="J184" s="139"/>
      <c r="K184" s="139"/>
      <c r="L184" s="139"/>
      <c r="M184" s="139"/>
      <c r="N184" s="139"/>
      <c r="O184" s="139"/>
      <c r="P184" s="139"/>
      <c r="Q184" s="139"/>
      <c r="R184" s="139"/>
      <c r="S184" s="101"/>
      <c r="T184" s="101"/>
      <c r="U184" s="101"/>
      <c r="V184" s="105"/>
      <c r="X184" s="112" t="s">
        <v>692</v>
      </c>
      <c r="Y184" s="44" t="s">
        <v>692</v>
      </c>
      <c r="Z184" s="44" t="s">
        <v>692</v>
      </c>
      <c r="AA184" s="44" t="s">
        <v>692</v>
      </c>
      <c r="AB184" s="44" t="s">
        <v>692</v>
      </c>
      <c r="AC184" s="44" t="s">
        <v>692</v>
      </c>
      <c r="AD184" s="44" t="s">
        <v>692</v>
      </c>
      <c r="AE184" s="44" t="s">
        <v>692</v>
      </c>
      <c r="AF184" s="44" t="s">
        <v>692</v>
      </c>
      <c r="AG184" s="44" t="s">
        <v>692</v>
      </c>
      <c r="AH184" s="44" t="s">
        <v>692</v>
      </c>
      <c r="AI184" s="113" t="s">
        <v>692</v>
      </c>
      <c r="AK184" s="237"/>
      <c r="AL184" s="237"/>
    </row>
    <row r="185" spans="2:38" ht="18.75" x14ac:dyDescent="0.25">
      <c r="B185" s="122" t="s">
        <v>1668</v>
      </c>
      <c r="C185" s="14" t="s">
        <v>252</v>
      </c>
      <c r="D185" s="14">
        <v>39711</v>
      </c>
      <c r="E185" s="13" t="s">
        <v>245</v>
      </c>
      <c r="F185" s="139" t="s">
        <v>1667</v>
      </c>
      <c r="G185" s="139"/>
      <c r="H185" s="139" t="s">
        <v>1669</v>
      </c>
      <c r="I185" s="139">
        <v>43182</v>
      </c>
      <c r="J185" s="139"/>
      <c r="K185" s="139"/>
      <c r="L185" s="139"/>
      <c r="M185" s="139"/>
      <c r="N185" s="139"/>
      <c r="O185" s="139"/>
      <c r="P185" s="139"/>
      <c r="Q185" s="139"/>
      <c r="R185" s="139"/>
      <c r="S185" s="101"/>
      <c r="T185" s="101"/>
      <c r="U185" s="101"/>
      <c r="V185" s="105"/>
      <c r="X185" s="112" t="s">
        <v>692</v>
      </c>
      <c r="Y185" s="44" t="s">
        <v>692</v>
      </c>
      <c r="Z185" s="44" t="s">
        <v>692</v>
      </c>
      <c r="AA185" s="44" t="s">
        <v>692</v>
      </c>
      <c r="AB185" s="44" t="s">
        <v>692</v>
      </c>
      <c r="AC185" s="44" t="s">
        <v>692</v>
      </c>
      <c r="AD185" s="44" t="s">
        <v>692</v>
      </c>
      <c r="AE185" s="44" t="s">
        <v>692</v>
      </c>
      <c r="AF185" s="44" t="s">
        <v>692</v>
      </c>
      <c r="AG185" s="44" t="s">
        <v>692</v>
      </c>
      <c r="AH185" s="44" t="s">
        <v>692</v>
      </c>
      <c r="AI185" s="113" t="s">
        <v>692</v>
      </c>
      <c r="AK185" s="237"/>
      <c r="AL185" s="237"/>
    </row>
    <row r="186" spans="2:38" ht="18.75" x14ac:dyDescent="0.25">
      <c r="B186" s="122" t="s">
        <v>253</v>
      </c>
      <c r="C186" s="14" t="s">
        <v>252</v>
      </c>
      <c r="D186" s="14">
        <v>39177</v>
      </c>
      <c r="E186" s="13" t="s">
        <v>245</v>
      </c>
      <c r="F186" s="139" t="s">
        <v>1637</v>
      </c>
      <c r="G186" s="139"/>
      <c r="H186" s="139"/>
      <c r="I186" s="139">
        <v>893066</v>
      </c>
      <c r="J186" s="139"/>
      <c r="K186" s="139"/>
      <c r="L186" s="139"/>
      <c r="M186" s="139"/>
      <c r="N186" s="139"/>
      <c r="O186" s="139"/>
      <c r="P186" s="139"/>
      <c r="Q186" s="139"/>
      <c r="R186" s="139"/>
      <c r="S186" s="101"/>
      <c r="T186" s="101"/>
      <c r="U186" s="101"/>
      <c r="V186" s="105"/>
      <c r="X186" s="112" t="s">
        <v>692</v>
      </c>
      <c r="Y186" s="44" t="s">
        <v>692</v>
      </c>
      <c r="Z186" s="44" t="s">
        <v>692</v>
      </c>
      <c r="AA186" s="44" t="s">
        <v>692</v>
      </c>
      <c r="AB186" s="44" t="s">
        <v>692</v>
      </c>
      <c r="AC186" s="44" t="s">
        <v>692</v>
      </c>
      <c r="AD186" s="44" t="s">
        <v>692</v>
      </c>
      <c r="AE186" s="44" t="s">
        <v>692</v>
      </c>
      <c r="AF186" s="44" t="s">
        <v>692</v>
      </c>
      <c r="AG186" s="44" t="s">
        <v>692</v>
      </c>
      <c r="AH186" s="44" t="s">
        <v>692</v>
      </c>
      <c r="AI186" s="113" t="s">
        <v>692</v>
      </c>
      <c r="AK186" s="237"/>
      <c r="AL186" s="237"/>
    </row>
    <row r="187" spans="2:38" ht="18.75" x14ac:dyDescent="0.25">
      <c r="B187" s="122" t="s">
        <v>255</v>
      </c>
      <c r="C187" s="14" t="s">
        <v>252</v>
      </c>
      <c r="D187" s="14">
        <v>39284</v>
      </c>
      <c r="E187" s="13" t="s">
        <v>256</v>
      </c>
      <c r="F187" s="139" t="s">
        <v>1024</v>
      </c>
      <c r="G187" s="139"/>
      <c r="H187" s="139"/>
      <c r="I187" s="139">
        <v>339711</v>
      </c>
      <c r="J187" s="139"/>
      <c r="K187" s="139"/>
      <c r="L187" s="139"/>
      <c r="M187" s="139"/>
      <c r="N187" s="139"/>
      <c r="O187" s="139"/>
      <c r="P187" s="139"/>
      <c r="Q187" s="139"/>
      <c r="R187" s="139"/>
      <c r="S187" s="101"/>
      <c r="T187" s="101"/>
      <c r="U187" s="101"/>
      <c r="V187" s="105"/>
      <c r="X187" s="112" t="s">
        <v>692</v>
      </c>
      <c r="Y187" s="44" t="s">
        <v>692</v>
      </c>
      <c r="Z187" s="44" t="s">
        <v>692</v>
      </c>
      <c r="AA187" s="44" t="s">
        <v>692</v>
      </c>
      <c r="AB187" s="44" t="s">
        <v>692</v>
      </c>
      <c r="AC187" s="44" t="s">
        <v>692</v>
      </c>
      <c r="AD187" s="44" t="s">
        <v>692</v>
      </c>
      <c r="AE187" s="44" t="s">
        <v>692</v>
      </c>
      <c r="AF187" s="44" t="s">
        <v>692</v>
      </c>
      <c r="AG187" s="44" t="s">
        <v>692</v>
      </c>
      <c r="AH187" s="44" t="s">
        <v>692</v>
      </c>
      <c r="AI187" s="113" t="s">
        <v>692</v>
      </c>
      <c r="AK187" s="237"/>
      <c r="AL187" s="237"/>
    </row>
    <row r="188" spans="2:38" ht="18.75" x14ac:dyDescent="0.25">
      <c r="B188" s="122" t="s">
        <v>254</v>
      </c>
      <c r="C188" s="14" t="s">
        <v>252</v>
      </c>
      <c r="D188" s="14">
        <v>39176</v>
      </c>
      <c r="E188" s="13" t="s">
        <v>245</v>
      </c>
      <c r="F188" s="139" t="s">
        <v>1023</v>
      </c>
      <c r="G188" s="139"/>
      <c r="H188" s="139"/>
      <c r="I188" s="139">
        <v>679395</v>
      </c>
      <c r="J188" s="139"/>
      <c r="K188" s="139"/>
      <c r="L188" s="139"/>
      <c r="M188" s="139"/>
      <c r="N188" s="139"/>
      <c r="O188" s="139"/>
      <c r="P188" s="139"/>
      <c r="Q188" s="139"/>
      <c r="R188" s="139"/>
      <c r="S188" s="101"/>
      <c r="T188" s="101"/>
      <c r="U188" s="101"/>
      <c r="V188" s="105"/>
      <c r="X188" s="112" t="s">
        <v>692</v>
      </c>
      <c r="Y188" s="44" t="s">
        <v>692</v>
      </c>
      <c r="Z188" s="44" t="s">
        <v>692</v>
      </c>
      <c r="AA188" s="44" t="s">
        <v>692</v>
      </c>
      <c r="AB188" s="44" t="s">
        <v>692</v>
      </c>
      <c r="AC188" s="44" t="s">
        <v>692</v>
      </c>
      <c r="AD188" s="44" t="s">
        <v>692</v>
      </c>
      <c r="AE188" s="44" t="s">
        <v>692</v>
      </c>
      <c r="AF188" s="44" t="s">
        <v>692</v>
      </c>
      <c r="AG188" s="44" t="s">
        <v>692</v>
      </c>
      <c r="AH188" s="44" t="s">
        <v>692</v>
      </c>
      <c r="AI188" s="113" t="s">
        <v>692</v>
      </c>
      <c r="AK188" s="237"/>
      <c r="AL188" s="237"/>
    </row>
    <row r="189" spans="2:38" ht="18.75" x14ac:dyDescent="0.25">
      <c r="B189" s="122" t="s">
        <v>1628</v>
      </c>
      <c r="C189" s="14" t="s">
        <v>252</v>
      </c>
      <c r="D189" s="14">
        <v>39704</v>
      </c>
      <c r="E189" s="13" t="s">
        <v>245</v>
      </c>
      <c r="F189" s="139" t="s">
        <v>63</v>
      </c>
      <c r="G189" s="139"/>
      <c r="H189" s="139" t="s">
        <v>1629</v>
      </c>
      <c r="I189" s="139">
        <v>9784</v>
      </c>
      <c r="J189" s="139"/>
      <c r="K189" s="139"/>
      <c r="L189" s="139"/>
      <c r="M189" s="139"/>
      <c r="N189" s="139"/>
      <c r="O189" s="139"/>
      <c r="P189" s="139"/>
      <c r="Q189" s="139"/>
      <c r="R189" s="139"/>
      <c r="S189" s="101"/>
      <c r="T189" s="101"/>
      <c r="U189" s="101"/>
      <c r="V189" s="105"/>
      <c r="X189" s="112" t="s">
        <v>692</v>
      </c>
      <c r="Y189" s="44" t="s">
        <v>692</v>
      </c>
      <c r="Z189" s="44" t="s">
        <v>692</v>
      </c>
      <c r="AA189" s="44" t="s">
        <v>692</v>
      </c>
      <c r="AB189" s="44" t="s">
        <v>692</v>
      </c>
      <c r="AC189" s="44" t="s">
        <v>692</v>
      </c>
      <c r="AD189" s="44" t="s">
        <v>692</v>
      </c>
      <c r="AE189" s="44" t="s">
        <v>692</v>
      </c>
      <c r="AF189" s="44" t="s">
        <v>692</v>
      </c>
      <c r="AG189" s="44" t="s">
        <v>692</v>
      </c>
      <c r="AH189" s="44" t="s">
        <v>692</v>
      </c>
      <c r="AI189" s="113" t="s">
        <v>692</v>
      </c>
      <c r="AK189" s="237"/>
      <c r="AL189" s="237"/>
    </row>
    <row r="190" spans="2:38" ht="18.75" x14ac:dyDescent="0.25">
      <c r="B190" s="122">
        <v>181156</v>
      </c>
      <c r="C190" s="14" t="s">
        <v>267</v>
      </c>
      <c r="D190" s="14">
        <v>39445</v>
      </c>
      <c r="E190" s="13" t="s">
        <v>245</v>
      </c>
      <c r="F190" s="139" t="s">
        <v>729</v>
      </c>
      <c r="G190" s="139" t="s">
        <v>276</v>
      </c>
      <c r="H190" s="139"/>
      <c r="I190" s="139">
        <v>213607</v>
      </c>
      <c r="J190" s="139"/>
      <c r="K190" s="139"/>
      <c r="L190" s="139"/>
      <c r="M190" s="139"/>
      <c r="N190" s="139"/>
      <c r="O190" s="139"/>
      <c r="P190" s="139"/>
      <c r="Q190" s="139"/>
      <c r="R190" s="139"/>
      <c r="S190" s="101"/>
      <c r="T190" s="101"/>
      <c r="U190" s="101"/>
      <c r="V190" s="105"/>
      <c r="X190" s="112" t="s">
        <v>692</v>
      </c>
      <c r="Y190" s="44" t="s">
        <v>692</v>
      </c>
      <c r="Z190" s="44" t="s">
        <v>692</v>
      </c>
      <c r="AA190" s="44" t="s">
        <v>692</v>
      </c>
      <c r="AB190" s="44" t="s">
        <v>692</v>
      </c>
      <c r="AC190" s="44" t="s">
        <v>692</v>
      </c>
      <c r="AD190" s="44" t="s">
        <v>692</v>
      </c>
      <c r="AE190" s="44" t="s">
        <v>692</v>
      </c>
      <c r="AF190" s="44" t="s">
        <v>692</v>
      </c>
      <c r="AG190" s="44" t="s">
        <v>692</v>
      </c>
      <c r="AH190" s="44" t="s">
        <v>692</v>
      </c>
      <c r="AI190" s="113" t="s">
        <v>692</v>
      </c>
      <c r="AK190" s="237"/>
      <c r="AL190" s="237"/>
    </row>
    <row r="191" spans="2:38" ht="18.75" x14ac:dyDescent="0.25">
      <c r="B191" s="122">
        <v>181183</v>
      </c>
      <c r="C191" s="14" t="s">
        <v>267</v>
      </c>
      <c r="D191" s="14">
        <v>39446</v>
      </c>
      <c r="E191" s="13" t="s">
        <v>245</v>
      </c>
      <c r="F191" s="139" t="s">
        <v>730</v>
      </c>
      <c r="G191" s="139" t="s">
        <v>277</v>
      </c>
      <c r="H191" s="139"/>
      <c r="I191" s="139">
        <v>325481</v>
      </c>
      <c r="J191" s="139"/>
      <c r="K191" s="139"/>
      <c r="L191" s="139"/>
      <c r="M191" s="139"/>
      <c r="N191" s="139"/>
      <c r="O191" s="139"/>
      <c r="P191" s="139"/>
      <c r="Q191" s="139"/>
      <c r="R191" s="139"/>
      <c r="S191" s="101"/>
      <c r="T191" s="101"/>
      <c r="U191" s="101"/>
      <c r="V191" s="105"/>
      <c r="X191" s="112" t="s">
        <v>692</v>
      </c>
      <c r="Y191" s="44" t="s">
        <v>692</v>
      </c>
      <c r="Z191" s="44" t="s">
        <v>692</v>
      </c>
      <c r="AA191" s="44" t="s">
        <v>692</v>
      </c>
      <c r="AB191" s="44" t="s">
        <v>692</v>
      </c>
      <c r="AC191" s="44" t="s">
        <v>692</v>
      </c>
      <c r="AD191" s="44" t="s">
        <v>692</v>
      </c>
      <c r="AE191" s="44" t="s">
        <v>692</v>
      </c>
      <c r="AF191" s="44" t="s">
        <v>692</v>
      </c>
      <c r="AG191" s="44" t="s">
        <v>692</v>
      </c>
      <c r="AH191" s="44" t="s">
        <v>692</v>
      </c>
      <c r="AI191" s="113" t="s">
        <v>692</v>
      </c>
      <c r="AK191" s="237"/>
      <c r="AL191" s="237"/>
    </row>
    <row r="192" spans="2:38" ht="18.75" x14ac:dyDescent="0.25">
      <c r="B192" s="122">
        <v>181237</v>
      </c>
      <c r="C192" s="14" t="s">
        <v>267</v>
      </c>
      <c r="D192" s="14">
        <v>39447</v>
      </c>
      <c r="E192" s="13" t="s">
        <v>245</v>
      </c>
      <c r="F192" s="139" t="s">
        <v>731</v>
      </c>
      <c r="G192" s="139" t="s">
        <v>278</v>
      </c>
      <c r="H192" s="139"/>
      <c r="I192" s="139">
        <v>293306</v>
      </c>
      <c r="J192" s="139"/>
      <c r="K192" s="139"/>
      <c r="L192" s="139"/>
      <c r="M192" s="139"/>
      <c r="N192" s="139"/>
      <c r="O192" s="139"/>
      <c r="P192" s="139"/>
      <c r="Q192" s="139"/>
      <c r="R192" s="139"/>
      <c r="S192" s="101"/>
      <c r="T192" s="101"/>
      <c r="U192" s="101"/>
      <c r="V192" s="105"/>
      <c r="X192" s="112" t="s">
        <v>692</v>
      </c>
      <c r="Y192" s="44" t="s">
        <v>692</v>
      </c>
      <c r="Z192" s="44" t="s">
        <v>692</v>
      </c>
      <c r="AA192" s="44" t="s">
        <v>692</v>
      </c>
      <c r="AB192" s="44" t="s">
        <v>692</v>
      </c>
      <c r="AC192" s="44" t="s">
        <v>692</v>
      </c>
      <c r="AD192" s="44" t="s">
        <v>692</v>
      </c>
      <c r="AE192" s="44" t="s">
        <v>692</v>
      </c>
      <c r="AF192" s="44" t="s">
        <v>692</v>
      </c>
      <c r="AG192" s="44" t="s">
        <v>692</v>
      </c>
      <c r="AH192" s="44" t="s">
        <v>692</v>
      </c>
      <c r="AI192" s="113" t="s">
        <v>692</v>
      </c>
      <c r="AK192" s="237"/>
      <c r="AL192" s="237"/>
    </row>
    <row r="193" spans="2:38" ht="18.75" x14ac:dyDescent="0.25">
      <c r="B193" s="122">
        <v>181317</v>
      </c>
      <c r="C193" s="14" t="s">
        <v>267</v>
      </c>
      <c r="D193" s="14">
        <v>39296</v>
      </c>
      <c r="E193" s="13" t="s">
        <v>245</v>
      </c>
      <c r="F193" s="139" t="s">
        <v>737</v>
      </c>
      <c r="G193" s="139" t="s">
        <v>271</v>
      </c>
      <c r="H193" s="139"/>
      <c r="I193" s="139">
        <v>240096</v>
      </c>
      <c r="J193" s="139"/>
      <c r="K193" s="139"/>
      <c r="L193" s="139"/>
      <c r="M193" s="139"/>
      <c r="N193" s="139"/>
      <c r="O193" s="139"/>
      <c r="P193" s="139"/>
      <c r="Q193" s="139"/>
      <c r="R193" s="139"/>
      <c r="S193" s="101"/>
      <c r="T193" s="101"/>
      <c r="U193" s="101"/>
      <c r="V193" s="105"/>
      <c r="X193" s="112" t="s">
        <v>692</v>
      </c>
      <c r="Y193" s="44" t="s">
        <v>692</v>
      </c>
      <c r="Z193" s="44" t="s">
        <v>692</v>
      </c>
      <c r="AA193" s="44" t="s">
        <v>692</v>
      </c>
      <c r="AB193" s="44" t="s">
        <v>692</v>
      </c>
      <c r="AC193" s="44" t="s">
        <v>692</v>
      </c>
      <c r="AD193" s="44" t="s">
        <v>692</v>
      </c>
      <c r="AE193" s="44" t="s">
        <v>692</v>
      </c>
      <c r="AF193" s="44" t="s">
        <v>692</v>
      </c>
      <c r="AG193" s="44" t="s">
        <v>692</v>
      </c>
      <c r="AH193" s="44" t="s">
        <v>692</v>
      </c>
      <c r="AI193" s="113" t="s">
        <v>692</v>
      </c>
      <c r="AK193" s="237"/>
      <c r="AL193" s="237"/>
    </row>
    <row r="194" spans="2:38" ht="18.75" x14ac:dyDescent="0.25">
      <c r="B194" s="122">
        <v>181320</v>
      </c>
      <c r="C194" s="14" t="s">
        <v>267</v>
      </c>
      <c r="D194" s="14">
        <v>39297</v>
      </c>
      <c r="E194" s="13" t="s">
        <v>245</v>
      </c>
      <c r="F194" s="139" t="s">
        <v>738</v>
      </c>
      <c r="G194" s="139" t="s">
        <v>272</v>
      </c>
      <c r="H194" s="139"/>
      <c r="I194" s="139">
        <v>273795</v>
      </c>
      <c r="J194" s="139"/>
      <c r="K194" s="139"/>
      <c r="L194" s="139"/>
      <c r="M194" s="139"/>
      <c r="N194" s="139"/>
      <c r="O194" s="139"/>
      <c r="P194" s="139"/>
      <c r="Q194" s="139"/>
      <c r="R194" s="139"/>
      <c r="S194" s="101"/>
      <c r="T194" s="101"/>
      <c r="U194" s="101"/>
      <c r="V194" s="105"/>
      <c r="X194" s="112" t="s">
        <v>692</v>
      </c>
      <c r="Y194" s="44" t="s">
        <v>692</v>
      </c>
      <c r="Z194" s="44" t="s">
        <v>692</v>
      </c>
      <c r="AA194" s="44" t="s">
        <v>692</v>
      </c>
      <c r="AB194" s="44" t="s">
        <v>692</v>
      </c>
      <c r="AC194" s="44" t="s">
        <v>692</v>
      </c>
      <c r="AD194" s="44" t="s">
        <v>692</v>
      </c>
      <c r="AE194" s="44" t="s">
        <v>692</v>
      </c>
      <c r="AF194" s="44" t="s">
        <v>692</v>
      </c>
      <c r="AG194" s="44" t="s">
        <v>692</v>
      </c>
      <c r="AH194" s="44" t="s">
        <v>692</v>
      </c>
      <c r="AI194" s="113" t="s">
        <v>692</v>
      </c>
      <c r="AK194" s="237"/>
      <c r="AL194" s="237"/>
    </row>
    <row r="195" spans="2:38" ht="18.75" x14ac:dyDescent="0.25">
      <c r="B195" s="122">
        <v>181321</v>
      </c>
      <c r="C195" s="14" t="s">
        <v>267</v>
      </c>
      <c r="D195" s="14">
        <v>39448</v>
      </c>
      <c r="E195" s="13" t="s">
        <v>245</v>
      </c>
      <c r="F195" s="139" t="s">
        <v>732</v>
      </c>
      <c r="G195" s="139" t="s">
        <v>279</v>
      </c>
      <c r="H195" s="139"/>
      <c r="I195" s="139">
        <v>387475</v>
      </c>
      <c r="J195" s="139"/>
      <c r="K195" s="139"/>
      <c r="L195" s="139"/>
      <c r="M195" s="139"/>
      <c r="N195" s="139"/>
      <c r="O195" s="139"/>
      <c r="P195" s="139"/>
      <c r="Q195" s="139"/>
      <c r="R195" s="139"/>
      <c r="S195" s="101"/>
      <c r="T195" s="101"/>
      <c r="U195" s="101"/>
      <c r="V195" s="105"/>
      <c r="X195" s="112" t="s">
        <v>692</v>
      </c>
      <c r="Y195" s="44" t="s">
        <v>692</v>
      </c>
      <c r="Z195" s="44" t="s">
        <v>692</v>
      </c>
      <c r="AA195" s="44" t="s">
        <v>692</v>
      </c>
      <c r="AB195" s="44" t="s">
        <v>692</v>
      </c>
      <c r="AC195" s="44" t="s">
        <v>692</v>
      </c>
      <c r="AD195" s="44" t="s">
        <v>692</v>
      </c>
      <c r="AE195" s="44" t="s">
        <v>692</v>
      </c>
      <c r="AF195" s="44" t="s">
        <v>692</v>
      </c>
      <c r="AG195" s="44" t="s">
        <v>692</v>
      </c>
      <c r="AH195" s="44" t="s">
        <v>692</v>
      </c>
      <c r="AI195" s="113" t="s">
        <v>692</v>
      </c>
      <c r="AK195" s="237"/>
      <c r="AL195" s="237"/>
    </row>
    <row r="196" spans="2:38" ht="18.75" x14ac:dyDescent="0.25">
      <c r="B196" s="122">
        <v>181345</v>
      </c>
      <c r="C196" s="14" t="s">
        <v>267</v>
      </c>
      <c r="D196" s="14">
        <v>39294</v>
      </c>
      <c r="E196" s="13" t="s">
        <v>245</v>
      </c>
      <c r="F196" s="139" t="s">
        <v>736</v>
      </c>
      <c r="G196" s="139" t="s">
        <v>270</v>
      </c>
      <c r="H196" s="139"/>
      <c r="I196" s="139">
        <v>288694</v>
      </c>
      <c r="J196" s="139"/>
      <c r="K196" s="139"/>
      <c r="L196" s="139"/>
      <c r="M196" s="139"/>
      <c r="N196" s="139"/>
      <c r="O196" s="139"/>
      <c r="P196" s="139"/>
      <c r="Q196" s="139"/>
      <c r="R196" s="139"/>
      <c r="S196" s="101"/>
      <c r="T196" s="101"/>
      <c r="U196" s="101"/>
      <c r="V196" s="105"/>
      <c r="X196" s="112" t="s">
        <v>692</v>
      </c>
      <c r="Y196" s="44" t="s">
        <v>692</v>
      </c>
      <c r="Z196" s="44" t="s">
        <v>692</v>
      </c>
      <c r="AA196" s="44" t="s">
        <v>692</v>
      </c>
      <c r="AB196" s="44" t="s">
        <v>692</v>
      </c>
      <c r="AC196" s="44" t="s">
        <v>692</v>
      </c>
      <c r="AD196" s="44" t="s">
        <v>692</v>
      </c>
      <c r="AE196" s="44" t="s">
        <v>692</v>
      </c>
      <c r="AF196" s="44" t="s">
        <v>692</v>
      </c>
      <c r="AG196" s="44" t="s">
        <v>692</v>
      </c>
      <c r="AH196" s="44" t="s">
        <v>692</v>
      </c>
      <c r="AI196" s="113" t="s">
        <v>692</v>
      </c>
      <c r="AK196" s="237"/>
      <c r="AL196" s="237"/>
    </row>
    <row r="197" spans="2:38" ht="18.75" x14ac:dyDescent="0.25">
      <c r="B197" s="122">
        <v>181795</v>
      </c>
      <c r="C197" s="14" t="s">
        <v>267</v>
      </c>
      <c r="D197" s="14">
        <v>39298</v>
      </c>
      <c r="E197" s="13" t="s">
        <v>245</v>
      </c>
      <c r="F197" s="139" t="s">
        <v>739</v>
      </c>
      <c r="G197" s="139" t="s">
        <v>273</v>
      </c>
      <c r="H197" s="139"/>
      <c r="I197" s="139">
        <v>265871</v>
      </c>
      <c r="J197" s="139"/>
      <c r="K197" s="139"/>
      <c r="L197" s="139"/>
      <c r="M197" s="139"/>
      <c r="N197" s="139"/>
      <c r="O197" s="139"/>
      <c r="P197" s="139"/>
      <c r="Q197" s="139"/>
      <c r="R197" s="139"/>
      <c r="S197" s="101"/>
      <c r="T197" s="101"/>
      <c r="U197" s="101"/>
      <c r="V197" s="105"/>
      <c r="X197" s="112" t="s">
        <v>692</v>
      </c>
      <c r="Y197" s="44" t="s">
        <v>692</v>
      </c>
      <c r="Z197" s="44" t="s">
        <v>692</v>
      </c>
      <c r="AA197" s="44" t="s">
        <v>692</v>
      </c>
      <c r="AB197" s="44" t="s">
        <v>692</v>
      </c>
      <c r="AC197" s="44" t="s">
        <v>692</v>
      </c>
      <c r="AD197" s="44" t="s">
        <v>692</v>
      </c>
      <c r="AE197" s="44" t="s">
        <v>692</v>
      </c>
      <c r="AF197" s="44" t="s">
        <v>692</v>
      </c>
      <c r="AG197" s="44" t="s">
        <v>692</v>
      </c>
      <c r="AH197" s="44" t="s">
        <v>692</v>
      </c>
      <c r="AI197" s="113" t="s">
        <v>692</v>
      </c>
      <c r="AK197" s="237"/>
      <c r="AL197" s="237"/>
    </row>
    <row r="198" spans="2:38" ht="18.75" x14ac:dyDescent="0.25">
      <c r="B198" s="122">
        <v>349452</v>
      </c>
      <c r="C198" s="14" t="s">
        <v>267</v>
      </c>
      <c r="D198" s="14">
        <v>39449</v>
      </c>
      <c r="E198" s="13" t="s">
        <v>245</v>
      </c>
      <c r="F198" s="139" t="s">
        <v>740</v>
      </c>
      <c r="G198" s="139" t="s">
        <v>274</v>
      </c>
      <c r="H198" s="139"/>
      <c r="I198" s="139">
        <v>108484</v>
      </c>
      <c r="J198" s="139"/>
      <c r="K198" s="139"/>
      <c r="L198" s="139"/>
      <c r="M198" s="139"/>
      <c r="N198" s="139"/>
      <c r="O198" s="139"/>
      <c r="P198" s="139"/>
      <c r="Q198" s="139"/>
      <c r="R198" s="139"/>
      <c r="S198" s="101"/>
      <c r="T198" s="101"/>
      <c r="U198" s="101"/>
      <c r="V198" s="105"/>
      <c r="X198" s="112" t="s">
        <v>692</v>
      </c>
      <c r="Y198" s="44" t="s">
        <v>692</v>
      </c>
      <c r="Z198" s="44" t="s">
        <v>692</v>
      </c>
      <c r="AA198" s="44" t="s">
        <v>692</v>
      </c>
      <c r="AB198" s="44" t="s">
        <v>692</v>
      </c>
      <c r="AC198" s="44" t="s">
        <v>692</v>
      </c>
      <c r="AD198" s="44" t="s">
        <v>692</v>
      </c>
      <c r="AE198" s="44" t="s">
        <v>692</v>
      </c>
      <c r="AF198" s="44" t="s">
        <v>692</v>
      </c>
      <c r="AG198" s="44" t="s">
        <v>692</v>
      </c>
      <c r="AH198" s="44" t="s">
        <v>692</v>
      </c>
      <c r="AI198" s="113" t="s">
        <v>692</v>
      </c>
      <c r="AK198" s="237"/>
      <c r="AL198" s="237"/>
    </row>
    <row r="199" spans="2:38" ht="18.75" x14ac:dyDescent="0.25">
      <c r="B199" s="122"/>
      <c r="C199" s="14"/>
      <c r="D199" s="14"/>
      <c r="E199" s="13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01"/>
      <c r="T199" s="101"/>
      <c r="U199" s="101"/>
      <c r="V199" s="105"/>
      <c r="X199" s="112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113"/>
      <c r="AK199" s="237"/>
      <c r="AL199" s="237"/>
    </row>
    <row r="200" spans="2:38" ht="18.75" x14ac:dyDescent="0.25">
      <c r="B200" s="122"/>
      <c r="C200" s="14"/>
      <c r="D200" s="14"/>
      <c r="E200" s="13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01"/>
      <c r="T200" s="101"/>
      <c r="U200" s="101"/>
      <c r="V200" s="105"/>
      <c r="X200" s="112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113"/>
      <c r="AK200" s="237"/>
      <c r="AL200" s="237"/>
    </row>
    <row r="201" spans="2:38" ht="18.75" x14ac:dyDescent="0.25">
      <c r="B201" s="122"/>
      <c r="C201" s="14"/>
      <c r="D201" s="14"/>
      <c r="E201" s="13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01"/>
      <c r="T201" s="101"/>
      <c r="U201" s="101"/>
      <c r="V201" s="105"/>
      <c r="X201" s="112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113"/>
      <c r="AK201" s="237"/>
      <c r="AL201" s="237"/>
    </row>
    <row r="202" spans="2:38" ht="18.75" x14ac:dyDescent="0.25">
      <c r="B202" s="122"/>
      <c r="C202" s="14"/>
      <c r="D202" s="14"/>
      <c r="E202" s="13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01"/>
      <c r="T202" s="101"/>
      <c r="U202" s="101"/>
      <c r="V202" s="105"/>
      <c r="X202" s="112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113"/>
      <c r="AK202" s="237"/>
      <c r="AL202" s="237"/>
    </row>
    <row r="203" spans="2:38" ht="18.75" x14ac:dyDescent="0.25">
      <c r="B203" s="122"/>
      <c r="C203" s="14"/>
      <c r="D203" s="14"/>
      <c r="E203" s="13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01"/>
      <c r="T203" s="101"/>
      <c r="U203" s="101"/>
      <c r="V203" s="105"/>
      <c r="X203" s="112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113"/>
      <c r="AK203" s="237"/>
      <c r="AL203" s="237"/>
    </row>
    <row r="204" spans="2:38" ht="18.75" x14ac:dyDescent="0.25">
      <c r="B204" s="122"/>
      <c r="C204" s="14"/>
      <c r="D204" s="14"/>
      <c r="E204" s="13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01"/>
      <c r="T204" s="101"/>
      <c r="U204" s="101"/>
      <c r="V204" s="105"/>
      <c r="X204" s="112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113"/>
      <c r="AK204" s="237"/>
      <c r="AL204" s="237"/>
    </row>
    <row r="205" spans="2:38" ht="18.75" x14ac:dyDescent="0.25">
      <c r="B205" s="122"/>
      <c r="C205" s="14"/>
      <c r="D205" s="14"/>
      <c r="E205" s="13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01"/>
      <c r="T205" s="101"/>
      <c r="U205" s="101"/>
      <c r="V205" s="105"/>
      <c r="X205" s="112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113"/>
      <c r="AK205" s="237"/>
      <c r="AL205" s="237"/>
    </row>
    <row r="206" spans="2:38" ht="18.75" x14ac:dyDescent="0.25">
      <c r="B206" s="122"/>
      <c r="C206" s="14"/>
      <c r="D206" s="14"/>
      <c r="E206" s="13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01"/>
      <c r="T206" s="101"/>
      <c r="U206" s="101"/>
      <c r="V206" s="105"/>
      <c r="X206" s="112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113"/>
      <c r="AK206" s="237"/>
      <c r="AL206" s="237"/>
    </row>
    <row r="207" spans="2:38" ht="18.75" x14ac:dyDescent="0.25">
      <c r="B207" s="122"/>
      <c r="C207" s="14"/>
      <c r="D207" s="14"/>
      <c r="E207" s="13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01"/>
      <c r="T207" s="101"/>
      <c r="U207" s="101"/>
      <c r="V207" s="105"/>
      <c r="X207" s="112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113"/>
      <c r="AK207" s="237"/>
      <c r="AL207" s="237"/>
    </row>
    <row r="208" spans="2:38" ht="18.75" x14ac:dyDescent="0.25">
      <c r="B208" s="122"/>
      <c r="C208" s="14"/>
      <c r="D208" s="14"/>
      <c r="E208" s="13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01"/>
      <c r="T208" s="101"/>
      <c r="U208" s="101"/>
      <c r="V208" s="105"/>
      <c r="X208" s="112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113"/>
      <c r="AK208" s="237"/>
      <c r="AL208" s="237"/>
    </row>
    <row r="209" spans="2:38" ht="18.75" x14ac:dyDescent="0.25">
      <c r="B209" s="122"/>
      <c r="C209" s="14"/>
      <c r="D209" s="14"/>
      <c r="E209" s="13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01"/>
      <c r="T209" s="101"/>
      <c r="U209" s="101"/>
      <c r="V209" s="105"/>
      <c r="X209" s="112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113"/>
      <c r="AK209" s="237"/>
      <c r="AL209" s="237"/>
    </row>
    <row r="210" spans="2:38" ht="18.75" x14ac:dyDescent="0.25">
      <c r="B210" s="122"/>
      <c r="C210" s="14"/>
      <c r="D210" s="14"/>
      <c r="E210" s="13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01"/>
      <c r="T210" s="101"/>
      <c r="U210" s="101"/>
      <c r="V210" s="105"/>
      <c r="X210" s="112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113"/>
      <c r="AK210" s="237"/>
      <c r="AL210" s="237"/>
    </row>
    <row r="211" spans="2:38" ht="18.75" x14ac:dyDescent="0.25">
      <c r="B211" s="122"/>
      <c r="C211" s="14"/>
      <c r="D211" s="14"/>
      <c r="E211" s="13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01"/>
      <c r="T211" s="101"/>
      <c r="U211" s="101"/>
      <c r="V211" s="105"/>
      <c r="X211" s="112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113"/>
      <c r="AK211" s="237"/>
      <c r="AL211" s="237"/>
    </row>
    <row r="212" spans="2:38" ht="18.75" x14ac:dyDescent="0.25">
      <c r="B212" s="122"/>
      <c r="C212" s="14"/>
      <c r="D212" s="14"/>
      <c r="E212" s="13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01"/>
      <c r="T212" s="101"/>
      <c r="U212" s="101"/>
      <c r="V212" s="105"/>
      <c r="X212" s="112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113"/>
      <c r="AK212" s="237"/>
      <c r="AL212" s="237"/>
    </row>
    <row r="213" spans="2:38" ht="18.75" x14ac:dyDescent="0.25">
      <c r="B213" s="122"/>
      <c r="C213" s="14"/>
      <c r="D213" s="14"/>
      <c r="E213" s="13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01"/>
      <c r="T213" s="101"/>
      <c r="U213" s="101"/>
      <c r="V213" s="105"/>
      <c r="X213" s="112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113"/>
      <c r="AK213" s="237"/>
      <c r="AL213" s="237"/>
    </row>
    <row r="214" spans="2:38" ht="18.75" x14ac:dyDescent="0.25">
      <c r="B214" s="122"/>
      <c r="C214" s="14"/>
      <c r="D214" s="14"/>
      <c r="E214" s="13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01"/>
      <c r="T214" s="101"/>
      <c r="U214" s="101"/>
      <c r="V214" s="105"/>
      <c r="X214" s="112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113"/>
      <c r="AK214" s="237"/>
      <c r="AL214" s="237"/>
    </row>
    <row r="215" spans="2:38" ht="18.75" x14ac:dyDescent="0.3">
      <c r="B215" s="126"/>
      <c r="C215" s="9"/>
      <c r="D215" s="9"/>
      <c r="E215" s="10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01"/>
      <c r="T215" s="101"/>
      <c r="U215" s="101"/>
      <c r="V215" s="105"/>
      <c r="X215" s="112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113"/>
      <c r="AK215" s="237"/>
      <c r="AL215" s="237"/>
    </row>
    <row r="216" spans="2:38" ht="18.75" x14ac:dyDescent="0.25">
      <c r="B216" s="122"/>
      <c r="C216" s="14"/>
      <c r="D216" s="14"/>
      <c r="E216" s="13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01"/>
      <c r="T216" s="101"/>
      <c r="U216" s="101"/>
      <c r="V216" s="105"/>
      <c r="X216" s="112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113"/>
      <c r="AK216" s="237"/>
      <c r="AL216" s="237"/>
    </row>
    <row r="217" spans="2:38" ht="18.75" x14ac:dyDescent="0.25">
      <c r="B217" s="122"/>
      <c r="C217" s="3"/>
      <c r="D217" s="3"/>
      <c r="E217" s="4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01"/>
      <c r="T217" s="101"/>
      <c r="U217" s="101"/>
      <c r="V217" s="105"/>
      <c r="X217" s="112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113"/>
      <c r="AK217" s="237"/>
      <c r="AL217" s="237"/>
    </row>
    <row r="218" spans="2:38" ht="18.75" x14ac:dyDescent="0.25">
      <c r="B218" s="122"/>
      <c r="C218" s="3"/>
      <c r="D218" s="3"/>
      <c r="E218" s="4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01"/>
      <c r="T218" s="101"/>
      <c r="U218" s="101"/>
      <c r="V218" s="105"/>
      <c r="X218" s="112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113"/>
      <c r="AK218" s="237"/>
      <c r="AL218" s="237"/>
    </row>
    <row r="219" spans="2:38" ht="18.75" x14ac:dyDescent="0.25">
      <c r="B219" s="125"/>
      <c r="C219" s="16"/>
      <c r="D219" s="16"/>
      <c r="E219" s="17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01"/>
      <c r="T219" s="101"/>
      <c r="U219" s="101"/>
      <c r="V219" s="105"/>
      <c r="X219" s="112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113"/>
      <c r="AK219" s="237"/>
      <c r="AL219" s="237"/>
    </row>
    <row r="220" spans="2:38" ht="18.75" x14ac:dyDescent="0.25">
      <c r="B220" s="125"/>
      <c r="C220" s="16"/>
      <c r="D220" s="16"/>
      <c r="E220" s="17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01"/>
      <c r="T220" s="101"/>
      <c r="U220" s="101"/>
      <c r="V220" s="105"/>
      <c r="X220" s="112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113"/>
      <c r="AK220" s="237"/>
      <c r="AL220" s="237"/>
    </row>
    <row r="221" spans="2:38" ht="18.75" x14ac:dyDescent="0.25">
      <c r="B221" s="125"/>
      <c r="C221" s="16"/>
      <c r="D221" s="16"/>
      <c r="E221" s="17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01"/>
      <c r="T221" s="101"/>
      <c r="U221" s="101"/>
      <c r="V221" s="105"/>
      <c r="X221" s="112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113"/>
      <c r="AK221" s="237"/>
      <c r="AL221" s="237"/>
    </row>
    <row r="222" spans="2:38" ht="18.75" x14ac:dyDescent="0.25">
      <c r="B222" s="125"/>
      <c r="C222" s="16"/>
      <c r="D222" s="16"/>
      <c r="E222" s="17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01"/>
      <c r="T222" s="101"/>
      <c r="U222" s="101"/>
      <c r="V222" s="105"/>
      <c r="X222" s="112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113"/>
      <c r="AK222" s="237"/>
      <c r="AL222" s="237"/>
    </row>
    <row r="223" spans="2:38" ht="18.75" x14ac:dyDescent="0.25">
      <c r="B223" s="125"/>
      <c r="C223" s="16"/>
      <c r="D223" s="16"/>
      <c r="E223" s="17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01"/>
      <c r="T223" s="101"/>
      <c r="U223" s="101"/>
      <c r="V223" s="105"/>
      <c r="X223" s="112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113"/>
      <c r="AK223" s="237"/>
      <c r="AL223" s="237"/>
    </row>
    <row r="224" spans="2:38" ht="18.75" x14ac:dyDescent="0.25">
      <c r="B224" s="122"/>
      <c r="C224" s="14"/>
      <c r="D224" s="14"/>
      <c r="E224" s="17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01"/>
      <c r="T224" s="101"/>
      <c r="U224" s="101"/>
      <c r="V224" s="105"/>
      <c r="X224" s="112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113"/>
      <c r="AK224" s="237"/>
      <c r="AL224" s="237"/>
    </row>
    <row r="225" spans="2:38" ht="18.75" x14ac:dyDescent="0.25">
      <c r="B225" s="122"/>
      <c r="C225" s="14"/>
      <c r="D225" s="14"/>
      <c r="E225" s="17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01"/>
      <c r="T225" s="101"/>
      <c r="U225" s="101"/>
      <c r="V225" s="105"/>
      <c r="X225" s="112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113"/>
      <c r="AK225" s="237"/>
      <c r="AL225" s="237"/>
    </row>
    <row r="226" spans="2:38" ht="18.75" x14ac:dyDescent="0.25">
      <c r="B226" s="122"/>
      <c r="C226" s="14"/>
      <c r="D226" s="14"/>
      <c r="E226" s="17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01"/>
      <c r="T226" s="101"/>
      <c r="U226" s="101"/>
      <c r="V226" s="105"/>
      <c r="X226" s="112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113"/>
      <c r="AK226" s="237"/>
      <c r="AL226" s="237"/>
    </row>
    <row r="227" spans="2:38" ht="18.75" x14ac:dyDescent="0.25">
      <c r="B227" s="122"/>
      <c r="C227" s="14"/>
      <c r="D227" s="14"/>
      <c r="E227" s="17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01"/>
      <c r="T227" s="101"/>
      <c r="U227" s="101"/>
      <c r="V227" s="105"/>
      <c r="X227" s="112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113"/>
      <c r="AK227" s="237"/>
      <c r="AL227" s="237"/>
    </row>
    <row r="228" spans="2:38" ht="18.75" x14ac:dyDescent="0.25">
      <c r="B228" s="122"/>
      <c r="C228" s="14"/>
      <c r="D228" s="14"/>
      <c r="E228" s="17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01"/>
      <c r="T228" s="101"/>
      <c r="U228" s="101"/>
      <c r="V228" s="105"/>
      <c r="X228" s="112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113"/>
      <c r="AK228" s="237"/>
      <c r="AL228" s="237"/>
    </row>
    <row r="229" spans="2:38" ht="18.75" x14ac:dyDescent="0.25">
      <c r="B229" s="122"/>
      <c r="C229" s="14"/>
      <c r="D229" s="14"/>
      <c r="E229" s="17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01"/>
      <c r="T229" s="101"/>
      <c r="U229" s="101"/>
      <c r="V229" s="105"/>
      <c r="X229" s="112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113"/>
      <c r="AK229" s="237"/>
      <c r="AL229" s="237"/>
    </row>
    <row r="230" spans="2:38" ht="18.75" x14ac:dyDescent="0.25">
      <c r="B230" s="122"/>
      <c r="C230" s="14"/>
      <c r="D230" s="14"/>
      <c r="E230" s="17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01"/>
      <c r="T230" s="101"/>
      <c r="U230" s="101"/>
      <c r="V230" s="105"/>
      <c r="X230" s="112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113"/>
      <c r="AK230" s="237"/>
      <c r="AL230" s="237"/>
    </row>
    <row r="231" spans="2:38" ht="18.75" x14ac:dyDescent="0.25">
      <c r="B231" s="122"/>
      <c r="C231" s="14"/>
      <c r="D231" s="14"/>
      <c r="E231" s="17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01"/>
      <c r="T231" s="101"/>
      <c r="U231" s="101"/>
      <c r="V231" s="105"/>
      <c r="X231" s="112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113"/>
      <c r="AK231" s="237"/>
      <c r="AL231" s="237"/>
    </row>
    <row r="232" spans="2:38" ht="18.75" x14ac:dyDescent="0.25">
      <c r="B232" s="122"/>
      <c r="C232" s="14"/>
      <c r="D232" s="14"/>
      <c r="E232" s="17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01"/>
      <c r="T232" s="101"/>
      <c r="U232" s="101"/>
      <c r="V232" s="105"/>
      <c r="X232" s="112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113"/>
      <c r="AK232" s="237"/>
      <c r="AL232" s="237"/>
    </row>
    <row r="233" spans="2:38" ht="18.75" x14ac:dyDescent="0.25">
      <c r="B233" s="122"/>
      <c r="C233" s="14"/>
      <c r="D233" s="14"/>
      <c r="E233" s="17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01"/>
      <c r="T233" s="101"/>
      <c r="U233" s="101"/>
      <c r="V233" s="105"/>
      <c r="X233" s="112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113"/>
      <c r="AK233" s="237"/>
      <c r="AL233" s="237"/>
    </row>
    <row r="234" spans="2:38" ht="18.75" x14ac:dyDescent="0.25">
      <c r="B234" s="122"/>
      <c r="C234" s="14"/>
      <c r="D234" s="14"/>
      <c r="E234" s="17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01"/>
      <c r="T234" s="101"/>
      <c r="U234" s="101"/>
      <c r="V234" s="105"/>
      <c r="X234" s="112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113"/>
      <c r="AK234" s="237"/>
      <c r="AL234" s="237"/>
    </row>
    <row r="235" spans="2:38" ht="18.75" x14ac:dyDescent="0.25">
      <c r="B235" s="122"/>
      <c r="C235" s="14"/>
      <c r="D235" s="14"/>
      <c r="E235" s="17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01"/>
      <c r="T235" s="101"/>
      <c r="U235" s="101"/>
      <c r="V235" s="105"/>
      <c r="X235" s="112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113"/>
      <c r="AK235" s="237"/>
      <c r="AL235" s="237"/>
    </row>
    <row r="236" spans="2:38" ht="18.75" x14ac:dyDescent="0.25">
      <c r="B236" s="122"/>
      <c r="C236" s="14"/>
      <c r="D236" s="14"/>
      <c r="E236" s="17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01"/>
      <c r="T236" s="101"/>
      <c r="U236" s="101"/>
      <c r="V236" s="105"/>
      <c r="X236" s="112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113"/>
      <c r="AK236" s="237"/>
      <c r="AL236" s="237"/>
    </row>
    <row r="237" spans="2:38" ht="18.75" x14ac:dyDescent="0.25">
      <c r="B237" s="122"/>
      <c r="C237" s="14"/>
      <c r="D237" s="14"/>
      <c r="E237" s="17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01"/>
      <c r="T237" s="101"/>
      <c r="U237" s="101"/>
      <c r="V237" s="105"/>
      <c r="X237" s="112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113"/>
      <c r="AK237" s="237"/>
      <c r="AL237" s="237"/>
    </row>
    <row r="238" spans="2:38" ht="18.75" x14ac:dyDescent="0.25">
      <c r="B238" s="122"/>
      <c r="C238" s="14"/>
      <c r="D238" s="14"/>
      <c r="E238" s="17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01"/>
      <c r="T238" s="101"/>
      <c r="U238" s="101"/>
      <c r="V238" s="105"/>
      <c r="X238" s="112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113"/>
      <c r="AK238" s="237"/>
      <c r="AL238" s="237"/>
    </row>
    <row r="239" spans="2:38" ht="19.5" thickBot="1" x14ac:dyDescent="0.3">
      <c r="B239" s="122"/>
      <c r="C239" s="14"/>
      <c r="D239" s="14"/>
      <c r="E239" s="17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01"/>
      <c r="T239" s="101"/>
      <c r="U239" s="101"/>
      <c r="V239" s="105"/>
      <c r="X239" s="144"/>
      <c r="Y239" s="131"/>
      <c r="Z239" s="131"/>
      <c r="AA239" s="131"/>
      <c r="AB239" s="131"/>
      <c r="AC239" s="131"/>
      <c r="AD239" s="131"/>
      <c r="AE239" s="131"/>
      <c r="AF239" s="131"/>
      <c r="AG239" s="131"/>
      <c r="AH239" s="131"/>
      <c r="AI239" s="145"/>
      <c r="AK239" s="237"/>
      <c r="AL239" s="237"/>
    </row>
    <row r="240" spans="2:38" ht="15.75" thickBot="1" x14ac:dyDescent="0.3"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X240" s="83">
        <f>SUM(X4:X239)</f>
        <v>0</v>
      </c>
      <c r="Y240" s="83">
        <f t="shared" ref="Y240:AJ240" si="0">SUM(Y4:Y239)</f>
        <v>0</v>
      </c>
      <c r="Z240" s="83">
        <f t="shared" si="0"/>
        <v>0</v>
      </c>
      <c r="AA240" s="83">
        <f t="shared" si="0"/>
        <v>0</v>
      </c>
      <c r="AB240" s="83">
        <f t="shared" si="0"/>
        <v>0</v>
      </c>
      <c r="AC240" s="83">
        <f t="shared" si="0"/>
        <v>0</v>
      </c>
      <c r="AD240" s="83">
        <f t="shared" si="0"/>
        <v>0</v>
      </c>
      <c r="AE240" s="83">
        <f t="shared" si="0"/>
        <v>0</v>
      </c>
      <c r="AF240" s="83">
        <f>SUM(AF4:AF239)</f>
        <v>0</v>
      </c>
      <c r="AG240" s="83">
        <f t="shared" si="0"/>
        <v>0</v>
      </c>
      <c r="AH240" s="83">
        <f t="shared" si="0"/>
        <v>0</v>
      </c>
      <c r="AI240" s="83">
        <f t="shared" si="0"/>
        <v>0</v>
      </c>
      <c r="AJ240" s="83">
        <f t="shared" si="0"/>
        <v>0</v>
      </c>
      <c r="AK240" s="237"/>
      <c r="AL240" s="237"/>
    </row>
    <row r="241" spans="2:38" x14ac:dyDescent="0.25">
      <c r="AK241" s="237"/>
      <c r="AL241" s="237"/>
    </row>
    <row r="242" spans="2:38" x14ac:dyDescent="0.25">
      <c r="AK242" s="237"/>
      <c r="AL242" s="237"/>
    </row>
    <row r="243" spans="2:38" x14ac:dyDescent="0.25">
      <c r="AK243" s="237"/>
      <c r="AL243" s="237"/>
    </row>
    <row r="244" spans="2:38" x14ac:dyDescent="0.25">
      <c r="AD244" s="2">
        <f>AD240+AD337+AD415</f>
        <v>0</v>
      </c>
      <c r="AK244" s="237"/>
      <c r="AL244" s="237"/>
    </row>
    <row r="245" spans="2:38" x14ac:dyDescent="0.25">
      <c r="AK245" s="237"/>
      <c r="AL245" s="237"/>
    </row>
    <row r="246" spans="2:38" ht="15.75" thickBot="1" x14ac:dyDescent="0.3">
      <c r="AK246" s="237"/>
      <c r="AL246" s="237"/>
    </row>
    <row r="247" spans="2:38" ht="15.75" thickBot="1" x14ac:dyDescent="0.3">
      <c r="B247" s="526" t="s">
        <v>677</v>
      </c>
      <c r="C247" s="527"/>
      <c r="D247" s="527"/>
      <c r="E247" s="527"/>
      <c r="F247" s="527"/>
      <c r="G247" s="527"/>
      <c r="H247" s="527"/>
      <c r="I247" s="527"/>
      <c r="J247" s="527"/>
      <c r="K247" s="527"/>
      <c r="L247" s="527"/>
      <c r="M247" s="527"/>
      <c r="N247" s="527"/>
      <c r="O247" s="527"/>
      <c r="P247" s="527"/>
      <c r="Q247" s="527"/>
      <c r="R247" s="527"/>
      <c r="S247" s="527"/>
      <c r="T247" s="527"/>
      <c r="U247" s="527"/>
      <c r="V247" s="527"/>
      <c r="W247" s="527"/>
      <c r="X247" s="527"/>
      <c r="Y247" s="527"/>
      <c r="Z247" s="527"/>
      <c r="AA247" s="527"/>
      <c r="AB247" s="527"/>
      <c r="AC247" s="527"/>
      <c r="AD247" s="527"/>
      <c r="AE247" s="527"/>
      <c r="AF247" s="527"/>
      <c r="AG247" s="527"/>
      <c r="AH247" s="527"/>
      <c r="AI247" s="529"/>
      <c r="AK247" s="237"/>
      <c r="AL247" s="237"/>
    </row>
    <row r="248" spans="2:38" ht="19.5" thickBot="1" x14ac:dyDescent="0.3">
      <c r="B248" s="132" t="s">
        <v>18</v>
      </c>
      <c r="C248" s="116" t="s">
        <v>0</v>
      </c>
      <c r="D248" s="116" t="s">
        <v>671</v>
      </c>
      <c r="E248" s="133" t="s">
        <v>1</v>
      </c>
      <c r="F248" s="133" t="s">
        <v>2</v>
      </c>
      <c r="G248" s="133" t="s">
        <v>3</v>
      </c>
      <c r="H248" s="133" t="s">
        <v>4</v>
      </c>
      <c r="I248" s="218" t="s">
        <v>1527</v>
      </c>
      <c r="J248" s="218" t="s">
        <v>1528</v>
      </c>
      <c r="K248" s="218" t="s">
        <v>1702</v>
      </c>
      <c r="L248" s="218" t="s">
        <v>1703</v>
      </c>
      <c r="M248" s="218" t="s">
        <v>1704</v>
      </c>
      <c r="N248" s="218" t="s">
        <v>1705</v>
      </c>
      <c r="O248" s="218" t="s">
        <v>1706</v>
      </c>
      <c r="P248" s="218" t="s">
        <v>1707</v>
      </c>
      <c r="Q248" s="218" t="s">
        <v>1708</v>
      </c>
      <c r="R248" s="218" t="s">
        <v>1709</v>
      </c>
      <c r="S248" s="218" t="s">
        <v>1710</v>
      </c>
      <c r="T248" s="218" t="s">
        <v>1711</v>
      </c>
      <c r="U248" s="218" t="s">
        <v>1712</v>
      </c>
      <c r="V248" s="227" t="s">
        <v>1713</v>
      </c>
      <c r="W248" s="84" t="s">
        <v>711</v>
      </c>
      <c r="X248" s="100" t="s">
        <v>463</v>
      </c>
      <c r="Y248" s="91" t="s">
        <v>464</v>
      </c>
      <c r="Z248" s="91" t="s">
        <v>465</v>
      </c>
      <c r="AA248" s="91" t="s">
        <v>466</v>
      </c>
      <c r="AB248" s="91" t="s">
        <v>467</v>
      </c>
      <c r="AC248" s="91" t="s">
        <v>468</v>
      </c>
      <c r="AD248" s="91" t="s">
        <v>469</v>
      </c>
      <c r="AE248" s="91" t="s">
        <v>470</v>
      </c>
      <c r="AF248" s="91" t="s">
        <v>471</v>
      </c>
      <c r="AG248" s="91" t="s">
        <v>472</v>
      </c>
      <c r="AH248" s="92" t="s">
        <v>473</v>
      </c>
      <c r="AI248" s="93" t="s">
        <v>474</v>
      </c>
      <c r="AK248" s="237"/>
      <c r="AL248" s="237"/>
    </row>
    <row r="249" spans="2:38" ht="18.75" x14ac:dyDescent="0.3">
      <c r="B249" s="117">
        <v>83061189</v>
      </c>
      <c r="C249" s="146" t="s">
        <v>484</v>
      </c>
      <c r="D249" s="146">
        <v>39539</v>
      </c>
      <c r="E249" s="148" t="s">
        <v>145</v>
      </c>
      <c r="F249" s="102" t="s">
        <v>982</v>
      </c>
      <c r="G249" s="102" t="s">
        <v>1014</v>
      </c>
      <c r="H249" s="102"/>
      <c r="I249" s="102">
        <v>2833229</v>
      </c>
      <c r="J249" s="102"/>
      <c r="K249" s="102"/>
      <c r="L249" s="102"/>
      <c r="M249" s="102"/>
      <c r="N249" s="102"/>
      <c r="O249" s="102"/>
      <c r="P249" s="102"/>
      <c r="Q249" s="102"/>
      <c r="R249" s="102"/>
      <c r="S249" s="102"/>
      <c r="T249" s="102"/>
      <c r="U249" s="102"/>
      <c r="V249" s="102"/>
      <c r="W249" s="102"/>
      <c r="X249" s="110" t="s">
        <v>692</v>
      </c>
      <c r="Y249" s="110" t="s">
        <v>692</v>
      </c>
      <c r="Z249" s="110" t="s">
        <v>692</v>
      </c>
      <c r="AA249" s="110" t="s">
        <v>692</v>
      </c>
      <c r="AB249" s="110" t="s">
        <v>692</v>
      </c>
      <c r="AC249" s="110" t="s">
        <v>692</v>
      </c>
      <c r="AD249" s="110" t="s">
        <v>692</v>
      </c>
      <c r="AE249" s="110" t="s">
        <v>692</v>
      </c>
      <c r="AF249" s="110" t="s">
        <v>692</v>
      </c>
      <c r="AG249" s="110" t="s">
        <v>692</v>
      </c>
      <c r="AH249" s="110" t="s">
        <v>692</v>
      </c>
      <c r="AI249" s="111" t="s">
        <v>692</v>
      </c>
      <c r="AK249" s="237"/>
      <c r="AL249" s="237"/>
    </row>
    <row r="250" spans="2:38" ht="18.75" x14ac:dyDescent="0.3">
      <c r="B250" s="121">
        <v>94811334</v>
      </c>
      <c r="C250" s="12" t="s">
        <v>484</v>
      </c>
      <c r="D250" s="12">
        <v>39483</v>
      </c>
      <c r="E250" s="7" t="s">
        <v>490</v>
      </c>
      <c r="F250" s="101" t="s">
        <v>488</v>
      </c>
      <c r="G250" s="101" t="s">
        <v>491</v>
      </c>
      <c r="H250" s="101" t="s">
        <v>866</v>
      </c>
      <c r="I250" s="101">
        <v>3783766</v>
      </c>
      <c r="J250" s="101"/>
      <c r="K250" s="101"/>
      <c r="L250" s="101"/>
      <c r="M250" s="101"/>
      <c r="N250" s="101"/>
      <c r="O250" s="101"/>
      <c r="P250" s="101"/>
      <c r="Q250" s="101"/>
      <c r="R250" s="101"/>
      <c r="S250" s="101"/>
      <c r="T250" s="101"/>
      <c r="U250" s="101"/>
      <c r="V250" s="101"/>
      <c r="W250" s="101"/>
      <c r="X250" s="44" t="s">
        <v>692</v>
      </c>
      <c r="Y250" s="44" t="s">
        <v>692</v>
      </c>
      <c r="Z250" s="44" t="s">
        <v>692</v>
      </c>
      <c r="AA250" s="44" t="s">
        <v>692</v>
      </c>
      <c r="AB250" s="44" t="s">
        <v>692</v>
      </c>
      <c r="AC250" s="44" t="s">
        <v>692</v>
      </c>
      <c r="AD250" s="44" t="s">
        <v>692</v>
      </c>
      <c r="AE250" s="44" t="s">
        <v>692</v>
      </c>
      <c r="AF250" s="44" t="s">
        <v>692</v>
      </c>
      <c r="AG250" s="44" t="s">
        <v>692</v>
      </c>
      <c r="AH250" s="44" t="s">
        <v>692</v>
      </c>
      <c r="AI250" s="113" t="s">
        <v>692</v>
      </c>
      <c r="AK250" s="237"/>
      <c r="AL250" s="237"/>
    </row>
    <row r="251" spans="2:38" ht="18.75" x14ac:dyDescent="0.3">
      <c r="B251" s="121">
        <v>94811340</v>
      </c>
      <c r="C251" s="12" t="s">
        <v>484</v>
      </c>
      <c r="D251" s="12">
        <v>39947</v>
      </c>
      <c r="E251" s="7" t="s">
        <v>487</v>
      </c>
      <c r="F251" s="101" t="s">
        <v>488</v>
      </c>
      <c r="G251" s="101" t="s">
        <v>489</v>
      </c>
      <c r="H251" s="101" t="s">
        <v>867</v>
      </c>
      <c r="I251" s="101">
        <v>6379501</v>
      </c>
      <c r="J251" s="101"/>
      <c r="K251" s="101"/>
      <c r="L251" s="101"/>
      <c r="M251" s="101"/>
      <c r="N251" s="101"/>
      <c r="O251" s="101"/>
      <c r="P251" s="101"/>
      <c r="Q251" s="101"/>
      <c r="R251" s="101"/>
      <c r="S251" s="101"/>
      <c r="T251" s="101"/>
      <c r="U251" s="101"/>
      <c r="V251" s="101"/>
      <c r="W251" s="101"/>
      <c r="X251" s="44" t="s">
        <v>692</v>
      </c>
      <c r="Y251" s="44" t="s">
        <v>692</v>
      </c>
      <c r="Z251" s="44" t="s">
        <v>692</v>
      </c>
      <c r="AA251" s="44" t="s">
        <v>692</v>
      </c>
      <c r="AB251" s="44" t="s">
        <v>692</v>
      </c>
      <c r="AC251" s="44" t="s">
        <v>692</v>
      </c>
      <c r="AD251" s="44" t="s">
        <v>692</v>
      </c>
      <c r="AE251" s="44" t="s">
        <v>692</v>
      </c>
      <c r="AF251" s="44" t="s">
        <v>692</v>
      </c>
      <c r="AG251" s="44" t="s">
        <v>692</v>
      </c>
      <c r="AH251" s="44" t="s">
        <v>692</v>
      </c>
      <c r="AI251" s="113" t="s">
        <v>692</v>
      </c>
      <c r="AK251" s="237"/>
      <c r="AL251" s="237"/>
    </row>
    <row r="252" spans="2:38" ht="18.75" x14ac:dyDescent="0.3">
      <c r="B252" s="121">
        <v>94811345</v>
      </c>
      <c r="C252" s="12" t="s">
        <v>484</v>
      </c>
      <c r="D252" s="12">
        <v>39975</v>
      </c>
      <c r="E252" s="7" t="s">
        <v>495</v>
      </c>
      <c r="F252" s="101" t="s">
        <v>496</v>
      </c>
      <c r="G252" s="101" t="s">
        <v>497</v>
      </c>
      <c r="H252" s="101" t="s">
        <v>868</v>
      </c>
      <c r="I252" s="101">
        <v>4281913</v>
      </c>
      <c r="J252" s="101"/>
      <c r="K252" s="101"/>
      <c r="L252" s="101"/>
      <c r="M252" s="101"/>
      <c r="N252" s="101"/>
      <c r="O252" s="101"/>
      <c r="P252" s="101"/>
      <c r="Q252" s="101"/>
      <c r="R252" s="101"/>
      <c r="S252" s="101"/>
      <c r="T252" s="101"/>
      <c r="U252" s="101"/>
      <c r="V252" s="101"/>
      <c r="W252" s="101"/>
      <c r="X252" s="44" t="s">
        <v>692</v>
      </c>
      <c r="Y252" s="44" t="s">
        <v>692</v>
      </c>
      <c r="Z252" s="44" t="s">
        <v>692</v>
      </c>
      <c r="AA252" s="44" t="s">
        <v>692</v>
      </c>
      <c r="AB252" s="44" t="s">
        <v>692</v>
      </c>
      <c r="AC252" s="44" t="s">
        <v>692</v>
      </c>
      <c r="AD252" s="44" t="s">
        <v>692</v>
      </c>
      <c r="AE252" s="44" t="s">
        <v>692</v>
      </c>
      <c r="AF252" s="44" t="s">
        <v>692</v>
      </c>
      <c r="AG252" s="44" t="s">
        <v>692</v>
      </c>
      <c r="AH252" s="44" t="s">
        <v>692</v>
      </c>
      <c r="AI252" s="113" t="s">
        <v>692</v>
      </c>
      <c r="AK252" s="237"/>
      <c r="AL252" s="237"/>
    </row>
    <row r="253" spans="2:38" ht="18.75" x14ac:dyDescent="0.3">
      <c r="B253" s="121">
        <v>94823397</v>
      </c>
      <c r="C253" s="12" t="s">
        <v>484</v>
      </c>
      <c r="D253" s="12">
        <v>39929</v>
      </c>
      <c r="E253" s="7" t="s">
        <v>1688</v>
      </c>
      <c r="F253" s="101" t="s">
        <v>486</v>
      </c>
      <c r="G253" s="101" t="s">
        <v>1686</v>
      </c>
      <c r="H253" s="101" t="s">
        <v>1687</v>
      </c>
      <c r="I253" s="101">
        <v>2330576</v>
      </c>
      <c r="J253" s="101"/>
      <c r="K253" s="101"/>
      <c r="L253" s="101"/>
      <c r="M253" s="101"/>
      <c r="N253" s="101"/>
      <c r="O253" s="101"/>
      <c r="P253" s="101"/>
      <c r="Q253" s="101"/>
      <c r="R253" s="101"/>
      <c r="S253" s="101"/>
      <c r="T253" s="101"/>
      <c r="U253" s="101"/>
      <c r="V253" s="101"/>
      <c r="W253" s="101"/>
      <c r="X253" s="44" t="s">
        <v>692</v>
      </c>
      <c r="Y253" s="44" t="s">
        <v>692</v>
      </c>
      <c r="Z253" s="44" t="s">
        <v>692</v>
      </c>
      <c r="AA253" s="44" t="s">
        <v>692</v>
      </c>
      <c r="AB253" s="44" t="s">
        <v>692</v>
      </c>
      <c r="AC253" s="44" t="s">
        <v>692</v>
      </c>
      <c r="AD253" s="44" t="s">
        <v>692</v>
      </c>
      <c r="AE253" s="44" t="s">
        <v>692</v>
      </c>
      <c r="AF253" s="44" t="s">
        <v>692</v>
      </c>
      <c r="AG253" s="44" t="s">
        <v>692</v>
      </c>
      <c r="AH253" s="44" t="s">
        <v>692</v>
      </c>
      <c r="AI253" s="113" t="s">
        <v>692</v>
      </c>
      <c r="AK253" s="237"/>
      <c r="AL253" s="237"/>
    </row>
    <row r="254" spans="2:38" ht="18.75" x14ac:dyDescent="0.3">
      <c r="B254" s="121" t="s">
        <v>1040</v>
      </c>
      <c r="C254" s="12" t="s">
        <v>484</v>
      </c>
      <c r="D254" s="12">
        <v>39501</v>
      </c>
      <c r="E254" s="7" t="s">
        <v>499</v>
      </c>
      <c r="F254" s="101" t="s">
        <v>500</v>
      </c>
      <c r="G254" s="101" t="s">
        <v>345</v>
      </c>
      <c r="H254" s="101" t="s">
        <v>1042</v>
      </c>
      <c r="I254" s="101">
        <v>3354009</v>
      </c>
      <c r="J254" s="101"/>
      <c r="K254" s="101"/>
      <c r="L254" s="101"/>
      <c r="M254" s="101"/>
      <c r="N254" s="101"/>
      <c r="O254" s="101"/>
      <c r="P254" s="101"/>
      <c r="Q254" s="101"/>
      <c r="R254" s="101"/>
      <c r="S254" s="101"/>
      <c r="T254" s="101"/>
      <c r="U254" s="101"/>
      <c r="V254" s="101"/>
      <c r="W254" s="101"/>
      <c r="X254" s="44" t="s">
        <v>692</v>
      </c>
      <c r="Y254" s="44" t="s">
        <v>692</v>
      </c>
      <c r="Z254" s="44" t="s">
        <v>692</v>
      </c>
      <c r="AA254" s="44" t="s">
        <v>692</v>
      </c>
      <c r="AB254" s="44" t="s">
        <v>692</v>
      </c>
      <c r="AC254" s="44" t="s">
        <v>692</v>
      </c>
      <c r="AD254" s="44" t="s">
        <v>692</v>
      </c>
      <c r="AE254" s="44" t="s">
        <v>692</v>
      </c>
      <c r="AF254" s="44" t="s">
        <v>692</v>
      </c>
      <c r="AG254" s="44" t="s">
        <v>692</v>
      </c>
      <c r="AH254" s="44" t="s">
        <v>692</v>
      </c>
      <c r="AI254" s="113" t="s">
        <v>692</v>
      </c>
      <c r="AK254" s="237"/>
      <c r="AL254" s="237"/>
    </row>
    <row r="255" spans="2:38" ht="18.75" x14ac:dyDescent="0.3">
      <c r="B255" s="121">
        <v>61560</v>
      </c>
      <c r="C255" s="12" t="s">
        <v>508</v>
      </c>
      <c r="D255" s="12">
        <v>39945</v>
      </c>
      <c r="E255" s="7" t="s">
        <v>517</v>
      </c>
      <c r="F255" s="101" t="s">
        <v>518</v>
      </c>
      <c r="G255" s="101"/>
      <c r="H255" s="101"/>
      <c r="I255" s="101">
        <v>1135</v>
      </c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  <c r="T255" s="101"/>
      <c r="U255" s="101"/>
      <c r="V255" s="101"/>
      <c r="W255" s="101"/>
      <c r="X255" s="44" t="s">
        <v>692</v>
      </c>
      <c r="Y255" s="44" t="s">
        <v>692</v>
      </c>
      <c r="Z255" s="44" t="s">
        <v>692</v>
      </c>
      <c r="AA255" s="44" t="s">
        <v>692</v>
      </c>
      <c r="AB255" s="44" t="s">
        <v>692</v>
      </c>
      <c r="AC255" s="44" t="s">
        <v>692</v>
      </c>
      <c r="AD255" s="44" t="s">
        <v>692</v>
      </c>
      <c r="AE255" s="44" t="s">
        <v>692</v>
      </c>
      <c r="AF255" s="44" t="s">
        <v>692</v>
      </c>
      <c r="AG255" s="44" t="s">
        <v>692</v>
      </c>
      <c r="AH255" s="44" t="s">
        <v>692</v>
      </c>
      <c r="AI255" s="113" t="s">
        <v>692</v>
      </c>
      <c r="AK255" s="237"/>
      <c r="AL255" s="237"/>
    </row>
    <row r="256" spans="2:38" ht="18.75" x14ac:dyDescent="0.3">
      <c r="B256" s="121">
        <v>57868732</v>
      </c>
      <c r="C256" s="12" t="s">
        <v>508</v>
      </c>
      <c r="D256" s="12">
        <v>39939</v>
      </c>
      <c r="E256" s="7" t="s">
        <v>515</v>
      </c>
      <c r="F256" s="101" t="s">
        <v>516</v>
      </c>
      <c r="G256" s="101"/>
      <c r="H256" s="101"/>
      <c r="I256" s="101">
        <v>14735</v>
      </c>
      <c r="J256" s="101"/>
      <c r="K256" s="101"/>
      <c r="L256" s="101"/>
      <c r="M256" s="101"/>
      <c r="N256" s="101"/>
      <c r="O256" s="101"/>
      <c r="P256" s="101"/>
      <c r="Q256" s="101"/>
      <c r="R256" s="101"/>
      <c r="S256" s="101"/>
      <c r="T256" s="101"/>
      <c r="U256" s="101"/>
      <c r="V256" s="101"/>
      <c r="W256" s="101"/>
      <c r="X256" s="44" t="s">
        <v>692</v>
      </c>
      <c r="Y256" s="44" t="s">
        <v>692</v>
      </c>
      <c r="Z256" s="44" t="s">
        <v>692</v>
      </c>
      <c r="AA256" s="44" t="s">
        <v>692</v>
      </c>
      <c r="AB256" s="44" t="s">
        <v>692</v>
      </c>
      <c r="AC256" s="44" t="s">
        <v>692</v>
      </c>
      <c r="AD256" s="44" t="s">
        <v>692</v>
      </c>
      <c r="AE256" s="44" t="s">
        <v>692</v>
      </c>
      <c r="AF256" s="44" t="s">
        <v>692</v>
      </c>
      <c r="AG256" s="44" t="s">
        <v>692</v>
      </c>
      <c r="AH256" s="44" t="s">
        <v>692</v>
      </c>
      <c r="AI256" s="113" t="s">
        <v>692</v>
      </c>
      <c r="AK256" s="237"/>
      <c r="AL256" s="237"/>
    </row>
    <row r="257" spans="2:38" ht="18.75" x14ac:dyDescent="0.3">
      <c r="B257" s="121">
        <v>78126109</v>
      </c>
      <c r="C257" s="12" t="s">
        <v>508</v>
      </c>
      <c r="D257" s="12">
        <v>39582</v>
      </c>
      <c r="E257" s="7" t="s">
        <v>1082</v>
      </c>
      <c r="F257" s="101" t="s">
        <v>527</v>
      </c>
      <c r="G257" s="101"/>
      <c r="H257" s="101" t="s">
        <v>1083</v>
      </c>
      <c r="I257" s="101">
        <v>454909</v>
      </c>
      <c r="J257" s="101"/>
      <c r="K257" s="101"/>
      <c r="L257" s="101"/>
      <c r="M257" s="101"/>
      <c r="N257" s="101"/>
      <c r="O257" s="101"/>
      <c r="P257" s="101"/>
      <c r="Q257" s="101"/>
      <c r="R257" s="101"/>
      <c r="S257" s="101"/>
      <c r="T257" s="101"/>
      <c r="U257" s="101"/>
      <c r="V257" s="101"/>
      <c r="W257" s="101"/>
      <c r="X257" s="44" t="s">
        <v>692</v>
      </c>
      <c r="Y257" s="44" t="s">
        <v>692</v>
      </c>
      <c r="Z257" s="44" t="s">
        <v>692</v>
      </c>
      <c r="AA257" s="44" t="s">
        <v>692</v>
      </c>
      <c r="AB257" s="44" t="s">
        <v>692</v>
      </c>
      <c r="AC257" s="44" t="s">
        <v>692</v>
      </c>
      <c r="AD257" s="44" t="s">
        <v>692</v>
      </c>
      <c r="AE257" s="44" t="s">
        <v>692</v>
      </c>
      <c r="AF257" s="44" t="s">
        <v>692</v>
      </c>
      <c r="AG257" s="44" t="s">
        <v>692</v>
      </c>
      <c r="AH257" s="44" t="s">
        <v>692</v>
      </c>
      <c r="AI257" s="113" t="s">
        <v>692</v>
      </c>
      <c r="AK257" s="237"/>
      <c r="AL257" s="237"/>
    </row>
    <row r="258" spans="2:38" ht="18.75" x14ac:dyDescent="0.3">
      <c r="B258" s="121">
        <v>78126109</v>
      </c>
      <c r="C258" s="12" t="s">
        <v>508</v>
      </c>
      <c r="D258" s="12">
        <v>39919</v>
      </c>
      <c r="E258" s="7" t="s">
        <v>513</v>
      </c>
      <c r="F258" s="101" t="s">
        <v>514</v>
      </c>
      <c r="G258" s="101"/>
      <c r="H258" s="101" t="s">
        <v>1025</v>
      </c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44" t="s">
        <v>692</v>
      </c>
      <c r="Y258" s="44" t="s">
        <v>692</v>
      </c>
      <c r="Z258" s="44" t="s">
        <v>692</v>
      </c>
      <c r="AA258" s="44" t="s">
        <v>692</v>
      </c>
      <c r="AB258" s="44" t="s">
        <v>692</v>
      </c>
      <c r="AC258" s="44" t="s">
        <v>692</v>
      </c>
      <c r="AD258" s="44" t="s">
        <v>692</v>
      </c>
      <c r="AE258" s="44" t="s">
        <v>692</v>
      </c>
      <c r="AF258" s="44" t="s">
        <v>692</v>
      </c>
      <c r="AG258" s="44" t="s">
        <v>692</v>
      </c>
      <c r="AH258" s="44" t="s">
        <v>692</v>
      </c>
      <c r="AI258" s="113" t="s">
        <v>692</v>
      </c>
      <c r="AK258" s="237"/>
      <c r="AL258" s="237"/>
    </row>
    <row r="259" spans="2:38" ht="18.75" x14ac:dyDescent="0.3">
      <c r="B259" s="121">
        <v>99561366</v>
      </c>
      <c r="C259" s="12" t="s">
        <v>508</v>
      </c>
      <c r="D259" s="12">
        <v>39960</v>
      </c>
      <c r="E259" s="7" t="s">
        <v>1688</v>
      </c>
      <c r="F259" s="101" t="s">
        <v>1603</v>
      </c>
      <c r="G259" s="101" t="s">
        <v>1689</v>
      </c>
      <c r="H259" s="101" t="s">
        <v>1687</v>
      </c>
      <c r="I259" s="101">
        <v>61682</v>
      </c>
      <c r="J259" s="101"/>
      <c r="K259" s="101"/>
      <c r="L259" s="101"/>
      <c r="M259" s="101"/>
      <c r="N259" s="101"/>
      <c r="O259" s="101"/>
      <c r="P259" s="101"/>
      <c r="Q259" s="101"/>
      <c r="R259" s="101"/>
      <c r="S259" s="101"/>
      <c r="T259" s="101"/>
      <c r="U259" s="101"/>
      <c r="V259" s="101"/>
      <c r="W259" s="101"/>
      <c r="X259" s="44" t="s">
        <v>692</v>
      </c>
      <c r="Y259" s="44" t="s">
        <v>692</v>
      </c>
      <c r="Z259" s="44" t="s">
        <v>692</v>
      </c>
      <c r="AA259" s="44" t="s">
        <v>692</v>
      </c>
      <c r="AB259" s="44" t="s">
        <v>692</v>
      </c>
      <c r="AC259" s="44" t="s">
        <v>692</v>
      </c>
      <c r="AD259" s="44" t="s">
        <v>692</v>
      </c>
      <c r="AE259" s="44" t="s">
        <v>692</v>
      </c>
      <c r="AF259" s="44" t="s">
        <v>692</v>
      </c>
      <c r="AG259" s="44" t="s">
        <v>692</v>
      </c>
      <c r="AH259" s="44" t="s">
        <v>692</v>
      </c>
      <c r="AI259" s="113" t="s">
        <v>692</v>
      </c>
      <c r="AK259" s="237"/>
      <c r="AL259" s="237"/>
    </row>
    <row r="260" spans="2:38" ht="18.75" x14ac:dyDescent="0.3">
      <c r="B260" s="121">
        <v>99561366</v>
      </c>
      <c r="C260" s="12" t="s">
        <v>508</v>
      </c>
      <c r="D260" s="12">
        <v>39966</v>
      </c>
      <c r="E260" s="7" t="s">
        <v>485</v>
      </c>
      <c r="F260" s="101" t="s">
        <v>514</v>
      </c>
      <c r="G260" s="101" t="s">
        <v>1611</v>
      </c>
      <c r="H260" s="101" t="s">
        <v>818</v>
      </c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  <c r="V260" s="101"/>
      <c r="W260" s="101"/>
      <c r="X260" s="44" t="s">
        <v>692</v>
      </c>
      <c r="Y260" s="44" t="s">
        <v>692</v>
      </c>
      <c r="Z260" s="44" t="s">
        <v>692</v>
      </c>
      <c r="AA260" s="44" t="s">
        <v>692</v>
      </c>
      <c r="AB260" s="44" t="s">
        <v>692</v>
      </c>
      <c r="AC260" s="44" t="s">
        <v>692</v>
      </c>
      <c r="AD260" s="44" t="s">
        <v>692</v>
      </c>
      <c r="AE260" s="44" t="s">
        <v>692</v>
      </c>
      <c r="AF260" s="44" t="s">
        <v>692</v>
      </c>
      <c r="AG260" s="44" t="s">
        <v>692</v>
      </c>
      <c r="AH260" s="44" t="s">
        <v>692</v>
      </c>
      <c r="AI260" s="113" t="s">
        <v>692</v>
      </c>
      <c r="AK260" s="237"/>
      <c r="AL260" s="237"/>
    </row>
    <row r="261" spans="2:38" ht="18.75" x14ac:dyDescent="0.3">
      <c r="B261" s="121">
        <v>99561370</v>
      </c>
      <c r="C261" s="12" t="s">
        <v>508</v>
      </c>
      <c r="D261" s="12">
        <v>39376</v>
      </c>
      <c r="E261" s="7" t="s">
        <v>1082</v>
      </c>
      <c r="F261" s="101"/>
      <c r="G261" s="101" t="s">
        <v>1161</v>
      </c>
      <c r="H261" s="101" t="s">
        <v>1083</v>
      </c>
      <c r="I261" s="101">
        <v>218217</v>
      </c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  <c r="V261" s="101"/>
      <c r="W261" s="101"/>
      <c r="X261" s="44" t="s">
        <v>692</v>
      </c>
      <c r="Y261" s="44" t="s">
        <v>692</v>
      </c>
      <c r="Z261" s="44" t="s">
        <v>692</v>
      </c>
      <c r="AA261" s="44" t="s">
        <v>692</v>
      </c>
      <c r="AB261" s="44" t="s">
        <v>692</v>
      </c>
      <c r="AC261" s="44" t="s">
        <v>692</v>
      </c>
      <c r="AD261" s="44" t="s">
        <v>692</v>
      </c>
      <c r="AE261" s="44" t="s">
        <v>692</v>
      </c>
      <c r="AF261" s="44" t="s">
        <v>692</v>
      </c>
      <c r="AG261" s="44" t="s">
        <v>692</v>
      </c>
      <c r="AH261" s="44" t="s">
        <v>692</v>
      </c>
      <c r="AI261" s="113" t="s">
        <v>692</v>
      </c>
      <c r="AK261" s="237"/>
      <c r="AL261" s="237"/>
    </row>
    <row r="262" spans="2:38" ht="18.75" x14ac:dyDescent="0.3">
      <c r="B262" s="121">
        <v>99561370</v>
      </c>
      <c r="C262" s="12" t="s">
        <v>508</v>
      </c>
      <c r="D262" s="12">
        <v>39967</v>
      </c>
      <c r="E262" s="7" t="s">
        <v>513</v>
      </c>
      <c r="F262" s="101" t="s">
        <v>519</v>
      </c>
      <c r="G262" s="101"/>
      <c r="H262" s="101" t="s">
        <v>1025</v>
      </c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101"/>
      <c r="T262" s="101"/>
      <c r="U262" s="101"/>
      <c r="V262" s="101"/>
      <c r="W262" s="101"/>
      <c r="X262" s="44" t="s">
        <v>692</v>
      </c>
      <c r="Y262" s="44" t="s">
        <v>692</v>
      </c>
      <c r="Z262" s="44" t="s">
        <v>692</v>
      </c>
      <c r="AA262" s="44" t="s">
        <v>692</v>
      </c>
      <c r="AB262" s="44" t="s">
        <v>692</v>
      </c>
      <c r="AC262" s="44" t="s">
        <v>692</v>
      </c>
      <c r="AD262" s="44" t="s">
        <v>692</v>
      </c>
      <c r="AE262" s="44" t="s">
        <v>692</v>
      </c>
      <c r="AF262" s="44" t="s">
        <v>692</v>
      </c>
      <c r="AG262" s="44" t="s">
        <v>692</v>
      </c>
      <c r="AH262" s="44" t="s">
        <v>692</v>
      </c>
      <c r="AI262" s="113" t="s">
        <v>692</v>
      </c>
      <c r="AK262" s="237"/>
      <c r="AL262" s="237"/>
    </row>
    <row r="263" spans="2:38" ht="18.75" x14ac:dyDescent="0.3">
      <c r="B263" s="121">
        <v>106230738</v>
      </c>
      <c r="C263" s="12" t="s">
        <v>508</v>
      </c>
      <c r="D263" s="12">
        <v>39354</v>
      </c>
      <c r="E263" s="7" t="s">
        <v>509</v>
      </c>
      <c r="F263" s="101" t="s">
        <v>510</v>
      </c>
      <c r="G263" s="101"/>
      <c r="H263" s="101"/>
      <c r="I263" s="101">
        <v>84244</v>
      </c>
      <c r="J263" s="101"/>
      <c r="K263" s="101"/>
      <c r="L263" s="101"/>
      <c r="M263" s="101"/>
      <c r="N263" s="101"/>
      <c r="O263" s="101"/>
      <c r="P263" s="101"/>
      <c r="Q263" s="101"/>
      <c r="R263" s="101"/>
      <c r="S263" s="101"/>
      <c r="T263" s="101"/>
      <c r="U263" s="101"/>
      <c r="V263" s="101"/>
      <c r="W263" s="101"/>
      <c r="X263" s="44" t="s">
        <v>692</v>
      </c>
      <c r="Y263" s="44" t="s">
        <v>692</v>
      </c>
      <c r="Z263" s="44" t="s">
        <v>692</v>
      </c>
      <c r="AA263" s="44" t="s">
        <v>692</v>
      </c>
      <c r="AB263" s="44" t="s">
        <v>692</v>
      </c>
      <c r="AC263" s="44" t="s">
        <v>692</v>
      </c>
      <c r="AD263" s="44" t="s">
        <v>692</v>
      </c>
      <c r="AE263" s="44" t="s">
        <v>692</v>
      </c>
      <c r="AF263" s="44" t="s">
        <v>692</v>
      </c>
      <c r="AG263" s="44" t="s">
        <v>692</v>
      </c>
      <c r="AH263" s="44" t="s">
        <v>692</v>
      </c>
      <c r="AI263" s="113" t="s">
        <v>692</v>
      </c>
      <c r="AK263" s="237"/>
      <c r="AL263" s="237"/>
    </row>
    <row r="264" spans="2:38" ht="18.75" x14ac:dyDescent="0.3">
      <c r="B264" s="121" t="s">
        <v>1240</v>
      </c>
      <c r="C264" s="12" t="s">
        <v>508</v>
      </c>
      <c r="D264" s="12">
        <v>39510</v>
      </c>
      <c r="E264" s="7" t="s">
        <v>1082</v>
      </c>
      <c r="F264" s="101" t="s">
        <v>1242</v>
      </c>
      <c r="G264" s="101" t="s">
        <v>1567</v>
      </c>
      <c r="H264" s="101"/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101"/>
      <c r="T264" s="101"/>
      <c r="U264" s="101"/>
      <c r="V264" s="101"/>
      <c r="W264" s="101"/>
      <c r="X264" s="44" t="s">
        <v>692</v>
      </c>
      <c r="Y264" s="44" t="s">
        <v>692</v>
      </c>
      <c r="Z264" s="44" t="s">
        <v>692</v>
      </c>
      <c r="AA264" s="44" t="s">
        <v>692</v>
      </c>
      <c r="AB264" s="44" t="s">
        <v>692</v>
      </c>
      <c r="AC264" s="44" t="s">
        <v>692</v>
      </c>
      <c r="AD264" s="44" t="s">
        <v>692</v>
      </c>
      <c r="AE264" s="44" t="s">
        <v>692</v>
      </c>
      <c r="AF264" s="44" t="s">
        <v>692</v>
      </c>
      <c r="AG264" s="44" t="s">
        <v>692</v>
      </c>
      <c r="AH264" s="44" t="s">
        <v>692</v>
      </c>
      <c r="AI264" s="113" t="s">
        <v>692</v>
      </c>
      <c r="AK264" s="237"/>
      <c r="AL264" s="237"/>
    </row>
    <row r="265" spans="2:38" ht="18.75" x14ac:dyDescent="0.3">
      <c r="B265" s="121" t="s">
        <v>380</v>
      </c>
      <c r="C265" s="12" t="s">
        <v>508</v>
      </c>
      <c r="D265" s="12">
        <v>39901</v>
      </c>
      <c r="E265" s="7" t="s">
        <v>511</v>
      </c>
      <c r="F265" s="101" t="s">
        <v>512</v>
      </c>
      <c r="G265" s="101"/>
      <c r="H265" s="101"/>
      <c r="I265" s="101">
        <v>1165537</v>
      </c>
      <c r="J265" s="101"/>
      <c r="K265" s="101"/>
      <c r="L265" s="101"/>
      <c r="M265" s="101"/>
      <c r="N265" s="101"/>
      <c r="O265" s="101"/>
      <c r="P265" s="101"/>
      <c r="Q265" s="101"/>
      <c r="R265" s="101"/>
      <c r="S265" s="101"/>
      <c r="T265" s="101"/>
      <c r="U265" s="101"/>
      <c r="V265" s="101"/>
      <c r="W265" s="101"/>
      <c r="X265" s="44" t="s">
        <v>692</v>
      </c>
      <c r="Y265" s="44" t="s">
        <v>692</v>
      </c>
      <c r="Z265" s="44" t="s">
        <v>692</v>
      </c>
      <c r="AA265" s="44" t="s">
        <v>692</v>
      </c>
      <c r="AB265" s="44" t="s">
        <v>692</v>
      </c>
      <c r="AC265" s="44" t="s">
        <v>692</v>
      </c>
      <c r="AD265" s="44" t="s">
        <v>692</v>
      </c>
      <c r="AE265" s="44" t="s">
        <v>692</v>
      </c>
      <c r="AF265" s="44" t="s">
        <v>692</v>
      </c>
      <c r="AG265" s="44" t="s">
        <v>692</v>
      </c>
      <c r="AH265" s="44" t="s">
        <v>692</v>
      </c>
      <c r="AI265" s="113" t="s">
        <v>692</v>
      </c>
      <c r="AK265" s="237"/>
      <c r="AL265" s="237"/>
    </row>
    <row r="266" spans="2:38" ht="18.75" x14ac:dyDescent="0.3">
      <c r="B266" s="121">
        <v>20583312</v>
      </c>
      <c r="C266" s="12" t="s">
        <v>526</v>
      </c>
      <c r="D266" s="12">
        <v>39978</v>
      </c>
      <c r="E266" s="7" t="s">
        <v>530</v>
      </c>
      <c r="F266" s="101" t="s">
        <v>123</v>
      </c>
      <c r="G266" s="101" t="s">
        <v>532</v>
      </c>
      <c r="H266" s="101"/>
      <c r="I266" s="101">
        <v>6524</v>
      </c>
      <c r="J266" s="101"/>
      <c r="K266" s="101"/>
      <c r="L266" s="101"/>
      <c r="M266" s="101"/>
      <c r="N266" s="101"/>
      <c r="O266" s="101"/>
      <c r="P266" s="101"/>
      <c r="Q266" s="101"/>
      <c r="R266" s="101"/>
      <c r="S266" s="101"/>
      <c r="T266" s="101"/>
      <c r="U266" s="101"/>
      <c r="V266" s="101"/>
      <c r="W266" s="101"/>
      <c r="X266" s="44" t="s">
        <v>692</v>
      </c>
      <c r="Y266" s="44" t="s">
        <v>692</v>
      </c>
      <c r="Z266" s="44" t="s">
        <v>692</v>
      </c>
      <c r="AA266" s="44" t="s">
        <v>692</v>
      </c>
      <c r="AB266" s="44" t="s">
        <v>692</v>
      </c>
      <c r="AC266" s="44" t="s">
        <v>692</v>
      </c>
      <c r="AD266" s="44" t="s">
        <v>692</v>
      </c>
      <c r="AE266" s="44" t="s">
        <v>692</v>
      </c>
      <c r="AF266" s="44" t="s">
        <v>692</v>
      </c>
      <c r="AG266" s="44" t="s">
        <v>692</v>
      </c>
      <c r="AH266" s="44" t="s">
        <v>692</v>
      </c>
      <c r="AI266" s="113" t="s">
        <v>692</v>
      </c>
      <c r="AK266" s="237"/>
      <c r="AL266" s="237"/>
    </row>
    <row r="267" spans="2:38" ht="18.75" x14ac:dyDescent="0.3">
      <c r="B267" s="121">
        <v>63000131</v>
      </c>
      <c r="C267" s="12" t="s">
        <v>526</v>
      </c>
      <c r="D267" s="12">
        <v>39405</v>
      </c>
      <c r="E267" s="7" t="s">
        <v>352</v>
      </c>
      <c r="F267" s="101" t="s">
        <v>123</v>
      </c>
      <c r="G267" s="101" t="s">
        <v>527</v>
      </c>
      <c r="H267" s="101"/>
      <c r="I267" s="101">
        <v>398315</v>
      </c>
      <c r="J267" s="101"/>
      <c r="K267" s="101"/>
      <c r="L267" s="101"/>
      <c r="M267" s="101"/>
      <c r="N267" s="101"/>
      <c r="O267" s="101"/>
      <c r="P267" s="101"/>
      <c r="Q267" s="101"/>
      <c r="R267" s="101"/>
      <c r="S267" s="101"/>
      <c r="T267" s="101"/>
      <c r="U267" s="101"/>
      <c r="V267" s="101"/>
      <c r="W267" s="101"/>
      <c r="X267" s="44" t="s">
        <v>692</v>
      </c>
      <c r="Y267" s="44" t="s">
        <v>692</v>
      </c>
      <c r="Z267" s="44" t="s">
        <v>692</v>
      </c>
      <c r="AA267" s="44" t="s">
        <v>692</v>
      </c>
      <c r="AB267" s="44" t="s">
        <v>692</v>
      </c>
      <c r="AC267" s="44" t="s">
        <v>692</v>
      </c>
      <c r="AD267" s="44" t="s">
        <v>692</v>
      </c>
      <c r="AE267" s="44" t="s">
        <v>692</v>
      </c>
      <c r="AF267" s="44" t="s">
        <v>692</v>
      </c>
      <c r="AG267" s="44" t="s">
        <v>692</v>
      </c>
      <c r="AH267" s="44" t="s">
        <v>692</v>
      </c>
      <c r="AI267" s="113" t="s">
        <v>692</v>
      </c>
      <c r="AK267" s="237"/>
      <c r="AL267" s="237"/>
    </row>
    <row r="268" spans="2:38" ht="18.75" x14ac:dyDescent="0.3">
      <c r="B268" s="121">
        <v>83363214</v>
      </c>
      <c r="C268" s="12" t="s">
        <v>526</v>
      </c>
      <c r="D268" s="12">
        <v>39415</v>
      </c>
      <c r="E268" s="7" t="s">
        <v>528</v>
      </c>
      <c r="F268" s="101" t="s">
        <v>123</v>
      </c>
      <c r="G268" s="101" t="s">
        <v>1030</v>
      </c>
      <c r="H268" s="101" t="s">
        <v>1424</v>
      </c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44" t="s">
        <v>692</v>
      </c>
      <c r="Y268" s="44" t="s">
        <v>692</v>
      </c>
      <c r="Z268" s="44" t="s">
        <v>692</v>
      </c>
      <c r="AA268" s="44" t="s">
        <v>692</v>
      </c>
      <c r="AB268" s="44" t="s">
        <v>692</v>
      </c>
      <c r="AC268" s="44" t="s">
        <v>692</v>
      </c>
      <c r="AD268" s="44" t="s">
        <v>692</v>
      </c>
      <c r="AE268" s="44" t="s">
        <v>692</v>
      </c>
      <c r="AF268" s="44" t="s">
        <v>692</v>
      </c>
      <c r="AG268" s="44" t="s">
        <v>692</v>
      </c>
      <c r="AH268" s="44" t="s">
        <v>692</v>
      </c>
      <c r="AI268" s="113" t="s">
        <v>692</v>
      </c>
      <c r="AK268" s="237"/>
      <c r="AL268" s="237"/>
    </row>
    <row r="269" spans="2:38" ht="18.75" x14ac:dyDescent="0.3">
      <c r="B269" s="121">
        <v>83363214</v>
      </c>
      <c r="C269" s="12" t="s">
        <v>526</v>
      </c>
      <c r="D269" s="12">
        <v>39415</v>
      </c>
      <c r="E269" s="7" t="s">
        <v>1425</v>
      </c>
      <c r="F269" s="101" t="s">
        <v>123</v>
      </c>
      <c r="G269" s="101" t="s">
        <v>1030</v>
      </c>
      <c r="H269" s="101" t="s">
        <v>1427</v>
      </c>
      <c r="I269" s="101">
        <v>108938</v>
      </c>
      <c r="J269" s="101"/>
      <c r="K269" s="101"/>
      <c r="L269" s="101"/>
      <c r="M269" s="101"/>
      <c r="N269" s="101"/>
      <c r="O269" s="101"/>
      <c r="P269" s="101"/>
      <c r="Q269" s="101"/>
      <c r="R269" s="101"/>
      <c r="S269" s="101"/>
      <c r="T269" s="101"/>
      <c r="U269" s="101"/>
      <c r="V269" s="101"/>
      <c r="W269" s="101"/>
      <c r="X269" s="44" t="s">
        <v>692</v>
      </c>
      <c r="Y269" s="44" t="s">
        <v>692</v>
      </c>
      <c r="Z269" s="44" t="s">
        <v>692</v>
      </c>
      <c r="AA269" s="44" t="s">
        <v>692</v>
      </c>
      <c r="AB269" s="44" t="s">
        <v>692</v>
      </c>
      <c r="AC269" s="44" t="s">
        <v>692</v>
      </c>
      <c r="AD269" s="44" t="s">
        <v>692</v>
      </c>
      <c r="AE269" s="44" t="s">
        <v>692</v>
      </c>
      <c r="AF269" s="44" t="s">
        <v>692</v>
      </c>
      <c r="AG269" s="44" t="s">
        <v>692</v>
      </c>
      <c r="AH269" s="44" t="s">
        <v>692</v>
      </c>
      <c r="AI269" s="113" t="s">
        <v>692</v>
      </c>
      <c r="AK269" s="237"/>
      <c r="AL269" s="237"/>
    </row>
    <row r="270" spans="2:38" ht="18.75" x14ac:dyDescent="0.3">
      <c r="B270" s="121" t="s">
        <v>382</v>
      </c>
      <c r="C270" s="12" t="s">
        <v>526</v>
      </c>
      <c r="D270" s="12">
        <v>39936</v>
      </c>
      <c r="E270" s="7" t="s">
        <v>530</v>
      </c>
      <c r="F270" s="101" t="s">
        <v>123</v>
      </c>
      <c r="G270" s="101" t="s">
        <v>531</v>
      </c>
      <c r="H270" s="101"/>
      <c r="I270" s="101">
        <v>19913</v>
      </c>
      <c r="J270" s="101"/>
      <c r="K270" s="101"/>
      <c r="L270" s="101"/>
      <c r="M270" s="101"/>
      <c r="N270" s="101"/>
      <c r="O270" s="101"/>
      <c r="P270" s="101"/>
      <c r="Q270" s="101"/>
      <c r="R270" s="101"/>
      <c r="S270" s="101"/>
      <c r="T270" s="101"/>
      <c r="U270" s="101"/>
      <c r="V270" s="101"/>
      <c r="W270" s="101"/>
      <c r="X270" s="44" t="s">
        <v>692</v>
      </c>
      <c r="Y270" s="44" t="s">
        <v>692</v>
      </c>
      <c r="Z270" s="44" t="s">
        <v>692</v>
      </c>
      <c r="AA270" s="44" t="s">
        <v>692</v>
      </c>
      <c r="AB270" s="44" t="s">
        <v>692</v>
      </c>
      <c r="AC270" s="44" t="s">
        <v>692</v>
      </c>
      <c r="AD270" s="44" t="s">
        <v>692</v>
      </c>
      <c r="AE270" s="44" t="s">
        <v>692</v>
      </c>
      <c r="AF270" s="44" t="s">
        <v>692</v>
      </c>
      <c r="AG270" s="44" t="s">
        <v>692</v>
      </c>
      <c r="AH270" s="44" t="s">
        <v>692</v>
      </c>
      <c r="AI270" s="113" t="s">
        <v>692</v>
      </c>
      <c r="AK270" s="237"/>
      <c r="AL270" s="237"/>
    </row>
    <row r="271" spans="2:38" ht="18.75" x14ac:dyDescent="0.3">
      <c r="B271" s="121" t="s">
        <v>381</v>
      </c>
      <c r="C271" s="12" t="s">
        <v>526</v>
      </c>
      <c r="D271" s="12">
        <v>39342</v>
      </c>
      <c r="E271" s="7" t="s">
        <v>1364</v>
      </c>
      <c r="F271" s="101" t="s">
        <v>123</v>
      </c>
      <c r="G271" s="101" t="s">
        <v>529</v>
      </c>
      <c r="H271" s="101"/>
      <c r="I271" s="101">
        <v>79282</v>
      </c>
      <c r="J271" s="101"/>
      <c r="K271" s="101"/>
      <c r="L271" s="101"/>
      <c r="M271" s="101"/>
      <c r="N271" s="101"/>
      <c r="O271" s="101"/>
      <c r="P271" s="101"/>
      <c r="Q271" s="101"/>
      <c r="R271" s="101"/>
      <c r="S271" s="101"/>
      <c r="T271" s="101"/>
      <c r="U271" s="101"/>
      <c r="V271" s="101"/>
      <c r="W271" s="101"/>
      <c r="X271" s="44" t="s">
        <v>692</v>
      </c>
      <c r="Y271" s="44" t="s">
        <v>692</v>
      </c>
      <c r="Z271" s="44" t="s">
        <v>692</v>
      </c>
      <c r="AA271" s="44" t="s">
        <v>692</v>
      </c>
      <c r="AB271" s="44" t="s">
        <v>692</v>
      </c>
      <c r="AC271" s="44" t="s">
        <v>692</v>
      </c>
      <c r="AD271" s="44" t="s">
        <v>692</v>
      </c>
      <c r="AE271" s="44" t="s">
        <v>692</v>
      </c>
      <c r="AF271" s="44" t="s">
        <v>692</v>
      </c>
      <c r="AG271" s="44" t="s">
        <v>692</v>
      </c>
      <c r="AH271" s="44" t="s">
        <v>692</v>
      </c>
      <c r="AI271" s="113" t="s">
        <v>692</v>
      </c>
      <c r="AK271" s="237"/>
      <c r="AL271" s="237"/>
    </row>
    <row r="272" spans="2:38" ht="18.75" x14ac:dyDescent="0.3">
      <c r="B272" s="121">
        <v>11700447</v>
      </c>
      <c r="C272" s="12" t="s">
        <v>535</v>
      </c>
      <c r="D272" s="12">
        <v>39953</v>
      </c>
      <c r="E272" s="7" t="s">
        <v>536</v>
      </c>
      <c r="F272" s="101" t="s">
        <v>537</v>
      </c>
      <c r="G272" s="101"/>
      <c r="H272" s="101"/>
      <c r="I272" s="101">
        <v>407352</v>
      </c>
      <c r="J272" s="101"/>
      <c r="K272" s="101"/>
      <c r="L272" s="101"/>
      <c r="M272" s="101"/>
      <c r="N272" s="101"/>
      <c r="O272" s="101"/>
      <c r="P272" s="101"/>
      <c r="Q272" s="101"/>
      <c r="R272" s="101"/>
      <c r="S272" s="101"/>
      <c r="T272" s="101"/>
      <c r="U272" s="101"/>
      <c r="V272" s="101"/>
      <c r="W272" s="101"/>
      <c r="X272" s="44" t="s">
        <v>692</v>
      </c>
      <c r="Y272" s="44" t="s">
        <v>692</v>
      </c>
      <c r="Z272" s="44" t="s">
        <v>692</v>
      </c>
      <c r="AA272" s="44" t="s">
        <v>692</v>
      </c>
      <c r="AB272" s="44" t="s">
        <v>692</v>
      </c>
      <c r="AC272" s="44" t="s">
        <v>692</v>
      </c>
      <c r="AD272" s="44" t="s">
        <v>692</v>
      </c>
      <c r="AE272" s="44" t="s">
        <v>692</v>
      </c>
      <c r="AF272" s="44" t="s">
        <v>692</v>
      </c>
      <c r="AG272" s="44" t="s">
        <v>692</v>
      </c>
      <c r="AH272" s="44" t="s">
        <v>692</v>
      </c>
      <c r="AI272" s="113" t="s">
        <v>692</v>
      </c>
      <c r="AK272" s="237"/>
      <c r="AL272" s="237"/>
    </row>
    <row r="273" spans="2:38" ht="18.75" x14ac:dyDescent="0.3">
      <c r="B273" s="121">
        <v>30103608</v>
      </c>
      <c r="C273" s="12" t="s">
        <v>535</v>
      </c>
      <c r="D273" s="12">
        <v>39366</v>
      </c>
      <c r="E273" s="7" t="s">
        <v>145</v>
      </c>
      <c r="F273" s="101" t="s">
        <v>981</v>
      </c>
      <c r="G273" s="101"/>
      <c r="H273" s="101" t="s">
        <v>1015</v>
      </c>
      <c r="I273" s="101"/>
      <c r="J273" s="101"/>
      <c r="K273" s="101"/>
      <c r="L273" s="101"/>
      <c r="M273" s="101"/>
      <c r="N273" s="101"/>
      <c r="O273" s="101"/>
      <c r="P273" s="101"/>
      <c r="Q273" s="101"/>
      <c r="R273" s="101"/>
      <c r="S273" s="101"/>
      <c r="T273" s="101"/>
      <c r="U273" s="101"/>
      <c r="V273" s="101"/>
      <c r="W273" s="101"/>
      <c r="X273" s="44" t="s">
        <v>692</v>
      </c>
      <c r="Y273" s="44" t="s">
        <v>692</v>
      </c>
      <c r="Z273" s="44" t="s">
        <v>692</v>
      </c>
      <c r="AA273" s="44" t="s">
        <v>692</v>
      </c>
      <c r="AB273" s="44" t="s">
        <v>692</v>
      </c>
      <c r="AC273" s="44" t="s">
        <v>692</v>
      </c>
      <c r="AD273" s="44" t="s">
        <v>692</v>
      </c>
      <c r="AE273" s="44" t="s">
        <v>692</v>
      </c>
      <c r="AF273" s="44" t="s">
        <v>692</v>
      </c>
      <c r="AG273" s="44" t="s">
        <v>692</v>
      </c>
      <c r="AH273" s="44" t="s">
        <v>692</v>
      </c>
      <c r="AI273" s="113" t="s">
        <v>692</v>
      </c>
      <c r="AK273" s="237"/>
      <c r="AL273" s="237"/>
    </row>
    <row r="274" spans="2:38" ht="18.75" x14ac:dyDescent="0.3">
      <c r="B274" s="121">
        <v>99561368</v>
      </c>
      <c r="C274" s="12" t="s">
        <v>535</v>
      </c>
      <c r="D274" s="12">
        <v>39063</v>
      </c>
      <c r="E274" s="7" t="s">
        <v>145</v>
      </c>
      <c r="F274" s="101" t="s">
        <v>539</v>
      </c>
      <c r="G274" s="101"/>
      <c r="H274" s="101" t="s">
        <v>1015</v>
      </c>
      <c r="I274" s="101"/>
      <c r="J274" s="101"/>
      <c r="K274" s="101"/>
      <c r="L274" s="101"/>
      <c r="M274" s="101"/>
      <c r="N274" s="101"/>
      <c r="O274" s="101"/>
      <c r="P274" s="101"/>
      <c r="Q274" s="101"/>
      <c r="R274" s="101"/>
      <c r="S274" s="101"/>
      <c r="T274" s="101"/>
      <c r="U274" s="101"/>
      <c r="V274" s="101"/>
      <c r="W274" s="101"/>
      <c r="X274" s="44" t="s">
        <v>692</v>
      </c>
      <c r="Y274" s="44" t="s">
        <v>692</v>
      </c>
      <c r="Z274" s="44" t="s">
        <v>692</v>
      </c>
      <c r="AA274" s="44" t="s">
        <v>692</v>
      </c>
      <c r="AB274" s="44" t="s">
        <v>692</v>
      </c>
      <c r="AC274" s="44" t="s">
        <v>692</v>
      </c>
      <c r="AD274" s="44" t="s">
        <v>692</v>
      </c>
      <c r="AE274" s="44" t="s">
        <v>692</v>
      </c>
      <c r="AF274" s="44" t="s">
        <v>692</v>
      </c>
      <c r="AG274" s="44" t="s">
        <v>692</v>
      </c>
      <c r="AH274" s="44" t="s">
        <v>692</v>
      </c>
      <c r="AI274" s="113" t="s">
        <v>692</v>
      </c>
      <c r="AK274" s="237"/>
      <c r="AL274" s="237"/>
    </row>
    <row r="275" spans="2:38" ht="18.75" x14ac:dyDescent="0.3">
      <c r="B275" s="121">
        <v>99567709</v>
      </c>
      <c r="C275" s="12" t="s">
        <v>535</v>
      </c>
      <c r="D275" s="12">
        <v>39063</v>
      </c>
      <c r="E275" s="7" t="s">
        <v>145</v>
      </c>
      <c r="F275" s="101" t="s">
        <v>983</v>
      </c>
      <c r="G275" s="101"/>
      <c r="H275" s="101" t="s">
        <v>1015</v>
      </c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44" t="s">
        <v>692</v>
      </c>
      <c r="Y275" s="44" t="s">
        <v>692</v>
      </c>
      <c r="Z275" s="44" t="s">
        <v>692</v>
      </c>
      <c r="AA275" s="44" t="s">
        <v>692</v>
      </c>
      <c r="AB275" s="44" t="s">
        <v>692</v>
      </c>
      <c r="AC275" s="44" t="s">
        <v>692</v>
      </c>
      <c r="AD275" s="44" t="s">
        <v>692</v>
      </c>
      <c r="AE275" s="44" t="s">
        <v>692</v>
      </c>
      <c r="AF275" s="44" t="s">
        <v>692</v>
      </c>
      <c r="AG275" s="44" t="s">
        <v>692</v>
      </c>
      <c r="AH275" s="44" t="s">
        <v>692</v>
      </c>
      <c r="AI275" s="113" t="s">
        <v>692</v>
      </c>
      <c r="AK275" s="237"/>
      <c r="AL275" s="237"/>
    </row>
    <row r="276" spans="2:38" ht="18.75" x14ac:dyDescent="0.3">
      <c r="B276" s="121">
        <v>99577129</v>
      </c>
      <c r="C276" s="12" t="s">
        <v>535</v>
      </c>
      <c r="D276" s="12">
        <v>39032</v>
      </c>
      <c r="E276" s="7" t="s">
        <v>145</v>
      </c>
      <c r="F276" s="101" t="s">
        <v>538</v>
      </c>
      <c r="G276" s="101"/>
      <c r="H276" s="101" t="s">
        <v>1015</v>
      </c>
      <c r="I276" s="101"/>
      <c r="J276" s="101"/>
      <c r="K276" s="101"/>
      <c r="L276" s="101"/>
      <c r="M276" s="101"/>
      <c r="N276" s="101"/>
      <c r="O276" s="101"/>
      <c r="P276" s="101"/>
      <c r="Q276" s="101"/>
      <c r="R276" s="101"/>
      <c r="S276" s="101"/>
      <c r="T276" s="101"/>
      <c r="U276" s="101"/>
      <c r="V276" s="101"/>
      <c r="W276" s="101"/>
      <c r="X276" s="44" t="s">
        <v>692</v>
      </c>
      <c r="Y276" s="44" t="s">
        <v>692</v>
      </c>
      <c r="Z276" s="44" t="s">
        <v>692</v>
      </c>
      <c r="AA276" s="44" t="s">
        <v>692</v>
      </c>
      <c r="AB276" s="44" t="s">
        <v>692</v>
      </c>
      <c r="AC276" s="44" t="s">
        <v>692</v>
      </c>
      <c r="AD276" s="44" t="s">
        <v>692</v>
      </c>
      <c r="AE276" s="44" t="s">
        <v>692</v>
      </c>
      <c r="AF276" s="44" t="s">
        <v>692</v>
      </c>
      <c r="AG276" s="44" t="s">
        <v>692</v>
      </c>
      <c r="AH276" s="44" t="s">
        <v>692</v>
      </c>
      <c r="AI276" s="113" t="s">
        <v>692</v>
      </c>
      <c r="AK276" s="237"/>
      <c r="AL276" s="237"/>
    </row>
    <row r="277" spans="2:38" ht="18.75" x14ac:dyDescent="0.3">
      <c r="B277" s="121" t="s">
        <v>1241</v>
      </c>
      <c r="C277" s="12" t="s">
        <v>535</v>
      </c>
      <c r="D277" s="12">
        <v>39819</v>
      </c>
      <c r="E277" s="7" t="s">
        <v>1243</v>
      </c>
      <c r="F277" s="101" t="s">
        <v>1244</v>
      </c>
      <c r="G277" s="101"/>
      <c r="H277" s="101"/>
      <c r="I277" s="101">
        <v>1840</v>
      </c>
      <c r="J277" s="101"/>
      <c r="K277" s="101"/>
      <c r="L277" s="101"/>
      <c r="M277" s="101"/>
      <c r="N277" s="101"/>
      <c r="O277" s="101"/>
      <c r="P277" s="101"/>
      <c r="Q277" s="101"/>
      <c r="R277" s="101"/>
      <c r="S277" s="101"/>
      <c r="T277" s="101"/>
      <c r="U277" s="101"/>
      <c r="V277" s="101"/>
      <c r="W277" s="101"/>
      <c r="X277" s="44" t="s">
        <v>692</v>
      </c>
      <c r="Y277" s="44" t="s">
        <v>692</v>
      </c>
      <c r="Z277" s="44" t="s">
        <v>692</v>
      </c>
      <c r="AA277" s="44" t="s">
        <v>692</v>
      </c>
      <c r="AB277" s="44" t="s">
        <v>692</v>
      </c>
      <c r="AC277" s="44" t="s">
        <v>692</v>
      </c>
      <c r="AD277" s="44" t="s">
        <v>692</v>
      </c>
      <c r="AE277" s="44" t="s">
        <v>692</v>
      </c>
      <c r="AF277" s="44" t="s">
        <v>692</v>
      </c>
      <c r="AG277" s="44" t="s">
        <v>692</v>
      </c>
      <c r="AH277" s="44" t="s">
        <v>692</v>
      </c>
      <c r="AI277" s="113" t="s">
        <v>692</v>
      </c>
      <c r="AK277" s="237"/>
      <c r="AL277" s="237"/>
    </row>
    <row r="278" spans="2:38" ht="18.75" x14ac:dyDescent="0.3">
      <c r="B278" s="121" t="s">
        <v>1386</v>
      </c>
      <c r="C278" s="12" t="s">
        <v>535</v>
      </c>
      <c r="D278" s="12">
        <v>39999</v>
      </c>
      <c r="E278" s="7" t="s">
        <v>1387</v>
      </c>
      <c r="F278" s="101" t="s">
        <v>1389</v>
      </c>
      <c r="G278" s="101"/>
      <c r="H278" s="101" t="s">
        <v>1504</v>
      </c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101"/>
      <c r="T278" s="101"/>
      <c r="U278" s="101"/>
      <c r="V278" s="101"/>
      <c r="W278" s="101"/>
      <c r="X278" s="44" t="s">
        <v>692</v>
      </c>
      <c r="Y278" s="44" t="s">
        <v>692</v>
      </c>
      <c r="Z278" s="44" t="s">
        <v>692</v>
      </c>
      <c r="AA278" s="44" t="s">
        <v>692</v>
      </c>
      <c r="AB278" s="44" t="s">
        <v>692</v>
      </c>
      <c r="AC278" s="44" t="s">
        <v>692</v>
      </c>
      <c r="AD278" s="44" t="s">
        <v>692</v>
      </c>
      <c r="AE278" s="44" t="s">
        <v>692</v>
      </c>
      <c r="AF278" s="44" t="s">
        <v>692</v>
      </c>
      <c r="AG278" s="44" t="s">
        <v>692</v>
      </c>
      <c r="AH278" s="44" t="s">
        <v>692</v>
      </c>
      <c r="AI278" s="113" t="s">
        <v>692</v>
      </c>
      <c r="AK278" s="237"/>
      <c r="AL278" s="237"/>
    </row>
    <row r="279" spans="2:38" ht="18.75" x14ac:dyDescent="0.3">
      <c r="B279" s="121">
        <v>18506030</v>
      </c>
      <c r="C279" s="12" t="s">
        <v>544</v>
      </c>
      <c r="D279" s="12">
        <v>39435</v>
      </c>
      <c r="E279" s="7" t="s">
        <v>545</v>
      </c>
      <c r="F279" s="101" t="s">
        <v>1034</v>
      </c>
      <c r="G279" s="101"/>
      <c r="H279" s="101"/>
      <c r="I279" s="101">
        <v>3792</v>
      </c>
      <c r="J279" s="101"/>
      <c r="K279" s="101"/>
      <c r="L279" s="101"/>
      <c r="M279" s="101"/>
      <c r="N279" s="101"/>
      <c r="O279" s="101"/>
      <c r="P279" s="101"/>
      <c r="Q279" s="101"/>
      <c r="R279" s="101"/>
      <c r="S279" s="101"/>
      <c r="T279" s="101"/>
      <c r="U279" s="101"/>
      <c r="V279" s="101"/>
      <c r="W279" s="101"/>
      <c r="X279" s="44" t="s">
        <v>692</v>
      </c>
      <c r="Y279" s="44" t="s">
        <v>692</v>
      </c>
      <c r="Z279" s="44" t="s">
        <v>692</v>
      </c>
      <c r="AA279" s="44" t="s">
        <v>692</v>
      </c>
      <c r="AB279" s="44" t="s">
        <v>692</v>
      </c>
      <c r="AC279" s="44" t="s">
        <v>692</v>
      </c>
      <c r="AD279" s="44" t="s">
        <v>692</v>
      </c>
      <c r="AE279" s="44" t="s">
        <v>692</v>
      </c>
      <c r="AF279" s="44" t="s">
        <v>692</v>
      </c>
      <c r="AG279" s="44" t="s">
        <v>692</v>
      </c>
      <c r="AH279" s="44" t="s">
        <v>692</v>
      </c>
      <c r="AI279" s="113" t="s">
        <v>692</v>
      </c>
      <c r="AK279" s="237"/>
      <c r="AL279" s="237"/>
    </row>
    <row r="280" spans="2:38" ht="18.75" x14ac:dyDescent="0.3">
      <c r="B280" s="121" t="s">
        <v>1555</v>
      </c>
      <c r="C280" s="12" t="s">
        <v>547</v>
      </c>
      <c r="D280" s="12">
        <v>39418</v>
      </c>
      <c r="E280" s="7" t="s">
        <v>145</v>
      </c>
      <c r="F280" s="101" t="s">
        <v>1173</v>
      </c>
      <c r="G280" s="101"/>
      <c r="H280" s="101"/>
      <c r="I280" s="101">
        <v>27776</v>
      </c>
      <c r="J280" s="101"/>
      <c r="K280" s="101"/>
      <c r="L280" s="101"/>
      <c r="M280" s="101"/>
      <c r="N280" s="101"/>
      <c r="O280" s="101"/>
      <c r="P280" s="101"/>
      <c r="Q280" s="101"/>
      <c r="R280" s="101"/>
      <c r="S280" s="101"/>
      <c r="T280" s="101"/>
      <c r="U280" s="101"/>
      <c r="V280" s="101"/>
      <c r="W280" s="101"/>
      <c r="X280" s="44" t="s">
        <v>692</v>
      </c>
      <c r="Y280" s="44" t="s">
        <v>692</v>
      </c>
      <c r="Z280" s="44" t="s">
        <v>692</v>
      </c>
      <c r="AA280" s="44" t="s">
        <v>692</v>
      </c>
      <c r="AB280" s="44" t="s">
        <v>692</v>
      </c>
      <c r="AC280" s="44" t="s">
        <v>692</v>
      </c>
      <c r="AD280" s="44" t="s">
        <v>692</v>
      </c>
      <c r="AE280" s="44" t="s">
        <v>692</v>
      </c>
      <c r="AF280" s="44" t="s">
        <v>692</v>
      </c>
      <c r="AG280" s="44" t="s">
        <v>692</v>
      </c>
      <c r="AH280" s="44" t="s">
        <v>692</v>
      </c>
      <c r="AI280" s="113" t="s">
        <v>692</v>
      </c>
      <c r="AK280" s="237"/>
      <c r="AL280" s="237"/>
    </row>
    <row r="281" spans="2:38" ht="18.75" x14ac:dyDescent="0.3">
      <c r="B281" s="121" t="s">
        <v>1554</v>
      </c>
      <c r="C281" s="12" t="s">
        <v>547</v>
      </c>
      <c r="D281" s="12">
        <v>39337</v>
      </c>
      <c r="E281" s="7" t="s">
        <v>145</v>
      </c>
      <c r="F281" s="101" t="s">
        <v>1172</v>
      </c>
      <c r="G281" s="101"/>
      <c r="H281" s="101"/>
      <c r="I281" s="101">
        <v>29382</v>
      </c>
      <c r="J281" s="101"/>
      <c r="K281" s="101"/>
      <c r="L281" s="101"/>
      <c r="M281" s="101"/>
      <c r="N281" s="101"/>
      <c r="O281" s="101"/>
      <c r="P281" s="101"/>
      <c r="Q281" s="101"/>
      <c r="R281" s="101"/>
      <c r="S281" s="101"/>
      <c r="T281" s="101"/>
      <c r="U281" s="101"/>
      <c r="V281" s="101"/>
      <c r="W281" s="101"/>
      <c r="X281" s="44" t="s">
        <v>692</v>
      </c>
      <c r="Y281" s="44" t="s">
        <v>692</v>
      </c>
      <c r="Z281" s="44" t="s">
        <v>692</v>
      </c>
      <c r="AA281" s="44" t="s">
        <v>692</v>
      </c>
      <c r="AB281" s="44" t="s">
        <v>692</v>
      </c>
      <c r="AC281" s="44" t="s">
        <v>692</v>
      </c>
      <c r="AD281" s="44" t="s">
        <v>692</v>
      </c>
      <c r="AE281" s="44" t="s">
        <v>692</v>
      </c>
      <c r="AF281" s="44" t="s">
        <v>692</v>
      </c>
      <c r="AG281" s="44" t="s">
        <v>692</v>
      </c>
      <c r="AH281" s="44" t="s">
        <v>692</v>
      </c>
      <c r="AI281" s="113" t="s">
        <v>692</v>
      </c>
      <c r="AK281" s="237"/>
      <c r="AL281" s="237"/>
    </row>
    <row r="282" spans="2:38" ht="18.75" x14ac:dyDescent="0.3">
      <c r="B282" s="121" t="s">
        <v>1312</v>
      </c>
      <c r="C282" s="12" t="s">
        <v>547</v>
      </c>
      <c r="D282" s="12">
        <v>39311</v>
      </c>
      <c r="E282" s="7" t="s">
        <v>145</v>
      </c>
      <c r="F282" s="101" t="s">
        <v>1314</v>
      </c>
      <c r="G282" s="101"/>
      <c r="H282" s="101" t="s">
        <v>1442</v>
      </c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101"/>
      <c r="T282" s="101"/>
      <c r="U282" s="101"/>
      <c r="V282" s="101"/>
      <c r="W282" s="101"/>
      <c r="X282" s="44" t="s">
        <v>692</v>
      </c>
      <c r="Y282" s="44" t="s">
        <v>692</v>
      </c>
      <c r="Z282" s="44" t="s">
        <v>692</v>
      </c>
      <c r="AA282" s="44" t="s">
        <v>692</v>
      </c>
      <c r="AB282" s="44" t="s">
        <v>692</v>
      </c>
      <c r="AC282" s="44" t="s">
        <v>692</v>
      </c>
      <c r="AD282" s="44" t="s">
        <v>692</v>
      </c>
      <c r="AE282" s="44" t="s">
        <v>692</v>
      </c>
      <c r="AF282" s="44" t="s">
        <v>692</v>
      </c>
      <c r="AG282" s="44" t="s">
        <v>692</v>
      </c>
      <c r="AH282" s="44" t="s">
        <v>692</v>
      </c>
      <c r="AI282" s="113" t="s">
        <v>692</v>
      </c>
      <c r="AK282" s="237"/>
      <c r="AL282" s="237"/>
    </row>
    <row r="283" spans="2:38" ht="18.75" x14ac:dyDescent="0.3">
      <c r="B283" s="121">
        <v>29218</v>
      </c>
      <c r="C283" s="12" t="s">
        <v>550</v>
      </c>
      <c r="D283" s="12">
        <v>39921</v>
      </c>
      <c r="E283" s="7" t="s">
        <v>551</v>
      </c>
      <c r="F283" s="101" t="s">
        <v>552</v>
      </c>
      <c r="G283" s="101"/>
      <c r="H283" s="101"/>
      <c r="I283" s="101">
        <v>269156</v>
      </c>
      <c r="J283" s="101"/>
      <c r="K283" s="101"/>
      <c r="L283" s="101"/>
      <c r="M283" s="101"/>
      <c r="N283" s="101"/>
      <c r="O283" s="101"/>
      <c r="P283" s="101"/>
      <c r="Q283" s="101"/>
      <c r="R283" s="101"/>
      <c r="S283" s="101"/>
      <c r="T283" s="101"/>
      <c r="U283" s="101"/>
      <c r="V283" s="101"/>
      <c r="W283" s="101"/>
      <c r="X283" s="44" t="s">
        <v>692</v>
      </c>
      <c r="Y283" s="44" t="s">
        <v>692</v>
      </c>
      <c r="Z283" s="44" t="s">
        <v>692</v>
      </c>
      <c r="AA283" s="44" t="s">
        <v>692</v>
      </c>
      <c r="AB283" s="44" t="s">
        <v>692</v>
      </c>
      <c r="AC283" s="44" t="s">
        <v>692</v>
      </c>
      <c r="AD283" s="44" t="s">
        <v>692</v>
      </c>
      <c r="AE283" s="44" t="s">
        <v>692</v>
      </c>
      <c r="AF283" s="44" t="s">
        <v>692</v>
      </c>
      <c r="AG283" s="44" t="s">
        <v>692</v>
      </c>
      <c r="AH283" s="44" t="s">
        <v>692</v>
      </c>
      <c r="AI283" s="113" t="s">
        <v>692</v>
      </c>
      <c r="AK283" s="237"/>
      <c r="AL283" s="237"/>
    </row>
    <row r="284" spans="2:38" ht="18.75" x14ac:dyDescent="0.3">
      <c r="B284" s="121">
        <v>95164633</v>
      </c>
      <c r="C284" s="12" t="s">
        <v>554</v>
      </c>
      <c r="D284" s="12">
        <v>39484</v>
      </c>
      <c r="E284" s="7" t="s">
        <v>145</v>
      </c>
      <c r="F284" s="101" t="s">
        <v>1313</v>
      </c>
      <c r="G284" s="101"/>
      <c r="H284" s="101" t="s">
        <v>656</v>
      </c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101"/>
      <c r="T284" s="101"/>
      <c r="U284" s="101"/>
      <c r="V284" s="101"/>
      <c r="W284" s="101"/>
      <c r="X284" s="44" t="s">
        <v>692</v>
      </c>
      <c r="Y284" s="44" t="s">
        <v>692</v>
      </c>
      <c r="Z284" s="44" t="s">
        <v>692</v>
      </c>
      <c r="AA284" s="44" t="s">
        <v>692</v>
      </c>
      <c r="AB284" s="44" t="s">
        <v>692</v>
      </c>
      <c r="AC284" s="44" t="s">
        <v>692</v>
      </c>
      <c r="AD284" s="44" t="s">
        <v>692</v>
      </c>
      <c r="AE284" s="44" t="s">
        <v>692</v>
      </c>
      <c r="AF284" s="44" t="s">
        <v>692</v>
      </c>
      <c r="AG284" s="44" t="s">
        <v>692</v>
      </c>
      <c r="AH284" s="44" t="s">
        <v>692</v>
      </c>
      <c r="AI284" s="113" t="s">
        <v>692</v>
      </c>
      <c r="AK284" s="237"/>
      <c r="AL284" s="237"/>
    </row>
    <row r="285" spans="2:38" ht="18.75" x14ac:dyDescent="0.3">
      <c r="B285" s="121" t="s">
        <v>1421</v>
      </c>
      <c r="C285" s="12" t="s">
        <v>554</v>
      </c>
      <c r="D285" s="12">
        <v>39293</v>
      </c>
      <c r="E285" s="7" t="s">
        <v>145</v>
      </c>
      <c r="F285" s="101" t="s">
        <v>1164</v>
      </c>
      <c r="G285" s="101" t="s">
        <v>1422</v>
      </c>
      <c r="H285" s="101" t="s">
        <v>1423</v>
      </c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  <c r="T285" s="101"/>
      <c r="U285" s="101"/>
      <c r="V285" s="101"/>
      <c r="W285" s="101"/>
      <c r="X285" s="44" t="s">
        <v>692</v>
      </c>
      <c r="Y285" s="44" t="s">
        <v>692</v>
      </c>
      <c r="Z285" s="44" t="s">
        <v>692</v>
      </c>
      <c r="AA285" s="44" t="s">
        <v>692</v>
      </c>
      <c r="AB285" s="44" t="s">
        <v>692</v>
      </c>
      <c r="AC285" s="44" t="s">
        <v>692</v>
      </c>
      <c r="AD285" s="44" t="s">
        <v>692</v>
      </c>
      <c r="AE285" s="44" t="s">
        <v>692</v>
      </c>
      <c r="AF285" s="44" t="s">
        <v>692</v>
      </c>
      <c r="AG285" s="44" t="s">
        <v>692</v>
      </c>
      <c r="AH285" s="44" t="s">
        <v>692</v>
      </c>
      <c r="AI285" s="113" t="s">
        <v>692</v>
      </c>
      <c r="AK285" s="237"/>
      <c r="AL285" s="237"/>
    </row>
    <row r="286" spans="2:38" ht="18.75" x14ac:dyDescent="0.3">
      <c r="B286" s="121" t="s">
        <v>1174</v>
      </c>
      <c r="C286" s="12" t="s">
        <v>554</v>
      </c>
      <c r="D286" s="12">
        <v>39833</v>
      </c>
      <c r="E286" s="7" t="s">
        <v>145</v>
      </c>
      <c r="F286" s="101" t="s">
        <v>1174</v>
      </c>
      <c r="G286" s="101" t="s">
        <v>1443</v>
      </c>
      <c r="H286" s="101" t="s">
        <v>1444</v>
      </c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101"/>
      <c r="T286" s="101"/>
      <c r="U286" s="101"/>
      <c r="V286" s="101"/>
      <c r="W286" s="101"/>
      <c r="X286" s="44" t="s">
        <v>692</v>
      </c>
      <c r="Y286" s="44" t="s">
        <v>692</v>
      </c>
      <c r="Z286" s="44" t="s">
        <v>692</v>
      </c>
      <c r="AA286" s="44" t="s">
        <v>692</v>
      </c>
      <c r="AB286" s="44" t="s">
        <v>692</v>
      </c>
      <c r="AC286" s="44" t="s">
        <v>692</v>
      </c>
      <c r="AD286" s="44" t="s">
        <v>692</v>
      </c>
      <c r="AE286" s="44" t="s">
        <v>692</v>
      </c>
      <c r="AF286" s="44" t="s">
        <v>692</v>
      </c>
      <c r="AG286" s="44" t="s">
        <v>692</v>
      </c>
      <c r="AH286" s="44" t="s">
        <v>692</v>
      </c>
      <c r="AI286" s="113" t="s">
        <v>692</v>
      </c>
      <c r="AK286" s="237"/>
      <c r="AL286" s="237"/>
    </row>
    <row r="287" spans="2:38" ht="18.75" x14ac:dyDescent="0.3">
      <c r="B287" s="121" t="s">
        <v>1174</v>
      </c>
      <c r="C287" s="12" t="s">
        <v>554</v>
      </c>
      <c r="D287" s="12">
        <v>39833</v>
      </c>
      <c r="E287" s="7" t="s">
        <v>1458</v>
      </c>
      <c r="F287" s="101" t="s">
        <v>1174</v>
      </c>
      <c r="G287" s="101" t="s">
        <v>1445</v>
      </c>
      <c r="H287" s="101" t="s">
        <v>1502</v>
      </c>
      <c r="I287" s="101"/>
      <c r="J287" s="101"/>
      <c r="K287" s="101"/>
      <c r="L287" s="101"/>
      <c r="M287" s="101"/>
      <c r="N287" s="101"/>
      <c r="O287" s="101"/>
      <c r="P287" s="101"/>
      <c r="Q287" s="101"/>
      <c r="R287" s="101"/>
      <c r="S287" s="101"/>
      <c r="T287" s="101"/>
      <c r="U287" s="101"/>
      <c r="V287" s="101"/>
      <c r="W287" s="101"/>
      <c r="X287" s="44" t="s">
        <v>692</v>
      </c>
      <c r="Y287" s="44" t="s">
        <v>692</v>
      </c>
      <c r="Z287" s="44" t="s">
        <v>692</v>
      </c>
      <c r="AA287" s="44" t="s">
        <v>692</v>
      </c>
      <c r="AB287" s="44" t="s">
        <v>692</v>
      </c>
      <c r="AC287" s="44" t="s">
        <v>692</v>
      </c>
      <c r="AD287" s="44" t="s">
        <v>692</v>
      </c>
      <c r="AE287" s="44" t="s">
        <v>692</v>
      </c>
      <c r="AF287" s="44" t="s">
        <v>692</v>
      </c>
      <c r="AG287" s="44" t="s">
        <v>692</v>
      </c>
      <c r="AH287" s="44" t="s">
        <v>692</v>
      </c>
      <c r="AI287" s="113" t="s">
        <v>692</v>
      </c>
      <c r="AK287" s="237"/>
      <c r="AL287" s="237"/>
    </row>
    <row r="288" spans="2:38" ht="18.75" x14ac:dyDescent="0.3">
      <c r="B288" s="121" t="s">
        <v>1232</v>
      </c>
      <c r="C288" s="12" t="s">
        <v>554</v>
      </c>
      <c r="D288" s="12">
        <v>39156</v>
      </c>
      <c r="E288" s="7" t="s">
        <v>145</v>
      </c>
      <c r="F288" s="101" t="s">
        <v>1163</v>
      </c>
      <c r="G288" s="101" t="s">
        <v>1510</v>
      </c>
      <c r="H288" s="101"/>
      <c r="I288" s="101"/>
      <c r="J288" s="101"/>
      <c r="K288" s="101"/>
      <c r="L288" s="101"/>
      <c r="M288" s="101"/>
      <c r="N288" s="101"/>
      <c r="O288" s="101"/>
      <c r="P288" s="101"/>
      <c r="Q288" s="101"/>
      <c r="R288" s="101"/>
      <c r="S288" s="101"/>
      <c r="T288" s="101"/>
      <c r="U288" s="101"/>
      <c r="V288" s="101"/>
      <c r="W288" s="101"/>
      <c r="X288" s="44" t="s">
        <v>692</v>
      </c>
      <c r="Y288" s="44" t="s">
        <v>692</v>
      </c>
      <c r="Z288" s="44" t="s">
        <v>692</v>
      </c>
      <c r="AA288" s="44" t="s">
        <v>692</v>
      </c>
      <c r="AB288" s="44" t="s">
        <v>692</v>
      </c>
      <c r="AC288" s="44" t="s">
        <v>692</v>
      </c>
      <c r="AD288" s="44" t="s">
        <v>692</v>
      </c>
      <c r="AE288" s="44" t="s">
        <v>692</v>
      </c>
      <c r="AF288" s="44" t="s">
        <v>692</v>
      </c>
      <c r="AG288" s="44" t="s">
        <v>692</v>
      </c>
      <c r="AH288" s="44" t="s">
        <v>692</v>
      </c>
      <c r="AI288" s="113" t="s">
        <v>692</v>
      </c>
      <c r="AK288" s="237"/>
      <c r="AL288" s="237"/>
    </row>
    <row r="289" spans="2:38" ht="18.75" x14ac:dyDescent="0.3">
      <c r="B289" s="121" t="s">
        <v>1164</v>
      </c>
      <c r="C289" s="187" t="s">
        <v>554</v>
      </c>
      <c r="D289" s="187">
        <v>39293</v>
      </c>
      <c r="E289" s="7" t="s">
        <v>145</v>
      </c>
      <c r="F289" s="101" t="s">
        <v>1164</v>
      </c>
      <c r="G289" s="101" t="s">
        <v>1510</v>
      </c>
      <c r="H289" s="101"/>
      <c r="I289" s="101"/>
      <c r="J289" s="101"/>
      <c r="K289" s="101"/>
      <c r="L289" s="101"/>
      <c r="M289" s="101"/>
      <c r="N289" s="101"/>
      <c r="O289" s="101"/>
      <c r="P289" s="101"/>
      <c r="Q289" s="101"/>
      <c r="R289" s="101"/>
      <c r="S289" s="101"/>
      <c r="T289" s="101"/>
      <c r="U289" s="101"/>
      <c r="V289" s="101"/>
      <c r="W289" s="101"/>
      <c r="X289" s="44" t="s">
        <v>692</v>
      </c>
      <c r="Y289" s="44" t="s">
        <v>692</v>
      </c>
      <c r="Z289" s="44" t="s">
        <v>692</v>
      </c>
      <c r="AA289" s="44" t="s">
        <v>692</v>
      </c>
      <c r="AB289" s="44" t="s">
        <v>692</v>
      </c>
      <c r="AC289" s="44" t="s">
        <v>692</v>
      </c>
      <c r="AD289" s="44" t="s">
        <v>692</v>
      </c>
      <c r="AE289" s="44" t="s">
        <v>692</v>
      </c>
      <c r="AF289" s="44" t="s">
        <v>692</v>
      </c>
      <c r="AG289" s="44" t="s">
        <v>692</v>
      </c>
      <c r="AH289" s="44" t="s">
        <v>692</v>
      </c>
      <c r="AI289" s="113" t="s">
        <v>692</v>
      </c>
      <c r="AK289" s="237"/>
      <c r="AL289" s="237"/>
    </row>
    <row r="290" spans="2:38" ht="18.75" x14ac:dyDescent="0.3">
      <c r="B290" s="121" t="s">
        <v>1165</v>
      </c>
      <c r="C290" s="187" t="s">
        <v>554</v>
      </c>
      <c r="D290" s="187">
        <v>39379</v>
      </c>
      <c r="E290" s="7" t="s">
        <v>145</v>
      </c>
      <c r="F290" s="101" t="s">
        <v>1165</v>
      </c>
      <c r="G290" s="101" t="s">
        <v>1510</v>
      </c>
      <c r="H290" s="101"/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101"/>
      <c r="T290" s="101"/>
      <c r="U290" s="101"/>
      <c r="V290" s="101"/>
      <c r="W290" s="101"/>
      <c r="X290" s="44" t="s">
        <v>692</v>
      </c>
      <c r="Y290" s="44" t="s">
        <v>692</v>
      </c>
      <c r="Z290" s="44" t="s">
        <v>692</v>
      </c>
      <c r="AA290" s="44" t="s">
        <v>692</v>
      </c>
      <c r="AB290" s="44" t="s">
        <v>692</v>
      </c>
      <c r="AC290" s="44" t="s">
        <v>692</v>
      </c>
      <c r="AD290" s="44" t="s">
        <v>692</v>
      </c>
      <c r="AE290" s="44" t="s">
        <v>692</v>
      </c>
      <c r="AF290" s="44" t="s">
        <v>692</v>
      </c>
      <c r="AG290" s="44" t="s">
        <v>692</v>
      </c>
      <c r="AH290" s="44" t="s">
        <v>692</v>
      </c>
      <c r="AI290" s="113" t="s">
        <v>692</v>
      </c>
      <c r="AK290" s="237"/>
      <c r="AL290" s="237"/>
    </row>
    <row r="291" spans="2:38" ht="18.75" x14ac:dyDescent="0.3">
      <c r="B291" s="121" t="s">
        <v>1233</v>
      </c>
      <c r="C291" s="187" t="s">
        <v>554</v>
      </c>
      <c r="D291" s="94">
        <v>39585</v>
      </c>
      <c r="E291" s="7" t="s">
        <v>145</v>
      </c>
      <c r="F291" s="101" t="s">
        <v>1166</v>
      </c>
      <c r="G291" s="101" t="s">
        <v>1510</v>
      </c>
      <c r="H291" s="101"/>
      <c r="I291" s="101"/>
      <c r="J291" s="101"/>
      <c r="K291" s="101"/>
      <c r="L291" s="101"/>
      <c r="M291" s="101"/>
      <c r="N291" s="101"/>
      <c r="O291" s="101"/>
      <c r="P291" s="101"/>
      <c r="Q291" s="101"/>
      <c r="R291" s="101"/>
      <c r="S291" s="101"/>
      <c r="T291" s="101"/>
      <c r="U291" s="101"/>
      <c r="V291" s="101"/>
      <c r="W291" s="101"/>
      <c r="X291" s="44" t="s">
        <v>692</v>
      </c>
      <c r="Y291" s="44" t="s">
        <v>692</v>
      </c>
      <c r="Z291" s="44" t="s">
        <v>692</v>
      </c>
      <c r="AA291" s="44" t="s">
        <v>692</v>
      </c>
      <c r="AB291" s="44" t="s">
        <v>692</v>
      </c>
      <c r="AC291" s="44" t="s">
        <v>692</v>
      </c>
      <c r="AD291" s="44" t="s">
        <v>692</v>
      </c>
      <c r="AE291" s="44" t="s">
        <v>692</v>
      </c>
      <c r="AF291" s="44" t="s">
        <v>692</v>
      </c>
      <c r="AG291" s="44" t="s">
        <v>692</v>
      </c>
      <c r="AH291" s="44" t="s">
        <v>692</v>
      </c>
      <c r="AI291" s="113" t="s">
        <v>692</v>
      </c>
      <c r="AK291" s="237"/>
      <c r="AL291" s="237"/>
    </row>
    <row r="292" spans="2:38" ht="18.75" x14ac:dyDescent="0.3">
      <c r="B292" s="121" t="s">
        <v>1167</v>
      </c>
      <c r="C292" s="12" t="s">
        <v>554</v>
      </c>
      <c r="D292" s="12">
        <v>39844</v>
      </c>
      <c r="E292" s="7" t="s">
        <v>145</v>
      </c>
      <c r="F292" s="101" t="s">
        <v>1167</v>
      </c>
      <c r="G292" s="101" t="s">
        <v>1510</v>
      </c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44" t="s">
        <v>692</v>
      </c>
      <c r="Y292" s="44" t="s">
        <v>692</v>
      </c>
      <c r="Z292" s="44" t="s">
        <v>692</v>
      </c>
      <c r="AA292" s="44" t="s">
        <v>692</v>
      </c>
      <c r="AB292" s="44" t="s">
        <v>692</v>
      </c>
      <c r="AC292" s="44" t="s">
        <v>692</v>
      </c>
      <c r="AD292" s="44" t="s">
        <v>692</v>
      </c>
      <c r="AE292" s="44" t="s">
        <v>692</v>
      </c>
      <c r="AF292" s="44" t="s">
        <v>692</v>
      </c>
      <c r="AG292" s="44" t="s">
        <v>692</v>
      </c>
      <c r="AH292" s="44" t="s">
        <v>692</v>
      </c>
      <c r="AI292" s="113" t="s">
        <v>692</v>
      </c>
      <c r="AK292" s="237"/>
      <c r="AL292" s="237"/>
    </row>
    <row r="293" spans="2:38" ht="18.75" x14ac:dyDescent="0.3">
      <c r="B293" s="121" t="s">
        <v>1168</v>
      </c>
      <c r="C293" s="12" t="s">
        <v>554</v>
      </c>
      <c r="D293" s="12">
        <v>39490</v>
      </c>
      <c r="E293" s="7" t="s">
        <v>145</v>
      </c>
      <c r="F293" s="101" t="s">
        <v>1168</v>
      </c>
      <c r="G293" s="101" t="s">
        <v>1510</v>
      </c>
      <c r="H293" s="10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44" t="s">
        <v>692</v>
      </c>
      <c r="Y293" s="44" t="s">
        <v>692</v>
      </c>
      <c r="Z293" s="44" t="s">
        <v>692</v>
      </c>
      <c r="AA293" s="44" t="s">
        <v>692</v>
      </c>
      <c r="AB293" s="44" t="s">
        <v>692</v>
      </c>
      <c r="AC293" s="44" t="s">
        <v>692</v>
      </c>
      <c r="AD293" s="44" t="s">
        <v>692</v>
      </c>
      <c r="AE293" s="44" t="s">
        <v>692</v>
      </c>
      <c r="AF293" s="44" t="s">
        <v>692</v>
      </c>
      <c r="AG293" s="44" t="s">
        <v>692</v>
      </c>
      <c r="AH293" s="44" t="s">
        <v>692</v>
      </c>
      <c r="AI293" s="113" t="s">
        <v>692</v>
      </c>
      <c r="AK293" s="237"/>
      <c r="AL293" s="237"/>
    </row>
    <row r="294" spans="2:38" ht="18.75" x14ac:dyDescent="0.3">
      <c r="B294" s="121" t="s">
        <v>1557</v>
      </c>
      <c r="C294" s="12" t="s">
        <v>558</v>
      </c>
      <c r="D294" s="12">
        <v>39307</v>
      </c>
      <c r="E294" s="7" t="s">
        <v>145</v>
      </c>
      <c r="F294" s="101" t="s">
        <v>1170</v>
      </c>
      <c r="G294" s="101"/>
      <c r="H294" s="101"/>
      <c r="I294" s="101">
        <v>47409</v>
      </c>
      <c r="J294" s="101"/>
      <c r="K294" s="101"/>
      <c r="L294" s="101"/>
      <c r="M294" s="101"/>
      <c r="N294" s="101"/>
      <c r="O294" s="101"/>
      <c r="P294" s="101"/>
      <c r="Q294" s="101"/>
      <c r="R294" s="101"/>
      <c r="S294" s="101"/>
      <c r="T294" s="101"/>
      <c r="U294" s="101"/>
      <c r="V294" s="101"/>
      <c r="W294" s="101"/>
      <c r="X294" s="44" t="s">
        <v>692</v>
      </c>
      <c r="Y294" s="44" t="s">
        <v>692</v>
      </c>
      <c r="Z294" s="44" t="s">
        <v>692</v>
      </c>
      <c r="AA294" s="44" t="s">
        <v>692</v>
      </c>
      <c r="AB294" s="44" t="s">
        <v>692</v>
      </c>
      <c r="AC294" s="44" t="s">
        <v>692</v>
      </c>
      <c r="AD294" s="44" t="s">
        <v>692</v>
      </c>
      <c r="AE294" s="44" t="s">
        <v>692</v>
      </c>
      <c r="AF294" s="44" t="s">
        <v>692</v>
      </c>
      <c r="AG294" s="44" t="s">
        <v>692</v>
      </c>
      <c r="AH294" s="44" t="s">
        <v>692</v>
      </c>
      <c r="AI294" s="113" t="s">
        <v>692</v>
      </c>
      <c r="AK294" s="237"/>
      <c r="AL294" s="237"/>
    </row>
    <row r="295" spans="2:38" ht="18.75" x14ac:dyDescent="0.3">
      <c r="B295" s="121" t="s">
        <v>1556</v>
      </c>
      <c r="C295" s="12" t="s">
        <v>558</v>
      </c>
      <c r="D295" s="12">
        <v>39306</v>
      </c>
      <c r="E295" s="7" t="s">
        <v>145</v>
      </c>
      <c r="F295" s="101" t="s">
        <v>1169</v>
      </c>
      <c r="G295" s="101"/>
      <c r="H295" s="101"/>
      <c r="I295" s="101">
        <v>43856</v>
      </c>
      <c r="J295" s="101"/>
      <c r="K295" s="101"/>
      <c r="L295" s="101"/>
      <c r="M295" s="101"/>
      <c r="N295" s="101"/>
      <c r="O295" s="101"/>
      <c r="P295" s="101"/>
      <c r="Q295" s="101"/>
      <c r="R295" s="101"/>
      <c r="S295" s="101"/>
      <c r="T295" s="101"/>
      <c r="U295" s="101"/>
      <c r="V295" s="101"/>
      <c r="W295" s="101"/>
      <c r="X295" s="44" t="s">
        <v>692</v>
      </c>
      <c r="Y295" s="44" t="s">
        <v>692</v>
      </c>
      <c r="Z295" s="44" t="s">
        <v>692</v>
      </c>
      <c r="AA295" s="44" t="s">
        <v>692</v>
      </c>
      <c r="AB295" s="44" t="s">
        <v>692</v>
      </c>
      <c r="AC295" s="44" t="s">
        <v>692</v>
      </c>
      <c r="AD295" s="44" t="s">
        <v>692</v>
      </c>
      <c r="AE295" s="44" t="s">
        <v>692</v>
      </c>
      <c r="AF295" s="44" t="s">
        <v>692</v>
      </c>
      <c r="AG295" s="44" t="s">
        <v>692</v>
      </c>
      <c r="AH295" s="44" t="s">
        <v>692</v>
      </c>
      <c r="AI295" s="113" t="s">
        <v>692</v>
      </c>
      <c r="AK295" s="237"/>
      <c r="AL295" s="237"/>
    </row>
    <row r="296" spans="2:38" ht="18.75" x14ac:dyDescent="0.3">
      <c r="B296" s="121" t="s">
        <v>1526</v>
      </c>
      <c r="C296" s="12" t="s">
        <v>558</v>
      </c>
      <c r="D296" s="12">
        <v>39906</v>
      </c>
      <c r="E296" s="7" t="s">
        <v>1521</v>
      </c>
      <c r="F296" s="101" t="s">
        <v>1522</v>
      </c>
      <c r="G296" s="101" t="s">
        <v>1523</v>
      </c>
      <c r="H296" s="101"/>
      <c r="I296" s="101">
        <v>7769</v>
      </c>
      <c r="J296" s="101"/>
      <c r="K296" s="101"/>
      <c r="L296" s="101"/>
      <c r="M296" s="101"/>
      <c r="N296" s="101"/>
      <c r="O296" s="101"/>
      <c r="P296" s="101"/>
      <c r="Q296" s="101"/>
      <c r="R296" s="101"/>
      <c r="S296" s="101"/>
      <c r="T296" s="101"/>
      <c r="U296" s="101"/>
      <c r="V296" s="101"/>
      <c r="W296" s="101"/>
      <c r="X296" s="44" t="s">
        <v>692</v>
      </c>
      <c r="Y296" s="44" t="s">
        <v>692</v>
      </c>
      <c r="Z296" s="44" t="s">
        <v>692</v>
      </c>
      <c r="AA296" s="44" t="s">
        <v>692</v>
      </c>
      <c r="AB296" s="44" t="s">
        <v>692</v>
      </c>
      <c r="AC296" s="44" t="s">
        <v>692</v>
      </c>
      <c r="AD296" s="44" t="s">
        <v>692</v>
      </c>
      <c r="AE296" s="44" t="s">
        <v>692</v>
      </c>
      <c r="AF296" s="44" t="s">
        <v>692</v>
      </c>
      <c r="AG296" s="44" t="s">
        <v>692</v>
      </c>
      <c r="AH296" s="44" t="s">
        <v>692</v>
      </c>
      <c r="AI296" s="113" t="s">
        <v>692</v>
      </c>
      <c r="AK296" s="237"/>
      <c r="AL296" s="237"/>
    </row>
    <row r="297" spans="2:38" ht="18.75" x14ac:dyDescent="0.3">
      <c r="B297" s="121" t="s">
        <v>1520</v>
      </c>
      <c r="C297" s="12" t="s">
        <v>558</v>
      </c>
      <c r="D297" s="12">
        <v>39933</v>
      </c>
      <c r="E297" s="7" t="s">
        <v>1521</v>
      </c>
      <c r="F297" s="101" t="s">
        <v>1522</v>
      </c>
      <c r="G297" s="101" t="s">
        <v>1523</v>
      </c>
      <c r="H297" s="101"/>
      <c r="I297" s="101">
        <v>11927</v>
      </c>
      <c r="J297" s="101"/>
      <c r="K297" s="101"/>
      <c r="L297" s="101"/>
      <c r="M297" s="101"/>
      <c r="N297" s="101"/>
      <c r="O297" s="101"/>
      <c r="P297" s="101"/>
      <c r="Q297" s="101"/>
      <c r="R297" s="101"/>
      <c r="S297" s="101"/>
      <c r="T297" s="101"/>
      <c r="U297" s="101"/>
      <c r="V297" s="101"/>
      <c r="W297" s="101"/>
      <c r="X297" s="44" t="s">
        <v>692</v>
      </c>
      <c r="Y297" s="44" t="s">
        <v>692</v>
      </c>
      <c r="Z297" s="44" t="s">
        <v>692</v>
      </c>
      <c r="AA297" s="44" t="s">
        <v>692</v>
      </c>
      <c r="AB297" s="44" t="s">
        <v>692</v>
      </c>
      <c r="AC297" s="44" t="s">
        <v>692</v>
      </c>
      <c r="AD297" s="44" t="s">
        <v>692</v>
      </c>
      <c r="AE297" s="44" t="s">
        <v>692</v>
      </c>
      <c r="AF297" s="44" t="s">
        <v>692</v>
      </c>
      <c r="AG297" s="44" t="s">
        <v>692</v>
      </c>
      <c r="AH297" s="44" t="s">
        <v>692</v>
      </c>
      <c r="AI297" s="113" t="s">
        <v>692</v>
      </c>
      <c r="AK297" s="237"/>
      <c r="AL297" s="237"/>
    </row>
    <row r="298" spans="2:38" ht="18.75" x14ac:dyDescent="0.3">
      <c r="B298" s="121" t="s">
        <v>1524</v>
      </c>
      <c r="C298" s="12" t="s">
        <v>558</v>
      </c>
      <c r="D298" s="12">
        <v>39956</v>
      </c>
      <c r="E298" s="7" t="s">
        <v>1521</v>
      </c>
      <c r="F298" s="101" t="s">
        <v>1522</v>
      </c>
      <c r="G298" s="101" t="s">
        <v>1523</v>
      </c>
      <c r="H298" s="101"/>
      <c r="I298" s="101">
        <v>13369</v>
      </c>
      <c r="J298" s="101"/>
      <c r="K298" s="101"/>
      <c r="L298" s="101"/>
      <c r="M298" s="101"/>
      <c r="N298" s="101"/>
      <c r="O298" s="101"/>
      <c r="P298" s="101"/>
      <c r="Q298" s="101"/>
      <c r="R298" s="101"/>
      <c r="S298" s="101"/>
      <c r="T298" s="101"/>
      <c r="U298" s="101"/>
      <c r="V298" s="101"/>
      <c r="W298" s="101"/>
      <c r="X298" s="44" t="s">
        <v>692</v>
      </c>
      <c r="Y298" s="44" t="s">
        <v>692</v>
      </c>
      <c r="Z298" s="44" t="s">
        <v>692</v>
      </c>
      <c r="AA298" s="44" t="s">
        <v>692</v>
      </c>
      <c r="AB298" s="44" t="s">
        <v>692</v>
      </c>
      <c r="AC298" s="44" t="s">
        <v>692</v>
      </c>
      <c r="AD298" s="44" t="s">
        <v>692</v>
      </c>
      <c r="AE298" s="44" t="s">
        <v>692</v>
      </c>
      <c r="AF298" s="44" t="s">
        <v>692</v>
      </c>
      <c r="AG298" s="44" t="s">
        <v>692</v>
      </c>
      <c r="AH298" s="44" t="s">
        <v>692</v>
      </c>
      <c r="AI298" s="113" t="s">
        <v>692</v>
      </c>
      <c r="AK298" s="237"/>
      <c r="AL298" s="237"/>
    </row>
    <row r="299" spans="2:38" ht="18.75" x14ac:dyDescent="0.3">
      <c r="B299" s="121" t="s">
        <v>1525</v>
      </c>
      <c r="C299" s="12" t="s">
        <v>558</v>
      </c>
      <c r="D299" s="12">
        <v>39957</v>
      </c>
      <c r="E299" s="7" t="s">
        <v>1521</v>
      </c>
      <c r="F299" s="101" t="s">
        <v>1522</v>
      </c>
      <c r="G299" s="101" t="s">
        <v>1523</v>
      </c>
      <c r="H299" s="101"/>
      <c r="I299" s="101">
        <v>17132</v>
      </c>
      <c r="J299" s="101"/>
      <c r="K299" s="101"/>
      <c r="L299" s="101"/>
      <c r="M299" s="101"/>
      <c r="N299" s="101"/>
      <c r="O299" s="101"/>
      <c r="P299" s="101"/>
      <c r="Q299" s="101"/>
      <c r="R299" s="101"/>
      <c r="S299" s="101"/>
      <c r="T299" s="101"/>
      <c r="U299" s="101"/>
      <c r="V299" s="101"/>
      <c r="W299" s="101"/>
      <c r="X299" s="44" t="s">
        <v>692</v>
      </c>
      <c r="Y299" s="44" t="s">
        <v>692</v>
      </c>
      <c r="Z299" s="44" t="s">
        <v>692</v>
      </c>
      <c r="AA299" s="44" t="s">
        <v>692</v>
      </c>
      <c r="AB299" s="44" t="s">
        <v>692</v>
      </c>
      <c r="AC299" s="44" t="s">
        <v>692</v>
      </c>
      <c r="AD299" s="44" t="s">
        <v>692</v>
      </c>
      <c r="AE299" s="44" t="s">
        <v>692</v>
      </c>
      <c r="AF299" s="44" t="s">
        <v>692</v>
      </c>
      <c r="AG299" s="44" t="s">
        <v>692</v>
      </c>
      <c r="AH299" s="44" t="s">
        <v>692</v>
      </c>
      <c r="AI299" s="113" t="s">
        <v>692</v>
      </c>
      <c r="AK299" s="237"/>
      <c r="AL299" s="237"/>
    </row>
    <row r="300" spans="2:38" ht="18.75" x14ac:dyDescent="0.3">
      <c r="B300" s="121" t="s">
        <v>1315</v>
      </c>
      <c r="C300" s="12" t="s">
        <v>558</v>
      </c>
      <c r="D300" s="12">
        <v>39854</v>
      </c>
      <c r="E300" s="7" t="s">
        <v>145</v>
      </c>
      <c r="F300" s="101" t="s">
        <v>1313</v>
      </c>
      <c r="G300" s="101"/>
      <c r="H300" s="101"/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101"/>
      <c r="T300" s="101"/>
      <c r="U300" s="101"/>
      <c r="V300" s="101"/>
      <c r="W300" s="101"/>
      <c r="X300" s="44" t="s">
        <v>692</v>
      </c>
      <c r="Y300" s="44" t="s">
        <v>692</v>
      </c>
      <c r="Z300" s="44" t="s">
        <v>692</v>
      </c>
      <c r="AA300" s="44" t="s">
        <v>692</v>
      </c>
      <c r="AB300" s="44" t="s">
        <v>692</v>
      </c>
      <c r="AC300" s="44" t="s">
        <v>692</v>
      </c>
      <c r="AD300" s="44" t="s">
        <v>692</v>
      </c>
      <c r="AE300" s="44" t="s">
        <v>692</v>
      </c>
      <c r="AF300" s="44" t="s">
        <v>692</v>
      </c>
      <c r="AG300" s="44" t="s">
        <v>692</v>
      </c>
      <c r="AH300" s="44" t="s">
        <v>692</v>
      </c>
      <c r="AI300" s="113" t="s">
        <v>692</v>
      </c>
      <c r="AK300" s="237"/>
      <c r="AL300" s="237"/>
    </row>
    <row r="301" spans="2:38" ht="18.75" x14ac:dyDescent="0.3">
      <c r="B301" s="121">
        <v>5355249</v>
      </c>
      <c r="C301" s="12" t="s">
        <v>565</v>
      </c>
      <c r="D301" s="12">
        <v>39992</v>
      </c>
      <c r="E301" s="7" t="s">
        <v>566</v>
      </c>
      <c r="F301" s="101" t="s">
        <v>567</v>
      </c>
      <c r="G301" s="101"/>
      <c r="H301" s="101"/>
      <c r="I301" s="101">
        <v>8228</v>
      </c>
      <c r="J301" s="101"/>
      <c r="K301" s="101"/>
      <c r="L301" s="101"/>
      <c r="M301" s="101"/>
      <c r="N301" s="101"/>
      <c r="O301" s="101"/>
      <c r="P301" s="101"/>
      <c r="Q301" s="101"/>
      <c r="R301" s="101"/>
      <c r="S301" s="101"/>
      <c r="T301" s="101"/>
      <c r="U301" s="101"/>
      <c r="V301" s="101"/>
      <c r="W301" s="101"/>
      <c r="X301" s="44" t="s">
        <v>692</v>
      </c>
      <c r="Y301" s="44" t="s">
        <v>692</v>
      </c>
      <c r="Z301" s="44" t="s">
        <v>692</v>
      </c>
      <c r="AA301" s="44" t="s">
        <v>692</v>
      </c>
      <c r="AB301" s="44" t="s">
        <v>692</v>
      </c>
      <c r="AC301" s="44" t="s">
        <v>692</v>
      </c>
      <c r="AD301" s="44" t="s">
        <v>692</v>
      </c>
      <c r="AE301" s="44" t="s">
        <v>692</v>
      </c>
      <c r="AF301" s="44" t="s">
        <v>692</v>
      </c>
      <c r="AG301" s="44" t="s">
        <v>692</v>
      </c>
      <c r="AH301" s="44" t="s">
        <v>692</v>
      </c>
      <c r="AI301" s="113" t="s">
        <v>692</v>
      </c>
      <c r="AK301" s="237"/>
      <c r="AL301" s="237"/>
    </row>
    <row r="302" spans="2:38" ht="18.75" x14ac:dyDescent="0.3">
      <c r="B302" s="121">
        <v>218013106</v>
      </c>
      <c r="C302" s="12" t="s">
        <v>565</v>
      </c>
      <c r="D302" s="12">
        <v>39970</v>
      </c>
      <c r="E302" s="7" t="s">
        <v>1341</v>
      </c>
      <c r="F302" s="101" t="s">
        <v>1671</v>
      </c>
      <c r="G302" s="101"/>
      <c r="H302" s="101" t="s">
        <v>1672</v>
      </c>
      <c r="I302" s="101">
        <v>97</v>
      </c>
      <c r="J302" s="101"/>
      <c r="K302" s="101"/>
      <c r="L302" s="101"/>
      <c r="M302" s="101"/>
      <c r="N302" s="101"/>
      <c r="O302" s="101"/>
      <c r="P302" s="101"/>
      <c r="Q302" s="101"/>
      <c r="R302" s="101"/>
      <c r="S302" s="101"/>
      <c r="T302" s="101"/>
      <c r="U302" s="101"/>
      <c r="V302" s="101"/>
      <c r="W302" s="101"/>
      <c r="X302" s="44" t="s">
        <v>692</v>
      </c>
      <c r="Y302" s="44" t="s">
        <v>692</v>
      </c>
      <c r="Z302" s="44" t="s">
        <v>692</v>
      </c>
      <c r="AA302" s="44" t="s">
        <v>692</v>
      </c>
      <c r="AB302" s="44" t="s">
        <v>692</v>
      </c>
      <c r="AC302" s="44" t="s">
        <v>692</v>
      </c>
      <c r="AD302" s="44" t="s">
        <v>692</v>
      </c>
      <c r="AE302" s="44" t="s">
        <v>692</v>
      </c>
      <c r="AF302" s="44" t="s">
        <v>692</v>
      </c>
      <c r="AG302" s="44" t="s">
        <v>692</v>
      </c>
      <c r="AH302" s="44" t="s">
        <v>692</v>
      </c>
      <c r="AI302" s="113" t="s">
        <v>692</v>
      </c>
      <c r="AK302" s="237"/>
      <c r="AL302" s="237"/>
    </row>
    <row r="303" spans="2:38" ht="18.75" x14ac:dyDescent="0.3">
      <c r="B303" s="121" t="s">
        <v>417</v>
      </c>
      <c r="C303" s="12" t="s">
        <v>565</v>
      </c>
      <c r="D303" s="12">
        <v>39285</v>
      </c>
      <c r="E303" s="7" t="s">
        <v>572</v>
      </c>
      <c r="F303" s="101" t="s">
        <v>63</v>
      </c>
      <c r="G303" s="101"/>
      <c r="H303" s="101" t="s">
        <v>573</v>
      </c>
      <c r="I303" s="101">
        <v>38631</v>
      </c>
      <c r="J303" s="101"/>
      <c r="K303" s="101"/>
      <c r="L303" s="101"/>
      <c r="M303" s="101"/>
      <c r="N303" s="101"/>
      <c r="O303" s="101"/>
      <c r="P303" s="101"/>
      <c r="Q303" s="101"/>
      <c r="R303" s="101"/>
      <c r="S303" s="101"/>
      <c r="T303" s="101"/>
      <c r="U303" s="101"/>
      <c r="V303" s="101"/>
      <c r="W303" s="101"/>
      <c r="X303" s="44" t="s">
        <v>692</v>
      </c>
      <c r="Y303" s="44" t="s">
        <v>692</v>
      </c>
      <c r="Z303" s="44" t="s">
        <v>692</v>
      </c>
      <c r="AA303" s="44" t="s">
        <v>692</v>
      </c>
      <c r="AB303" s="44" t="s">
        <v>692</v>
      </c>
      <c r="AC303" s="44" t="s">
        <v>692</v>
      </c>
      <c r="AD303" s="44" t="s">
        <v>692</v>
      </c>
      <c r="AE303" s="44" t="s">
        <v>692</v>
      </c>
      <c r="AF303" s="44" t="s">
        <v>692</v>
      </c>
      <c r="AG303" s="44" t="s">
        <v>692</v>
      </c>
      <c r="AH303" s="44" t="s">
        <v>692</v>
      </c>
      <c r="AI303" s="113" t="s">
        <v>692</v>
      </c>
      <c r="AK303" s="237"/>
      <c r="AL303" s="237"/>
    </row>
    <row r="304" spans="2:38" ht="18.75" x14ac:dyDescent="0.3">
      <c r="B304" s="128" t="s">
        <v>384</v>
      </c>
      <c r="C304" s="187" t="s">
        <v>565</v>
      </c>
      <c r="D304" s="187">
        <v>39995</v>
      </c>
      <c r="E304" s="202" t="s">
        <v>570</v>
      </c>
      <c r="F304" s="101" t="s">
        <v>569</v>
      </c>
      <c r="G304" s="101"/>
      <c r="H304" s="101"/>
      <c r="I304" s="101">
        <v>724447</v>
      </c>
      <c r="J304" s="101"/>
      <c r="K304" s="101"/>
      <c r="L304" s="101"/>
      <c r="M304" s="101"/>
      <c r="N304" s="101"/>
      <c r="O304" s="101"/>
      <c r="P304" s="101"/>
      <c r="Q304" s="101"/>
      <c r="R304" s="101"/>
      <c r="S304" s="101"/>
      <c r="T304" s="101"/>
      <c r="U304" s="101"/>
      <c r="V304" s="101"/>
      <c r="W304" s="101"/>
      <c r="X304" s="44" t="s">
        <v>692</v>
      </c>
      <c r="Y304" s="44" t="s">
        <v>692</v>
      </c>
      <c r="Z304" s="44" t="s">
        <v>692</v>
      </c>
      <c r="AA304" s="44" t="s">
        <v>692</v>
      </c>
      <c r="AB304" s="44" t="s">
        <v>692</v>
      </c>
      <c r="AC304" s="44" t="s">
        <v>692</v>
      </c>
      <c r="AD304" s="44" t="s">
        <v>692</v>
      </c>
      <c r="AE304" s="44" t="s">
        <v>692</v>
      </c>
      <c r="AF304" s="44" t="s">
        <v>692</v>
      </c>
      <c r="AG304" s="44" t="s">
        <v>692</v>
      </c>
      <c r="AH304" s="44" t="s">
        <v>692</v>
      </c>
      <c r="AI304" s="113" t="s">
        <v>692</v>
      </c>
      <c r="AK304" s="237"/>
      <c r="AL304" s="237"/>
    </row>
    <row r="305" spans="2:38" ht="18.75" x14ac:dyDescent="0.3">
      <c r="B305" s="128" t="s">
        <v>383</v>
      </c>
      <c r="C305" s="187" t="s">
        <v>565</v>
      </c>
      <c r="D305" s="187">
        <v>39993</v>
      </c>
      <c r="E305" s="202" t="s">
        <v>568</v>
      </c>
      <c r="F305" s="101" t="s">
        <v>569</v>
      </c>
      <c r="G305" s="101" t="s">
        <v>139</v>
      </c>
      <c r="H305" s="101"/>
      <c r="I305" s="101">
        <v>207122</v>
      </c>
      <c r="J305" s="101"/>
      <c r="K305" s="101"/>
      <c r="L305" s="101"/>
      <c r="M305" s="101"/>
      <c r="N305" s="101"/>
      <c r="O305" s="101"/>
      <c r="P305" s="101"/>
      <c r="Q305" s="101"/>
      <c r="R305" s="101"/>
      <c r="S305" s="101"/>
      <c r="T305" s="101"/>
      <c r="U305" s="101"/>
      <c r="V305" s="101"/>
      <c r="W305" s="101"/>
      <c r="X305" s="44" t="s">
        <v>692</v>
      </c>
      <c r="Y305" s="44" t="s">
        <v>692</v>
      </c>
      <c r="Z305" s="44" t="s">
        <v>692</v>
      </c>
      <c r="AA305" s="44" t="s">
        <v>692</v>
      </c>
      <c r="AB305" s="44" t="s">
        <v>692</v>
      </c>
      <c r="AC305" s="44" t="s">
        <v>692</v>
      </c>
      <c r="AD305" s="44" t="s">
        <v>692</v>
      </c>
      <c r="AE305" s="44" t="s">
        <v>692</v>
      </c>
      <c r="AF305" s="44" t="s">
        <v>692</v>
      </c>
      <c r="AG305" s="44" t="s">
        <v>692</v>
      </c>
      <c r="AH305" s="44" t="s">
        <v>692</v>
      </c>
      <c r="AI305" s="113" t="s">
        <v>692</v>
      </c>
      <c r="AK305" s="237"/>
      <c r="AL305" s="237"/>
    </row>
    <row r="306" spans="2:38" ht="18.75" x14ac:dyDescent="0.3">
      <c r="B306" s="128" t="s">
        <v>1530</v>
      </c>
      <c r="C306" s="187" t="s">
        <v>565</v>
      </c>
      <c r="D306" s="187">
        <v>39951</v>
      </c>
      <c r="E306" s="202" t="s">
        <v>1531</v>
      </c>
      <c r="F306" s="101" t="s">
        <v>1532</v>
      </c>
      <c r="G306" s="101" t="s">
        <v>1533</v>
      </c>
      <c r="H306" s="101"/>
      <c r="I306" s="101">
        <v>227648</v>
      </c>
      <c r="J306" s="101"/>
      <c r="K306" s="101"/>
      <c r="L306" s="101"/>
      <c r="M306" s="101"/>
      <c r="N306" s="101"/>
      <c r="O306" s="101"/>
      <c r="P306" s="101"/>
      <c r="Q306" s="101"/>
      <c r="R306" s="101"/>
      <c r="S306" s="101"/>
      <c r="T306" s="101"/>
      <c r="U306" s="101"/>
      <c r="V306" s="101"/>
      <c r="W306" s="101"/>
      <c r="X306" s="44" t="s">
        <v>692</v>
      </c>
      <c r="Y306" s="44" t="s">
        <v>692</v>
      </c>
      <c r="Z306" s="44" t="s">
        <v>692</v>
      </c>
      <c r="AA306" s="44" t="s">
        <v>692</v>
      </c>
      <c r="AB306" s="44" t="s">
        <v>692</v>
      </c>
      <c r="AC306" s="44" t="s">
        <v>692</v>
      </c>
      <c r="AD306" s="44" t="s">
        <v>692</v>
      </c>
      <c r="AE306" s="44" t="s">
        <v>692</v>
      </c>
      <c r="AF306" s="44" t="s">
        <v>692</v>
      </c>
      <c r="AG306" s="44" t="s">
        <v>692</v>
      </c>
      <c r="AH306" s="44" t="s">
        <v>692</v>
      </c>
      <c r="AI306" s="113" t="s">
        <v>692</v>
      </c>
      <c r="AK306" s="237"/>
      <c r="AL306" s="237"/>
    </row>
    <row r="307" spans="2:38" ht="18.75" x14ac:dyDescent="0.3">
      <c r="B307" s="128" t="s">
        <v>1652</v>
      </c>
      <c r="C307" s="187" t="s">
        <v>574</v>
      </c>
      <c r="D307" s="187">
        <v>39912</v>
      </c>
      <c r="E307" s="202" t="s">
        <v>1653</v>
      </c>
      <c r="F307" s="101" t="s">
        <v>1654</v>
      </c>
      <c r="G307" s="101" t="s">
        <v>1655</v>
      </c>
      <c r="H307" s="101"/>
      <c r="I307" s="101">
        <v>54</v>
      </c>
      <c r="J307" s="101"/>
      <c r="K307" s="101"/>
      <c r="L307" s="101"/>
      <c r="M307" s="101"/>
      <c r="N307" s="101"/>
      <c r="O307" s="101"/>
      <c r="P307" s="101"/>
      <c r="Q307" s="101"/>
      <c r="R307" s="101"/>
      <c r="S307" s="101"/>
      <c r="T307" s="101"/>
      <c r="U307" s="101"/>
      <c r="V307" s="101"/>
      <c r="W307" s="101"/>
      <c r="X307" s="44" t="s">
        <v>692</v>
      </c>
      <c r="Y307" s="44" t="s">
        <v>692</v>
      </c>
      <c r="Z307" s="44" t="s">
        <v>692</v>
      </c>
      <c r="AA307" s="44" t="s">
        <v>692</v>
      </c>
      <c r="AB307" s="44" t="s">
        <v>692</v>
      </c>
      <c r="AC307" s="44" t="s">
        <v>692</v>
      </c>
      <c r="AD307" s="44" t="s">
        <v>692</v>
      </c>
      <c r="AE307" s="44" t="s">
        <v>692</v>
      </c>
      <c r="AF307" s="44" t="s">
        <v>692</v>
      </c>
      <c r="AG307" s="44" t="s">
        <v>692</v>
      </c>
      <c r="AH307" s="44" t="s">
        <v>692</v>
      </c>
      <c r="AI307" s="113" t="s">
        <v>692</v>
      </c>
      <c r="AK307" s="237"/>
      <c r="AL307" s="237"/>
    </row>
    <row r="308" spans="2:38" ht="18.75" x14ac:dyDescent="0.3">
      <c r="B308" s="128">
        <v>1851740187</v>
      </c>
      <c r="C308" s="187" t="s">
        <v>1456</v>
      </c>
      <c r="D308" s="187">
        <v>39958</v>
      </c>
      <c r="E308" s="202" t="s">
        <v>1458</v>
      </c>
      <c r="F308" s="101" t="s">
        <v>1457</v>
      </c>
      <c r="G308" s="101" t="s">
        <v>1459</v>
      </c>
      <c r="H308" s="101" t="s">
        <v>1502</v>
      </c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101"/>
      <c r="T308" s="101"/>
      <c r="U308" s="101"/>
      <c r="V308" s="101"/>
      <c r="W308" s="101"/>
      <c r="X308" s="44" t="s">
        <v>692</v>
      </c>
      <c r="Y308" s="44" t="s">
        <v>692</v>
      </c>
      <c r="Z308" s="44" t="s">
        <v>692</v>
      </c>
      <c r="AA308" s="44" t="s">
        <v>692</v>
      </c>
      <c r="AB308" s="44" t="s">
        <v>692</v>
      </c>
      <c r="AC308" s="44" t="s">
        <v>692</v>
      </c>
      <c r="AD308" s="44" t="s">
        <v>692</v>
      </c>
      <c r="AE308" s="44" t="s">
        <v>692</v>
      </c>
      <c r="AF308" s="44" t="s">
        <v>692</v>
      </c>
      <c r="AG308" s="44" t="s">
        <v>692</v>
      </c>
      <c r="AH308" s="44" t="s">
        <v>692</v>
      </c>
      <c r="AI308" s="113" t="s">
        <v>692</v>
      </c>
      <c r="AK308" s="237"/>
      <c r="AL308" s="237"/>
    </row>
    <row r="309" spans="2:38" ht="18.75" x14ac:dyDescent="0.3">
      <c r="B309" s="128"/>
      <c r="C309" s="187"/>
      <c r="D309" s="187"/>
      <c r="E309" s="202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113"/>
      <c r="AK309" s="237"/>
      <c r="AL309" s="237"/>
    </row>
    <row r="310" spans="2:38" ht="18.75" x14ac:dyDescent="0.3">
      <c r="B310" s="128"/>
      <c r="C310" s="187"/>
      <c r="D310" s="187"/>
      <c r="E310" s="202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  <c r="P310" s="101"/>
      <c r="Q310" s="101"/>
      <c r="R310" s="101"/>
      <c r="S310" s="101"/>
      <c r="T310" s="101"/>
      <c r="U310" s="101"/>
      <c r="V310" s="101"/>
      <c r="W310" s="101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113"/>
      <c r="AK310" s="237"/>
      <c r="AL310" s="237"/>
    </row>
    <row r="311" spans="2:38" ht="18.75" x14ac:dyDescent="0.3">
      <c r="B311" s="128"/>
      <c r="C311" s="187"/>
      <c r="D311" s="187"/>
      <c r="E311" s="202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1"/>
      <c r="T311" s="101"/>
      <c r="U311" s="101"/>
      <c r="V311" s="101"/>
      <c r="W311" s="101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113"/>
      <c r="AK311" s="237"/>
      <c r="AL311" s="237"/>
    </row>
    <row r="312" spans="2:38" ht="18.75" x14ac:dyDescent="0.3">
      <c r="B312" s="128"/>
      <c r="C312" s="187"/>
      <c r="D312" s="187"/>
      <c r="E312" s="202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  <c r="P312" s="101"/>
      <c r="Q312" s="101"/>
      <c r="R312" s="101"/>
      <c r="S312" s="101"/>
      <c r="T312" s="101"/>
      <c r="U312" s="101"/>
      <c r="V312" s="101"/>
      <c r="W312" s="101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113"/>
      <c r="AK312" s="237"/>
      <c r="AL312" s="237"/>
    </row>
    <row r="313" spans="2:38" ht="18.75" x14ac:dyDescent="0.3">
      <c r="B313" s="128"/>
      <c r="C313" s="187"/>
      <c r="D313" s="187"/>
      <c r="E313" s="202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  <c r="P313" s="101"/>
      <c r="Q313" s="101"/>
      <c r="R313" s="101"/>
      <c r="S313" s="101"/>
      <c r="T313" s="101"/>
      <c r="U313" s="101"/>
      <c r="V313" s="101"/>
      <c r="W313" s="101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113"/>
      <c r="AK313" s="237"/>
      <c r="AL313" s="237"/>
    </row>
    <row r="314" spans="2:38" ht="18.75" x14ac:dyDescent="0.3">
      <c r="B314" s="128"/>
      <c r="C314" s="187"/>
      <c r="D314" s="187"/>
      <c r="E314" s="202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  <c r="P314" s="101"/>
      <c r="Q314" s="101"/>
      <c r="R314" s="101"/>
      <c r="S314" s="101"/>
      <c r="T314" s="101"/>
      <c r="U314" s="101"/>
      <c r="V314" s="101"/>
      <c r="W314" s="101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113"/>
      <c r="AK314" s="237"/>
      <c r="AL314" s="237"/>
    </row>
    <row r="315" spans="2:38" ht="18.75" x14ac:dyDescent="0.3">
      <c r="B315" s="128"/>
      <c r="C315" s="187"/>
      <c r="D315" s="187"/>
      <c r="E315" s="202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  <c r="P315" s="101"/>
      <c r="Q315" s="101"/>
      <c r="R315" s="101"/>
      <c r="S315" s="101"/>
      <c r="T315" s="101"/>
      <c r="U315" s="101"/>
      <c r="V315" s="101"/>
      <c r="W315" s="101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113"/>
      <c r="AK315" s="237"/>
      <c r="AL315" s="237"/>
    </row>
    <row r="316" spans="2:38" ht="18.75" x14ac:dyDescent="0.3">
      <c r="B316" s="128"/>
      <c r="C316" s="187"/>
      <c r="D316" s="187"/>
      <c r="E316" s="202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  <c r="P316" s="101"/>
      <c r="Q316" s="101"/>
      <c r="R316" s="101"/>
      <c r="S316" s="101"/>
      <c r="T316" s="101"/>
      <c r="U316" s="101"/>
      <c r="V316" s="101"/>
      <c r="W316" s="101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113"/>
      <c r="AK316" s="237"/>
      <c r="AL316" s="237"/>
    </row>
    <row r="317" spans="2:38" ht="18.75" x14ac:dyDescent="0.3">
      <c r="B317" s="128"/>
      <c r="C317" s="187"/>
      <c r="D317" s="187"/>
      <c r="E317" s="202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  <c r="P317" s="101"/>
      <c r="Q317" s="101"/>
      <c r="R317" s="101"/>
      <c r="S317" s="101"/>
      <c r="T317" s="101"/>
      <c r="U317" s="101"/>
      <c r="V317" s="101"/>
      <c r="W317" s="101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113"/>
      <c r="AK317" s="237"/>
      <c r="AL317" s="237"/>
    </row>
    <row r="318" spans="2:38" ht="18.75" x14ac:dyDescent="0.3">
      <c r="B318" s="128"/>
      <c r="C318" s="187"/>
      <c r="D318" s="187"/>
      <c r="E318" s="202"/>
      <c r="F318" s="101"/>
      <c r="G318" s="101"/>
      <c r="H318" s="101"/>
      <c r="I318" s="101"/>
      <c r="J318" s="101"/>
      <c r="K318" s="101"/>
      <c r="L318" s="101"/>
      <c r="M318" s="101"/>
      <c r="N318" s="101"/>
      <c r="O318" s="101"/>
      <c r="P318" s="101"/>
      <c r="Q318" s="101"/>
      <c r="R318" s="101"/>
      <c r="S318" s="101"/>
      <c r="T318" s="101"/>
      <c r="U318" s="101"/>
      <c r="V318" s="101"/>
      <c r="W318" s="101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113"/>
      <c r="AK318" s="237"/>
      <c r="AL318" s="237"/>
    </row>
    <row r="319" spans="2:38" ht="18.75" x14ac:dyDescent="0.3">
      <c r="B319" s="128"/>
      <c r="C319" s="187"/>
      <c r="D319" s="187"/>
      <c r="E319" s="202"/>
      <c r="F319" s="101"/>
      <c r="G319" s="101"/>
      <c r="H319" s="101"/>
      <c r="I319" s="101"/>
      <c r="J319" s="101"/>
      <c r="K319" s="101"/>
      <c r="L319" s="101"/>
      <c r="M319" s="101"/>
      <c r="N319" s="101"/>
      <c r="O319" s="101"/>
      <c r="P319" s="101"/>
      <c r="Q319" s="101"/>
      <c r="R319" s="101"/>
      <c r="S319" s="101"/>
      <c r="T319" s="101"/>
      <c r="U319" s="101"/>
      <c r="V319" s="101"/>
      <c r="W319" s="101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113"/>
      <c r="AK319" s="237"/>
      <c r="AL319" s="237"/>
    </row>
    <row r="320" spans="2:38" ht="18.75" x14ac:dyDescent="0.3">
      <c r="B320" s="128"/>
      <c r="C320" s="187"/>
      <c r="D320" s="187"/>
      <c r="E320" s="202"/>
      <c r="F320" s="101"/>
      <c r="G320" s="101"/>
      <c r="H320" s="101"/>
      <c r="I320" s="101"/>
      <c r="J320" s="101"/>
      <c r="K320" s="101"/>
      <c r="L320" s="101"/>
      <c r="M320" s="101"/>
      <c r="N320" s="101"/>
      <c r="O320" s="101"/>
      <c r="P320" s="101"/>
      <c r="Q320" s="101"/>
      <c r="R320" s="101"/>
      <c r="S320" s="101"/>
      <c r="T320" s="101"/>
      <c r="U320" s="101"/>
      <c r="V320" s="101"/>
      <c r="W320" s="101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113"/>
      <c r="AK320" s="237"/>
      <c r="AL320" s="237"/>
    </row>
    <row r="321" spans="2:38" ht="18.75" x14ac:dyDescent="0.3">
      <c r="B321" s="128"/>
      <c r="C321" s="187"/>
      <c r="D321" s="187"/>
      <c r="E321" s="202"/>
      <c r="F321" s="101"/>
      <c r="G321" s="101"/>
      <c r="H321" s="101"/>
      <c r="I321" s="101"/>
      <c r="J321" s="101"/>
      <c r="K321" s="101"/>
      <c r="L321" s="101"/>
      <c r="M321" s="101"/>
      <c r="N321" s="101"/>
      <c r="O321" s="101"/>
      <c r="P321" s="101"/>
      <c r="Q321" s="101"/>
      <c r="R321" s="101"/>
      <c r="S321" s="101"/>
      <c r="T321" s="101"/>
      <c r="U321" s="101"/>
      <c r="V321" s="101"/>
      <c r="W321" s="101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113"/>
      <c r="AK321" s="237"/>
      <c r="AL321" s="237"/>
    </row>
    <row r="322" spans="2:38" ht="18.75" x14ac:dyDescent="0.3">
      <c r="B322" s="128"/>
      <c r="C322" s="187"/>
      <c r="D322" s="187"/>
      <c r="E322" s="202"/>
      <c r="F322" s="101"/>
      <c r="G322" s="101"/>
      <c r="H322" s="101"/>
      <c r="I322" s="101"/>
      <c r="J322" s="101"/>
      <c r="K322" s="101"/>
      <c r="L322" s="101"/>
      <c r="M322" s="101"/>
      <c r="N322" s="101"/>
      <c r="O322" s="101"/>
      <c r="P322" s="101"/>
      <c r="Q322" s="101"/>
      <c r="R322" s="101"/>
      <c r="S322" s="101"/>
      <c r="T322" s="101"/>
      <c r="U322" s="101"/>
      <c r="V322" s="101"/>
      <c r="W322" s="101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113"/>
      <c r="AK322" s="237"/>
      <c r="AL322" s="237"/>
    </row>
    <row r="323" spans="2:38" ht="18.75" x14ac:dyDescent="0.3">
      <c r="B323" s="128"/>
      <c r="C323" s="187"/>
      <c r="D323" s="187"/>
      <c r="E323" s="202"/>
      <c r="F323" s="101"/>
      <c r="G323" s="101"/>
      <c r="H323" s="101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113"/>
      <c r="AK323" s="237"/>
      <c r="AL323" s="237"/>
    </row>
    <row r="324" spans="2:38" ht="18.75" x14ac:dyDescent="0.3">
      <c r="B324" s="128"/>
      <c r="C324" s="187"/>
      <c r="D324" s="187"/>
      <c r="E324" s="202"/>
      <c r="F324" s="101"/>
      <c r="G324" s="101"/>
      <c r="H324" s="101"/>
      <c r="I324" s="101"/>
      <c r="J324" s="101"/>
      <c r="K324" s="101"/>
      <c r="L324" s="101"/>
      <c r="M324" s="101"/>
      <c r="N324" s="101"/>
      <c r="O324" s="101"/>
      <c r="P324" s="101"/>
      <c r="Q324" s="101"/>
      <c r="R324" s="101"/>
      <c r="S324" s="101"/>
      <c r="T324" s="101"/>
      <c r="U324" s="101"/>
      <c r="V324" s="101"/>
      <c r="W324" s="101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113"/>
      <c r="AK324" s="237"/>
      <c r="AL324" s="237"/>
    </row>
    <row r="325" spans="2:38" ht="18.75" x14ac:dyDescent="0.3">
      <c r="B325" s="128"/>
      <c r="C325" s="187"/>
      <c r="D325" s="187"/>
      <c r="E325" s="202"/>
      <c r="F325" s="101"/>
      <c r="G325" s="101"/>
      <c r="H325" s="101"/>
      <c r="I325" s="101"/>
      <c r="J325" s="101"/>
      <c r="K325" s="101"/>
      <c r="L325" s="101"/>
      <c r="M325" s="101"/>
      <c r="N325" s="101"/>
      <c r="O325" s="101"/>
      <c r="P325" s="101"/>
      <c r="Q325" s="101"/>
      <c r="R325" s="101"/>
      <c r="S325" s="101"/>
      <c r="T325" s="101"/>
      <c r="U325" s="101"/>
      <c r="V325" s="101"/>
      <c r="W325" s="101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113"/>
      <c r="AK325" s="237"/>
      <c r="AL325" s="237"/>
    </row>
    <row r="326" spans="2:38" ht="18.75" x14ac:dyDescent="0.3">
      <c r="B326" s="121"/>
      <c r="C326" s="12"/>
      <c r="D326" s="12"/>
      <c r="E326" s="7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113"/>
      <c r="AK326" s="237"/>
      <c r="AL326" s="237"/>
    </row>
    <row r="327" spans="2:38" ht="18.75" x14ac:dyDescent="0.3">
      <c r="B327" s="121"/>
      <c r="C327" s="12"/>
      <c r="D327" s="12"/>
      <c r="E327" s="7"/>
      <c r="F327" s="101"/>
      <c r="G327" s="101"/>
      <c r="H327" s="101"/>
      <c r="I327" s="101"/>
      <c r="J327" s="101"/>
      <c r="K327" s="101"/>
      <c r="L327" s="101"/>
      <c r="M327" s="101"/>
      <c r="N327" s="101"/>
      <c r="O327" s="101"/>
      <c r="P327" s="101"/>
      <c r="Q327" s="101"/>
      <c r="R327" s="101"/>
      <c r="S327" s="101"/>
      <c r="T327" s="101"/>
      <c r="U327" s="101"/>
      <c r="V327" s="101"/>
      <c r="W327" s="101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113"/>
      <c r="AK327" s="237"/>
      <c r="AL327" s="237"/>
    </row>
    <row r="328" spans="2:38" ht="18.75" x14ac:dyDescent="0.3">
      <c r="B328" s="121"/>
      <c r="C328" s="12"/>
      <c r="D328" s="12"/>
      <c r="E328" s="7"/>
      <c r="F328" s="101"/>
      <c r="G328" s="10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1"/>
      <c r="R328" s="101"/>
      <c r="S328" s="101"/>
      <c r="T328" s="101"/>
      <c r="U328" s="101"/>
      <c r="V328" s="101"/>
      <c r="W328" s="101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113"/>
      <c r="AK328" s="237"/>
      <c r="AL328" s="237"/>
    </row>
    <row r="329" spans="2:38" ht="18.75" x14ac:dyDescent="0.3">
      <c r="B329" s="121"/>
      <c r="C329" s="12"/>
      <c r="D329" s="12"/>
      <c r="E329" s="7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1"/>
      <c r="T329" s="101"/>
      <c r="U329" s="101"/>
      <c r="V329" s="101"/>
      <c r="W329" s="101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113"/>
      <c r="AK329" s="237"/>
      <c r="AL329" s="237"/>
    </row>
    <row r="330" spans="2:38" x14ac:dyDescent="0.25">
      <c r="B330" s="104"/>
      <c r="C330" s="101"/>
      <c r="D330" s="101"/>
      <c r="E330" s="101"/>
      <c r="F330" s="101"/>
      <c r="G330" s="101"/>
      <c r="H330" s="101"/>
      <c r="I330" s="101"/>
      <c r="J330" s="101"/>
      <c r="K330" s="101"/>
      <c r="L330" s="101"/>
      <c r="M330" s="101"/>
      <c r="N330" s="101"/>
      <c r="O330" s="101"/>
      <c r="P330" s="101"/>
      <c r="Q330" s="101"/>
      <c r="R330" s="101"/>
      <c r="S330" s="101"/>
      <c r="T330" s="101"/>
      <c r="U330" s="101"/>
      <c r="V330" s="101"/>
      <c r="W330" s="101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113"/>
      <c r="AK330" s="237"/>
      <c r="AL330" s="237"/>
    </row>
    <row r="331" spans="2:38" x14ac:dyDescent="0.25">
      <c r="B331" s="104"/>
      <c r="C331" s="101"/>
      <c r="D331" s="101"/>
      <c r="E331" s="101"/>
      <c r="F331" s="101"/>
      <c r="G331" s="101"/>
      <c r="H331" s="101"/>
      <c r="I331" s="101"/>
      <c r="J331" s="101"/>
      <c r="K331" s="101"/>
      <c r="L331" s="101"/>
      <c r="M331" s="101"/>
      <c r="N331" s="101"/>
      <c r="O331" s="101"/>
      <c r="P331" s="101"/>
      <c r="Q331" s="101"/>
      <c r="R331" s="101"/>
      <c r="S331" s="101"/>
      <c r="T331" s="101"/>
      <c r="U331" s="101"/>
      <c r="V331" s="101"/>
      <c r="W331" s="101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113"/>
      <c r="AK331" s="237"/>
      <c r="AL331" s="237"/>
    </row>
    <row r="332" spans="2:38" x14ac:dyDescent="0.25">
      <c r="B332" s="104"/>
      <c r="C332" s="101"/>
      <c r="D332" s="101"/>
      <c r="E332" s="101"/>
      <c r="F332" s="101"/>
      <c r="G332" s="101"/>
      <c r="H332" s="101"/>
      <c r="I332" s="101"/>
      <c r="J332" s="101"/>
      <c r="K332" s="101"/>
      <c r="L332" s="101"/>
      <c r="M332" s="101"/>
      <c r="N332" s="101"/>
      <c r="O332" s="101"/>
      <c r="P332" s="101"/>
      <c r="Q332" s="101"/>
      <c r="R332" s="101"/>
      <c r="S332" s="101"/>
      <c r="T332" s="101"/>
      <c r="U332" s="101"/>
      <c r="V332" s="101"/>
      <c r="W332" s="101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113"/>
      <c r="AK332" s="237"/>
      <c r="AL332" s="237"/>
    </row>
    <row r="333" spans="2:38" x14ac:dyDescent="0.25">
      <c r="B333" s="104"/>
      <c r="C333" s="101"/>
      <c r="D333" s="101"/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1"/>
      <c r="R333" s="101"/>
      <c r="S333" s="101"/>
      <c r="T333" s="101"/>
      <c r="U333" s="101"/>
      <c r="V333" s="101"/>
      <c r="W333" s="101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113"/>
      <c r="AK333" s="237"/>
      <c r="AL333" s="237"/>
    </row>
    <row r="334" spans="2:38" x14ac:dyDescent="0.25">
      <c r="B334" s="104"/>
      <c r="C334" s="101"/>
      <c r="D334" s="101"/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  <c r="P334" s="101"/>
      <c r="Q334" s="101"/>
      <c r="R334" s="101"/>
      <c r="S334" s="101"/>
      <c r="T334" s="101"/>
      <c r="U334" s="101"/>
      <c r="V334" s="101"/>
      <c r="W334" s="101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113"/>
      <c r="AK334" s="237"/>
      <c r="AL334" s="237"/>
    </row>
    <row r="335" spans="2:38" x14ac:dyDescent="0.25">
      <c r="B335" s="104"/>
      <c r="C335" s="101"/>
      <c r="D335" s="101"/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  <c r="P335" s="101"/>
      <c r="Q335" s="101"/>
      <c r="R335" s="101"/>
      <c r="S335" s="101"/>
      <c r="T335" s="101"/>
      <c r="U335" s="101"/>
      <c r="V335" s="101"/>
      <c r="W335" s="101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113"/>
      <c r="AK335" s="237"/>
      <c r="AL335" s="237"/>
    </row>
    <row r="336" spans="2:38" ht="15.75" thickBot="1" x14ac:dyDescent="0.3">
      <c r="B336" s="106"/>
      <c r="C336" s="107"/>
      <c r="D336" s="107"/>
      <c r="E336" s="107"/>
      <c r="F336" s="107"/>
      <c r="G336" s="107"/>
      <c r="H336" s="107"/>
      <c r="I336" s="107"/>
      <c r="J336" s="107"/>
      <c r="K336" s="107"/>
      <c r="L336" s="107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14"/>
      <c r="Y336" s="114"/>
      <c r="Z336" s="114"/>
      <c r="AA336" s="114"/>
      <c r="AB336" s="114"/>
      <c r="AC336" s="114"/>
      <c r="AD336" s="114"/>
      <c r="AE336" s="114"/>
      <c r="AF336" s="114"/>
      <c r="AG336" s="114"/>
      <c r="AH336" s="114"/>
      <c r="AI336" s="115"/>
      <c r="AK336" s="237"/>
      <c r="AL336" s="237"/>
    </row>
    <row r="337" spans="2:38" ht="15.75" thickBot="1" x14ac:dyDescent="0.3">
      <c r="X337" s="85">
        <f>SUM(X249:X336)</f>
        <v>0</v>
      </c>
      <c r="Y337" s="85">
        <f t="shared" ref="Y337:AI337" si="1">SUM(Y249:Y336)</f>
        <v>0</v>
      </c>
      <c r="Z337" s="85">
        <f t="shared" si="1"/>
        <v>0</v>
      </c>
      <c r="AA337" s="85">
        <f t="shared" si="1"/>
        <v>0</v>
      </c>
      <c r="AB337" s="85">
        <f t="shared" si="1"/>
        <v>0</v>
      </c>
      <c r="AC337" s="85">
        <f t="shared" si="1"/>
        <v>0</v>
      </c>
      <c r="AD337" s="85">
        <f t="shared" si="1"/>
        <v>0</v>
      </c>
      <c r="AE337" s="85">
        <f t="shared" si="1"/>
        <v>0</v>
      </c>
      <c r="AF337" s="85">
        <f t="shared" si="1"/>
        <v>0</v>
      </c>
      <c r="AG337" s="85">
        <f t="shared" si="1"/>
        <v>0</v>
      </c>
      <c r="AH337" s="85">
        <f t="shared" si="1"/>
        <v>0</v>
      </c>
      <c r="AI337" s="85">
        <f t="shared" si="1"/>
        <v>0</v>
      </c>
      <c r="AK337" s="237"/>
      <c r="AL337" s="237"/>
    </row>
    <row r="338" spans="2:38" x14ac:dyDescent="0.25">
      <c r="AK338" s="237"/>
      <c r="AL338" s="237"/>
    </row>
    <row r="339" spans="2:38" x14ac:dyDescent="0.25">
      <c r="AK339" s="237"/>
      <c r="AL339" s="237"/>
    </row>
    <row r="340" spans="2:38" x14ac:dyDescent="0.25">
      <c r="AK340" s="237"/>
      <c r="AL340" s="237"/>
    </row>
    <row r="341" spans="2:38" x14ac:dyDescent="0.25">
      <c r="AK341" s="237"/>
      <c r="AL341" s="237"/>
    </row>
    <row r="342" spans="2:38" ht="15.75" thickBot="1" x14ac:dyDescent="0.3">
      <c r="AK342" s="237"/>
      <c r="AL342" s="237"/>
    </row>
    <row r="343" spans="2:38" ht="15.75" thickBot="1" x14ac:dyDescent="0.3">
      <c r="B343" s="526" t="s">
        <v>678</v>
      </c>
      <c r="C343" s="527"/>
      <c r="D343" s="527"/>
      <c r="E343" s="527"/>
      <c r="F343" s="528"/>
      <c r="G343" s="528"/>
      <c r="H343" s="528"/>
      <c r="I343" s="528"/>
      <c r="J343" s="528"/>
      <c r="K343" s="528"/>
      <c r="L343" s="528"/>
      <c r="M343" s="528"/>
      <c r="N343" s="528"/>
      <c r="O343" s="528"/>
      <c r="P343" s="528"/>
      <c r="Q343" s="528"/>
      <c r="R343" s="528"/>
      <c r="S343" s="528"/>
      <c r="T343" s="528"/>
      <c r="U343" s="528"/>
      <c r="V343" s="528"/>
      <c r="W343" s="527"/>
      <c r="X343" s="527"/>
      <c r="Y343" s="527"/>
      <c r="Z343" s="527"/>
      <c r="AA343" s="527"/>
      <c r="AB343" s="527"/>
      <c r="AC343" s="527"/>
      <c r="AD343" s="527"/>
      <c r="AE343" s="527"/>
      <c r="AF343" s="527"/>
      <c r="AG343" s="527"/>
      <c r="AH343" s="527"/>
      <c r="AI343" s="529"/>
      <c r="AK343" s="237"/>
      <c r="AL343" s="237"/>
    </row>
    <row r="344" spans="2:38" ht="19.5" thickBot="1" x14ac:dyDescent="0.3">
      <c r="B344" s="130"/>
      <c r="C344" s="89"/>
      <c r="D344" s="89"/>
      <c r="E344" s="141"/>
      <c r="F344" s="133"/>
      <c r="G344" s="133"/>
      <c r="H344" s="133"/>
      <c r="I344" s="218" t="s">
        <v>1527</v>
      </c>
      <c r="J344" s="218" t="s">
        <v>1528</v>
      </c>
      <c r="K344" s="218" t="s">
        <v>1702</v>
      </c>
      <c r="L344" s="218" t="s">
        <v>1703</v>
      </c>
      <c r="M344" s="218" t="s">
        <v>1704</v>
      </c>
      <c r="N344" s="218" t="s">
        <v>1705</v>
      </c>
      <c r="O344" s="218" t="s">
        <v>1706</v>
      </c>
      <c r="P344" s="218" t="s">
        <v>1707</v>
      </c>
      <c r="Q344" s="218" t="s">
        <v>1708</v>
      </c>
      <c r="R344" s="218" t="s">
        <v>1709</v>
      </c>
      <c r="S344" s="218" t="s">
        <v>1710</v>
      </c>
      <c r="T344" s="218" t="s">
        <v>1711</v>
      </c>
      <c r="U344" s="218" t="s">
        <v>1712</v>
      </c>
      <c r="V344" s="227" t="s">
        <v>1713</v>
      </c>
      <c r="W344" s="138"/>
      <c r="X344" s="100"/>
      <c r="Y344" s="91"/>
      <c r="Z344" s="91"/>
      <c r="AA344" s="91"/>
      <c r="AB344" s="91"/>
      <c r="AC344" s="91"/>
      <c r="AD344" s="91"/>
      <c r="AE344" s="91"/>
      <c r="AF344" s="91"/>
      <c r="AG344" s="91"/>
      <c r="AH344" s="92"/>
      <c r="AI344" s="93"/>
      <c r="AK344" s="237"/>
      <c r="AL344" s="237"/>
    </row>
    <row r="345" spans="2:38" ht="18.75" x14ac:dyDescent="0.3">
      <c r="B345" s="117">
        <v>79062</v>
      </c>
      <c r="C345" s="146" t="s">
        <v>997</v>
      </c>
      <c r="D345" s="146">
        <v>39836</v>
      </c>
      <c r="E345" s="171" t="s">
        <v>582</v>
      </c>
      <c r="F345" s="104" t="s">
        <v>583</v>
      </c>
      <c r="G345" s="101"/>
      <c r="H345" s="101" t="s">
        <v>995</v>
      </c>
      <c r="I345" s="101"/>
      <c r="J345" s="101"/>
      <c r="K345" s="101"/>
      <c r="L345" s="101"/>
      <c r="M345" s="101"/>
      <c r="N345" s="101"/>
      <c r="O345" s="101"/>
      <c r="P345" s="101"/>
      <c r="Q345" s="101"/>
      <c r="R345" s="101"/>
      <c r="S345" s="101"/>
      <c r="T345" s="101"/>
      <c r="U345" s="101"/>
      <c r="V345" s="105"/>
      <c r="X345" s="109" t="s">
        <v>692</v>
      </c>
      <c r="Y345" s="110" t="s">
        <v>692</v>
      </c>
      <c r="Z345" s="110" t="s">
        <v>692</v>
      </c>
      <c r="AA345" s="110" t="s">
        <v>692</v>
      </c>
      <c r="AB345" s="110" t="s">
        <v>692</v>
      </c>
      <c r="AC345" s="110" t="s">
        <v>692</v>
      </c>
      <c r="AD345" s="110" t="s">
        <v>692</v>
      </c>
      <c r="AE345" s="110" t="s">
        <v>692</v>
      </c>
      <c r="AF345" s="110" t="s">
        <v>692</v>
      </c>
      <c r="AG345" s="110" t="s">
        <v>692</v>
      </c>
      <c r="AH345" s="110" t="s">
        <v>692</v>
      </c>
      <c r="AI345" s="111" t="s">
        <v>692</v>
      </c>
      <c r="AK345" s="237"/>
      <c r="AL345" s="237"/>
    </row>
    <row r="346" spans="2:38" ht="18.75" x14ac:dyDescent="0.3">
      <c r="B346" s="121">
        <v>547463</v>
      </c>
      <c r="C346" s="12" t="s">
        <v>581</v>
      </c>
      <c r="D346" s="12">
        <v>39832</v>
      </c>
      <c r="E346" s="142" t="s">
        <v>598</v>
      </c>
      <c r="F346" s="104" t="s">
        <v>599</v>
      </c>
      <c r="G346" s="101" t="s">
        <v>1262</v>
      </c>
      <c r="H346" s="101"/>
      <c r="I346" s="101">
        <v>21730</v>
      </c>
      <c r="J346" s="101"/>
      <c r="K346" s="101"/>
      <c r="L346" s="101"/>
      <c r="M346" s="101"/>
      <c r="N346" s="101"/>
      <c r="O346" s="101"/>
      <c r="P346" s="101"/>
      <c r="Q346" s="101"/>
      <c r="R346" s="101"/>
      <c r="S346" s="101"/>
      <c r="T346" s="101"/>
      <c r="U346" s="101"/>
      <c r="V346" s="105"/>
      <c r="X346" s="112" t="s">
        <v>692</v>
      </c>
      <c r="Y346" s="44" t="s">
        <v>692</v>
      </c>
      <c r="Z346" s="44" t="s">
        <v>692</v>
      </c>
      <c r="AA346" s="44" t="s">
        <v>692</v>
      </c>
      <c r="AB346" s="44" t="s">
        <v>692</v>
      </c>
      <c r="AC346" s="44" t="s">
        <v>692</v>
      </c>
      <c r="AD346" s="44" t="s">
        <v>692</v>
      </c>
      <c r="AE346" s="44" t="s">
        <v>692</v>
      </c>
      <c r="AF346" s="44" t="s">
        <v>692</v>
      </c>
      <c r="AG346" s="44" t="s">
        <v>692</v>
      </c>
      <c r="AH346" s="44" t="s">
        <v>692</v>
      </c>
      <c r="AI346" s="113" t="s">
        <v>692</v>
      </c>
      <c r="AK346" s="237"/>
      <c r="AL346" s="237"/>
    </row>
    <row r="347" spans="2:38" ht="18.75" x14ac:dyDescent="0.3">
      <c r="B347" s="128">
        <v>4492967</v>
      </c>
      <c r="C347" s="187" t="s">
        <v>581</v>
      </c>
      <c r="D347" s="187">
        <v>39875</v>
      </c>
      <c r="E347" s="208" t="s">
        <v>517</v>
      </c>
      <c r="F347" s="104" t="s">
        <v>628</v>
      </c>
      <c r="G347" s="101" t="s">
        <v>629</v>
      </c>
      <c r="H347" s="101"/>
      <c r="I347" s="101">
        <v>22679</v>
      </c>
      <c r="J347" s="101"/>
      <c r="K347" s="101"/>
      <c r="L347" s="101"/>
      <c r="M347" s="101"/>
      <c r="N347" s="101"/>
      <c r="O347" s="101"/>
      <c r="P347" s="101"/>
      <c r="Q347" s="101"/>
      <c r="R347" s="101"/>
      <c r="S347" s="101"/>
      <c r="T347" s="101"/>
      <c r="U347" s="101"/>
      <c r="V347" s="105"/>
      <c r="X347" s="112" t="s">
        <v>692</v>
      </c>
      <c r="Y347" s="44" t="s">
        <v>692</v>
      </c>
      <c r="Z347" s="44" t="s">
        <v>692</v>
      </c>
      <c r="AA347" s="44" t="s">
        <v>692</v>
      </c>
      <c r="AB347" s="44" t="s">
        <v>692</v>
      </c>
      <c r="AC347" s="44" t="s">
        <v>692</v>
      </c>
      <c r="AD347" s="44" t="s">
        <v>692</v>
      </c>
      <c r="AE347" s="44" t="s">
        <v>692</v>
      </c>
      <c r="AF347" s="44" t="s">
        <v>692</v>
      </c>
      <c r="AG347" s="44" t="s">
        <v>692</v>
      </c>
      <c r="AH347" s="44" t="s">
        <v>692</v>
      </c>
      <c r="AI347" s="113" t="s">
        <v>692</v>
      </c>
      <c r="AK347" s="237"/>
      <c r="AL347" s="237"/>
    </row>
    <row r="348" spans="2:38" ht="18.75" x14ac:dyDescent="0.3">
      <c r="B348" s="128">
        <v>7107776</v>
      </c>
      <c r="C348" s="187" t="s">
        <v>581</v>
      </c>
      <c r="D348" s="187">
        <v>39478</v>
      </c>
      <c r="E348" s="208" t="s">
        <v>847</v>
      </c>
      <c r="F348" s="104" t="s">
        <v>848</v>
      </c>
      <c r="G348" s="101" t="s">
        <v>1281</v>
      </c>
      <c r="H348" s="101" t="s">
        <v>1609</v>
      </c>
      <c r="I348" s="101"/>
      <c r="J348" s="101"/>
      <c r="K348" s="101"/>
      <c r="L348" s="101"/>
      <c r="M348" s="101"/>
      <c r="N348" s="101"/>
      <c r="O348" s="101"/>
      <c r="P348" s="101"/>
      <c r="Q348" s="101"/>
      <c r="R348" s="101"/>
      <c r="S348" s="101"/>
      <c r="T348" s="101"/>
      <c r="U348" s="101"/>
      <c r="V348" s="105"/>
      <c r="X348" s="112" t="s">
        <v>692</v>
      </c>
      <c r="Y348" s="44" t="s">
        <v>692</v>
      </c>
      <c r="Z348" s="44" t="s">
        <v>692</v>
      </c>
      <c r="AA348" s="44" t="s">
        <v>692</v>
      </c>
      <c r="AB348" s="44" t="s">
        <v>692</v>
      </c>
      <c r="AC348" s="44" t="s">
        <v>692</v>
      </c>
      <c r="AD348" s="44" t="s">
        <v>692</v>
      </c>
      <c r="AE348" s="44" t="s">
        <v>692</v>
      </c>
      <c r="AF348" s="44" t="s">
        <v>692</v>
      </c>
      <c r="AG348" s="44" t="s">
        <v>692</v>
      </c>
      <c r="AH348" s="44" t="s">
        <v>692</v>
      </c>
      <c r="AI348" s="113" t="s">
        <v>692</v>
      </c>
      <c r="AK348" s="237"/>
      <c r="AL348" s="237"/>
    </row>
    <row r="349" spans="2:38" ht="18.75" x14ac:dyDescent="0.3">
      <c r="B349" s="128">
        <v>10283585</v>
      </c>
      <c r="C349" s="187" t="s">
        <v>581</v>
      </c>
      <c r="D349" s="187">
        <v>39859</v>
      </c>
      <c r="E349" s="208" t="s">
        <v>594</v>
      </c>
      <c r="F349" s="104" t="s">
        <v>600</v>
      </c>
      <c r="G349" s="101" t="s">
        <v>1260</v>
      </c>
      <c r="H349" s="101"/>
      <c r="I349" s="101">
        <v>90453.2</v>
      </c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5"/>
      <c r="X349" s="112" t="s">
        <v>692</v>
      </c>
      <c r="Y349" s="44" t="s">
        <v>692</v>
      </c>
      <c r="Z349" s="44" t="s">
        <v>692</v>
      </c>
      <c r="AA349" s="44" t="s">
        <v>692</v>
      </c>
      <c r="AB349" s="44" t="s">
        <v>692</v>
      </c>
      <c r="AC349" s="44" t="s">
        <v>692</v>
      </c>
      <c r="AD349" s="44" t="s">
        <v>692</v>
      </c>
      <c r="AE349" s="44" t="s">
        <v>692</v>
      </c>
      <c r="AF349" s="44" t="s">
        <v>692</v>
      </c>
      <c r="AG349" s="44" t="s">
        <v>692</v>
      </c>
      <c r="AH349" s="44" t="s">
        <v>692</v>
      </c>
      <c r="AI349" s="113" t="s">
        <v>692</v>
      </c>
      <c r="AK349" s="237"/>
      <c r="AL349" s="237"/>
    </row>
    <row r="350" spans="2:38" ht="18.75" x14ac:dyDescent="0.3">
      <c r="B350" s="128">
        <v>10735985</v>
      </c>
      <c r="C350" s="187" t="s">
        <v>581</v>
      </c>
      <c r="D350" s="187">
        <v>39441</v>
      </c>
      <c r="E350" s="208" t="s">
        <v>847</v>
      </c>
      <c r="F350" s="104" t="s">
        <v>600</v>
      </c>
      <c r="G350" s="101" t="s">
        <v>1282</v>
      </c>
      <c r="H350" s="101" t="s">
        <v>1610</v>
      </c>
      <c r="I350" s="101"/>
      <c r="J350" s="101"/>
      <c r="K350" s="101"/>
      <c r="L350" s="101"/>
      <c r="M350" s="101"/>
      <c r="N350" s="101"/>
      <c r="O350" s="101"/>
      <c r="P350" s="101"/>
      <c r="Q350" s="101"/>
      <c r="R350" s="101"/>
      <c r="S350" s="101"/>
      <c r="T350" s="101"/>
      <c r="U350" s="101"/>
      <c r="V350" s="105"/>
      <c r="X350" s="112" t="s">
        <v>692</v>
      </c>
      <c r="Y350" s="44" t="s">
        <v>692</v>
      </c>
      <c r="Z350" s="44" t="s">
        <v>692</v>
      </c>
      <c r="AA350" s="44" t="s">
        <v>692</v>
      </c>
      <c r="AB350" s="44" t="s">
        <v>692</v>
      </c>
      <c r="AC350" s="44" t="s">
        <v>692</v>
      </c>
      <c r="AD350" s="44" t="s">
        <v>692</v>
      </c>
      <c r="AE350" s="44" t="s">
        <v>692</v>
      </c>
      <c r="AF350" s="44" t="s">
        <v>692</v>
      </c>
      <c r="AG350" s="44" t="s">
        <v>692</v>
      </c>
      <c r="AH350" s="44" t="s">
        <v>692</v>
      </c>
      <c r="AI350" s="113" t="s">
        <v>692</v>
      </c>
      <c r="AK350" s="237"/>
      <c r="AL350" s="237"/>
    </row>
    <row r="351" spans="2:38" ht="18.75" x14ac:dyDescent="0.3">
      <c r="B351" s="128">
        <v>10735985</v>
      </c>
      <c r="C351" s="187" t="s">
        <v>581</v>
      </c>
      <c r="D351" s="187">
        <v>39807</v>
      </c>
      <c r="E351" s="208" t="s">
        <v>596</v>
      </c>
      <c r="F351" s="104" t="s">
        <v>595</v>
      </c>
      <c r="G351" s="101"/>
      <c r="H351" s="101" t="s">
        <v>851</v>
      </c>
      <c r="I351" s="101"/>
      <c r="J351" s="101"/>
      <c r="K351" s="101"/>
      <c r="L351" s="101"/>
      <c r="M351" s="101"/>
      <c r="N351" s="101"/>
      <c r="O351" s="101"/>
      <c r="P351" s="101"/>
      <c r="Q351" s="101"/>
      <c r="R351" s="101"/>
      <c r="S351" s="101"/>
      <c r="T351" s="101"/>
      <c r="U351" s="101"/>
      <c r="V351" s="105"/>
      <c r="X351" s="112" t="s">
        <v>692</v>
      </c>
      <c r="Y351" s="44" t="s">
        <v>692</v>
      </c>
      <c r="Z351" s="44" t="s">
        <v>692</v>
      </c>
      <c r="AA351" s="44" t="s">
        <v>692</v>
      </c>
      <c r="AB351" s="44" t="s">
        <v>692</v>
      </c>
      <c r="AC351" s="44" t="s">
        <v>692</v>
      </c>
      <c r="AD351" s="44" t="s">
        <v>692</v>
      </c>
      <c r="AE351" s="44" t="s">
        <v>692</v>
      </c>
      <c r="AF351" s="44" t="s">
        <v>692</v>
      </c>
      <c r="AG351" s="44" t="s">
        <v>692</v>
      </c>
      <c r="AH351" s="44" t="s">
        <v>692</v>
      </c>
      <c r="AI351" s="113" t="s">
        <v>692</v>
      </c>
      <c r="AK351" s="237"/>
      <c r="AL351" s="237"/>
    </row>
    <row r="352" spans="2:38" ht="18.75" x14ac:dyDescent="0.3">
      <c r="B352" s="128">
        <v>10735985</v>
      </c>
      <c r="C352" s="187" t="s">
        <v>581</v>
      </c>
      <c r="D352" s="187">
        <v>39837</v>
      </c>
      <c r="E352" s="208" t="s">
        <v>594</v>
      </c>
      <c r="F352" s="104" t="s">
        <v>595</v>
      </c>
      <c r="G352" s="101"/>
      <c r="H352" s="101" t="s">
        <v>851</v>
      </c>
      <c r="I352" s="101"/>
      <c r="J352" s="101"/>
      <c r="K352" s="101"/>
      <c r="L352" s="101"/>
      <c r="M352" s="101"/>
      <c r="N352" s="101"/>
      <c r="O352" s="101"/>
      <c r="P352" s="101"/>
      <c r="Q352" s="101"/>
      <c r="R352" s="101"/>
      <c r="S352" s="101"/>
      <c r="T352" s="101"/>
      <c r="U352" s="101"/>
      <c r="V352" s="105"/>
      <c r="X352" s="112" t="s">
        <v>692</v>
      </c>
      <c r="Y352" s="44" t="s">
        <v>692</v>
      </c>
      <c r="Z352" s="44" t="s">
        <v>692</v>
      </c>
      <c r="AA352" s="44" t="s">
        <v>692</v>
      </c>
      <c r="AB352" s="44" t="s">
        <v>692</v>
      </c>
      <c r="AC352" s="44" t="s">
        <v>692</v>
      </c>
      <c r="AD352" s="44" t="s">
        <v>692</v>
      </c>
      <c r="AE352" s="44" t="s">
        <v>692</v>
      </c>
      <c r="AF352" s="44" t="s">
        <v>692</v>
      </c>
      <c r="AG352" s="44" t="s">
        <v>692</v>
      </c>
      <c r="AH352" s="44" t="s">
        <v>692</v>
      </c>
      <c r="AI352" s="113" t="s">
        <v>692</v>
      </c>
      <c r="AK352" s="237"/>
      <c r="AL352" s="237"/>
    </row>
    <row r="353" spans="2:38" ht="18.75" x14ac:dyDescent="0.3">
      <c r="B353" s="128">
        <v>10735985</v>
      </c>
      <c r="C353" s="187" t="s">
        <v>581</v>
      </c>
      <c r="D353" s="187">
        <v>39888</v>
      </c>
      <c r="E353" s="208" t="s">
        <v>517</v>
      </c>
      <c r="F353" s="104" t="s">
        <v>595</v>
      </c>
      <c r="G353" s="101"/>
      <c r="H353" s="101" t="s">
        <v>851</v>
      </c>
      <c r="I353" s="101"/>
      <c r="J353" s="101"/>
      <c r="K353" s="101"/>
      <c r="L353" s="101"/>
      <c r="M353" s="101"/>
      <c r="N353" s="101"/>
      <c r="O353" s="101"/>
      <c r="P353" s="101"/>
      <c r="Q353" s="101"/>
      <c r="R353" s="101"/>
      <c r="S353" s="101"/>
      <c r="T353" s="101"/>
      <c r="U353" s="101"/>
      <c r="V353" s="105"/>
      <c r="X353" s="112" t="s">
        <v>692</v>
      </c>
      <c r="Y353" s="44" t="s">
        <v>692</v>
      </c>
      <c r="Z353" s="44" t="s">
        <v>692</v>
      </c>
      <c r="AA353" s="44" t="s">
        <v>692</v>
      </c>
      <c r="AB353" s="44" t="s">
        <v>692</v>
      </c>
      <c r="AC353" s="44" t="s">
        <v>692</v>
      </c>
      <c r="AD353" s="44" t="s">
        <v>692</v>
      </c>
      <c r="AE353" s="44" t="s">
        <v>692</v>
      </c>
      <c r="AF353" s="44" t="s">
        <v>692</v>
      </c>
      <c r="AG353" s="44" t="s">
        <v>692</v>
      </c>
      <c r="AH353" s="44" t="s">
        <v>692</v>
      </c>
      <c r="AI353" s="113" t="s">
        <v>692</v>
      </c>
      <c r="AK353" s="237"/>
      <c r="AL353" s="237"/>
    </row>
    <row r="354" spans="2:38" ht="18.75" x14ac:dyDescent="0.3">
      <c r="B354" s="128">
        <v>11808535</v>
      </c>
      <c r="C354" s="187" t="s">
        <v>581</v>
      </c>
      <c r="D354" s="187">
        <v>39858</v>
      </c>
      <c r="E354" s="208" t="s">
        <v>594</v>
      </c>
      <c r="F354" s="104" t="s">
        <v>597</v>
      </c>
      <c r="G354" s="101" t="s">
        <v>1261</v>
      </c>
      <c r="H354" s="101"/>
      <c r="I354" s="101">
        <v>43909</v>
      </c>
      <c r="J354" s="101"/>
      <c r="K354" s="101"/>
      <c r="L354" s="101"/>
      <c r="M354" s="101"/>
      <c r="N354" s="101"/>
      <c r="O354" s="101"/>
      <c r="P354" s="101"/>
      <c r="Q354" s="101"/>
      <c r="R354" s="101"/>
      <c r="S354" s="101"/>
      <c r="T354" s="101"/>
      <c r="U354" s="101"/>
      <c r="V354" s="105"/>
      <c r="X354" s="112" t="s">
        <v>692</v>
      </c>
      <c r="Y354" s="44" t="s">
        <v>692</v>
      </c>
      <c r="Z354" s="44" t="s">
        <v>692</v>
      </c>
      <c r="AA354" s="44" t="s">
        <v>692</v>
      </c>
      <c r="AB354" s="44" t="s">
        <v>692</v>
      </c>
      <c r="AC354" s="44" t="s">
        <v>692</v>
      </c>
      <c r="AD354" s="44" t="s">
        <v>692</v>
      </c>
      <c r="AE354" s="44" t="s">
        <v>692</v>
      </c>
      <c r="AF354" s="44" t="s">
        <v>692</v>
      </c>
      <c r="AG354" s="44" t="s">
        <v>692</v>
      </c>
      <c r="AH354" s="44" t="s">
        <v>692</v>
      </c>
      <c r="AI354" s="113" t="s">
        <v>692</v>
      </c>
      <c r="AK354" s="237"/>
      <c r="AL354" s="237"/>
    </row>
    <row r="355" spans="2:38" ht="18.75" x14ac:dyDescent="0.3">
      <c r="B355" s="128">
        <v>50037472</v>
      </c>
      <c r="C355" s="187" t="s">
        <v>581</v>
      </c>
      <c r="D355" s="187">
        <v>39880</v>
      </c>
      <c r="E355" s="208" t="s">
        <v>592</v>
      </c>
      <c r="F355" s="104" t="s">
        <v>593</v>
      </c>
      <c r="G355" s="101" t="s">
        <v>1259</v>
      </c>
      <c r="H355" s="101" t="s">
        <v>1534</v>
      </c>
      <c r="I355" s="101"/>
      <c r="J355" s="101"/>
      <c r="K355" s="101"/>
      <c r="L355" s="101"/>
      <c r="M355" s="101"/>
      <c r="N355" s="101"/>
      <c r="O355" s="101"/>
      <c r="P355" s="101"/>
      <c r="Q355" s="101"/>
      <c r="R355" s="101"/>
      <c r="S355" s="101"/>
      <c r="T355" s="101"/>
      <c r="U355" s="101"/>
      <c r="V355" s="105"/>
      <c r="X355" s="112" t="s">
        <v>692</v>
      </c>
      <c r="Y355" s="44" t="s">
        <v>692</v>
      </c>
      <c r="Z355" s="44" t="s">
        <v>692</v>
      </c>
      <c r="AA355" s="44" t="s">
        <v>692</v>
      </c>
      <c r="AB355" s="44" t="s">
        <v>692</v>
      </c>
      <c r="AC355" s="44" t="s">
        <v>692</v>
      </c>
      <c r="AD355" s="44" t="s">
        <v>692</v>
      </c>
      <c r="AE355" s="44" t="s">
        <v>692</v>
      </c>
      <c r="AF355" s="44" t="s">
        <v>692</v>
      </c>
      <c r="AG355" s="44" t="s">
        <v>692</v>
      </c>
      <c r="AH355" s="44" t="s">
        <v>692</v>
      </c>
      <c r="AI355" s="113" t="s">
        <v>692</v>
      </c>
      <c r="AK355" s="237"/>
      <c r="AL355" s="237"/>
    </row>
    <row r="356" spans="2:38" ht="18.75" x14ac:dyDescent="0.3">
      <c r="B356" s="128">
        <v>73321615</v>
      </c>
      <c r="C356" s="187" t="s">
        <v>581</v>
      </c>
      <c r="D356" s="187">
        <v>39890</v>
      </c>
      <c r="E356" s="208" t="s">
        <v>603</v>
      </c>
      <c r="F356" s="104" t="s">
        <v>604</v>
      </c>
      <c r="G356" s="101" t="s">
        <v>1284</v>
      </c>
      <c r="H356" s="101"/>
      <c r="I356" s="101">
        <v>444055</v>
      </c>
      <c r="J356" s="101"/>
      <c r="K356" s="101"/>
      <c r="L356" s="101"/>
      <c r="M356" s="101"/>
      <c r="N356" s="101"/>
      <c r="O356" s="101"/>
      <c r="P356" s="101"/>
      <c r="Q356" s="101"/>
      <c r="R356" s="101"/>
      <c r="S356" s="101"/>
      <c r="T356" s="101"/>
      <c r="U356" s="101"/>
      <c r="V356" s="105"/>
      <c r="X356" s="112" t="s">
        <v>692</v>
      </c>
      <c r="Y356" s="44" t="s">
        <v>692</v>
      </c>
      <c r="Z356" s="44" t="s">
        <v>692</v>
      </c>
      <c r="AA356" s="44" t="s">
        <v>692</v>
      </c>
      <c r="AB356" s="44" t="s">
        <v>692</v>
      </c>
      <c r="AC356" s="44" t="s">
        <v>692</v>
      </c>
      <c r="AD356" s="44" t="s">
        <v>692</v>
      </c>
      <c r="AE356" s="44" t="s">
        <v>692</v>
      </c>
      <c r="AF356" s="44" t="s">
        <v>692</v>
      </c>
      <c r="AG356" s="44" t="s">
        <v>692</v>
      </c>
      <c r="AH356" s="44" t="s">
        <v>692</v>
      </c>
      <c r="AI356" s="113" t="s">
        <v>692</v>
      </c>
      <c r="AK356" s="237"/>
      <c r="AL356" s="237"/>
    </row>
    <row r="357" spans="2:38" ht="18.75" x14ac:dyDescent="0.3">
      <c r="B357" s="128" t="s">
        <v>1512</v>
      </c>
      <c r="C357" s="187" t="s">
        <v>581</v>
      </c>
      <c r="D357" s="187">
        <v>39852</v>
      </c>
      <c r="E357" s="208" t="s">
        <v>1311</v>
      </c>
      <c r="F357" s="104" t="s">
        <v>1478</v>
      </c>
      <c r="G357" s="101" t="s">
        <v>1478</v>
      </c>
      <c r="H357" s="101" t="s">
        <v>1513</v>
      </c>
      <c r="I357" s="101">
        <v>6563.2</v>
      </c>
      <c r="J357" s="101"/>
      <c r="K357" s="101"/>
      <c r="L357" s="101"/>
      <c r="M357" s="101"/>
      <c r="N357" s="101"/>
      <c r="O357" s="101"/>
      <c r="P357" s="101"/>
      <c r="Q357" s="101"/>
      <c r="R357" s="101"/>
      <c r="S357" s="101"/>
      <c r="T357" s="101"/>
      <c r="U357" s="101"/>
      <c r="V357" s="105"/>
      <c r="X357" s="112" t="s">
        <v>692</v>
      </c>
      <c r="Y357" s="44" t="s">
        <v>692</v>
      </c>
      <c r="Z357" s="44" t="s">
        <v>692</v>
      </c>
      <c r="AA357" s="44" t="s">
        <v>692</v>
      </c>
      <c r="AB357" s="44" t="s">
        <v>692</v>
      </c>
      <c r="AC357" s="44" t="s">
        <v>692</v>
      </c>
      <c r="AD357" s="44" t="s">
        <v>692</v>
      </c>
      <c r="AE357" s="44" t="s">
        <v>692</v>
      </c>
      <c r="AF357" s="44" t="s">
        <v>692</v>
      </c>
      <c r="AG357" s="44" t="s">
        <v>692</v>
      </c>
      <c r="AH357" s="44" t="s">
        <v>692</v>
      </c>
      <c r="AI357" s="113" t="s">
        <v>692</v>
      </c>
      <c r="AK357" s="237"/>
      <c r="AL357" s="237"/>
    </row>
    <row r="358" spans="2:38" ht="18.75" x14ac:dyDescent="0.3">
      <c r="B358" s="128" t="s">
        <v>1614</v>
      </c>
      <c r="C358" s="187" t="s">
        <v>581</v>
      </c>
      <c r="D358" s="187">
        <v>39853</v>
      </c>
      <c r="E358" s="208" t="s">
        <v>1477</v>
      </c>
      <c r="F358" s="104" t="s">
        <v>1478</v>
      </c>
      <c r="G358" s="101" t="s">
        <v>1478</v>
      </c>
      <c r="H358" s="101" t="s">
        <v>1615</v>
      </c>
      <c r="I358" s="101">
        <v>1226.4000000000001</v>
      </c>
      <c r="J358" s="101"/>
      <c r="K358" s="101"/>
      <c r="L358" s="101"/>
      <c r="M358" s="101"/>
      <c r="N358" s="101"/>
      <c r="O358" s="101"/>
      <c r="P358" s="101"/>
      <c r="Q358" s="101"/>
      <c r="R358" s="101"/>
      <c r="S358" s="101"/>
      <c r="T358" s="101"/>
      <c r="U358" s="101"/>
      <c r="V358" s="105"/>
      <c r="X358" s="112" t="s">
        <v>692</v>
      </c>
      <c r="Y358" s="44" t="s">
        <v>692</v>
      </c>
      <c r="Z358" s="44" t="s">
        <v>692</v>
      </c>
      <c r="AA358" s="44" t="s">
        <v>692</v>
      </c>
      <c r="AB358" s="44" t="s">
        <v>692</v>
      </c>
      <c r="AC358" s="44" t="s">
        <v>692</v>
      </c>
      <c r="AD358" s="44" t="s">
        <v>692</v>
      </c>
      <c r="AE358" s="44" t="s">
        <v>692</v>
      </c>
      <c r="AF358" s="44" t="s">
        <v>692</v>
      </c>
      <c r="AG358" s="44" t="s">
        <v>692</v>
      </c>
      <c r="AH358" s="44" t="s">
        <v>692</v>
      </c>
      <c r="AI358" s="113" t="s">
        <v>692</v>
      </c>
      <c r="AK358" s="237"/>
      <c r="AL358" s="237"/>
    </row>
    <row r="359" spans="2:38" ht="18.75" x14ac:dyDescent="0.3">
      <c r="B359" s="128" t="s">
        <v>393</v>
      </c>
      <c r="C359" s="187" t="s">
        <v>581</v>
      </c>
      <c r="D359" s="187">
        <v>39895</v>
      </c>
      <c r="E359" s="208" t="s">
        <v>1258</v>
      </c>
      <c r="F359" s="104" t="s">
        <v>585</v>
      </c>
      <c r="G359" s="101" t="s">
        <v>591</v>
      </c>
      <c r="H359" s="101"/>
      <c r="I359" s="101">
        <v>608873</v>
      </c>
      <c r="J359" s="101"/>
      <c r="K359" s="101"/>
      <c r="L359" s="101"/>
      <c r="M359" s="101"/>
      <c r="N359" s="101"/>
      <c r="O359" s="101"/>
      <c r="P359" s="101"/>
      <c r="Q359" s="101"/>
      <c r="R359" s="101"/>
      <c r="S359" s="101"/>
      <c r="T359" s="101"/>
      <c r="U359" s="101"/>
      <c r="V359" s="105"/>
      <c r="X359" s="112" t="s">
        <v>692</v>
      </c>
      <c r="Y359" s="44" t="s">
        <v>692</v>
      </c>
      <c r="Z359" s="44" t="s">
        <v>692</v>
      </c>
      <c r="AA359" s="44" t="s">
        <v>692</v>
      </c>
      <c r="AB359" s="44" t="s">
        <v>692</v>
      </c>
      <c r="AC359" s="44" t="s">
        <v>692</v>
      </c>
      <c r="AD359" s="44" t="s">
        <v>692</v>
      </c>
      <c r="AE359" s="44" t="s">
        <v>692</v>
      </c>
      <c r="AF359" s="44" t="s">
        <v>692</v>
      </c>
      <c r="AG359" s="44" t="s">
        <v>692</v>
      </c>
      <c r="AH359" s="44" t="s">
        <v>692</v>
      </c>
      <c r="AI359" s="113" t="s">
        <v>692</v>
      </c>
      <c r="AK359" s="237"/>
      <c r="AL359" s="237"/>
    </row>
    <row r="360" spans="2:38" ht="18.75" x14ac:dyDescent="0.3">
      <c r="B360" s="128" t="s">
        <v>389</v>
      </c>
      <c r="C360" s="187" t="s">
        <v>581</v>
      </c>
      <c r="D360" s="187">
        <v>39835</v>
      </c>
      <c r="E360" s="208" t="s">
        <v>587</v>
      </c>
      <c r="F360" s="104" t="s">
        <v>588</v>
      </c>
      <c r="G360" s="101" t="s">
        <v>1257</v>
      </c>
      <c r="H360" s="101"/>
      <c r="I360" s="101">
        <v>125421</v>
      </c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5"/>
      <c r="X360" s="112" t="s">
        <v>692</v>
      </c>
      <c r="Y360" s="44" t="s">
        <v>692</v>
      </c>
      <c r="Z360" s="44" t="s">
        <v>692</v>
      </c>
      <c r="AA360" s="44" t="s">
        <v>692</v>
      </c>
      <c r="AB360" s="44" t="s">
        <v>692</v>
      </c>
      <c r="AC360" s="44" t="s">
        <v>692</v>
      </c>
      <c r="AD360" s="44" t="s">
        <v>692</v>
      </c>
      <c r="AE360" s="44" t="s">
        <v>692</v>
      </c>
      <c r="AF360" s="44" t="s">
        <v>692</v>
      </c>
      <c r="AG360" s="44" t="s">
        <v>692</v>
      </c>
      <c r="AH360" s="44" t="s">
        <v>692</v>
      </c>
      <c r="AI360" s="113" t="s">
        <v>692</v>
      </c>
      <c r="AK360" s="237"/>
      <c r="AL360" s="237"/>
    </row>
    <row r="361" spans="2:38" ht="18.75" x14ac:dyDescent="0.3">
      <c r="B361" s="128" t="s">
        <v>388</v>
      </c>
      <c r="C361" s="187" t="s">
        <v>581</v>
      </c>
      <c r="D361" s="187">
        <v>39305</v>
      </c>
      <c r="E361" s="208" t="s">
        <v>622</v>
      </c>
      <c r="F361" s="104" t="s">
        <v>585</v>
      </c>
      <c r="G361" s="101" t="s">
        <v>1256</v>
      </c>
      <c r="H361" s="101" t="s">
        <v>1440</v>
      </c>
      <c r="I361" s="101"/>
      <c r="J361" s="101"/>
      <c r="K361" s="101"/>
      <c r="L361" s="101"/>
      <c r="M361" s="101"/>
      <c r="N361" s="101"/>
      <c r="O361" s="101"/>
      <c r="P361" s="101"/>
      <c r="Q361" s="101"/>
      <c r="R361" s="101"/>
      <c r="S361" s="101"/>
      <c r="T361" s="101"/>
      <c r="U361" s="101"/>
      <c r="V361" s="105"/>
      <c r="X361" s="112" t="s">
        <v>692</v>
      </c>
      <c r="Y361" s="44" t="s">
        <v>692</v>
      </c>
      <c r="Z361" s="44" t="s">
        <v>692</v>
      </c>
      <c r="AA361" s="44" t="s">
        <v>692</v>
      </c>
      <c r="AB361" s="44" t="s">
        <v>692</v>
      </c>
      <c r="AC361" s="44" t="s">
        <v>692</v>
      </c>
      <c r="AD361" s="44" t="s">
        <v>692</v>
      </c>
      <c r="AE361" s="44" t="s">
        <v>692</v>
      </c>
      <c r="AF361" s="44" t="s">
        <v>692</v>
      </c>
      <c r="AG361" s="44" t="s">
        <v>692</v>
      </c>
      <c r="AH361" s="44" t="s">
        <v>692</v>
      </c>
      <c r="AI361" s="113" t="s">
        <v>692</v>
      </c>
      <c r="AK361" s="237"/>
      <c r="AL361" s="237"/>
    </row>
    <row r="362" spans="2:38" ht="18.75" x14ac:dyDescent="0.3">
      <c r="B362" s="128" t="s">
        <v>395</v>
      </c>
      <c r="C362" s="187" t="s">
        <v>581</v>
      </c>
      <c r="D362" s="187">
        <v>39806</v>
      </c>
      <c r="E362" s="208" t="s">
        <v>596</v>
      </c>
      <c r="F362" s="104" t="s">
        <v>602</v>
      </c>
      <c r="G362" s="101"/>
      <c r="H362" s="101"/>
      <c r="I362" s="101"/>
      <c r="J362" s="101"/>
      <c r="K362" s="101"/>
      <c r="L362" s="101"/>
      <c r="M362" s="101"/>
      <c r="N362" s="101"/>
      <c r="O362" s="101"/>
      <c r="P362" s="101"/>
      <c r="Q362" s="101"/>
      <c r="R362" s="101"/>
      <c r="S362" s="101"/>
      <c r="T362" s="101"/>
      <c r="U362" s="101"/>
      <c r="V362" s="105"/>
      <c r="X362" s="112" t="s">
        <v>692</v>
      </c>
      <c r="Y362" s="44" t="s">
        <v>692</v>
      </c>
      <c r="Z362" s="44" t="s">
        <v>692</v>
      </c>
      <c r="AA362" s="44" t="s">
        <v>692</v>
      </c>
      <c r="AB362" s="44" t="s">
        <v>692</v>
      </c>
      <c r="AC362" s="44" t="s">
        <v>692</v>
      </c>
      <c r="AD362" s="44" t="s">
        <v>692</v>
      </c>
      <c r="AE362" s="44" t="s">
        <v>692</v>
      </c>
      <c r="AF362" s="44" t="s">
        <v>692</v>
      </c>
      <c r="AG362" s="44" t="s">
        <v>692</v>
      </c>
      <c r="AH362" s="44" t="s">
        <v>692</v>
      </c>
      <c r="AI362" s="113" t="s">
        <v>692</v>
      </c>
      <c r="AK362" s="237"/>
      <c r="AL362" s="237"/>
    </row>
    <row r="363" spans="2:38" ht="18.75" x14ac:dyDescent="0.3">
      <c r="B363" s="128" t="s">
        <v>1288</v>
      </c>
      <c r="C363" s="187" t="s">
        <v>581</v>
      </c>
      <c r="D363" s="187">
        <v>39324</v>
      </c>
      <c r="E363" s="208" t="s">
        <v>1250</v>
      </c>
      <c r="F363" s="104" t="s">
        <v>600</v>
      </c>
      <c r="G363" s="101" t="s">
        <v>1265</v>
      </c>
      <c r="H363" s="101" t="s">
        <v>1251</v>
      </c>
      <c r="I363" s="101">
        <v>3495</v>
      </c>
      <c r="J363" s="101"/>
      <c r="K363" s="101"/>
      <c r="L363" s="101"/>
      <c r="M363" s="101"/>
      <c r="N363" s="101"/>
      <c r="O363" s="101"/>
      <c r="P363" s="101"/>
      <c r="Q363" s="101"/>
      <c r="R363" s="101"/>
      <c r="S363" s="101"/>
      <c r="T363" s="101"/>
      <c r="U363" s="101"/>
      <c r="V363" s="105"/>
      <c r="X363" s="112" t="s">
        <v>692</v>
      </c>
      <c r="Y363" s="44" t="s">
        <v>692</v>
      </c>
      <c r="Z363" s="44" t="s">
        <v>692</v>
      </c>
      <c r="AA363" s="44" t="s">
        <v>692</v>
      </c>
      <c r="AB363" s="44" t="s">
        <v>692</v>
      </c>
      <c r="AC363" s="44" t="s">
        <v>692</v>
      </c>
      <c r="AD363" s="44" t="s">
        <v>692</v>
      </c>
      <c r="AE363" s="44" t="s">
        <v>692</v>
      </c>
      <c r="AF363" s="44" t="s">
        <v>692</v>
      </c>
      <c r="AG363" s="44" t="s">
        <v>692</v>
      </c>
      <c r="AH363" s="44" t="s">
        <v>692</v>
      </c>
      <c r="AI363" s="113" t="s">
        <v>692</v>
      </c>
      <c r="AK363" s="237"/>
      <c r="AL363" s="237"/>
    </row>
    <row r="364" spans="2:38" ht="18.75" x14ac:dyDescent="0.3">
      <c r="B364" s="128" t="s">
        <v>1476</v>
      </c>
      <c r="C364" s="187" t="s">
        <v>581</v>
      </c>
      <c r="D364" s="187">
        <v>39842</v>
      </c>
      <c r="E364" s="208" t="s">
        <v>1632</v>
      </c>
      <c r="F364" s="104" t="s">
        <v>1633</v>
      </c>
      <c r="G364" s="101"/>
      <c r="H364" s="101" t="s">
        <v>1645</v>
      </c>
      <c r="I364" s="101"/>
      <c r="J364" s="101"/>
      <c r="K364" s="101"/>
      <c r="L364" s="101"/>
      <c r="M364" s="101"/>
      <c r="N364" s="101"/>
      <c r="O364" s="101"/>
      <c r="P364" s="101"/>
      <c r="Q364" s="101"/>
      <c r="R364" s="101"/>
      <c r="S364" s="101"/>
      <c r="T364" s="101"/>
      <c r="U364" s="101"/>
      <c r="V364" s="105"/>
      <c r="X364" s="112" t="s">
        <v>692</v>
      </c>
      <c r="Y364" s="44" t="s">
        <v>692</v>
      </c>
      <c r="Z364" s="44" t="s">
        <v>692</v>
      </c>
      <c r="AA364" s="44" t="s">
        <v>692</v>
      </c>
      <c r="AB364" s="44" t="s">
        <v>692</v>
      </c>
      <c r="AC364" s="44" t="s">
        <v>692</v>
      </c>
      <c r="AD364" s="44" t="s">
        <v>692</v>
      </c>
      <c r="AE364" s="44" t="s">
        <v>692</v>
      </c>
      <c r="AF364" s="44" t="s">
        <v>692</v>
      </c>
      <c r="AG364" s="44" t="s">
        <v>692</v>
      </c>
      <c r="AH364" s="44" t="s">
        <v>692</v>
      </c>
      <c r="AI364" s="113" t="s">
        <v>692</v>
      </c>
      <c r="AK364" s="237"/>
      <c r="AL364" s="237"/>
    </row>
    <row r="365" spans="2:38" ht="18.75" x14ac:dyDescent="0.3">
      <c r="B365" s="128">
        <v>19552008</v>
      </c>
      <c r="C365" s="187" t="s">
        <v>614</v>
      </c>
      <c r="D365" s="187">
        <v>39886</v>
      </c>
      <c r="E365" s="208" t="s">
        <v>615</v>
      </c>
      <c r="F365" s="104" t="s">
        <v>616</v>
      </c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1"/>
      <c r="T365" s="101"/>
      <c r="U365" s="101"/>
      <c r="V365" s="105"/>
      <c r="X365" s="112" t="s">
        <v>692</v>
      </c>
      <c r="Y365" s="44" t="s">
        <v>692</v>
      </c>
      <c r="Z365" s="44" t="s">
        <v>692</v>
      </c>
      <c r="AA365" s="44" t="s">
        <v>692</v>
      </c>
      <c r="AB365" s="44" t="s">
        <v>692</v>
      </c>
      <c r="AC365" s="44" t="s">
        <v>692</v>
      </c>
      <c r="AD365" s="44" t="s">
        <v>692</v>
      </c>
      <c r="AE365" s="44" t="s">
        <v>692</v>
      </c>
      <c r="AF365" s="44" t="s">
        <v>692</v>
      </c>
      <c r="AG365" s="44" t="s">
        <v>692</v>
      </c>
      <c r="AH365" s="44" t="s">
        <v>692</v>
      </c>
      <c r="AI365" s="113" t="s">
        <v>692</v>
      </c>
      <c r="AK365" s="237"/>
      <c r="AL365" s="237"/>
    </row>
    <row r="366" spans="2:38" ht="18.75" x14ac:dyDescent="0.3">
      <c r="B366" s="128">
        <v>42522472</v>
      </c>
      <c r="C366" s="187" t="s">
        <v>614</v>
      </c>
      <c r="D366" s="187">
        <v>39824</v>
      </c>
      <c r="E366" s="208" t="s">
        <v>615</v>
      </c>
      <c r="F366" s="104" t="s">
        <v>1650</v>
      </c>
      <c r="G366" s="101"/>
      <c r="H366" s="101" t="s">
        <v>1651</v>
      </c>
      <c r="I366" s="101">
        <v>7726</v>
      </c>
      <c r="J366" s="101"/>
      <c r="K366" s="101"/>
      <c r="L366" s="101"/>
      <c r="M366" s="101"/>
      <c r="N366" s="101"/>
      <c r="O366" s="101"/>
      <c r="P366" s="101"/>
      <c r="Q366" s="101"/>
      <c r="R366" s="101"/>
      <c r="S366" s="101"/>
      <c r="T366" s="101"/>
      <c r="U366" s="101"/>
      <c r="V366" s="105"/>
      <c r="X366" s="112" t="s">
        <v>692</v>
      </c>
      <c r="Y366" s="44" t="s">
        <v>692</v>
      </c>
      <c r="Z366" s="44" t="s">
        <v>692</v>
      </c>
      <c r="AA366" s="44" t="s">
        <v>692</v>
      </c>
      <c r="AB366" s="44" t="s">
        <v>692</v>
      </c>
      <c r="AC366" s="44" t="s">
        <v>692</v>
      </c>
      <c r="AD366" s="44" t="s">
        <v>692</v>
      </c>
      <c r="AE366" s="44" t="s">
        <v>692</v>
      </c>
      <c r="AF366" s="44" t="s">
        <v>692</v>
      </c>
      <c r="AG366" s="44" t="s">
        <v>692</v>
      </c>
      <c r="AH366" s="44" t="s">
        <v>692</v>
      </c>
      <c r="AI366" s="113" t="s">
        <v>692</v>
      </c>
      <c r="AK366" s="237"/>
      <c r="AL366" s="237"/>
    </row>
    <row r="367" spans="2:38" ht="18.75" x14ac:dyDescent="0.3">
      <c r="B367" s="128">
        <v>3789280061</v>
      </c>
      <c r="C367" s="187" t="s">
        <v>614</v>
      </c>
      <c r="D367" s="187">
        <v>39886</v>
      </c>
      <c r="E367" s="208" t="s">
        <v>615</v>
      </c>
      <c r="F367" s="104" t="s">
        <v>1229</v>
      </c>
      <c r="G367" s="101" t="s">
        <v>1230</v>
      </c>
      <c r="H367" s="101" t="s">
        <v>1664</v>
      </c>
      <c r="I367" s="101"/>
      <c r="J367" s="101"/>
      <c r="K367" s="101"/>
      <c r="L367" s="101"/>
      <c r="M367" s="101"/>
      <c r="N367" s="101"/>
      <c r="O367" s="101"/>
      <c r="P367" s="101"/>
      <c r="Q367" s="101"/>
      <c r="R367" s="101"/>
      <c r="S367" s="101"/>
      <c r="T367" s="101"/>
      <c r="U367" s="101"/>
      <c r="V367" s="105"/>
      <c r="X367" s="112" t="s">
        <v>692</v>
      </c>
      <c r="Y367" s="44" t="s">
        <v>692</v>
      </c>
      <c r="Z367" s="44" t="s">
        <v>692</v>
      </c>
      <c r="AA367" s="44" t="s">
        <v>692</v>
      </c>
      <c r="AB367" s="44" t="s">
        <v>692</v>
      </c>
      <c r="AC367" s="44" t="s">
        <v>692</v>
      </c>
      <c r="AD367" s="44" t="s">
        <v>692</v>
      </c>
      <c r="AE367" s="44" t="s">
        <v>692</v>
      </c>
      <c r="AF367" s="44" t="s">
        <v>692</v>
      </c>
      <c r="AG367" s="44" t="s">
        <v>692</v>
      </c>
      <c r="AH367" s="44" t="s">
        <v>692</v>
      </c>
      <c r="AI367" s="113" t="s">
        <v>692</v>
      </c>
      <c r="AK367" s="237"/>
      <c r="AL367" s="237"/>
    </row>
    <row r="368" spans="2:38" ht="18.75" x14ac:dyDescent="0.3">
      <c r="B368" s="128" t="s">
        <v>1494</v>
      </c>
      <c r="C368" s="187" t="s">
        <v>614</v>
      </c>
      <c r="D368" s="187">
        <v>39899</v>
      </c>
      <c r="E368" s="208" t="s">
        <v>615</v>
      </c>
      <c r="F368" s="104" t="s">
        <v>618</v>
      </c>
      <c r="G368" s="101" t="s">
        <v>1271</v>
      </c>
      <c r="H368" s="101" t="s">
        <v>1495</v>
      </c>
      <c r="I368" s="101">
        <v>4506.8999999999996</v>
      </c>
      <c r="J368" s="101"/>
      <c r="K368" s="101"/>
      <c r="L368" s="101"/>
      <c r="M368" s="101"/>
      <c r="N368" s="101"/>
      <c r="O368" s="101"/>
      <c r="P368" s="101"/>
      <c r="Q368" s="101"/>
      <c r="R368" s="101"/>
      <c r="S368" s="101"/>
      <c r="T368" s="101"/>
      <c r="U368" s="101"/>
      <c r="V368" s="105"/>
      <c r="X368" s="112" t="s">
        <v>692</v>
      </c>
      <c r="Y368" s="44" t="s">
        <v>692</v>
      </c>
      <c r="Z368" s="44" t="s">
        <v>692</v>
      </c>
      <c r="AA368" s="44" t="s">
        <v>692</v>
      </c>
      <c r="AB368" s="44" t="s">
        <v>692</v>
      </c>
      <c r="AC368" s="44" t="s">
        <v>692</v>
      </c>
      <c r="AD368" s="44" t="s">
        <v>692</v>
      </c>
      <c r="AE368" s="44" t="s">
        <v>692</v>
      </c>
      <c r="AF368" s="44" t="s">
        <v>692</v>
      </c>
      <c r="AG368" s="44" t="s">
        <v>692</v>
      </c>
      <c r="AH368" s="44" t="s">
        <v>692</v>
      </c>
      <c r="AI368" s="113" t="s">
        <v>692</v>
      </c>
      <c r="AK368" s="237"/>
      <c r="AL368" s="237"/>
    </row>
    <row r="369" spans="2:38" ht="18.75" x14ac:dyDescent="0.3">
      <c r="B369" s="128" t="s">
        <v>402</v>
      </c>
      <c r="C369" s="187" t="s">
        <v>614</v>
      </c>
      <c r="D369" s="187">
        <v>39881</v>
      </c>
      <c r="E369" s="208" t="s">
        <v>615</v>
      </c>
      <c r="F369" s="104" t="s">
        <v>618</v>
      </c>
      <c r="G369" s="101" t="s">
        <v>619</v>
      </c>
      <c r="H369" s="101"/>
      <c r="I369" s="101">
        <v>87190</v>
      </c>
      <c r="J369" s="101"/>
      <c r="K369" s="101"/>
      <c r="L369" s="101"/>
      <c r="M369" s="101"/>
      <c r="N369" s="101"/>
      <c r="O369" s="101"/>
      <c r="P369" s="101"/>
      <c r="Q369" s="101"/>
      <c r="R369" s="101"/>
      <c r="S369" s="101"/>
      <c r="T369" s="101"/>
      <c r="U369" s="101"/>
      <c r="V369" s="105"/>
      <c r="X369" s="112" t="s">
        <v>692</v>
      </c>
      <c r="Y369" s="44" t="s">
        <v>692</v>
      </c>
      <c r="Z369" s="44" t="s">
        <v>692</v>
      </c>
      <c r="AA369" s="44" t="s">
        <v>692</v>
      </c>
      <c r="AB369" s="44" t="s">
        <v>692</v>
      </c>
      <c r="AC369" s="44" t="s">
        <v>692</v>
      </c>
      <c r="AD369" s="44" t="s">
        <v>692</v>
      </c>
      <c r="AE369" s="44" t="s">
        <v>692</v>
      </c>
      <c r="AF369" s="44" t="s">
        <v>692</v>
      </c>
      <c r="AG369" s="44" t="s">
        <v>692</v>
      </c>
      <c r="AH369" s="44" t="s">
        <v>692</v>
      </c>
      <c r="AI369" s="113" t="s">
        <v>692</v>
      </c>
      <c r="AK369" s="237"/>
      <c r="AL369" s="237"/>
    </row>
    <row r="370" spans="2:38" ht="18.75" x14ac:dyDescent="0.3">
      <c r="B370" s="128" t="s">
        <v>403</v>
      </c>
      <c r="C370" s="187" t="s">
        <v>614</v>
      </c>
      <c r="D370" s="187">
        <v>39882</v>
      </c>
      <c r="E370" s="208" t="s">
        <v>615</v>
      </c>
      <c r="F370" s="104" t="s">
        <v>618</v>
      </c>
      <c r="G370" s="101" t="s">
        <v>620</v>
      </c>
      <c r="H370" s="101"/>
      <c r="I370" s="101">
        <v>78697</v>
      </c>
      <c r="J370" s="101"/>
      <c r="K370" s="101"/>
      <c r="L370" s="101"/>
      <c r="M370" s="101"/>
      <c r="N370" s="101"/>
      <c r="O370" s="101"/>
      <c r="P370" s="101"/>
      <c r="Q370" s="101"/>
      <c r="R370" s="101"/>
      <c r="S370" s="101"/>
      <c r="T370" s="101"/>
      <c r="U370" s="101"/>
      <c r="V370" s="105"/>
      <c r="X370" s="112" t="s">
        <v>692</v>
      </c>
      <c r="Y370" s="44" t="s">
        <v>692</v>
      </c>
      <c r="Z370" s="44" t="s">
        <v>692</v>
      </c>
      <c r="AA370" s="44" t="s">
        <v>692</v>
      </c>
      <c r="AB370" s="44" t="s">
        <v>692</v>
      </c>
      <c r="AC370" s="44" t="s">
        <v>692</v>
      </c>
      <c r="AD370" s="44" t="s">
        <v>692</v>
      </c>
      <c r="AE370" s="44" t="s">
        <v>692</v>
      </c>
      <c r="AF370" s="44" t="s">
        <v>692</v>
      </c>
      <c r="AG370" s="44" t="s">
        <v>692</v>
      </c>
      <c r="AH370" s="44" t="s">
        <v>692</v>
      </c>
      <c r="AI370" s="113" t="s">
        <v>692</v>
      </c>
      <c r="AK370" s="237"/>
      <c r="AL370" s="237"/>
    </row>
    <row r="371" spans="2:38" ht="18.75" x14ac:dyDescent="0.3">
      <c r="B371" s="128" t="s">
        <v>404</v>
      </c>
      <c r="C371" s="187" t="s">
        <v>614</v>
      </c>
      <c r="D371" s="187">
        <v>39065</v>
      </c>
      <c r="E371" s="208" t="s">
        <v>615</v>
      </c>
      <c r="F371" s="104" t="s">
        <v>618</v>
      </c>
      <c r="G371" s="101" t="s">
        <v>1268</v>
      </c>
      <c r="H371" s="101"/>
      <c r="I371" s="101">
        <v>27860</v>
      </c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5"/>
      <c r="X371" s="112" t="s">
        <v>692</v>
      </c>
      <c r="Y371" s="44" t="s">
        <v>692</v>
      </c>
      <c r="Z371" s="44" t="s">
        <v>692</v>
      </c>
      <c r="AA371" s="44" t="s">
        <v>692</v>
      </c>
      <c r="AB371" s="44" t="s">
        <v>692</v>
      </c>
      <c r="AC371" s="44" t="s">
        <v>692</v>
      </c>
      <c r="AD371" s="44" t="s">
        <v>692</v>
      </c>
      <c r="AE371" s="44" t="s">
        <v>692</v>
      </c>
      <c r="AF371" s="44" t="s">
        <v>692</v>
      </c>
      <c r="AG371" s="44" t="s">
        <v>692</v>
      </c>
      <c r="AH371" s="44" t="s">
        <v>692</v>
      </c>
      <c r="AI371" s="113" t="s">
        <v>692</v>
      </c>
      <c r="AK371" s="237"/>
      <c r="AL371" s="237"/>
    </row>
    <row r="372" spans="2:38" ht="18.75" x14ac:dyDescent="0.3">
      <c r="B372" s="128" t="s">
        <v>410</v>
      </c>
      <c r="C372" s="187" t="s">
        <v>614</v>
      </c>
      <c r="D372" s="187">
        <v>39838</v>
      </c>
      <c r="E372" s="208" t="s">
        <v>1395</v>
      </c>
      <c r="F372" s="104" t="s">
        <v>618</v>
      </c>
      <c r="G372" s="101" t="s">
        <v>1269</v>
      </c>
      <c r="H372" s="101" t="s">
        <v>1582</v>
      </c>
      <c r="I372" s="101"/>
      <c r="J372" s="101"/>
      <c r="K372" s="101"/>
      <c r="L372" s="101"/>
      <c r="M372" s="101"/>
      <c r="N372" s="101"/>
      <c r="O372" s="101"/>
      <c r="P372" s="101"/>
      <c r="Q372" s="101"/>
      <c r="R372" s="101"/>
      <c r="S372" s="101"/>
      <c r="T372" s="101"/>
      <c r="U372" s="101"/>
      <c r="V372" s="105"/>
      <c r="X372" s="112" t="s">
        <v>692</v>
      </c>
      <c r="Y372" s="44" t="s">
        <v>692</v>
      </c>
      <c r="Z372" s="44" t="s">
        <v>692</v>
      </c>
      <c r="AA372" s="44" t="s">
        <v>692</v>
      </c>
      <c r="AB372" s="44" t="s">
        <v>692</v>
      </c>
      <c r="AC372" s="44" t="s">
        <v>692</v>
      </c>
      <c r="AD372" s="44" t="s">
        <v>692</v>
      </c>
      <c r="AE372" s="44" t="s">
        <v>692</v>
      </c>
      <c r="AF372" s="44" t="s">
        <v>692</v>
      </c>
      <c r="AG372" s="44" t="s">
        <v>692</v>
      </c>
      <c r="AH372" s="44" t="s">
        <v>692</v>
      </c>
      <c r="AI372" s="113" t="s">
        <v>692</v>
      </c>
      <c r="AK372" s="237"/>
      <c r="AL372" s="237"/>
    </row>
    <row r="373" spans="2:38" ht="18.75" x14ac:dyDescent="0.3">
      <c r="B373" s="128" t="s">
        <v>410</v>
      </c>
      <c r="C373" s="187" t="s">
        <v>614</v>
      </c>
      <c r="D373" s="187">
        <v>39861</v>
      </c>
      <c r="E373" s="208" t="s">
        <v>615</v>
      </c>
      <c r="F373" s="104" t="s">
        <v>618</v>
      </c>
      <c r="G373" s="101" t="s">
        <v>1269</v>
      </c>
      <c r="H373" s="101" t="s">
        <v>1674</v>
      </c>
      <c r="I373" s="101">
        <v>6361.7</v>
      </c>
      <c r="J373" s="101"/>
      <c r="K373" s="101"/>
      <c r="L373" s="101"/>
      <c r="M373" s="101"/>
      <c r="N373" s="101"/>
      <c r="O373" s="101"/>
      <c r="P373" s="101"/>
      <c r="Q373" s="101"/>
      <c r="R373" s="101"/>
      <c r="S373" s="101"/>
      <c r="T373" s="101"/>
      <c r="U373" s="101"/>
      <c r="V373" s="105"/>
      <c r="X373" s="112" t="s">
        <v>692</v>
      </c>
      <c r="Y373" s="44" t="s">
        <v>692</v>
      </c>
      <c r="Z373" s="44" t="s">
        <v>692</v>
      </c>
      <c r="AA373" s="44" t="s">
        <v>692</v>
      </c>
      <c r="AB373" s="44" t="s">
        <v>692</v>
      </c>
      <c r="AC373" s="44" t="s">
        <v>692</v>
      </c>
      <c r="AD373" s="44" t="s">
        <v>692</v>
      </c>
      <c r="AE373" s="44" t="s">
        <v>692</v>
      </c>
      <c r="AF373" s="44" t="s">
        <v>692</v>
      </c>
      <c r="AG373" s="44" t="s">
        <v>692</v>
      </c>
      <c r="AH373" s="44" t="s">
        <v>692</v>
      </c>
      <c r="AI373" s="113" t="s">
        <v>692</v>
      </c>
      <c r="AK373" s="237"/>
      <c r="AL373" s="237"/>
    </row>
    <row r="374" spans="2:38" ht="18.75" x14ac:dyDescent="0.3">
      <c r="B374" s="128" t="s">
        <v>405</v>
      </c>
      <c r="C374" s="187" t="s">
        <v>614</v>
      </c>
      <c r="D374" s="187">
        <v>39658</v>
      </c>
      <c r="E374" s="208" t="s">
        <v>615</v>
      </c>
      <c r="F374" s="104" t="s">
        <v>618</v>
      </c>
      <c r="G374" s="101" t="s">
        <v>1270</v>
      </c>
      <c r="H374" s="101" t="s">
        <v>1321</v>
      </c>
      <c r="I374" s="101">
        <v>40285.300000000003</v>
      </c>
      <c r="J374" s="101"/>
      <c r="K374" s="101"/>
      <c r="L374" s="101"/>
      <c r="M374" s="101"/>
      <c r="N374" s="101"/>
      <c r="O374" s="101"/>
      <c r="P374" s="101"/>
      <c r="Q374" s="101"/>
      <c r="R374" s="101"/>
      <c r="S374" s="101"/>
      <c r="T374" s="101"/>
      <c r="U374" s="101"/>
      <c r="V374" s="105"/>
      <c r="X374" s="112" t="s">
        <v>692</v>
      </c>
      <c r="Y374" s="44" t="s">
        <v>692</v>
      </c>
      <c r="Z374" s="44" t="s">
        <v>692</v>
      </c>
      <c r="AA374" s="44" t="s">
        <v>692</v>
      </c>
      <c r="AB374" s="44" t="s">
        <v>692</v>
      </c>
      <c r="AC374" s="44" t="s">
        <v>692</v>
      </c>
      <c r="AD374" s="44" t="s">
        <v>692</v>
      </c>
      <c r="AE374" s="44" t="s">
        <v>692</v>
      </c>
      <c r="AF374" s="44" t="s">
        <v>692</v>
      </c>
      <c r="AG374" s="44" t="s">
        <v>692</v>
      </c>
      <c r="AH374" s="44" t="s">
        <v>692</v>
      </c>
      <c r="AI374" s="113" t="s">
        <v>692</v>
      </c>
      <c r="AK374" s="237"/>
      <c r="AL374" s="237"/>
    </row>
    <row r="375" spans="2:38" ht="18.75" x14ac:dyDescent="0.3">
      <c r="B375" s="128" t="s">
        <v>405</v>
      </c>
      <c r="C375" s="187" t="s">
        <v>614</v>
      </c>
      <c r="D375" s="187">
        <v>39874</v>
      </c>
      <c r="E375" s="208" t="s">
        <v>622</v>
      </c>
      <c r="F375" s="104" t="s">
        <v>618</v>
      </c>
      <c r="G375" s="101" t="s">
        <v>623</v>
      </c>
      <c r="H375" s="101"/>
      <c r="I375" s="101"/>
      <c r="J375" s="101"/>
      <c r="K375" s="101"/>
      <c r="L375" s="101"/>
      <c r="M375" s="101"/>
      <c r="N375" s="101"/>
      <c r="O375" s="101"/>
      <c r="P375" s="101"/>
      <c r="Q375" s="101"/>
      <c r="R375" s="101"/>
      <c r="S375" s="101"/>
      <c r="T375" s="101"/>
      <c r="U375" s="101"/>
      <c r="V375" s="105"/>
      <c r="X375" s="112" t="s">
        <v>692</v>
      </c>
      <c r="Y375" s="44" t="s">
        <v>692</v>
      </c>
      <c r="Z375" s="44" t="s">
        <v>692</v>
      </c>
      <c r="AA375" s="44" t="s">
        <v>692</v>
      </c>
      <c r="AB375" s="44" t="s">
        <v>692</v>
      </c>
      <c r="AC375" s="44" t="s">
        <v>692</v>
      </c>
      <c r="AD375" s="44" t="s">
        <v>692</v>
      </c>
      <c r="AE375" s="44" t="s">
        <v>692</v>
      </c>
      <c r="AF375" s="44" t="s">
        <v>692</v>
      </c>
      <c r="AG375" s="44" t="s">
        <v>692</v>
      </c>
      <c r="AH375" s="44" t="s">
        <v>692</v>
      </c>
      <c r="AI375" s="113" t="s">
        <v>692</v>
      </c>
      <c r="AK375" s="237"/>
      <c r="AL375" s="237"/>
    </row>
    <row r="376" spans="2:38" ht="18.75" x14ac:dyDescent="0.3">
      <c r="B376" s="128" t="s">
        <v>405</v>
      </c>
      <c r="C376" s="187" t="s">
        <v>614</v>
      </c>
      <c r="D376" s="187">
        <v>39941</v>
      </c>
      <c r="E376" s="208" t="s">
        <v>1071</v>
      </c>
      <c r="F376" s="104" t="s">
        <v>618</v>
      </c>
      <c r="G376" s="101" t="s">
        <v>1270</v>
      </c>
      <c r="H376" s="101" t="s">
        <v>1293</v>
      </c>
      <c r="I376" s="101"/>
      <c r="J376" s="101"/>
      <c r="K376" s="101"/>
      <c r="L376" s="101"/>
      <c r="M376" s="101"/>
      <c r="N376" s="101"/>
      <c r="O376" s="101"/>
      <c r="P376" s="101"/>
      <c r="Q376" s="101"/>
      <c r="R376" s="101"/>
      <c r="S376" s="101"/>
      <c r="T376" s="101"/>
      <c r="U376" s="101"/>
      <c r="V376" s="105"/>
      <c r="X376" s="112" t="s">
        <v>692</v>
      </c>
      <c r="Y376" s="44" t="s">
        <v>692</v>
      </c>
      <c r="Z376" s="44" t="s">
        <v>692</v>
      </c>
      <c r="AA376" s="44" t="s">
        <v>692</v>
      </c>
      <c r="AB376" s="44" t="s">
        <v>692</v>
      </c>
      <c r="AC376" s="44" t="s">
        <v>692</v>
      </c>
      <c r="AD376" s="44" t="s">
        <v>692</v>
      </c>
      <c r="AE376" s="44" t="s">
        <v>692</v>
      </c>
      <c r="AF376" s="44" t="s">
        <v>692</v>
      </c>
      <c r="AG376" s="44" t="s">
        <v>692</v>
      </c>
      <c r="AH376" s="44" t="s">
        <v>692</v>
      </c>
      <c r="AI376" s="113" t="s">
        <v>692</v>
      </c>
      <c r="AK376" s="237"/>
      <c r="AL376" s="237"/>
    </row>
    <row r="377" spans="2:38" ht="18.75" x14ac:dyDescent="0.3">
      <c r="B377" s="128" t="s">
        <v>409</v>
      </c>
      <c r="C377" s="187" t="s">
        <v>614</v>
      </c>
      <c r="D377" s="187">
        <v>39870</v>
      </c>
      <c r="E377" s="208" t="s">
        <v>1632</v>
      </c>
      <c r="F377" s="104" t="s">
        <v>1635</v>
      </c>
      <c r="G377" s="101" t="s">
        <v>1634</v>
      </c>
      <c r="H377" s="101" t="s">
        <v>1695</v>
      </c>
      <c r="I377" s="101">
        <v>536</v>
      </c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5"/>
      <c r="X377" s="112" t="s">
        <v>692</v>
      </c>
      <c r="Y377" s="44" t="s">
        <v>692</v>
      </c>
      <c r="Z377" s="44" t="s">
        <v>692</v>
      </c>
      <c r="AA377" s="44" t="s">
        <v>692</v>
      </c>
      <c r="AB377" s="44" t="s">
        <v>692</v>
      </c>
      <c r="AC377" s="44" t="s">
        <v>692</v>
      </c>
      <c r="AD377" s="44" t="s">
        <v>692</v>
      </c>
      <c r="AE377" s="44" t="s">
        <v>692</v>
      </c>
      <c r="AF377" s="44" t="s">
        <v>692</v>
      </c>
      <c r="AG377" s="44" t="s">
        <v>692</v>
      </c>
      <c r="AH377" s="44" t="s">
        <v>692</v>
      </c>
      <c r="AI377" s="113" t="s">
        <v>692</v>
      </c>
      <c r="AK377" s="237"/>
      <c r="AL377" s="237"/>
    </row>
    <row r="378" spans="2:38" ht="18.75" x14ac:dyDescent="0.3">
      <c r="B378" s="128" t="s">
        <v>409</v>
      </c>
      <c r="C378" s="187" t="s">
        <v>614</v>
      </c>
      <c r="D378" s="187">
        <v>39899</v>
      </c>
      <c r="E378" s="208" t="s">
        <v>615</v>
      </c>
      <c r="F378" s="104" t="s">
        <v>618</v>
      </c>
      <c r="G378" s="101" t="s">
        <v>1271</v>
      </c>
      <c r="H378" s="101" t="s">
        <v>1496</v>
      </c>
      <c r="I378" s="101"/>
      <c r="J378" s="101"/>
      <c r="K378" s="101"/>
      <c r="L378" s="101"/>
      <c r="M378" s="101"/>
      <c r="N378" s="101"/>
      <c r="O378" s="101"/>
      <c r="P378" s="101"/>
      <c r="Q378" s="101"/>
      <c r="R378" s="101"/>
      <c r="S378" s="101"/>
      <c r="T378" s="101"/>
      <c r="U378" s="101"/>
      <c r="V378" s="105"/>
      <c r="X378" s="112" t="s">
        <v>692</v>
      </c>
      <c r="Y378" s="44" t="s">
        <v>692</v>
      </c>
      <c r="Z378" s="44" t="s">
        <v>692</v>
      </c>
      <c r="AA378" s="44" t="s">
        <v>692</v>
      </c>
      <c r="AB378" s="44" t="s">
        <v>692</v>
      </c>
      <c r="AC378" s="44" t="s">
        <v>692</v>
      </c>
      <c r="AD378" s="44" t="s">
        <v>692</v>
      </c>
      <c r="AE378" s="44" t="s">
        <v>692</v>
      </c>
      <c r="AF378" s="44" t="s">
        <v>692</v>
      </c>
      <c r="AG378" s="44" t="s">
        <v>692</v>
      </c>
      <c r="AH378" s="44" t="s">
        <v>692</v>
      </c>
      <c r="AI378" s="113" t="s">
        <v>692</v>
      </c>
      <c r="AK378" s="237"/>
      <c r="AL378" s="237"/>
    </row>
    <row r="379" spans="2:38" ht="18.75" x14ac:dyDescent="0.3">
      <c r="B379" s="128" t="s">
        <v>1340</v>
      </c>
      <c r="C379" s="187" t="s">
        <v>614</v>
      </c>
      <c r="D379" s="187">
        <v>39646</v>
      </c>
      <c r="E379" s="208" t="s">
        <v>1341</v>
      </c>
      <c r="F379" s="104" t="s">
        <v>1343</v>
      </c>
      <c r="G379" s="101" t="s">
        <v>1342</v>
      </c>
      <c r="H379" s="101" t="s">
        <v>1430</v>
      </c>
      <c r="I379" s="101"/>
      <c r="J379" s="101"/>
      <c r="K379" s="101"/>
      <c r="L379" s="101"/>
      <c r="M379" s="101"/>
      <c r="N379" s="101"/>
      <c r="O379" s="101"/>
      <c r="P379" s="101"/>
      <c r="Q379" s="101"/>
      <c r="R379" s="101"/>
      <c r="S379" s="101"/>
      <c r="T379" s="101"/>
      <c r="U379" s="101"/>
      <c r="V379" s="105"/>
      <c r="X379" s="112" t="s">
        <v>692</v>
      </c>
      <c r="Y379" s="44" t="s">
        <v>692</v>
      </c>
      <c r="Z379" s="44" t="s">
        <v>692</v>
      </c>
      <c r="AA379" s="44" t="s">
        <v>692</v>
      </c>
      <c r="AB379" s="44" t="s">
        <v>692</v>
      </c>
      <c r="AC379" s="44" t="s">
        <v>692</v>
      </c>
      <c r="AD379" s="44" t="s">
        <v>692</v>
      </c>
      <c r="AE379" s="44" t="s">
        <v>692</v>
      </c>
      <c r="AF379" s="44" t="s">
        <v>692</v>
      </c>
      <c r="AG379" s="44" t="s">
        <v>692</v>
      </c>
      <c r="AH379" s="44" t="s">
        <v>692</v>
      </c>
      <c r="AI379" s="113" t="s">
        <v>692</v>
      </c>
      <c r="AK379" s="237"/>
      <c r="AL379" s="237"/>
    </row>
    <row r="380" spans="2:38" ht="18.75" x14ac:dyDescent="0.3">
      <c r="B380" s="128" t="s">
        <v>1662</v>
      </c>
      <c r="C380" s="187" t="s">
        <v>614</v>
      </c>
      <c r="D380" s="187">
        <v>39886</v>
      </c>
      <c r="E380" s="208" t="s">
        <v>615</v>
      </c>
      <c r="F380" s="104" t="s">
        <v>1229</v>
      </c>
      <c r="G380" s="101" t="s">
        <v>1230</v>
      </c>
      <c r="H380" s="101" t="s">
        <v>1663</v>
      </c>
      <c r="I380" s="101">
        <v>182.6</v>
      </c>
      <c r="J380" s="101"/>
      <c r="K380" s="101"/>
      <c r="L380" s="101"/>
      <c r="M380" s="101"/>
      <c r="N380" s="101"/>
      <c r="O380" s="101"/>
      <c r="P380" s="101"/>
      <c r="Q380" s="101"/>
      <c r="R380" s="101"/>
      <c r="S380" s="101"/>
      <c r="T380" s="101"/>
      <c r="U380" s="101"/>
      <c r="V380" s="105"/>
      <c r="X380" s="112" t="s">
        <v>692</v>
      </c>
      <c r="Y380" s="44" t="s">
        <v>692</v>
      </c>
      <c r="Z380" s="44" t="s">
        <v>692</v>
      </c>
      <c r="AA380" s="44" t="s">
        <v>692</v>
      </c>
      <c r="AB380" s="44" t="s">
        <v>692</v>
      </c>
      <c r="AC380" s="44" t="s">
        <v>692</v>
      </c>
      <c r="AD380" s="44" t="s">
        <v>692</v>
      </c>
      <c r="AE380" s="44" t="s">
        <v>692</v>
      </c>
      <c r="AF380" s="44" t="s">
        <v>692</v>
      </c>
      <c r="AG380" s="44" t="s">
        <v>692</v>
      </c>
      <c r="AH380" s="44" t="s">
        <v>692</v>
      </c>
      <c r="AI380" s="113" t="s">
        <v>692</v>
      </c>
      <c r="AK380" s="237"/>
      <c r="AL380" s="237"/>
    </row>
    <row r="381" spans="2:38" ht="18.75" x14ac:dyDescent="0.3">
      <c r="B381" s="128">
        <v>17070</v>
      </c>
      <c r="C381" s="187" t="s">
        <v>632</v>
      </c>
      <c r="D381" s="187">
        <v>39873</v>
      </c>
      <c r="E381" s="208" t="s">
        <v>1273</v>
      </c>
      <c r="F381" s="104" t="s">
        <v>634</v>
      </c>
      <c r="G381" s="101" t="s">
        <v>635</v>
      </c>
      <c r="H381" s="101" t="s">
        <v>850</v>
      </c>
      <c r="I381" s="101">
        <v>17465</v>
      </c>
      <c r="J381" s="101"/>
      <c r="K381" s="101"/>
      <c r="L381" s="101"/>
      <c r="M381" s="101"/>
      <c r="N381" s="101"/>
      <c r="O381" s="101"/>
      <c r="P381" s="101"/>
      <c r="Q381" s="101"/>
      <c r="R381" s="101"/>
      <c r="S381" s="101"/>
      <c r="T381" s="101"/>
      <c r="U381" s="101"/>
      <c r="V381" s="105"/>
      <c r="X381" s="112" t="s">
        <v>692</v>
      </c>
      <c r="Y381" s="44" t="s">
        <v>692</v>
      </c>
      <c r="Z381" s="44" t="s">
        <v>692</v>
      </c>
      <c r="AA381" s="44" t="s">
        <v>692</v>
      </c>
      <c r="AB381" s="44" t="s">
        <v>692</v>
      </c>
      <c r="AC381" s="44" t="s">
        <v>692</v>
      </c>
      <c r="AD381" s="44" t="s">
        <v>692</v>
      </c>
      <c r="AE381" s="44" t="s">
        <v>692</v>
      </c>
      <c r="AF381" s="44" t="s">
        <v>692</v>
      </c>
      <c r="AG381" s="44" t="s">
        <v>692</v>
      </c>
      <c r="AH381" s="44" t="s">
        <v>692</v>
      </c>
      <c r="AI381" s="113" t="s">
        <v>692</v>
      </c>
      <c r="AK381" s="237"/>
      <c r="AL381" s="237"/>
    </row>
    <row r="382" spans="2:38" ht="18.75" x14ac:dyDescent="0.3">
      <c r="B382" s="128">
        <v>17070</v>
      </c>
      <c r="C382" s="187" t="s">
        <v>632</v>
      </c>
      <c r="D382" s="187">
        <v>39873</v>
      </c>
      <c r="E382" s="208" t="s">
        <v>633</v>
      </c>
      <c r="F382" s="104" t="s">
        <v>634</v>
      </c>
      <c r="G382" s="101" t="s">
        <v>635</v>
      </c>
      <c r="H382" s="101" t="s">
        <v>849</v>
      </c>
      <c r="I382" s="101"/>
      <c r="J382" s="101"/>
      <c r="K382" s="101"/>
      <c r="L382" s="101"/>
      <c r="M382" s="101"/>
      <c r="N382" s="101"/>
      <c r="O382" s="101"/>
      <c r="P382" s="101"/>
      <c r="Q382" s="101"/>
      <c r="R382" s="101"/>
      <c r="S382" s="101"/>
      <c r="T382" s="101"/>
      <c r="U382" s="101"/>
      <c r="V382" s="105"/>
      <c r="X382" s="112"/>
      <c r="Y382" s="44" t="s">
        <v>692</v>
      </c>
      <c r="Z382" s="44" t="s">
        <v>692</v>
      </c>
      <c r="AA382" s="44" t="s">
        <v>692</v>
      </c>
      <c r="AB382" s="44" t="s">
        <v>692</v>
      </c>
      <c r="AC382" s="44" t="s">
        <v>692</v>
      </c>
      <c r="AD382" s="44" t="s">
        <v>692</v>
      </c>
      <c r="AE382" s="44" t="s">
        <v>692</v>
      </c>
      <c r="AF382" s="44" t="s">
        <v>692</v>
      </c>
      <c r="AG382" s="44" t="s">
        <v>692</v>
      </c>
      <c r="AH382" s="44" t="s">
        <v>692</v>
      </c>
      <c r="AI382" s="113" t="s">
        <v>692</v>
      </c>
      <c r="AK382" s="237"/>
      <c r="AL382" s="237"/>
    </row>
    <row r="383" spans="2:38" ht="18.75" x14ac:dyDescent="0.3">
      <c r="B383" s="128">
        <v>50564017</v>
      </c>
      <c r="C383" s="187" t="s">
        <v>632</v>
      </c>
      <c r="D383" s="187">
        <v>39878</v>
      </c>
      <c r="E383" s="208" t="s">
        <v>594</v>
      </c>
      <c r="F383" s="104" t="s">
        <v>636</v>
      </c>
      <c r="G383" s="101" t="s">
        <v>637</v>
      </c>
      <c r="H383" s="101"/>
      <c r="I383" s="101">
        <v>277885.59999999998</v>
      </c>
      <c r="J383" s="101"/>
      <c r="K383" s="101"/>
      <c r="L383" s="101"/>
      <c r="M383" s="101"/>
      <c r="N383" s="101"/>
      <c r="O383" s="101"/>
      <c r="P383" s="101"/>
      <c r="Q383" s="101"/>
      <c r="R383" s="101"/>
      <c r="S383" s="101"/>
      <c r="T383" s="101"/>
      <c r="U383" s="101"/>
      <c r="V383" s="105"/>
      <c r="X383" s="112" t="s">
        <v>692</v>
      </c>
      <c r="Y383" s="44" t="s">
        <v>692</v>
      </c>
      <c r="Z383" s="44" t="s">
        <v>692</v>
      </c>
      <c r="AA383" s="44" t="s">
        <v>692</v>
      </c>
      <c r="AB383" s="44" t="s">
        <v>692</v>
      </c>
      <c r="AC383" s="44" t="s">
        <v>692</v>
      </c>
      <c r="AD383" s="44" t="s">
        <v>692</v>
      </c>
      <c r="AE383" s="44" t="s">
        <v>692</v>
      </c>
      <c r="AF383" s="44" t="s">
        <v>692</v>
      </c>
      <c r="AG383" s="44" t="s">
        <v>692</v>
      </c>
      <c r="AH383" s="44" t="s">
        <v>692</v>
      </c>
      <c r="AI383" s="113" t="s">
        <v>692</v>
      </c>
      <c r="AK383" s="237"/>
      <c r="AL383" s="237"/>
    </row>
    <row r="384" spans="2:38" ht="18.75" x14ac:dyDescent="0.3">
      <c r="B384" s="128">
        <v>85006712</v>
      </c>
      <c r="C384" s="187" t="s">
        <v>632</v>
      </c>
      <c r="D384" s="187">
        <v>39809</v>
      </c>
      <c r="E384" s="208" t="s">
        <v>594</v>
      </c>
      <c r="F384" s="104" t="s">
        <v>638</v>
      </c>
      <c r="G384" s="101" t="s">
        <v>1274</v>
      </c>
      <c r="H384" s="101" t="s">
        <v>1646</v>
      </c>
      <c r="I384" s="101"/>
      <c r="J384" s="101"/>
      <c r="K384" s="101"/>
      <c r="L384" s="101"/>
      <c r="M384" s="101"/>
      <c r="N384" s="101"/>
      <c r="O384" s="101"/>
      <c r="P384" s="101"/>
      <c r="Q384" s="101"/>
      <c r="R384" s="101"/>
      <c r="S384" s="101"/>
      <c r="T384" s="101"/>
      <c r="U384" s="101"/>
      <c r="V384" s="105"/>
      <c r="X384" s="112" t="s">
        <v>692</v>
      </c>
      <c r="Y384" s="44" t="s">
        <v>692</v>
      </c>
      <c r="Z384" s="44" t="s">
        <v>692</v>
      </c>
      <c r="AA384" s="44" t="s">
        <v>692</v>
      </c>
      <c r="AB384" s="44" t="s">
        <v>692</v>
      </c>
      <c r="AC384" s="44" t="s">
        <v>692</v>
      </c>
      <c r="AD384" s="44" t="s">
        <v>692</v>
      </c>
      <c r="AE384" s="44" t="s">
        <v>692</v>
      </c>
      <c r="AF384" s="44" t="s">
        <v>692</v>
      </c>
      <c r="AG384" s="44" t="s">
        <v>692</v>
      </c>
      <c r="AH384" s="44" t="s">
        <v>692</v>
      </c>
      <c r="AI384" s="113" t="s">
        <v>692</v>
      </c>
      <c r="AK384" s="237"/>
      <c r="AL384" s="237"/>
    </row>
    <row r="385" spans="2:38" ht="18.75" x14ac:dyDescent="0.3">
      <c r="B385" s="128">
        <v>85006713</v>
      </c>
      <c r="C385" s="187" t="s">
        <v>632</v>
      </c>
      <c r="D385" s="94">
        <v>39810</v>
      </c>
      <c r="E385" s="208" t="s">
        <v>594</v>
      </c>
      <c r="F385" s="104" t="s">
        <v>638</v>
      </c>
      <c r="G385" s="101" t="s">
        <v>1286</v>
      </c>
      <c r="H385" s="101"/>
      <c r="I385" s="101">
        <v>1353408</v>
      </c>
      <c r="J385" s="101"/>
      <c r="K385" s="101"/>
      <c r="L385" s="101"/>
      <c r="M385" s="101"/>
      <c r="N385" s="101"/>
      <c r="O385" s="101"/>
      <c r="P385" s="101"/>
      <c r="Q385" s="101"/>
      <c r="R385" s="101"/>
      <c r="S385" s="101"/>
      <c r="T385" s="101"/>
      <c r="U385" s="101"/>
      <c r="V385" s="105"/>
      <c r="X385" s="112" t="s">
        <v>692</v>
      </c>
      <c r="Y385" s="44" t="s">
        <v>692</v>
      </c>
      <c r="Z385" s="44" t="s">
        <v>692</v>
      </c>
      <c r="AA385" s="44" t="s">
        <v>692</v>
      </c>
      <c r="AB385" s="44" t="s">
        <v>692</v>
      </c>
      <c r="AC385" s="44" t="s">
        <v>692</v>
      </c>
      <c r="AD385" s="44" t="s">
        <v>692</v>
      </c>
      <c r="AE385" s="44" t="s">
        <v>692</v>
      </c>
      <c r="AF385" s="44" t="s">
        <v>692</v>
      </c>
      <c r="AG385" s="44" t="s">
        <v>692</v>
      </c>
      <c r="AH385" s="44" t="s">
        <v>692</v>
      </c>
      <c r="AI385" s="113" t="s">
        <v>692</v>
      </c>
      <c r="AK385" s="237"/>
      <c r="AL385" s="237"/>
    </row>
    <row r="386" spans="2:38" ht="18.75" x14ac:dyDescent="0.3">
      <c r="B386" s="128">
        <v>220167029</v>
      </c>
      <c r="C386" s="187" t="s">
        <v>643</v>
      </c>
      <c r="D386" s="187">
        <v>39865</v>
      </c>
      <c r="E386" s="208" t="s">
        <v>1497</v>
      </c>
      <c r="F386" s="104" t="s">
        <v>1499</v>
      </c>
      <c r="G386" s="101" t="s">
        <v>1498</v>
      </c>
      <c r="H386" s="101" t="s">
        <v>1619</v>
      </c>
      <c r="I386" s="101"/>
      <c r="J386" s="101"/>
      <c r="K386" s="101"/>
      <c r="L386" s="101"/>
      <c r="M386" s="101"/>
      <c r="N386" s="101"/>
      <c r="O386" s="101"/>
      <c r="P386" s="101"/>
      <c r="Q386" s="101"/>
      <c r="R386" s="101"/>
      <c r="S386" s="101"/>
      <c r="T386" s="101"/>
      <c r="U386" s="101"/>
      <c r="V386" s="105"/>
      <c r="X386" s="112" t="s">
        <v>692</v>
      </c>
      <c r="Y386" s="44" t="s">
        <v>692</v>
      </c>
      <c r="Z386" s="44" t="s">
        <v>692</v>
      </c>
      <c r="AA386" s="44" t="s">
        <v>692</v>
      </c>
      <c r="AB386" s="44" t="s">
        <v>692</v>
      </c>
      <c r="AC386" s="44" t="s">
        <v>692</v>
      </c>
      <c r="AD386" s="44" t="s">
        <v>692</v>
      </c>
      <c r="AE386" s="44" t="s">
        <v>692</v>
      </c>
      <c r="AF386" s="44" t="s">
        <v>692</v>
      </c>
      <c r="AG386" s="44" t="s">
        <v>692</v>
      </c>
      <c r="AH386" s="44" t="s">
        <v>692</v>
      </c>
      <c r="AI386" s="113" t="s">
        <v>692</v>
      </c>
      <c r="AK386" s="237"/>
      <c r="AL386" s="237"/>
    </row>
    <row r="387" spans="2:38" ht="18.75" x14ac:dyDescent="0.3">
      <c r="B387" s="128">
        <v>219472272</v>
      </c>
      <c r="C387" s="187" t="s">
        <v>1472</v>
      </c>
      <c r="D387" s="187">
        <v>39857</v>
      </c>
      <c r="E387" s="208" t="s">
        <v>1473</v>
      </c>
      <c r="F387" s="104" t="s">
        <v>1474</v>
      </c>
      <c r="G387" s="101" t="s">
        <v>1474</v>
      </c>
      <c r="H387" s="101" t="s">
        <v>1475</v>
      </c>
      <c r="I387" s="101">
        <v>16554</v>
      </c>
      <c r="J387" s="101"/>
      <c r="K387" s="101"/>
      <c r="L387" s="101"/>
      <c r="M387" s="101"/>
      <c r="N387" s="101"/>
      <c r="O387" s="101"/>
      <c r="P387" s="101"/>
      <c r="Q387" s="101"/>
      <c r="R387" s="101"/>
      <c r="S387" s="101"/>
      <c r="T387" s="101"/>
      <c r="U387" s="101"/>
      <c r="V387" s="105"/>
      <c r="X387" s="112" t="s">
        <v>692</v>
      </c>
      <c r="Y387" s="44" t="s">
        <v>692</v>
      </c>
      <c r="Z387" s="44" t="s">
        <v>692</v>
      </c>
      <c r="AA387" s="44" t="s">
        <v>692</v>
      </c>
      <c r="AB387" s="44" t="s">
        <v>692</v>
      </c>
      <c r="AC387" s="44" t="s">
        <v>692</v>
      </c>
      <c r="AD387" s="44" t="s">
        <v>692</v>
      </c>
      <c r="AE387" s="44" t="s">
        <v>692</v>
      </c>
      <c r="AF387" s="44" t="s">
        <v>692</v>
      </c>
      <c r="AG387" s="44" t="s">
        <v>692</v>
      </c>
      <c r="AH387" s="44" t="s">
        <v>692</v>
      </c>
      <c r="AI387" s="113" t="s">
        <v>692</v>
      </c>
      <c r="AK387" s="237"/>
      <c r="AL387" s="237"/>
    </row>
    <row r="388" spans="2:38" ht="18.75" x14ac:dyDescent="0.3">
      <c r="B388" s="128" t="s">
        <v>1648</v>
      </c>
      <c r="C388" s="187" t="s">
        <v>1472</v>
      </c>
      <c r="D388" s="187">
        <v>39823</v>
      </c>
      <c r="E388" s="208" t="s">
        <v>1632</v>
      </c>
      <c r="F388" s="104" t="s">
        <v>1649</v>
      </c>
      <c r="G388" s="101" t="s">
        <v>1665</v>
      </c>
      <c r="H388" s="101" t="s">
        <v>1692</v>
      </c>
      <c r="I388" s="101">
        <v>145</v>
      </c>
      <c r="J388" s="101"/>
      <c r="K388" s="101"/>
      <c r="L388" s="101"/>
      <c r="M388" s="101"/>
      <c r="N388" s="101"/>
      <c r="O388" s="101"/>
      <c r="P388" s="101"/>
      <c r="Q388" s="101"/>
      <c r="R388" s="101"/>
      <c r="S388" s="101"/>
      <c r="T388" s="101"/>
      <c r="U388" s="101"/>
      <c r="V388" s="105"/>
      <c r="X388" s="112" t="s">
        <v>692</v>
      </c>
      <c r="Y388" s="44" t="s">
        <v>692</v>
      </c>
      <c r="Z388" s="44" t="s">
        <v>692</v>
      </c>
      <c r="AA388" s="44" t="s">
        <v>692</v>
      </c>
      <c r="AB388" s="44" t="s">
        <v>692</v>
      </c>
      <c r="AC388" s="44" t="s">
        <v>692</v>
      </c>
      <c r="AD388" s="44" t="s">
        <v>692</v>
      </c>
      <c r="AE388" s="44" t="s">
        <v>692</v>
      </c>
      <c r="AF388" s="44" t="s">
        <v>692</v>
      </c>
      <c r="AG388" s="44" t="s">
        <v>692</v>
      </c>
      <c r="AH388" s="44" t="s">
        <v>692</v>
      </c>
      <c r="AI388" s="113" t="s">
        <v>692</v>
      </c>
      <c r="AK388" s="237"/>
      <c r="AL388" s="237"/>
    </row>
    <row r="389" spans="2:38" ht="18.75" x14ac:dyDescent="0.3">
      <c r="B389" s="128">
        <v>49521162</v>
      </c>
      <c r="C389" s="187" t="s">
        <v>645</v>
      </c>
      <c r="D389" s="187">
        <v>39864</v>
      </c>
      <c r="E389" s="208" t="s">
        <v>1480</v>
      </c>
      <c r="F389" s="104" t="s">
        <v>1394</v>
      </c>
      <c r="G389" s="101" t="s">
        <v>1380</v>
      </c>
      <c r="H389" s="101" t="s">
        <v>1500</v>
      </c>
      <c r="I389" s="101"/>
      <c r="J389" s="101"/>
      <c r="K389" s="101"/>
      <c r="L389" s="101"/>
      <c r="M389" s="101"/>
      <c r="N389" s="101"/>
      <c r="O389" s="101"/>
      <c r="P389" s="101"/>
      <c r="Q389" s="101"/>
      <c r="R389" s="101"/>
      <c r="S389" s="101"/>
      <c r="T389" s="101"/>
      <c r="U389" s="101"/>
      <c r="V389" s="105"/>
      <c r="X389" s="112" t="s">
        <v>692</v>
      </c>
      <c r="Y389" s="44" t="s">
        <v>692</v>
      </c>
      <c r="Z389" s="44" t="s">
        <v>692</v>
      </c>
      <c r="AA389" s="44" t="s">
        <v>692</v>
      </c>
      <c r="AB389" s="44" t="s">
        <v>692</v>
      </c>
      <c r="AC389" s="44" t="s">
        <v>692</v>
      </c>
      <c r="AD389" s="44" t="s">
        <v>692</v>
      </c>
      <c r="AE389" s="44" t="s">
        <v>692</v>
      </c>
      <c r="AF389" s="44" t="s">
        <v>692</v>
      </c>
      <c r="AG389" s="44" t="s">
        <v>692</v>
      </c>
      <c r="AH389" s="44" t="s">
        <v>692</v>
      </c>
      <c r="AI389" s="113" t="s">
        <v>692</v>
      </c>
      <c r="AK389" s="237"/>
      <c r="AL389" s="237"/>
    </row>
    <row r="390" spans="2:38" ht="18.75" x14ac:dyDescent="0.3">
      <c r="B390" s="128">
        <v>49553886</v>
      </c>
      <c r="C390" s="187" t="s">
        <v>645</v>
      </c>
      <c r="D390" s="187">
        <v>39822</v>
      </c>
      <c r="E390" s="208" t="s">
        <v>1379</v>
      </c>
      <c r="F390" s="104" t="s">
        <v>1394</v>
      </c>
      <c r="G390" s="101" t="s">
        <v>1380</v>
      </c>
      <c r="H390" s="101" t="s">
        <v>1381</v>
      </c>
      <c r="I390" s="101"/>
      <c r="J390" s="101"/>
      <c r="K390" s="101"/>
      <c r="L390" s="101"/>
      <c r="M390" s="101"/>
      <c r="N390" s="101"/>
      <c r="O390" s="101"/>
      <c r="P390" s="101"/>
      <c r="Q390" s="101"/>
      <c r="R390" s="101"/>
      <c r="S390" s="101"/>
      <c r="T390" s="101"/>
      <c r="U390" s="101"/>
      <c r="V390" s="105"/>
      <c r="X390" s="112" t="s">
        <v>692</v>
      </c>
      <c r="Y390" s="44" t="s">
        <v>692</v>
      </c>
      <c r="Z390" s="44" t="s">
        <v>692</v>
      </c>
      <c r="AA390" s="44" t="s">
        <v>692</v>
      </c>
      <c r="AB390" s="44" t="s">
        <v>692</v>
      </c>
      <c r="AC390" s="44" t="s">
        <v>692</v>
      </c>
      <c r="AD390" s="44" t="s">
        <v>692</v>
      </c>
      <c r="AE390" s="44" t="s">
        <v>692</v>
      </c>
      <c r="AF390" s="44" t="s">
        <v>692</v>
      </c>
      <c r="AG390" s="44" t="s">
        <v>692</v>
      </c>
      <c r="AH390" s="44" t="s">
        <v>692</v>
      </c>
      <c r="AI390" s="113" t="s">
        <v>692</v>
      </c>
      <c r="AK390" s="237"/>
      <c r="AL390" s="237"/>
    </row>
    <row r="391" spans="2:38" ht="18.75" x14ac:dyDescent="0.3">
      <c r="B391" s="128">
        <v>49553886</v>
      </c>
      <c r="C391" s="187" t="s">
        <v>645</v>
      </c>
      <c r="D391" s="187">
        <v>39864</v>
      </c>
      <c r="E391" s="208" t="s">
        <v>1480</v>
      </c>
      <c r="F391" s="104" t="s">
        <v>1394</v>
      </c>
      <c r="G391" s="101" t="s">
        <v>1380</v>
      </c>
      <c r="H391" s="101" t="s">
        <v>1492</v>
      </c>
      <c r="I391" s="101"/>
      <c r="J391" s="101"/>
      <c r="K391" s="101"/>
      <c r="L391" s="101"/>
      <c r="M391" s="101"/>
      <c r="N391" s="101"/>
      <c r="O391" s="101"/>
      <c r="P391" s="101"/>
      <c r="Q391" s="101"/>
      <c r="R391" s="101"/>
      <c r="S391" s="101"/>
      <c r="T391" s="101"/>
      <c r="U391" s="101"/>
      <c r="V391" s="105"/>
      <c r="X391" s="112" t="s">
        <v>692</v>
      </c>
      <c r="Y391" s="44" t="s">
        <v>692</v>
      </c>
      <c r="Z391" s="44" t="s">
        <v>692</v>
      </c>
      <c r="AA391" s="44" t="s">
        <v>692</v>
      </c>
      <c r="AB391" s="44" t="s">
        <v>692</v>
      </c>
      <c r="AC391" s="44" t="s">
        <v>692</v>
      </c>
      <c r="AD391" s="44" t="s">
        <v>692</v>
      </c>
      <c r="AE391" s="44" t="s">
        <v>692</v>
      </c>
      <c r="AF391" s="44" t="s">
        <v>692</v>
      </c>
      <c r="AG391" s="44" t="s">
        <v>692</v>
      </c>
      <c r="AH391" s="44" t="s">
        <v>692</v>
      </c>
      <c r="AI391" s="113" t="s">
        <v>692</v>
      </c>
      <c r="AK391" s="237"/>
      <c r="AL391" s="237"/>
    </row>
    <row r="392" spans="2:38" ht="18.75" x14ac:dyDescent="0.3">
      <c r="B392" s="128">
        <v>502100616</v>
      </c>
      <c r="C392" s="187" t="s">
        <v>645</v>
      </c>
      <c r="D392" s="187">
        <v>39850</v>
      </c>
      <c r="E392" s="208" t="s">
        <v>1480</v>
      </c>
      <c r="F392" s="104" t="s">
        <v>1569</v>
      </c>
      <c r="G392" s="101"/>
      <c r="H392" s="101" t="s">
        <v>1647</v>
      </c>
      <c r="I392" s="101"/>
      <c r="J392" s="101"/>
      <c r="K392" s="101"/>
      <c r="L392" s="101"/>
      <c r="M392" s="101"/>
      <c r="N392" s="101"/>
      <c r="O392" s="101"/>
      <c r="P392" s="101"/>
      <c r="Q392" s="101"/>
      <c r="R392" s="101"/>
      <c r="S392" s="101"/>
      <c r="T392" s="101"/>
      <c r="U392" s="101"/>
      <c r="V392" s="105"/>
      <c r="X392" s="112" t="s">
        <v>692</v>
      </c>
      <c r="Y392" s="44" t="s">
        <v>692</v>
      </c>
      <c r="Z392" s="44" t="s">
        <v>692</v>
      </c>
      <c r="AA392" s="44" t="s">
        <v>692</v>
      </c>
      <c r="AB392" s="44" t="s">
        <v>692</v>
      </c>
      <c r="AC392" s="44" t="s">
        <v>692</v>
      </c>
      <c r="AD392" s="44" t="s">
        <v>692</v>
      </c>
      <c r="AE392" s="44" t="s">
        <v>692</v>
      </c>
      <c r="AF392" s="44" t="s">
        <v>692</v>
      </c>
      <c r="AG392" s="44" t="s">
        <v>692</v>
      </c>
      <c r="AH392" s="44" t="s">
        <v>692</v>
      </c>
      <c r="AI392" s="113" t="s">
        <v>692</v>
      </c>
      <c r="AK392" s="237"/>
      <c r="AL392" s="237"/>
    </row>
    <row r="393" spans="2:38" ht="18.75" x14ac:dyDescent="0.3">
      <c r="B393" s="128">
        <v>502100621</v>
      </c>
      <c r="C393" s="187" t="s">
        <v>645</v>
      </c>
      <c r="D393" s="187">
        <v>39863</v>
      </c>
      <c r="E393" s="208" t="s">
        <v>1379</v>
      </c>
      <c r="F393" s="104" t="s">
        <v>1569</v>
      </c>
      <c r="G393" s="101" t="s">
        <v>1644</v>
      </c>
      <c r="H393" s="101" t="s">
        <v>1580</v>
      </c>
      <c r="I393" s="101"/>
      <c r="J393" s="101"/>
      <c r="K393" s="101"/>
      <c r="L393" s="101"/>
      <c r="M393" s="101"/>
      <c r="N393" s="101"/>
      <c r="O393" s="101"/>
      <c r="P393" s="101"/>
      <c r="Q393" s="101"/>
      <c r="R393" s="101"/>
      <c r="S393" s="101"/>
      <c r="T393" s="101"/>
      <c r="U393" s="101"/>
      <c r="V393" s="105"/>
      <c r="X393" s="112" t="s">
        <v>692</v>
      </c>
      <c r="Y393" s="44" t="s">
        <v>692</v>
      </c>
      <c r="Z393" s="44" t="s">
        <v>692</v>
      </c>
      <c r="AA393" s="44" t="s">
        <v>692</v>
      </c>
      <c r="AB393" s="44" t="s">
        <v>692</v>
      </c>
      <c r="AC393" s="44" t="s">
        <v>692</v>
      </c>
      <c r="AD393" s="44" t="s">
        <v>692</v>
      </c>
      <c r="AE393" s="44" t="s">
        <v>692</v>
      </c>
      <c r="AF393" s="44" t="s">
        <v>692</v>
      </c>
      <c r="AG393" s="44" t="s">
        <v>692</v>
      </c>
      <c r="AH393" s="44" t="s">
        <v>692</v>
      </c>
      <c r="AI393" s="113" t="s">
        <v>692</v>
      </c>
      <c r="AK393" s="237"/>
      <c r="AL393" s="237"/>
    </row>
    <row r="394" spans="2:38" ht="18.75" x14ac:dyDescent="0.3">
      <c r="B394" s="128">
        <v>502100624</v>
      </c>
      <c r="C394" s="187" t="s">
        <v>645</v>
      </c>
      <c r="D394" s="187">
        <v>39814</v>
      </c>
      <c r="E394" s="208" t="s">
        <v>1578</v>
      </c>
      <c r="F394" s="104" t="s">
        <v>1569</v>
      </c>
      <c r="G394" s="101" t="s">
        <v>1643</v>
      </c>
      <c r="H394" s="101" t="s">
        <v>1579</v>
      </c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5"/>
      <c r="X394" s="112" t="s">
        <v>692</v>
      </c>
      <c r="Y394" s="44" t="s">
        <v>692</v>
      </c>
      <c r="Z394" s="44" t="s">
        <v>692</v>
      </c>
      <c r="AA394" s="44" t="s">
        <v>692</v>
      </c>
      <c r="AB394" s="44" t="s">
        <v>692</v>
      </c>
      <c r="AC394" s="44" t="s">
        <v>692</v>
      </c>
      <c r="AD394" s="44" t="s">
        <v>692</v>
      </c>
      <c r="AE394" s="44" t="s">
        <v>692</v>
      </c>
      <c r="AF394" s="44" t="s">
        <v>692</v>
      </c>
      <c r="AG394" s="44" t="s">
        <v>692</v>
      </c>
      <c r="AH394" s="44" t="s">
        <v>692</v>
      </c>
      <c r="AI394" s="113" t="s">
        <v>692</v>
      </c>
      <c r="AK394" s="237"/>
      <c r="AL394" s="237"/>
    </row>
    <row r="395" spans="2:38" ht="18.75" x14ac:dyDescent="0.3">
      <c r="B395" s="128" t="s">
        <v>1493</v>
      </c>
      <c r="C395" s="187" t="s">
        <v>645</v>
      </c>
      <c r="D395" s="187">
        <v>39864</v>
      </c>
      <c r="E395" s="208" t="s">
        <v>1480</v>
      </c>
      <c r="F395" s="104" t="s">
        <v>1394</v>
      </c>
      <c r="G395" s="101" t="s">
        <v>1380</v>
      </c>
      <c r="H395" s="101" t="s">
        <v>1501</v>
      </c>
      <c r="I395" s="101"/>
      <c r="J395" s="101"/>
      <c r="K395" s="101"/>
      <c r="L395" s="101"/>
      <c r="M395" s="101"/>
      <c r="N395" s="101"/>
      <c r="O395" s="101"/>
      <c r="P395" s="101"/>
      <c r="Q395" s="101"/>
      <c r="R395" s="101"/>
      <c r="S395" s="101"/>
      <c r="T395" s="101"/>
      <c r="U395" s="101"/>
      <c r="V395" s="105"/>
      <c r="X395" s="112" t="s">
        <v>692</v>
      </c>
      <c r="Y395" s="44" t="s">
        <v>692</v>
      </c>
      <c r="Z395" s="44" t="s">
        <v>692</v>
      </c>
      <c r="AA395" s="44" t="s">
        <v>692</v>
      </c>
      <c r="AB395" s="44" t="s">
        <v>692</v>
      </c>
      <c r="AC395" s="44" t="s">
        <v>692</v>
      </c>
      <c r="AD395" s="44" t="s">
        <v>692</v>
      </c>
      <c r="AE395" s="44" t="s">
        <v>692</v>
      </c>
      <c r="AF395" s="44" t="s">
        <v>692</v>
      </c>
      <c r="AG395" s="44" t="s">
        <v>692</v>
      </c>
      <c r="AH395" s="44" t="s">
        <v>692</v>
      </c>
      <c r="AI395" s="113" t="s">
        <v>692</v>
      </c>
      <c r="AK395" s="237"/>
      <c r="AL395" s="237"/>
    </row>
    <row r="396" spans="2:38" ht="18.75" x14ac:dyDescent="0.3">
      <c r="B396" s="128" t="s">
        <v>1572</v>
      </c>
      <c r="C396" s="187" t="s">
        <v>645</v>
      </c>
      <c r="D396" s="187">
        <v>39871</v>
      </c>
      <c r="E396" s="208" t="s">
        <v>594</v>
      </c>
      <c r="F396" s="104" t="s">
        <v>1569</v>
      </c>
      <c r="G396" s="101" t="s">
        <v>1573</v>
      </c>
      <c r="H396" s="101" t="s">
        <v>1574</v>
      </c>
      <c r="I396" s="101">
        <v>124126</v>
      </c>
      <c r="J396" s="101"/>
      <c r="K396" s="101"/>
      <c r="L396" s="101"/>
      <c r="M396" s="101"/>
      <c r="N396" s="101"/>
      <c r="O396" s="101"/>
      <c r="P396" s="101"/>
      <c r="Q396" s="101"/>
      <c r="R396" s="101"/>
      <c r="S396" s="101"/>
      <c r="T396" s="101"/>
      <c r="U396" s="101"/>
      <c r="V396" s="105"/>
      <c r="X396" s="112" t="s">
        <v>692</v>
      </c>
      <c r="Y396" s="44" t="s">
        <v>692</v>
      </c>
      <c r="Z396" s="44" t="s">
        <v>692</v>
      </c>
      <c r="AA396" s="44" t="s">
        <v>692</v>
      </c>
      <c r="AB396" s="44" t="s">
        <v>692</v>
      </c>
      <c r="AC396" s="44" t="s">
        <v>692</v>
      </c>
      <c r="AD396" s="44" t="s">
        <v>692</v>
      </c>
      <c r="AE396" s="44" t="s">
        <v>692</v>
      </c>
      <c r="AF396" s="44" t="s">
        <v>692</v>
      </c>
      <c r="AG396" s="44" t="s">
        <v>692</v>
      </c>
      <c r="AH396" s="44" t="s">
        <v>692</v>
      </c>
      <c r="AI396" s="113" t="s">
        <v>692</v>
      </c>
      <c r="AK396" s="237"/>
      <c r="AL396" s="237"/>
    </row>
    <row r="397" spans="2:38" ht="18.75" x14ac:dyDescent="0.3">
      <c r="B397" s="128" t="s">
        <v>1575</v>
      </c>
      <c r="C397" s="187" t="s">
        <v>645</v>
      </c>
      <c r="D397" s="187">
        <v>39872</v>
      </c>
      <c r="E397" s="208" t="s">
        <v>594</v>
      </c>
      <c r="F397" s="104" t="s">
        <v>1569</v>
      </c>
      <c r="G397" s="101" t="s">
        <v>1576</v>
      </c>
      <c r="H397" s="101" t="s">
        <v>1577</v>
      </c>
      <c r="I397" s="101">
        <v>100804</v>
      </c>
      <c r="J397" s="101"/>
      <c r="K397" s="101"/>
      <c r="L397" s="101"/>
      <c r="M397" s="101"/>
      <c r="N397" s="101"/>
      <c r="O397" s="101"/>
      <c r="P397" s="101"/>
      <c r="Q397" s="101"/>
      <c r="R397" s="101"/>
      <c r="S397" s="101"/>
      <c r="T397" s="101"/>
      <c r="U397" s="101"/>
      <c r="V397" s="105"/>
      <c r="X397" s="112" t="s">
        <v>692</v>
      </c>
      <c r="Y397" s="44" t="s">
        <v>692</v>
      </c>
      <c r="Z397" s="44" t="s">
        <v>692</v>
      </c>
      <c r="AA397" s="44" t="s">
        <v>692</v>
      </c>
      <c r="AB397" s="44" t="s">
        <v>692</v>
      </c>
      <c r="AC397" s="44" t="s">
        <v>692</v>
      </c>
      <c r="AD397" s="44" t="s">
        <v>692</v>
      </c>
      <c r="AE397" s="44" t="s">
        <v>692</v>
      </c>
      <c r="AF397" s="44" t="s">
        <v>692</v>
      </c>
      <c r="AG397" s="44" t="s">
        <v>692</v>
      </c>
      <c r="AH397" s="44" t="s">
        <v>692</v>
      </c>
      <c r="AI397" s="113" t="s">
        <v>692</v>
      </c>
      <c r="AK397" s="237"/>
      <c r="AL397" s="237"/>
    </row>
    <row r="398" spans="2:38" ht="18.75" x14ac:dyDescent="0.3">
      <c r="B398" s="128" t="s">
        <v>1568</v>
      </c>
      <c r="C398" s="187" t="s">
        <v>645</v>
      </c>
      <c r="D398" s="187">
        <v>39803</v>
      </c>
      <c r="E398" s="208" t="s">
        <v>594</v>
      </c>
      <c r="F398" s="104" t="s">
        <v>1569</v>
      </c>
      <c r="G398" s="101" t="s">
        <v>1570</v>
      </c>
      <c r="H398" s="101" t="s">
        <v>1571</v>
      </c>
      <c r="I398" s="101">
        <v>275943</v>
      </c>
      <c r="J398" s="101"/>
      <c r="K398" s="101"/>
      <c r="L398" s="101"/>
      <c r="M398" s="101"/>
      <c r="N398" s="101"/>
      <c r="O398" s="101"/>
      <c r="P398" s="101"/>
      <c r="Q398" s="101"/>
      <c r="R398" s="101"/>
      <c r="S398" s="101"/>
      <c r="T398" s="101"/>
      <c r="U398" s="101"/>
      <c r="V398" s="105"/>
      <c r="X398" s="112" t="s">
        <v>692</v>
      </c>
      <c r="Y398" s="44" t="s">
        <v>692</v>
      </c>
      <c r="Z398" s="44" t="s">
        <v>692</v>
      </c>
      <c r="AA398" s="44" t="s">
        <v>692</v>
      </c>
      <c r="AB398" s="44" t="s">
        <v>692</v>
      </c>
      <c r="AC398" s="44" t="s">
        <v>692</v>
      </c>
      <c r="AD398" s="44" t="s">
        <v>692</v>
      </c>
      <c r="AE398" s="44" t="s">
        <v>692</v>
      </c>
      <c r="AF398" s="44" t="s">
        <v>692</v>
      </c>
      <c r="AG398" s="44" t="s">
        <v>692</v>
      </c>
      <c r="AH398" s="44" t="s">
        <v>692</v>
      </c>
      <c r="AI398" s="113" t="s">
        <v>692</v>
      </c>
      <c r="AK398" s="237"/>
      <c r="AL398" s="237"/>
    </row>
    <row r="399" spans="2:38" ht="18.75" x14ac:dyDescent="0.3">
      <c r="B399" s="128"/>
      <c r="C399" s="187"/>
      <c r="D399" s="187"/>
      <c r="E399" s="208"/>
      <c r="F399" s="104"/>
      <c r="G399" s="101"/>
      <c r="H399" s="101"/>
      <c r="I399" s="101"/>
      <c r="J399" s="101"/>
      <c r="K399" s="101"/>
      <c r="L399" s="101"/>
      <c r="M399" s="101"/>
      <c r="N399" s="101"/>
      <c r="O399" s="101"/>
      <c r="P399" s="101"/>
      <c r="Q399" s="101"/>
      <c r="R399" s="101"/>
      <c r="S399" s="101"/>
      <c r="T399" s="101"/>
      <c r="U399" s="101"/>
      <c r="V399" s="105"/>
      <c r="X399" s="112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113"/>
      <c r="AK399" s="237"/>
      <c r="AL399" s="237"/>
    </row>
    <row r="400" spans="2:38" ht="18.75" x14ac:dyDescent="0.3">
      <c r="B400" s="128"/>
      <c r="C400" s="187"/>
      <c r="D400" s="187"/>
      <c r="E400" s="208"/>
      <c r="F400" s="104"/>
      <c r="G400" s="101"/>
      <c r="H400" s="101"/>
      <c r="I400" s="101"/>
      <c r="J400" s="101"/>
      <c r="K400" s="101"/>
      <c r="L400" s="101"/>
      <c r="M400" s="101"/>
      <c r="N400" s="101"/>
      <c r="O400" s="101"/>
      <c r="P400" s="101"/>
      <c r="Q400" s="101"/>
      <c r="R400" s="101"/>
      <c r="S400" s="101"/>
      <c r="T400" s="101"/>
      <c r="U400" s="101"/>
      <c r="V400" s="105"/>
      <c r="X400" s="112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113"/>
      <c r="AK400" s="237"/>
      <c r="AL400" s="237"/>
    </row>
    <row r="401" spans="2:38" ht="18.75" x14ac:dyDescent="0.3">
      <c r="B401" s="128"/>
      <c r="C401" s="187"/>
      <c r="D401" s="187"/>
      <c r="E401" s="208"/>
      <c r="F401" s="104"/>
      <c r="G401" s="101"/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  <c r="V401" s="105"/>
      <c r="X401" s="112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113"/>
      <c r="AK401" s="237"/>
      <c r="AL401" s="237"/>
    </row>
    <row r="402" spans="2:38" ht="18.75" x14ac:dyDescent="0.3">
      <c r="B402" s="128"/>
      <c r="C402" s="187"/>
      <c r="D402" s="187"/>
      <c r="E402" s="208"/>
      <c r="F402" s="104"/>
      <c r="G402" s="101"/>
      <c r="H402" s="101"/>
      <c r="I402" s="101"/>
      <c r="J402" s="101"/>
      <c r="K402" s="101"/>
      <c r="L402" s="101"/>
      <c r="M402" s="101"/>
      <c r="N402" s="101"/>
      <c r="O402" s="101"/>
      <c r="P402" s="101"/>
      <c r="Q402" s="101"/>
      <c r="R402" s="101"/>
      <c r="S402" s="101"/>
      <c r="T402" s="101"/>
      <c r="U402" s="101"/>
      <c r="V402" s="105"/>
      <c r="X402" s="112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113"/>
      <c r="AK402" s="237"/>
      <c r="AL402" s="237"/>
    </row>
    <row r="403" spans="2:38" ht="18.75" x14ac:dyDescent="0.3">
      <c r="B403" s="128"/>
      <c r="C403" s="187"/>
      <c r="D403" s="187"/>
      <c r="E403" s="208"/>
      <c r="F403" s="104"/>
      <c r="G403" s="101"/>
      <c r="H403" s="101"/>
      <c r="I403" s="101"/>
      <c r="J403" s="101"/>
      <c r="K403" s="101"/>
      <c r="L403" s="101"/>
      <c r="M403" s="101"/>
      <c r="N403" s="101"/>
      <c r="O403" s="101"/>
      <c r="P403" s="101"/>
      <c r="Q403" s="101"/>
      <c r="R403" s="101"/>
      <c r="S403" s="101"/>
      <c r="T403" s="101"/>
      <c r="U403" s="101"/>
      <c r="V403" s="105"/>
      <c r="X403" s="112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113"/>
      <c r="AK403" s="237"/>
      <c r="AL403" s="237"/>
    </row>
    <row r="404" spans="2:38" ht="18.75" x14ac:dyDescent="0.3">
      <c r="B404" s="128"/>
      <c r="C404" s="187"/>
      <c r="D404" s="187"/>
      <c r="E404" s="208"/>
      <c r="F404" s="104"/>
      <c r="G404" s="101"/>
      <c r="H404" s="101"/>
      <c r="I404" s="101"/>
      <c r="J404" s="101"/>
      <c r="K404" s="101"/>
      <c r="L404" s="101"/>
      <c r="M404" s="101"/>
      <c r="N404" s="101"/>
      <c r="O404" s="101"/>
      <c r="P404" s="101"/>
      <c r="Q404" s="101"/>
      <c r="R404" s="101"/>
      <c r="S404" s="101"/>
      <c r="T404" s="101"/>
      <c r="U404" s="101"/>
      <c r="V404" s="105"/>
      <c r="X404" s="112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113"/>
      <c r="AK404" s="237"/>
      <c r="AL404" s="237"/>
    </row>
    <row r="405" spans="2:38" ht="18.75" x14ac:dyDescent="0.3">
      <c r="B405" s="128"/>
      <c r="C405" s="187"/>
      <c r="D405" s="187"/>
      <c r="E405" s="208"/>
      <c r="F405" s="104"/>
      <c r="G405" s="101"/>
      <c r="H405" s="101"/>
      <c r="I405" s="101"/>
      <c r="J405" s="101"/>
      <c r="K405" s="101"/>
      <c r="L405" s="101"/>
      <c r="M405" s="101"/>
      <c r="N405" s="101"/>
      <c r="O405" s="101"/>
      <c r="P405" s="101"/>
      <c r="Q405" s="101"/>
      <c r="R405" s="101"/>
      <c r="S405" s="101"/>
      <c r="T405" s="101"/>
      <c r="U405" s="101"/>
      <c r="V405" s="105"/>
      <c r="X405" s="112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113"/>
      <c r="AK405" s="237"/>
      <c r="AL405" s="237"/>
    </row>
    <row r="406" spans="2:38" ht="18.75" x14ac:dyDescent="0.3">
      <c r="B406" s="128"/>
      <c r="C406" s="187"/>
      <c r="D406" s="187"/>
      <c r="E406" s="208"/>
      <c r="F406" s="104"/>
      <c r="G406" s="101"/>
      <c r="H406" s="101"/>
      <c r="I406" s="101"/>
      <c r="J406" s="101"/>
      <c r="K406" s="101"/>
      <c r="L406" s="101"/>
      <c r="M406" s="101"/>
      <c r="N406" s="101"/>
      <c r="O406" s="101"/>
      <c r="P406" s="101"/>
      <c r="Q406" s="101"/>
      <c r="R406" s="101"/>
      <c r="S406" s="101"/>
      <c r="T406" s="101"/>
      <c r="U406" s="101"/>
      <c r="V406" s="105"/>
      <c r="X406" s="112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113"/>
      <c r="AK406" s="237"/>
      <c r="AL406" s="237"/>
    </row>
    <row r="407" spans="2:38" ht="18.75" x14ac:dyDescent="0.3">
      <c r="B407" s="128"/>
      <c r="C407" s="187"/>
      <c r="D407" s="187"/>
      <c r="E407" s="208"/>
      <c r="F407" s="104"/>
      <c r="G407" s="101"/>
      <c r="H407" s="101"/>
      <c r="I407" s="101"/>
      <c r="J407" s="101"/>
      <c r="K407" s="101"/>
      <c r="L407" s="101"/>
      <c r="M407" s="101"/>
      <c r="N407" s="101"/>
      <c r="O407" s="101"/>
      <c r="P407" s="101"/>
      <c r="Q407" s="101"/>
      <c r="R407" s="101"/>
      <c r="S407" s="101"/>
      <c r="T407" s="101"/>
      <c r="U407" s="101"/>
      <c r="V407" s="105"/>
      <c r="X407" s="112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113"/>
      <c r="AK407" s="237"/>
      <c r="AL407" s="237"/>
    </row>
    <row r="408" spans="2:38" ht="18.75" x14ac:dyDescent="0.3">
      <c r="B408" s="121"/>
      <c r="C408" s="12"/>
      <c r="D408" s="12"/>
      <c r="E408" s="142"/>
      <c r="F408" s="104"/>
      <c r="G408" s="101"/>
      <c r="H408" s="101"/>
      <c r="I408" s="101"/>
      <c r="J408" s="101"/>
      <c r="K408" s="101"/>
      <c r="L408" s="101"/>
      <c r="M408" s="101"/>
      <c r="N408" s="101"/>
      <c r="O408" s="101"/>
      <c r="P408" s="101"/>
      <c r="Q408" s="101"/>
      <c r="R408" s="101"/>
      <c r="S408" s="101"/>
      <c r="T408" s="101"/>
      <c r="U408" s="101"/>
      <c r="V408" s="105"/>
      <c r="X408" s="112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113"/>
      <c r="AK408" s="237"/>
      <c r="AL408" s="237"/>
    </row>
    <row r="409" spans="2:38" ht="18.75" x14ac:dyDescent="0.3">
      <c r="B409" s="121"/>
      <c r="C409" s="12"/>
      <c r="D409" s="12"/>
      <c r="E409" s="142"/>
      <c r="F409" s="104"/>
      <c r="G409" s="101"/>
      <c r="H409" s="101"/>
      <c r="I409" s="101"/>
      <c r="J409" s="101"/>
      <c r="K409" s="101"/>
      <c r="L409" s="101"/>
      <c r="M409" s="101"/>
      <c r="N409" s="101"/>
      <c r="O409" s="101"/>
      <c r="P409" s="101"/>
      <c r="Q409" s="101"/>
      <c r="R409" s="101"/>
      <c r="S409" s="101"/>
      <c r="T409" s="101"/>
      <c r="U409" s="101"/>
      <c r="V409" s="105"/>
      <c r="X409" s="112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113"/>
      <c r="AK409" s="237"/>
      <c r="AL409" s="237"/>
    </row>
    <row r="410" spans="2:38" ht="18.75" x14ac:dyDescent="0.3">
      <c r="B410" s="121"/>
      <c r="C410" s="12"/>
      <c r="D410" s="12"/>
      <c r="E410" s="142"/>
      <c r="F410" s="104"/>
      <c r="G410" s="101"/>
      <c r="H410" s="101"/>
      <c r="I410" s="101"/>
      <c r="J410" s="101"/>
      <c r="K410" s="101"/>
      <c r="L410" s="101"/>
      <c r="M410" s="101"/>
      <c r="N410" s="101"/>
      <c r="O410" s="101"/>
      <c r="P410" s="101"/>
      <c r="Q410" s="101"/>
      <c r="R410" s="101"/>
      <c r="S410" s="101"/>
      <c r="T410" s="101"/>
      <c r="U410" s="101"/>
      <c r="V410" s="105"/>
      <c r="X410" s="112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113"/>
      <c r="AK410" s="237"/>
      <c r="AL410" s="237"/>
    </row>
    <row r="411" spans="2:38" ht="18.75" x14ac:dyDescent="0.3">
      <c r="B411" s="121"/>
      <c r="C411" s="12"/>
      <c r="D411" s="12"/>
      <c r="E411" s="142"/>
      <c r="F411" s="104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5"/>
      <c r="X411" s="112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113"/>
      <c r="AK411" s="237"/>
      <c r="AL411" s="237"/>
    </row>
    <row r="412" spans="2:38" ht="18.75" x14ac:dyDescent="0.3">
      <c r="B412" s="121"/>
      <c r="C412" s="12"/>
      <c r="D412" s="12"/>
      <c r="E412" s="142"/>
      <c r="F412" s="104"/>
      <c r="G412" s="101"/>
      <c r="H412" s="101"/>
      <c r="I412" s="101"/>
      <c r="J412" s="101"/>
      <c r="K412" s="101"/>
      <c r="L412" s="101"/>
      <c r="M412" s="101"/>
      <c r="N412" s="101"/>
      <c r="O412" s="101"/>
      <c r="P412" s="101"/>
      <c r="Q412" s="101"/>
      <c r="R412" s="101"/>
      <c r="S412" s="101"/>
      <c r="T412" s="101"/>
      <c r="U412" s="101"/>
      <c r="V412" s="105"/>
      <c r="X412" s="112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113"/>
      <c r="AK412" s="237"/>
      <c r="AL412" s="237"/>
    </row>
    <row r="413" spans="2:38" ht="18.75" x14ac:dyDescent="0.3">
      <c r="B413" s="121"/>
      <c r="C413" s="12"/>
      <c r="D413" s="12"/>
      <c r="E413" s="142"/>
      <c r="F413" s="104"/>
      <c r="G413" s="101"/>
      <c r="H413" s="101"/>
      <c r="I413" s="101"/>
      <c r="J413" s="101"/>
      <c r="K413" s="101"/>
      <c r="L413" s="101"/>
      <c r="M413" s="101"/>
      <c r="N413" s="101"/>
      <c r="O413" s="101"/>
      <c r="P413" s="101"/>
      <c r="Q413" s="101"/>
      <c r="R413" s="101"/>
      <c r="S413" s="101"/>
      <c r="T413" s="101"/>
      <c r="U413" s="101"/>
      <c r="V413" s="105"/>
      <c r="X413" s="112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113"/>
      <c r="AK413" s="237"/>
      <c r="AL413" s="237"/>
    </row>
    <row r="414" spans="2:38" ht="19.5" thickBot="1" x14ac:dyDescent="0.35">
      <c r="B414" s="147"/>
      <c r="C414" s="137"/>
      <c r="D414" s="137"/>
      <c r="E414" s="143"/>
      <c r="F414" s="106"/>
      <c r="G414" s="107"/>
      <c r="H414" s="107"/>
      <c r="I414" s="107"/>
      <c r="J414" s="107"/>
      <c r="K414" s="107"/>
      <c r="L414" s="107"/>
      <c r="M414" s="107"/>
      <c r="N414" s="107"/>
      <c r="O414" s="107"/>
      <c r="P414" s="107"/>
      <c r="Q414" s="107"/>
      <c r="R414" s="107"/>
      <c r="S414" s="107"/>
      <c r="T414" s="107"/>
      <c r="U414" s="107"/>
      <c r="V414" s="108"/>
      <c r="X414" s="144"/>
      <c r="Y414" s="131"/>
      <c r="Z414" s="131"/>
      <c r="AA414" s="131"/>
      <c r="AB414" s="131"/>
      <c r="AC414" s="131"/>
      <c r="AD414" s="131"/>
      <c r="AE414" s="131"/>
      <c r="AF414" s="131"/>
      <c r="AG414" s="131"/>
      <c r="AH414" s="131"/>
      <c r="AI414" s="145"/>
      <c r="AK414" s="237"/>
      <c r="AL414" s="237"/>
    </row>
    <row r="415" spans="2:38" ht="15.75" thickBot="1" x14ac:dyDescent="0.3">
      <c r="X415" s="83">
        <f>SUM(X345:X414)</f>
        <v>0</v>
      </c>
      <c r="Y415" s="83">
        <f t="shared" ref="Y415:AJ415" si="2">SUM(Y345:Y414)</f>
        <v>0</v>
      </c>
      <c r="Z415" s="83">
        <f t="shared" si="2"/>
        <v>0</v>
      </c>
      <c r="AA415" s="83">
        <f t="shared" si="2"/>
        <v>0</v>
      </c>
      <c r="AB415" s="83">
        <f t="shared" si="2"/>
        <v>0</v>
      </c>
      <c r="AC415" s="83">
        <f t="shared" si="2"/>
        <v>0</v>
      </c>
      <c r="AD415" s="83">
        <f t="shared" si="2"/>
        <v>0</v>
      </c>
      <c r="AE415" s="83">
        <f t="shared" si="2"/>
        <v>0</v>
      </c>
      <c r="AF415" s="83">
        <f t="shared" si="2"/>
        <v>0</v>
      </c>
      <c r="AG415" s="83">
        <f t="shared" si="2"/>
        <v>0</v>
      </c>
      <c r="AH415" s="83">
        <f t="shared" si="2"/>
        <v>0</v>
      </c>
      <c r="AI415" s="83">
        <f t="shared" si="2"/>
        <v>0</v>
      </c>
      <c r="AJ415" s="83">
        <f t="shared" si="2"/>
        <v>0</v>
      </c>
    </row>
    <row r="427" spans="24:32" x14ac:dyDescent="0.25">
      <c r="X427"/>
      <c r="Y427"/>
      <c r="Z427"/>
      <c r="AA427"/>
      <c r="AB427"/>
      <c r="AC427"/>
      <c r="AD427"/>
      <c r="AE427"/>
      <c r="AF427"/>
    </row>
    <row r="428" spans="24:32" x14ac:dyDescent="0.25">
      <c r="X428"/>
      <c r="Y428"/>
      <c r="Z428"/>
      <c r="AA428"/>
      <c r="AB428"/>
      <c r="AC428"/>
      <c r="AD428"/>
      <c r="AE428"/>
      <c r="AF428"/>
    </row>
    <row r="429" spans="24:32" x14ac:dyDescent="0.25">
      <c r="X429"/>
      <c r="Y429"/>
      <c r="Z429"/>
      <c r="AA429"/>
      <c r="AB429"/>
      <c r="AC429"/>
      <c r="AD429"/>
      <c r="AE429"/>
      <c r="AF429"/>
    </row>
    <row r="430" spans="24:32" x14ac:dyDescent="0.25">
      <c r="X430"/>
      <c r="Y430"/>
      <c r="Z430"/>
      <c r="AA430"/>
      <c r="AB430"/>
      <c r="AC430"/>
      <c r="AD430"/>
      <c r="AE430"/>
      <c r="AF430"/>
    </row>
    <row r="431" spans="24:32" x14ac:dyDescent="0.25">
      <c r="X431"/>
      <c r="Y431"/>
      <c r="Z431"/>
      <c r="AA431"/>
      <c r="AB431"/>
      <c r="AC431"/>
      <c r="AD431"/>
      <c r="AE431"/>
      <c r="AF431"/>
    </row>
    <row r="432" spans="24:32" x14ac:dyDescent="0.25">
      <c r="X432"/>
      <c r="Y432"/>
      <c r="Z432"/>
      <c r="AA432"/>
      <c r="AB432"/>
      <c r="AC432"/>
      <c r="AD432"/>
      <c r="AE432"/>
      <c r="AF432"/>
    </row>
    <row r="433" spans="24:32" x14ac:dyDescent="0.25">
      <c r="X433"/>
      <c r="Y433"/>
      <c r="Z433"/>
      <c r="AA433"/>
      <c r="AB433"/>
      <c r="AC433"/>
      <c r="AD433"/>
      <c r="AE433"/>
      <c r="AF433"/>
    </row>
    <row r="434" spans="24:32" x14ac:dyDescent="0.25">
      <c r="X434"/>
      <c r="Y434"/>
      <c r="Z434"/>
      <c r="AA434"/>
      <c r="AB434"/>
      <c r="AC434"/>
      <c r="AD434"/>
      <c r="AE434"/>
      <c r="AF434"/>
    </row>
    <row r="435" spans="24:32" x14ac:dyDescent="0.25">
      <c r="X435"/>
      <c r="Y435"/>
      <c r="Z435"/>
      <c r="AA435"/>
      <c r="AB435"/>
      <c r="AC435"/>
      <c r="AD435"/>
      <c r="AE435"/>
      <c r="AF435"/>
    </row>
    <row r="436" spans="24:32" x14ac:dyDescent="0.25">
      <c r="X436"/>
      <c r="Y436"/>
      <c r="Z436"/>
      <c r="AA436"/>
      <c r="AB436"/>
      <c r="AC436"/>
      <c r="AD436"/>
      <c r="AE436"/>
      <c r="AF436"/>
    </row>
    <row r="437" spans="24:32" x14ac:dyDescent="0.25">
      <c r="X437"/>
      <c r="Y437"/>
      <c r="Z437"/>
      <c r="AA437"/>
      <c r="AB437"/>
      <c r="AC437"/>
      <c r="AD437"/>
      <c r="AE437"/>
      <c r="AF437"/>
    </row>
    <row r="438" spans="24:32" x14ac:dyDescent="0.25">
      <c r="X438"/>
      <c r="Y438"/>
      <c r="Z438"/>
      <c r="AA438"/>
      <c r="AB438"/>
      <c r="AC438"/>
      <c r="AD438"/>
      <c r="AE438"/>
      <c r="AF438"/>
    </row>
    <row r="439" spans="24:32" x14ac:dyDescent="0.25">
      <c r="X439"/>
      <c r="Y439"/>
      <c r="Z439"/>
      <c r="AA439"/>
      <c r="AB439"/>
      <c r="AC439"/>
      <c r="AD439"/>
      <c r="AE439"/>
      <c r="AF439"/>
    </row>
    <row r="440" spans="24:32" x14ac:dyDescent="0.25">
      <c r="X440"/>
      <c r="Y440"/>
      <c r="Z440"/>
      <c r="AA440"/>
      <c r="AB440"/>
      <c r="AC440"/>
      <c r="AD440"/>
      <c r="AE440"/>
      <c r="AF440"/>
    </row>
    <row r="441" spans="24:32" x14ac:dyDescent="0.25">
      <c r="X441"/>
      <c r="Y441"/>
      <c r="Z441"/>
      <c r="AA441"/>
      <c r="AB441"/>
      <c r="AC441"/>
      <c r="AD441"/>
      <c r="AE441"/>
      <c r="AF441"/>
    </row>
    <row r="442" spans="24:32" x14ac:dyDescent="0.25">
      <c r="X442"/>
      <c r="Y442"/>
      <c r="Z442"/>
      <c r="AA442"/>
      <c r="AB442"/>
      <c r="AC442"/>
      <c r="AD442"/>
      <c r="AE442"/>
      <c r="AF442"/>
    </row>
    <row r="443" spans="24:32" x14ac:dyDescent="0.25">
      <c r="X443"/>
      <c r="Y443"/>
      <c r="Z443"/>
      <c r="AA443"/>
      <c r="AB443"/>
      <c r="AC443"/>
      <c r="AD443"/>
      <c r="AE443"/>
      <c r="AF443"/>
    </row>
    <row r="444" spans="24:32" x14ac:dyDescent="0.25">
      <c r="X444"/>
      <c r="Y444"/>
      <c r="Z444"/>
      <c r="AA444"/>
      <c r="AB444"/>
      <c r="AC444"/>
      <c r="AD444"/>
      <c r="AE444"/>
      <c r="AF444"/>
    </row>
    <row r="445" spans="24:32" x14ac:dyDescent="0.25">
      <c r="X445"/>
      <c r="Y445"/>
      <c r="Z445"/>
      <c r="AA445"/>
      <c r="AB445"/>
      <c r="AC445"/>
      <c r="AD445"/>
      <c r="AE445"/>
      <c r="AF445"/>
    </row>
    <row r="446" spans="24:32" x14ac:dyDescent="0.25">
      <c r="X446"/>
      <c r="Y446"/>
      <c r="Z446"/>
      <c r="AA446"/>
      <c r="AB446"/>
      <c r="AC446"/>
      <c r="AD446"/>
      <c r="AE446"/>
      <c r="AF446"/>
    </row>
    <row r="447" spans="24:32" x14ac:dyDescent="0.25">
      <c r="X447"/>
      <c r="Y447"/>
      <c r="Z447"/>
      <c r="AA447"/>
      <c r="AB447"/>
      <c r="AC447"/>
      <c r="AD447"/>
      <c r="AE447"/>
      <c r="AF447"/>
    </row>
    <row r="448" spans="24:32" x14ac:dyDescent="0.25">
      <c r="X448"/>
      <c r="Y448"/>
      <c r="Z448"/>
      <c r="AA448"/>
      <c r="AB448"/>
      <c r="AC448"/>
      <c r="AD448"/>
      <c r="AE448"/>
      <c r="AF448"/>
    </row>
    <row r="449" spans="24:32" x14ac:dyDescent="0.25">
      <c r="X449"/>
      <c r="Y449"/>
      <c r="Z449"/>
      <c r="AA449"/>
      <c r="AB449"/>
      <c r="AC449"/>
      <c r="AD449"/>
      <c r="AE449"/>
      <c r="AF449"/>
    </row>
    <row r="450" spans="24:32" x14ac:dyDescent="0.25">
      <c r="X450"/>
      <c r="Y450"/>
      <c r="Z450"/>
      <c r="AA450"/>
      <c r="AB450"/>
      <c r="AC450"/>
      <c r="AD450"/>
      <c r="AE450"/>
      <c r="AF450"/>
    </row>
    <row r="451" spans="24:32" x14ac:dyDescent="0.25">
      <c r="X451"/>
      <c r="Y451"/>
      <c r="Z451"/>
      <c r="AA451"/>
      <c r="AB451"/>
      <c r="AC451"/>
      <c r="AD451"/>
      <c r="AE451"/>
      <c r="AF451"/>
    </row>
    <row r="452" spans="24:32" x14ac:dyDescent="0.25">
      <c r="X452"/>
      <c r="Y452"/>
      <c r="Z452"/>
      <c r="AA452"/>
      <c r="AB452"/>
      <c r="AC452"/>
      <c r="AD452"/>
      <c r="AE452"/>
      <c r="AF452"/>
    </row>
    <row r="453" spans="24:32" x14ac:dyDescent="0.25">
      <c r="X453"/>
      <c r="Y453"/>
      <c r="Z453"/>
      <c r="AA453"/>
      <c r="AB453"/>
      <c r="AC453"/>
      <c r="AD453"/>
      <c r="AE453"/>
      <c r="AF453"/>
    </row>
    <row r="454" spans="24:32" x14ac:dyDescent="0.25">
      <c r="X454"/>
      <c r="Y454"/>
      <c r="Z454"/>
      <c r="AA454"/>
      <c r="AB454"/>
      <c r="AC454"/>
      <c r="AD454"/>
      <c r="AE454"/>
      <c r="AF454"/>
    </row>
    <row r="455" spans="24:32" x14ac:dyDescent="0.25">
      <c r="X455"/>
      <c r="Y455"/>
      <c r="Z455"/>
      <c r="AA455"/>
      <c r="AB455"/>
      <c r="AC455"/>
      <c r="AD455"/>
      <c r="AE455"/>
      <c r="AF455"/>
    </row>
    <row r="456" spans="24:32" x14ac:dyDescent="0.25">
      <c r="X456"/>
      <c r="Y456"/>
      <c r="Z456"/>
      <c r="AA456"/>
      <c r="AB456"/>
      <c r="AC456"/>
      <c r="AD456"/>
      <c r="AE456"/>
      <c r="AF456"/>
    </row>
    <row r="457" spans="24:32" x14ac:dyDescent="0.25">
      <c r="X457"/>
      <c r="Y457"/>
      <c r="Z457"/>
      <c r="AA457"/>
      <c r="AB457"/>
      <c r="AC457"/>
      <c r="AD457"/>
      <c r="AE457"/>
      <c r="AF457"/>
    </row>
    <row r="458" spans="24:32" x14ac:dyDescent="0.25">
      <c r="X458"/>
      <c r="Y458"/>
      <c r="Z458"/>
      <c r="AA458"/>
      <c r="AB458"/>
      <c r="AC458"/>
      <c r="AD458"/>
      <c r="AE458"/>
      <c r="AF458"/>
    </row>
    <row r="459" spans="24:32" x14ac:dyDescent="0.25">
      <c r="X459"/>
      <c r="Y459"/>
      <c r="Z459"/>
      <c r="AA459"/>
      <c r="AB459"/>
      <c r="AC459"/>
      <c r="AD459"/>
      <c r="AE459"/>
      <c r="AF459"/>
    </row>
    <row r="460" spans="24:32" x14ac:dyDescent="0.25">
      <c r="X460"/>
      <c r="Y460"/>
      <c r="Z460"/>
      <c r="AA460"/>
      <c r="AB460"/>
      <c r="AC460"/>
      <c r="AD460"/>
      <c r="AE460"/>
      <c r="AF460"/>
    </row>
    <row r="461" spans="24:32" x14ac:dyDescent="0.25">
      <c r="X461"/>
      <c r="Y461"/>
      <c r="Z461"/>
      <c r="AA461"/>
      <c r="AB461"/>
      <c r="AC461"/>
      <c r="AD461"/>
      <c r="AE461"/>
      <c r="AF461"/>
    </row>
    <row r="462" spans="24:32" x14ac:dyDescent="0.25">
      <c r="X462"/>
      <c r="Y462"/>
      <c r="Z462"/>
      <c r="AA462"/>
      <c r="AB462"/>
      <c r="AC462"/>
      <c r="AD462"/>
      <c r="AE462"/>
      <c r="AF462"/>
    </row>
    <row r="463" spans="24:32" x14ac:dyDescent="0.25">
      <c r="X463"/>
      <c r="Y463"/>
      <c r="Z463"/>
      <c r="AA463"/>
      <c r="AB463"/>
      <c r="AC463"/>
      <c r="AD463"/>
      <c r="AE463"/>
      <c r="AF463"/>
    </row>
    <row r="464" spans="24:32" x14ac:dyDescent="0.25">
      <c r="X464"/>
      <c r="Y464"/>
      <c r="Z464"/>
      <c r="AA464"/>
      <c r="AB464"/>
      <c r="AC464"/>
      <c r="AD464"/>
      <c r="AE464"/>
      <c r="AF464"/>
    </row>
    <row r="465" spans="24:32" x14ac:dyDescent="0.25">
      <c r="X465"/>
      <c r="Y465"/>
      <c r="Z465"/>
      <c r="AA465"/>
      <c r="AB465"/>
      <c r="AC465"/>
      <c r="AD465"/>
      <c r="AE465"/>
      <c r="AF465"/>
    </row>
    <row r="466" spans="24:32" x14ac:dyDescent="0.25">
      <c r="X466"/>
      <c r="Y466"/>
      <c r="Z466"/>
      <c r="AA466"/>
      <c r="AB466"/>
      <c r="AC466"/>
      <c r="AD466"/>
      <c r="AE466"/>
      <c r="AF466"/>
    </row>
    <row r="467" spans="24:32" x14ac:dyDescent="0.25">
      <c r="X467"/>
      <c r="Y467"/>
      <c r="Z467"/>
      <c r="AA467"/>
      <c r="AB467"/>
      <c r="AC467"/>
      <c r="AD467"/>
      <c r="AE467"/>
      <c r="AF467"/>
    </row>
    <row r="468" spans="24:32" x14ac:dyDescent="0.25">
      <c r="X468"/>
      <c r="Y468"/>
      <c r="Z468"/>
      <c r="AA468"/>
      <c r="AB468"/>
      <c r="AC468"/>
      <c r="AD468"/>
      <c r="AE468"/>
      <c r="AF468"/>
    </row>
    <row r="469" spans="24:32" x14ac:dyDescent="0.25">
      <c r="X469"/>
      <c r="Y469"/>
      <c r="Z469"/>
      <c r="AA469"/>
      <c r="AB469"/>
      <c r="AC469"/>
      <c r="AD469"/>
      <c r="AE469"/>
      <c r="AF469"/>
    </row>
    <row r="470" spans="24:32" x14ac:dyDescent="0.25">
      <c r="X470"/>
      <c r="Y470"/>
      <c r="Z470"/>
      <c r="AA470"/>
      <c r="AB470"/>
      <c r="AC470"/>
      <c r="AD470"/>
      <c r="AE470"/>
      <c r="AF470"/>
    </row>
    <row r="471" spans="24:32" x14ac:dyDescent="0.25">
      <c r="X471"/>
      <c r="Y471"/>
      <c r="Z471"/>
      <c r="AA471"/>
      <c r="AB471"/>
      <c r="AC471"/>
      <c r="AD471"/>
      <c r="AE471"/>
      <c r="AF471"/>
    </row>
    <row r="472" spans="24:32" x14ac:dyDescent="0.25">
      <c r="X472"/>
      <c r="Y472"/>
      <c r="Z472"/>
      <c r="AA472"/>
      <c r="AB472"/>
      <c r="AC472"/>
      <c r="AD472"/>
      <c r="AE472"/>
      <c r="AF472"/>
    </row>
    <row r="473" spans="24:32" x14ac:dyDescent="0.25">
      <c r="X473"/>
      <c r="Y473"/>
      <c r="Z473"/>
      <c r="AA473"/>
      <c r="AB473"/>
      <c r="AC473"/>
      <c r="AD473"/>
      <c r="AE473"/>
      <c r="AF473"/>
    </row>
    <row r="474" spans="24:32" x14ac:dyDescent="0.25">
      <c r="X474"/>
      <c r="Y474"/>
      <c r="Z474"/>
      <c r="AA474"/>
      <c r="AB474"/>
      <c r="AC474"/>
      <c r="AD474"/>
      <c r="AE474"/>
      <c r="AF474"/>
    </row>
    <row r="475" spans="24:32" x14ac:dyDescent="0.25">
      <c r="X475"/>
      <c r="Y475"/>
      <c r="Z475"/>
      <c r="AA475"/>
      <c r="AB475"/>
      <c r="AC475"/>
      <c r="AD475"/>
      <c r="AE475"/>
      <c r="AF475"/>
    </row>
    <row r="476" spans="24:32" x14ac:dyDescent="0.25">
      <c r="X476"/>
      <c r="Y476"/>
      <c r="Z476"/>
      <c r="AA476"/>
      <c r="AB476"/>
      <c r="AC476"/>
      <c r="AD476"/>
      <c r="AE476"/>
      <c r="AF476"/>
    </row>
    <row r="477" spans="24:32" x14ac:dyDescent="0.25">
      <c r="X477"/>
      <c r="Y477"/>
      <c r="Z477"/>
      <c r="AA477"/>
      <c r="AB477"/>
      <c r="AC477"/>
      <c r="AD477"/>
      <c r="AE477"/>
      <c r="AF477"/>
    </row>
    <row r="478" spans="24:32" x14ac:dyDescent="0.25">
      <c r="X478"/>
      <c r="Y478"/>
      <c r="Z478"/>
      <c r="AA478"/>
      <c r="AB478"/>
      <c r="AC478"/>
      <c r="AD478"/>
      <c r="AE478"/>
      <c r="AF478"/>
    </row>
    <row r="479" spans="24:32" x14ac:dyDescent="0.25">
      <c r="X479"/>
      <c r="Y479"/>
      <c r="Z479"/>
      <c r="AA479"/>
      <c r="AB479"/>
      <c r="AC479"/>
      <c r="AD479"/>
      <c r="AE479"/>
      <c r="AF479"/>
    </row>
    <row r="480" spans="24:32" x14ac:dyDescent="0.25">
      <c r="X480"/>
      <c r="Y480"/>
      <c r="Z480"/>
      <c r="AA480"/>
      <c r="AB480"/>
      <c r="AC480"/>
      <c r="AD480"/>
      <c r="AE480"/>
      <c r="AF480"/>
    </row>
    <row r="481" spans="24:32" x14ac:dyDescent="0.25">
      <c r="X481"/>
      <c r="Y481"/>
      <c r="Z481"/>
      <c r="AA481"/>
      <c r="AB481"/>
      <c r="AC481"/>
      <c r="AD481"/>
      <c r="AE481"/>
      <c r="AF481"/>
    </row>
    <row r="482" spans="24:32" x14ac:dyDescent="0.25">
      <c r="X482"/>
      <c r="Y482"/>
      <c r="Z482"/>
      <c r="AA482"/>
      <c r="AB482"/>
      <c r="AC482"/>
      <c r="AD482"/>
      <c r="AE482"/>
      <c r="AF482"/>
    </row>
    <row r="483" spans="24:32" x14ac:dyDescent="0.25">
      <c r="X483"/>
      <c r="Y483"/>
      <c r="Z483"/>
      <c r="AA483"/>
      <c r="AB483"/>
      <c r="AC483"/>
      <c r="AD483"/>
      <c r="AE483"/>
      <c r="AF483"/>
    </row>
    <row r="484" spans="24:32" x14ac:dyDescent="0.25">
      <c r="X484"/>
      <c r="Y484"/>
      <c r="Z484"/>
      <c r="AA484"/>
      <c r="AB484"/>
      <c r="AC484"/>
      <c r="AD484"/>
      <c r="AE484"/>
      <c r="AF484"/>
    </row>
    <row r="485" spans="24:32" x14ac:dyDescent="0.25">
      <c r="X485"/>
      <c r="Y485"/>
      <c r="Z485"/>
      <c r="AA485"/>
      <c r="AB485"/>
      <c r="AC485"/>
      <c r="AD485"/>
      <c r="AE485"/>
      <c r="AF485"/>
    </row>
    <row r="486" spans="24:32" x14ac:dyDescent="0.25">
      <c r="X486"/>
      <c r="Y486"/>
      <c r="Z486"/>
      <c r="AA486"/>
      <c r="AB486"/>
      <c r="AC486"/>
      <c r="AD486"/>
      <c r="AE486"/>
      <c r="AF486"/>
    </row>
    <row r="487" spans="24:32" x14ac:dyDescent="0.25">
      <c r="X487"/>
      <c r="Y487"/>
      <c r="Z487"/>
      <c r="AA487"/>
      <c r="AB487"/>
      <c r="AC487"/>
      <c r="AD487"/>
      <c r="AE487"/>
      <c r="AF487"/>
    </row>
    <row r="488" spans="24:32" x14ac:dyDescent="0.25">
      <c r="X488"/>
      <c r="Y488"/>
      <c r="Z488"/>
      <c r="AA488"/>
      <c r="AB488"/>
      <c r="AC488"/>
      <c r="AD488"/>
      <c r="AE488"/>
      <c r="AF488"/>
    </row>
    <row r="489" spans="24:32" x14ac:dyDescent="0.25">
      <c r="X489"/>
      <c r="Y489"/>
      <c r="Z489"/>
      <c r="AA489"/>
      <c r="AB489"/>
      <c r="AC489"/>
      <c r="AD489"/>
      <c r="AE489"/>
      <c r="AF489"/>
    </row>
    <row r="490" spans="24:32" x14ac:dyDescent="0.25">
      <c r="X490"/>
      <c r="Y490"/>
      <c r="Z490"/>
      <c r="AA490"/>
      <c r="AB490"/>
      <c r="AC490"/>
      <c r="AD490"/>
      <c r="AE490"/>
      <c r="AF490"/>
    </row>
    <row r="491" spans="24:32" x14ac:dyDescent="0.25">
      <c r="X491"/>
      <c r="Y491"/>
      <c r="Z491"/>
      <c r="AA491"/>
      <c r="AB491"/>
      <c r="AC491"/>
      <c r="AD491"/>
      <c r="AE491"/>
      <c r="AF491"/>
    </row>
    <row r="492" spans="24:32" x14ac:dyDescent="0.25">
      <c r="X492"/>
      <c r="Y492"/>
      <c r="Z492"/>
      <c r="AA492"/>
      <c r="AB492"/>
      <c r="AC492"/>
      <c r="AD492"/>
      <c r="AE492"/>
      <c r="AF492"/>
    </row>
    <row r="493" spans="24:32" x14ac:dyDescent="0.25">
      <c r="X493"/>
      <c r="Y493"/>
      <c r="Z493"/>
      <c r="AA493"/>
      <c r="AB493"/>
      <c r="AC493"/>
      <c r="AD493"/>
      <c r="AE493"/>
      <c r="AF493"/>
    </row>
    <row r="494" spans="24:32" x14ac:dyDescent="0.25">
      <c r="X494"/>
      <c r="Y494"/>
      <c r="Z494"/>
      <c r="AA494"/>
      <c r="AB494"/>
      <c r="AC494"/>
      <c r="AD494"/>
      <c r="AE494"/>
      <c r="AF494"/>
    </row>
    <row r="495" spans="24:32" x14ac:dyDescent="0.25">
      <c r="X495"/>
      <c r="Y495"/>
      <c r="Z495"/>
      <c r="AA495"/>
      <c r="AB495"/>
      <c r="AC495"/>
      <c r="AD495"/>
      <c r="AE495"/>
      <c r="AF495"/>
    </row>
    <row r="496" spans="24:32" x14ac:dyDescent="0.25">
      <c r="X496"/>
      <c r="Y496"/>
      <c r="Z496"/>
      <c r="AA496"/>
      <c r="AB496"/>
      <c r="AC496"/>
      <c r="AD496"/>
      <c r="AE496"/>
      <c r="AF496"/>
    </row>
    <row r="497" spans="24:32" x14ac:dyDescent="0.25">
      <c r="X497"/>
      <c r="Y497"/>
      <c r="Z497"/>
      <c r="AA497"/>
      <c r="AB497"/>
      <c r="AC497"/>
      <c r="AD497"/>
      <c r="AE497"/>
      <c r="AF497"/>
    </row>
    <row r="498" spans="24:32" x14ac:dyDescent="0.25">
      <c r="X498"/>
      <c r="Y498"/>
      <c r="Z498"/>
      <c r="AA498"/>
      <c r="AB498"/>
      <c r="AC498"/>
      <c r="AD498"/>
      <c r="AE498"/>
      <c r="AF498"/>
    </row>
    <row r="499" spans="24:32" x14ac:dyDescent="0.25">
      <c r="X499"/>
      <c r="Y499"/>
      <c r="Z499"/>
      <c r="AA499"/>
      <c r="AB499"/>
      <c r="AC499"/>
      <c r="AD499"/>
      <c r="AE499"/>
      <c r="AF499"/>
    </row>
    <row r="500" spans="24:32" x14ac:dyDescent="0.25">
      <c r="X500"/>
      <c r="Y500"/>
      <c r="Z500"/>
      <c r="AA500"/>
      <c r="AB500"/>
      <c r="AC500"/>
      <c r="AD500"/>
      <c r="AE500"/>
      <c r="AF500"/>
    </row>
    <row r="501" spans="24:32" x14ac:dyDescent="0.25">
      <c r="X501"/>
      <c r="Y501"/>
      <c r="Z501"/>
      <c r="AA501"/>
      <c r="AB501"/>
      <c r="AC501"/>
      <c r="AD501"/>
      <c r="AE501"/>
      <c r="AF501"/>
    </row>
    <row r="502" spans="24:32" x14ac:dyDescent="0.25">
      <c r="X502"/>
      <c r="Y502"/>
      <c r="Z502"/>
      <c r="AA502"/>
      <c r="AB502"/>
      <c r="AC502"/>
      <c r="AD502"/>
      <c r="AE502"/>
      <c r="AF502"/>
    </row>
    <row r="503" spans="24:32" x14ac:dyDescent="0.25">
      <c r="X503"/>
      <c r="Y503"/>
      <c r="Z503"/>
      <c r="AA503"/>
      <c r="AB503"/>
      <c r="AC503"/>
      <c r="AD503"/>
      <c r="AE503"/>
      <c r="AF503"/>
    </row>
    <row r="504" spans="24:32" x14ac:dyDescent="0.25">
      <c r="X504"/>
      <c r="Y504"/>
      <c r="Z504"/>
      <c r="AA504"/>
      <c r="AB504"/>
      <c r="AC504"/>
      <c r="AD504"/>
      <c r="AE504"/>
      <c r="AF504"/>
    </row>
    <row r="505" spans="24:32" x14ac:dyDescent="0.25">
      <c r="X505"/>
      <c r="Y505"/>
      <c r="Z505"/>
      <c r="AA505"/>
      <c r="AB505"/>
      <c r="AC505"/>
      <c r="AD505"/>
      <c r="AE505"/>
      <c r="AF505"/>
    </row>
    <row r="506" spans="24:32" x14ac:dyDescent="0.25">
      <c r="X506"/>
      <c r="Y506"/>
      <c r="Z506"/>
      <c r="AA506"/>
      <c r="AB506"/>
      <c r="AC506"/>
      <c r="AD506"/>
      <c r="AE506"/>
      <c r="AF506"/>
    </row>
    <row r="507" spans="24:32" x14ac:dyDescent="0.25">
      <c r="X507"/>
      <c r="Y507"/>
      <c r="Z507"/>
      <c r="AA507"/>
      <c r="AB507"/>
      <c r="AC507"/>
      <c r="AD507"/>
      <c r="AE507"/>
      <c r="AF507"/>
    </row>
    <row r="508" spans="24:32" x14ac:dyDescent="0.25">
      <c r="X508"/>
      <c r="Y508"/>
      <c r="Z508"/>
      <c r="AA508"/>
      <c r="AB508"/>
      <c r="AC508"/>
      <c r="AD508"/>
      <c r="AE508"/>
      <c r="AF508"/>
    </row>
    <row r="509" spans="24:32" x14ac:dyDescent="0.25">
      <c r="X509"/>
      <c r="Y509"/>
      <c r="Z509"/>
      <c r="AA509"/>
      <c r="AB509"/>
      <c r="AC509"/>
      <c r="AD509"/>
      <c r="AE509"/>
      <c r="AF509"/>
    </row>
    <row r="510" spans="24:32" x14ac:dyDescent="0.25">
      <c r="X510"/>
      <c r="Y510"/>
      <c r="Z510"/>
      <c r="AA510"/>
      <c r="AB510"/>
      <c r="AC510"/>
      <c r="AD510"/>
      <c r="AE510"/>
      <c r="AF510"/>
    </row>
    <row r="511" spans="24:32" x14ac:dyDescent="0.25">
      <c r="X511"/>
      <c r="Y511"/>
      <c r="Z511"/>
      <c r="AA511"/>
      <c r="AB511"/>
      <c r="AC511"/>
      <c r="AD511"/>
      <c r="AE511"/>
      <c r="AF511"/>
    </row>
    <row r="512" spans="24:32" x14ac:dyDescent="0.25">
      <c r="X512"/>
      <c r="Y512"/>
      <c r="Z512"/>
      <c r="AA512"/>
      <c r="AB512"/>
      <c r="AC512"/>
      <c r="AD512"/>
      <c r="AE512"/>
      <c r="AF512"/>
    </row>
    <row r="513" spans="24:32" x14ac:dyDescent="0.25">
      <c r="X513"/>
      <c r="Y513"/>
      <c r="Z513"/>
      <c r="AA513"/>
      <c r="AB513"/>
      <c r="AC513"/>
      <c r="AD513"/>
      <c r="AE513"/>
      <c r="AF513"/>
    </row>
    <row r="514" spans="24:32" x14ac:dyDescent="0.25">
      <c r="X514"/>
      <c r="Y514"/>
      <c r="Z514"/>
      <c r="AA514"/>
      <c r="AB514"/>
      <c r="AC514"/>
      <c r="AD514"/>
      <c r="AE514"/>
      <c r="AF514"/>
    </row>
    <row r="515" spans="24:32" x14ac:dyDescent="0.25">
      <c r="X515"/>
      <c r="Y515"/>
      <c r="Z515"/>
      <c r="AA515"/>
      <c r="AB515"/>
      <c r="AC515"/>
      <c r="AD515"/>
      <c r="AE515"/>
      <c r="AF515"/>
    </row>
    <row r="516" spans="24:32" x14ac:dyDescent="0.25">
      <c r="X516"/>
      <c r="Y516"/>
      <c r="Z516"/>
      <c r="AA516"/>
      <c r="AB516"/>
      <c r="AC516"/>
      <c r="AD516"/>
      <c r="AE516"/>
      <c r="AF516"/>
    </row>
    <row r="517" spans="24:32" x14ac:dyDescent="0.25">
      <c r="X517"/>
      <c r="Y517"/>
      <c r="Z517"/>
      <c r="AA517"/>
      <c r="AB517"/>
      <c r="AC517"/>
      <c r="AD517"/>
      <c r="AE517"/>
      <c r="AF517"/>
    </row>
    <row r="518" spans="24:32" x14ac:dyDescent="0.25">
      <c r="X518"/>
      <c r="Y518"/>
      <c r="Z518"/>
      <c r="AA518"/>
      <c r="AB518"/>
      <c r="AC518"/>
      <c r="AD518"/>
      <c r="AE518"/>
      <c r="AF518"/>
    </row>
    <row r="519" spans="24:32" x14ac:dyDescent="0.25">
      <c r="X519"/>
      <c r="Y519"/>
      <c r="Z519"/>
      <c r="AA519"/>
      <c r="AB519"/>
      <c r="AC519"/>
      <c r="AD519"/>
      <c r="AE519"/>
      <c r="AF519"/>
    </row>
    <row r="520" spans="24:32" x14ac:dyDescent="0.25">
      <c r="X520"/>
      <c r="Y520"/>
      <c r="Z520"/>
      <c r="AA520"/>
      <c r="AB520"/>
      <c r="AC520"/>
      <c r="AD520"/>
      <c r="AE520"/>
      <c r="AF520"/>
    </row>
    <row r="521" spans="24:32" x14ac:dyDescent="0.25">
      <c r="X521"/>
      <c r="Y521"/>
      <c r="Z521"/>
      <c r="AA521"/>
      <c r="AB521"/>
      <c r="AC521"/>
      <c r="AD521"/>
      <c r="AE521"/>
      <c r="AF521"/>
    </row>
    <row r="522" spans="24:32" x14ac:dyDescent="0.25">
      <c r="X522"/>
      <c r="Y522"/>
      <c r="Z522"/>
      <c r="AA522"/>
      <c r="AB522"/>
      <c r="AC522"/>
      <c r="AD522"/>
      <c r="AE522"/>
      <c r="AF522"/>
    </row>
    <row r="523" spans="24:32" x14ac:dyDescent="0.25">
      <c r="X523"/>
      <c r="Y523"/>
      <c r="Z523"/>
      <c r="AA523"/>
      <c r="AB523"/>
      <c r="AC523"/>
      <c r="AD523"/>
      <c r="AE523"/>
      <c r="AF523"/>
    </row>
    <row r="524" spans="24:32" x14ac:dyDescent="0.25">
      <c r="X524"/>
      <c r="Y524"/>
      <c r="Z524"/>
      <c r="AA524"/>
      <c r="AB524"/>
      <c r="AC524"/>
      <c r="AD524"/>
      <c r="AE524"/>
      <c r="AF524"/>
    </row>
    <row r="525" spans="24:32" x14ac:dyDescent="0.25">
      <c r="X525"/>
      <c r="Y525"/>
      <c r="Z525"/>
      <c r="AA525"/>
      <c r="AB525"/>
      <c r="AC525"/>
      <c r="AD525"/>
      <c r="AE525"/>
      <c r="AF525"/>
    </row>
    <row r="526" spans="24:32" x14ac:dyDescent="0.25">
      <c r="X526"/>
      <c r="Y526"/>
      <c r="Z526"/>
      <c r="AA526"/>
      <c r="AB526"/>
      <c r="AC526"/>
      <c r="AD526"/>
      <c r="AE526"/>
      <c r="AF526"/>
    </row>
    <row r="527" spans="24:32" x14ac:dyDescent="0.25">
      <c r="X527"/>
      <c r="Y527"/>
      <c r="Z527"/>
      <c r="AA527"/>
      <c r="AB527"/>
      <c r="AC527"/>
      <c r="AD527"/>
      <c r="AE527"/>
      <c r="AF527"/>
    </row>
    <row r="528" spans="24:32" x14ac:dyDescent="0.25">
      <c r="X528"/>
      <c r="Y528"/>
      <c r="Z528"/>
      <c r="AA528"/>
      <c r="AB528"/>
      <c r="AC528"/>
      <c r="AD528"/>
      <c r="AE528"/>
      <c r="AF528"/>
    </row>
    <row r="529" spans="24:32" x14ac:dyDescent="0.25">
      <c r="X529"/>
      <c r="Y529"/>
      <c r="Z529"/>
      <c r="AA529"/>
      <c r="AB529"/>
      <c r="AC529"/>
      <c r="AD529"/>
      <c r="AE529"/>
      <c r="AF529"/>
    </row>
    <row r="530" spans="24:32" x14ac:dyDescent="0.25">
      <c r="X530"/>
      <c r="Y530"/>
      <c r="Z530"/>
      <c r="AA530"/>
      <c r="AB530"/>
      <c r="AC530"/>
      <c r="AD530"/>
      <c r="AE530"/>
      <c r="AF530"/>
    </row>
    <row r="531" spans="24:32" x14ac:dyDescent="0.25">
      <c r="X531"/>
      <c r="Y531"/>
      <c r="Z531"/>
      <c r="AA531"/>
      <c r="AB531"/>
      <c r="AC531"/>
      <c r="AD531"/>
      <c r="AE531"/>
      <c r="AF531"/>
    </row>
    <row r="532" spans="24:32" x14ac:dyDescent="0.25">
      <c r="X532"/>
      <c r="Y532"/>
      <c r="Z532"/>
      <c r="AA532"/>
      <c r="AB532"/>
      <c r="AC532"/>
      <c r="AD532"/>
      <c r="AE532"/>
      <c r="AF532"/>
    </row>
    <row r="533" spans="24:32" x14ac:dyDescent="0.25">
      <c r="X533"/>
      <c r="Y533"/>
      <c r="Z533"/>
      <c r="AA533"/>
      <c r="AB533"/>
      <c r="AC533"/>
      <c r="AD533"/>
      <c r="AE533"/>
      <c r="AF533"/>
    </row>
    <row r="534" spans="24:32" x14ac:dyDescent="0.25">
      <c r="X534"/>
      <c r="Y534"/>
      <c r="Z534"/>
      <c r="AA534"/>
      <c r="AB534"/>
      <c r="AC534"/>
      <c r="AD534"/>
      <c r="AE534"/>
      <c r="AF534"/>
    </row>
    <row r="535" spans="24:32" x14ac:dyDescent="0.25">
      <c r="X535"/>
      <c r="Y535"/>
      <c r="Z535"/>
      <c r="AA535"/>
      <c r="AB535"/>
      <c r="AC535"/>
      <c r="AD535"/>
      <c r="AE535"/>
      <c r="AF535"/>
    </row>
    <row r="536" spans="24:32" x14ac:dyDescent="0.25">
      <c r="X536"/>
      <c r="Y536"/>
      <c r="Z536"/>
      <c r="AA536"/>
      <c r="AB536"/>
      <c r="AC536"/>
      <c r="AD536"/>
      <c r="AE536"/>
      <c r="AF536"/>
    </row>
    <row r="537" spans="24:32" x14ac:dyDescent="0.25">
      <c r="X537"/>
      <c r="Y537"/>
      <c r="Z537"/>
      <c r="AA537"/>
      <c r="AB537"/>
      <c r="AC537"/>
      <c r="AD537"/>
      <c r="AE537"/>
      <c r="AF537"/>
    </row>
    <row r="538" spans="24:32" x14ac:dyDescent="0.25">
      <c r="X538"/>
      <c r="Y538"/>
      <c r="Z538"/>
      <c r="AA538"/>
      <c r="AB538"/>
      <c r="AC538"/>
      <c r="AD538"/>
      <c r="AE538"/>
      <c r="AF538"/>
    </row>
    <row r="539" spans="24:32" x14ac:dyDescent="0.25">
      <c r="X539"/>
      <c r="Y539"/>
      <c r="Z539"/>
      <c r="AA539"/>
      <c r="AB539"/>
      <c r="AC539"/>
      <c r="AD539"/>
      <c r="AE539"/>
      <c r="AF539"/>
    </row>
    <row r="540" spans="24:32" x14ac:dyDescent="0.25">
      <c r="X540"/>
      <c r="Y540"/>
      <c r="Z540"/>
      <c r="AA540"/>
      <c r="AB540"/>
      <c r="AC540"/>
      <c r="AD540"/>
      <c r="AE540"/>
      <c r="AF540"/>
    </row>
    <row r="541" spans="24:32" x14ac:dyDescent="0.25">
      <c r="X541"/>
      <c r="Y541"/>
      <c r="Z541"/>
      <c r="AA541"/>
      <c r="AB541"/>
      <c r="AC541"/>
      <c r="AD541"/>
      <c r="AE541"/>
      <c r="AF541"/>
    </row>
    <row r="542" spans="24:32" x14ac:dyDescent="0.25">
      <c r="X542"/>
      <c r="Y542"/>
      <c r="Z542"/>
      <c r="AA542"/>
      <c r="AB542"/>
      <c r="AC542"/>
      <c r="AD542"/>
      <c r="AE542"/>
      <c r="AF542"/>
    </row>
    <row r="543" spans="24:32" x14ac:dyDescent="0.25">
      <c r="X543"/>
      <c r="Y543"/>
      <c r="Z543"/>
      <c r="AA543"/>
      <c r="AB543"/>
      <c r="AC543"/>
      <c r="AD543"/>
      <c r="AE543"/>
      <c r="AF543"/>
    </row>
    <row r="544" spans="24:32" x14ac:dyDescent="0.25">
      <c r="X544"/>
      <c r="Y544"/>
      <c r="Z544"/>
      <c r="AA544"/>
      <c r="AB544"/>
      <c r="AC544"/>
      <c r="AD544"/>
      <c r="AE544"/>
      <c r="AF544"/>
    </row>
    <row r="545" spans="24:32" x14ac:dyDescent="0.25">
      <c r="X545"/>
      <c r="Y545"/>
      <c r="Z545"/>
      <c r="AA545"/>
      <c r="AB545"/>
      <c r="AC545"/>
      <c r="AD545"/>
      <c r="AE545"/>
      <c r="AF545"/>
    </row>
    <row r="546" spans="24:32" x14ac:dyDescent="0.25">
      <c r="X546"/>
      <c r="Y546"/>
      <c r="Z546"/>
      <c r="AA546"/>
      <c r="AB546"/>
      <c r="AC546"/>
      <c r="AD546"/>
      <c r="AE546"/>
      <c r="AF546"/>
    </row>
    <row r="547" spans="24:32" x14ac:dyDescent="0.25">
      <c r="X547"/>
      <c r="Y547"/>
      <c r="Z547"/>
      <c r="AA547"/>
      <c r="AB547"/>
      <c r="AC547"/>
      <c r="AD547"/>
      <c r="AE547"/>
      <c r="AF547"/>
    </row>
    <row r="548" spans="24:32" x14ac:dyDescent="0.25">
      <c r="X548"/>
      <c r="Y548"/>
      <c r="Z548"/>
      <c r="AA548"/>
      <c r="AB548"/>
      <c r="AC548"/>
      <c r="AD548"/>
      <c r="AE548"/>
      <c r="AF548"/>
    </row>
    <row r="549" spans="24:32" x14ac:dyDescent="0.25">
      <c r="X549"/>
      <c r="Y549"/>
      <c r="Z549"/>
      <c r="AA549"/>
      <c r="AB549"/>
      <c r="AC549"/>
      <c r="AD549"/>
      <c r="AE549"/>
      <c r="AF549"/>
    </row>
    <row r="550" spans="24:32" x14ac:dyDescent="0.25">
      <c r="X550"/>
      <c r="Y550"/>
      <c r="Z550"/>
      <c r="AA550"/>
      <c r="AB550"/>
      <c r="AC550"/>
      <c r="AD550"/>
      <c r="AE550"/>
      <c r="AF550"/>
    </row>
    <row r="551" spans="24:32" x14ac:dyDescent="0.25">
      <c r="X551"/>
      <c r="Y551"/>
      <c r="Z551"/>
      <c r="AA551"/>
      <c r="AB551"/>
      <c r="AC551"/>
      <c r="AD551"/>
      <c r="AE551"/>
      <c r="AF551"/>
    </row>
    <row r="552" spans="24:32" x14ac:dyDescent="0.25">
      <c r="X552"/>
      <c r="Y552"/>
      <c r="Z552"/>
      <c r="AA552"/>
      <c r="AB552"/>
      <c r="AC552"/>
      <c r="AD552"/>
      <c r="AE552"/>
      <c r="AF552"/>
    </row>
    <row r="553" spans="24:32" x14ac:dyDescent="0.25">
      <c r="X553"/>
      <c r="Y553"/>
      <c r="Z553"/>
      <c r="AA553"/>
      <c r="AB553"/>
      <c r="AC553"/>
      <c r="AD553"/>
      <c r="AE553"/>
      <c r="AF553"/>
    </row>
    <row r="554" spans="24:32" x14ac:dyDescent="0.25">
      <c r="X554"/>
      <c r="Y554"/>
      <c r="Z554"/>
      <c r="AA554"/>
      <c r="AB554"/>
      <c r="AC554"/>
      <c r="AD554"/>
      <c r="AE554"/>
      <c r="AF554"/>
    </row>
    <row r="555" spans="24:32" x14ac:dyDescent="0.25">
      <c r="X555"/>
      <c r="Y555"/>
      <c r="Z555"/>
      <c r="AA555"/>
      <c r="AB555"/>
      <c r="AC555"/>
      <c r="AD555"/>
      <c r="AE555"/>
      <c r="AF555"/>
    </row>
    <row r="556" spans="24:32" x14ac:dyDescent="0.25">
      <c r="X556"/>
      <c r="Y556"/>
      <c r="Z556"/>
      <c r="AA556"/>
      <c r="AB556"/>
      <c r="AC556"/>
      <c r="AD556"/>
      <c r="AE556"/>
      <c r="AF556"/>
    </row>
    <row r="557" spans="24:32" x14ac:dyDescent="0.25">
      <c r="X557"/>
      <c r="Y557"/>
      <c r="Z557"/>
      <c r="AA557"/>
      <c r="AB557"/>
      <c r="AC557"/>
      <c r="AD557"/>
      <c r="AE557"/>
      <c r="AF557"/>
    </row>
    <row r="558" spans="24:32" x14ac:dyDescent="0.25">
      <c r="X558"/>
      <c r="Y558"/>
      <c r="Z558"/>
      <c r="AA558"/>
      <c r="AB558"/>
      <c r="AC558"/>
      <c r="AD558"/>
      <c r="AE558"/>
      <c r="AF558"/>
    </row>
    <row r="559" spans="24:32" x14ac:dyDescent="0.25">
      <c r="X559"/>
      <c r="Y559"/>
      <c r="Z559"/>
      <c r="AA559"/>
      <c r="AB559"/>
      <c r="AC559"/>
      <c r="AD559"/>
      <c r="AE559"/>
      <c r="AF559"/>
    </row>
    <row r="560" spans="24:32" x14ac:dyDescent="0.25">
      <c r="X560"/>
      <c r="Y560"/>
      <c r="Z560"/>
      <c r="AA560"/>
      <c r="AB560"/>
      <c r="AC560"/>
      <c r="AD560"/>
      <c r="AE560"/>
      <c r="AF560"/>
    </row>
    <row r="561" spans="24:32" x14ac:dyDescent="0.25">
      <c r="X561"/>
      <c r="Y561"/>
      <c r="Z561"/>
      <c r="AA561"/>
      <c r="AB561"/>
      <c r="AC561"/>
      <c r="AD561"/>
      <c r="AE561"/>
      <c r="AF561"/>
    </row>
    <row r="562" spans="24:32" x14ac:dyDescent="0.25">
      <c r="X562"/>
      <c r="Y562"/>
      <c r="Z562"/>
      <c r="AA562"/>
      <c r="AB562"/>
      <c r="AC562"/>
      <c r="AD562"/>
      <c r="AE562"/>
      <c r="AF562"/>
    </row>
    <row r="563" spans="24:32" x14ac:dyDescent="0.25">
      <c r="X563"/>
      <c r="Y563"/>
      <c r="Z563"/>
      <c r="AA563"/>
      <c r="AB563"/>
      <c r="AC563"/>
      <c r="AD563"/>
      <c r="AE563"/>
      <c r="AF563"/>
    </row>
    <row r="564" spans="24:32" x14ac:dyDescent="0.25">
      <c r="X564"/>
      <c r="Y564"/>
      <c r="Z564"/>
      <c r="AA564"/>
      <c r="AB564"/>
      <c r="AC564"/>
      <c r="AD564"/>
      <c r="AE564"/>
      <c r="AF564"/>
    </row>
    <row r="565" spans="24:32" x14ac:dyDescent="0.25">
      <c r="X565"/>
      <c r="Y565"/>
      <c r="Z565"/>
      <c r="AA565"/>
      <c r="AB565"/>
      <c r="AC565"/>
      <c r="AD565"/>
      <c r="AE565"/>
      <c r="AF565"/>
    </row>
    <row r="566" spans="24:32" x14ac:dyDescent="0.25">
      <c r="X566"/>
      <c r="Y566"/>
      <c r="Z566"/>
      <c r="AA566"/>
      <c r="AB566"/>
      <c r="AC566"/>
      <c r="AD566"/>
      <c r="AE566"/>
      <c r="AF566"/>
    </row>
    <row r="567" spans="24:32" x14ac:dyDescent="0.25">
      <c r="X567"/>
      <c r="Y567"/>
      <c r="Z567"/>
      <c r="AA567"/>
      <c r="AB567"/>
      <c r="AC567"/>
      <c r="AD567"/>
      <c r="AE567"/>
      <c r="AF567"/>
    </row>
    <row r="568" spans="24:32" x14ac:dyDescent="0.25">
      <c r="X568"/>
      <c r="Y568"/>
      <c r="Z568"/>
      <c r="AA568"/>
      <c r="AB568"/>
      <c r="AC568"/>
      <c r="AD568"/>
      <c r="AE568"/>
      <c r="AF568"/>
    </row>
    <row r="569" spans="24:32" x14ac:dyDescent="0.25">
      <c r="X569"/>
      <c r="Y569"/>
      <c r="Z569"/>
      <c r="AA569"/>
      <c r="AB569"/>
      <c r="AC569"/>
      <c r="AD569"/>
      <c r="AE569"/>
      <c r="AF569"/>
    </row>
    <row r="570" spans="24:32" x14ac:dyDescent="0.25">
      <c r="X570"/>
      <c r="Y570"/>
      <c r="Z570"/>
      <c r="AA570"/>
      <c r="AB570"/>
      <c r="AC570"/>
      <c r="AD570"/>
      <c r="AE570"/>
      <c r="AF570"/>
    </row>
    <row r="571" spans="24:32" x14ac:dyDescent="0.25">
      <c r="X571"/>
      <c r="Y571"/>
      <c r="Z571"/>
      <c r="AA571"/>
      <c r="AB571"/>
      <c r="AC571"/>
      <c r="AD571"/>
      <c r="AE571"/>
      <c r="AF571"/>
    </row>
    <row r="572" spans="24:32" x14ac:dyDescent="0.25">
      <c r="X572"/>
      <c r="Y572"/>
      <c r="Z572"/>
      <c r="AA572"/>
      <c r="AB572"/>
      <c r="AC572"/>
      <c r="AD572"/>
      <c r="AE572"/>
      <c r="AF572"/>
    </row>
    <row r="573" spans="24:32" x14ac:dyDescent="0.25">
      <c r="X573"/>
      <c r="Y573"/>
      <c r="Z573"/>
      <c r="AA573"/>
      <c r="AB573"/>
      <c r="AC573"/>
      <c r="AD573"/>
      <c r="AE573"/>
      <c r="AF573"/>
    </row>
    <row r="574" spans="24:32" x14ac:dyDescent="0.25">
      <c r="X574"/>
      <c r="Y574"/>
      <c r="Z574"/>
      <c r="AA574"/>
      <c r="AB574"/>
      <c r="AC574"/>
      <c r="AD574"/>
      <c r="AE574"/>
      <c r="AF574"/>
    </row>
    <row r="575" spans="24:32" x14ac:dyDescent="0.25">
      <c r="X575"/>
      <c r="Y575"/>
      <c r="Z575"/>
      <c r="AA575"/>
      <c r="AB575"/>
      <c r="AC575"/>
      <c r="AD575"/>
      <c r="AE575"/>
      <c r="AF575"/>
    </row>
    <row r="576" spans="24:32" x14ac:dyDescent="0.25">
      <c r="X576"/>
      <c r="Y576"/>
      <c r="Z576"/>
      <c r="AA576"/>
      <c r="AB576"/>
      <c r="AC576"/>
      <c r="AD576"/>
      <c r="AE576"/>
      <c r="AF576"/>
    </row>
    <row r="577" spans="24:32" x14ac:dyDescent="0.25">
      <c r="X577"/>
      <c r="Y577"/>
      <c r="Z577"/>
      <c r="AA577"/>
      <c r="AB577"/>
      <c r="AC577"/>
      <c r="AD577"/>
      <c r="AE577"/>
      <c r="AF577"/>
    </row>
    <row r="578" spans="24:32" x14ac:dyDescent="0.25">
      <c r="X578"/>
      <c r="Y578"/>
      <c r="Z578"/>
      <c r="AA578"/>
      <c r="AB578"/>
      <c r="AC578"/>
      <c r="AD578"/>
      <c r="AE578"/>
      <c r="AF578"/>
    </row>
    <row r="579" spans="24:32" x14ac:dyDescent="0.25">
      <c r="X579"/>
      <c r="Y579"/>
      <c r="Z579"/>
      <c r="AA579"/>
      <c r="AB579"/>
      <c r="AC579"/>
      <c r="AD579"/>
      <c r="AE579"/>
      <c r="AF579"/>
    </row>
    <row r="580" spans="24:32" x14ac:dyDescent="0.25">
      <c r="X580"/>
      <c r="Y580"/>
      <c r="Z580"/>
      <c r="AA580"/>
      <c r="AB580"/>
      <c r="AC580"/>
      <c r="AD580"/>
      <c r="AE580"/>
      <c r="AF580"/>
    </row>
    <row r="581" spans="24:32" x14ac:dyDescent="0.25">
      <c r="X581"/>
      <c r="Y581"/>
      <c r="Z581"/>
      <c r="AA581"/>
      <c r="AB581"/>
      <c r="AC581"/>
      <c r="AD581"/>
      <c r="AE581"/>
      <c r="AF581"/>
    </row>
    <row r="582" spans="24:32" x14ac:dyDescent="0.25">
      <c r="X582"/>
      <c r="Y582"/>
      <c r="Z582"/>
      <c r="AA582"/>
      <c r="AB582"/>
      <c r="AC582"/>
      <c r="AD582"/>
      <c r="AE582"/>
      <c r="AF582"/>
    </row>
    <row r="583" spans="24:32" x14ac:dyDescent="0.25">
      <c r="X583"/>
      <c r="Y583"/>
      <c r="Z583"/>
      <c r="AA583"/>
      <c r="AB583"/>
      <c r="AC583"/>
      <c r="AD583"/>
      <c r="AE583"/>
      <c r="AF583"/>
    </row>
    <row r="584" spans="24:32" x14ac:dyDescent="0.25">
      <c r="X584"/>
      <c r="Y584"/>
      <c r="Z584"/>
      <c r="AA584"/>
      <c r="AB584"/>
      <c r="AC584"/>
      <c r="AD584"/>
      <c r="AE584"/>
      <c r="AF584"/>
    </row>
    <row r="585" spans="24:32" x14ac:dyDescent="0.25">
      <c r="X585"/>
      <c r="Y585"/>
      <c r="Z585"/>
      <c r="AA585"/>
      <c r="AB585"/>
      <c r="AC585"/>
      <c r="AD585"/>
      <c r="AE585"/>
      <c r="AF585"/>
    </row>
    <row r="586" spans="24:32" x14ac:dyDescent="0.25">
      <c r="X586"/>
      <c r="Y586"/>
      <c r="Z586"/>
      <c r="AA586"/>
      <c r="AB586"/>
      <c r="AC586"/>
      <c r="AD586"/>
      <c r="AE586"/>
      <c r="AF586"/>
    </row>
    <row r="587" spans="24:32" x14ac:dyDescent="0.25">
      <c r="X587"/>
      <c r="Y587"/>
      <c r="Z587"/>
      <c r="AA587"/>
      <c r="AB587"/>
      <c r="AC587"/>
      <c r="AD587"/>
      <c r="AE587"/>
      <c r="AF587"/>
    </row>
    <row r="588" spans="24:32" x14ac:dyDescent="0.25">
      <c r="X588"/>
      <c r="Y588"/>
      <c r="Z588"/>
      <c r="AA588"/>
      <c r="AB588"/>
      <c r="AC588"/>
      <c r="AD588"/>
      <c r="AE588"/>
      <c r="AF588"/>
    </row>
    <row r="589" spans="24:32" x14ac:dyDescent="0.25">
      <c r="X589"/>
      <c r="Y589"/>
      <c r="Z589"/>
      <c r="AA589"/>
      <c r="AB589"/>
      <c r="AC589"/>
      <c r="AD589"/>
      <c r="AE589"/>
      <c r="AF589"/>
    </row>
    <row r="590" spans="24:32" x14ac:dyDescent="0.25">
      <c r="X590"/>
      <c r="Y590"/>
      <c r="Z590"/>
      <c r="AA590"/>
      <c r="AB590"/>
      <c r="AC590"/>
      <c r="AD590"/>
      <c r="AE590"/>
      <c r="AF590"/>
    </row>
    <row r="591" spans="24:32" x14ac:dyDescent="0.25">
      <c r="X591"/>
      <c r="Y591"/>
      <c r="Z591"/>
      <c r="AA591"/>
      <c r="AB591"/>
      <c r="AC591"/>
      <c r="AD591"/>
      <c r="AE591"/>
      <c r="AF591"/>
    </row>
    <row r="592" spans="24:32" x14ac:dyDescent="0.25">
      <c r="X592"/>
      <c r="Y592"/>
      <c r="Z592"/>
      <c r="AA592"/>
      <c r="AB592"/>
      <c r="AC592"/>
      <c r="AD592"/>
      <c r="AE592"/>
      <c r="AF592"/>
    </row>
    <row r="593" spans="24:32" x14ac:dyDescent="0.25">
      <c r="X593"/>
      <c r="Y593"/>
      <c r="Z593"/>
      <c r="AA593"/>
      <c r="AB593"/>
      <c r="AC593"/>
      <c r="AD593"/>
      <c r="AE593"/>
      <c r="AF593"/>
    </row>
    <row r="594" spans="24:32" x14ac:dyDescent="0.25">
      <c r="X594"/>
      <c r="Y594"/>
      <c r="Z594"/>
      <c r="AA594"/>
      <c r="AB594"/>
      <c r="AC594"/>
      <c r="AD594"/>
      <c r="AE594"/>
      <c r="AF594"/>
    </row>
    <row r="595" spans="24:32" x14ac:dyDescent="0.25">
      <c r="X595"/>
      <c r="Y595"/>
      <c r="Z595"/>
      <c r="AA595"/>
      <c r="AB595"/>
      <c r="AC595"/>
      <c r="AD595"/>
      <c r="AE595"/>
      <c r="AF595"/>
    </row>
    <row r="596" spans="24:32" x14ac:dyDescent="0.25">
      <c r="X596"/>
      <c r="Y596"/>
      <c r="Z596"/>
      <c r="AA596"/>
      <c r="AB596"/>
      <c r="AC596"/>
      <c r="AD596"/>
      <c r="AE596"/>
      <c r="AF596"/>
    </row>
    <row r="597" spans="24:32" x14ac:dyDescent="0.25">
      <c r="X597"/>
      <c r="Y597"/>
      <c r="Z597"/>
      <c r="AA597"/>
      <c r="AB597"/>
      <c r="AC597"/>
      <c r="AD597"/>
      <c r="AE597"/>
      <c r="AF597"/>
    </row>
    <row r="598" spans="24:32" x14ac:dyDescent="0.25">
      <c r="X598"/>
      <c r="Y598"/>
      <c r="Z598"/>
      <c r="AA598"/>
      <c r="AB598"/>
      <c r="AC598"/>
      <c r="AD598"/>
      <c r="AE598"/>
      <c r="AF598"/>
    </row>
    <row r="599" spans="24:32" x14ac:dyDescent="0.25">
      <c r="X599"/>
      <c r="Y599"/>
      <c r="Z599"/>
      <c r="AA599"/>
      <c r="AB599"/>
      <c r="AC599"/>
      <c r="AD599"/>
      <c r="AE599"/>
      <c r="AF599"/>
    </row>
    <row r="600" spans="24:32" x14ac:dyDescent="0.25">
      <c r="X600"/>
      <c r="Y600"/>
      <c r="Z600"/>
      <c r="AA600"/>
      <c r="AB600"/>
      <c r="AC600"/>
      <c r="AD600"/>
      <c r="AE600"/>
      <c r="AF600"/>
    </row>
    <row r="601" spans="24:32" x14ac:dyDescent="0.25">
      <c r="X601"/>
      <c r="Y601"/>
      <c r="Z601"/>
      <c r="AA601"/>
      <c r="AB601"/>
      <c r="AC601"/>
      <c r="AD601"/>
      <c r="AE601"/>
      <c r="AF601"/>
    </row>
    <row r="602" spans="24:32" x14ac:dyDescent="0.25">
      <c r="X602"/>
      <c r="Y602"/>
      <c r="Z602"/>
      <c r="AA602"/>
      <c r="AB602"/>
      <c r="AC602"/>
      <c r="AD602"/>
      <c r="AE602"/>
      <c r="AF602"/>
    </row>
    <row r="603" spans="24:32" x14ac:dyDescent="0.25">
      <c r="X603"/>
      <c r="Y603"/>
      <c r="Z603"/>
      <c r="AA603"/>
      <c r="AB603"/>
      <c r="AC603"/>
      <c r="AD603"/>
      <c r="AE603"/>
      <c r="AF603"/>
    </row>
    <row r="604" spans="24:32" x14ac:dyDescent="0.25">
      <c r="X604"/>
      <c r="Y604"/>
      <c r="Z604"/>
      <c r="AA604"/>
      <c r="AB604"/>
      <c r="AC604"/>
      <c r="AD604"/>
      <c r="AE604"/>
      <c r="AF604"/>
    </row>
    <row r="605" spans="24:32" x14ac:dyDescent="0.25">
      <c r="X605"/>
      <c r="Y605"/>
      <c r="Z605"/>
      <c r="AA605"/>
      <c r="AB605"/>
      <c r="AC605"/>
      <c r="AD605"/>
      <c r="AE605"/>
      <c r="AF605"/>
    </row>
    <row r="606" spans="24:32" x14ac:dyDescent="0.25">
      <c r="X606"/>
      <c r="Y606"/>
      <c r="Z606"/>
      <c r="AA606"/>
      <c r="AB606"/>
      <c r="AC606"/>
      <c r="AD606"/>
      <c r="AE606"/>
      <c r="AF606"/>
    </row>
    <row r="607" spans="24:32" x14ac:dyDescent="0.25">
      <c r="X607"/>
      <c r="Y607"/>
      <c r="Z607"/>
      <c r="AA607"/>
      <c r="AB607"/>
      <c r="AC607"/>
      <c r="AD607"/>
      <c r="AE607"/>
      <c r="AF607"/>
    </row>
    <row r="608" spans="24:32" x14ac:dyDescent="0.25">
      <c r="X608"/>
      <c r="Y608"/>
      <c r="Z608"/>
      <c r="AA608"/>
      <c r="AB608"/>
      <c r="AC608"/>
      <c r="AD608"/>
      <c r="AE608"/>
      <c r="AF608"/>
    </row>
    <row r="609" spans="24:32" x14ac:dyDescent="0.25">
      <c r="X609"/>
      <c r="Y609"/>
      <c r="Z609"/>
      <c r="AA609"/>
      <c r="AB609"/>
      <c r="AC609"/>
      <c r="AD609"/>
      <c r="AE609"/>
      <c r="AF609"/>
    </row>
    <row r="610" spans="24:32" x14ac:dyDescent="0.25">
      <c r="X610"/>
      <c r="Y610"/>
      <c r="Z610"/>
      <c r="AA610"/>
      <c r="AB610"/>
      <c r="AC610"/>
      <c r="AD610"/>
      <c r="AE610"/>
      <c r="AF610"/>
    </row>
    <row r="611" spans="24:32" x14ac:dyDescent="0.25">
      <c r="X611"/>
      <c r="Y611"/>
      <c r="Z611"/>
      <c r="AA611"/>
      <c r="AB611"/>
      <c r="AC611"/>
      <c r="AD611"/>
      <c r="AE611"/>
      <c r="AF611"/>
    </row>
    <row r="612" spans="24:32" x14ac:dyDescent="0.25">
      <c r="X612"/>
      <c r="Y612"/>
      <c r="Z612"/>
      <c r="AA612"/>
      <c r="AB612"/>
      <c r="AC612"/>
      <c r="AD612"/>
      <c r="AE612"/>
      <c r="AF612"/>
    </row>
    <row r="613" spans="24:32" x14ac:dyDescent="0.25">
      <c r="X613"/>
      <c r="Y613"/>
      <c r="Z613"/>
      <c r="AA613"/>
      <c r="AB613"/>
      <c r="AC613"/>
      <c r="AD613"/>
      <c r="AE613"/>
      <c r="AF613"/>
    </row>
    <row r="614" spans="24:32" x14ac:dyDescent="0.25">
      <c r="X614"/>
      <c r="Y614"/>
      <c r="Z614"/>
      <c r="AA614"/>
      <c r="AB614"/>
      <c r="AC614"/>
      <c r="AD614"/>
      <c r="AE614"/>
      <c r="AF614"/>
    </row>
    <row r="615" spans="24:32" x14ac:dyDescent="0.25">
      <c r="X615"/>
      <c r="Y615"/>
      <c r="Z615"/>
      <c r="AA615"/>
      <c r="AB615"/>
      <c r="AC615"/>
      <c r="AD615"/>
      <c r="AE615"/>
      <c r="AF615"/>
    </row>
    <row r="616" spans="24:32" x14ac:dyDescent="0.25">
      <c r="X616"/>
      <c r="Y616"/>
      <c r="Z616"/>
      <c r="AA616"/>
      <c r="AB616"/>
      <c r="AC616"/>
      <c r="AD616"/>
      <c r="AE616"/>
      <c r="AF616"/>
    </row>
    <row r="617" spans="24:32" x14ac:dyDescent="0.25">
      <c r="X617"/>
      <c r="Y617"/>
      <c r="Z617"/>
      <c r="AA617"/>
      <c r="AB617"/>
      <c r="AC617"/>
      <c r="AD617"/>
      <c r="AE617"/>
      <c r="AF617"/>
    </row>
    <row r="619" spans="24:32" x14ac:dyDescent="0.25">
      <c r="X619"/>
      <c r="Y619"/>
      <c r="Z619"/>
      <c r="AA619"/>
      <c r="AB619"/>
      <c r="AC619"/>
      <c r="AD619"/>
      <c r="AE619"/>
      <c r="AF619"/>
    </row>
    <row r="620" spans="24:32" x14ac:dyDescent="0.25">
      <c r="X620"/>
      <c r="Y620"/>
      <c r="Z620"/>
      <c r="AA620"/>
      <c r="AB620"/>
      <c r="AC620"/>
      <c r="AD620"/>
      <c r="AE620"/>
      <c r="AF620"/>
    </row>
    <row r="621" spans="24:32" x14ac:dyDescent="0.25">
      <c r="X621"/>
      <c r="Y621"/>
      <c r="Z621"/>
      <c r="AA621"/>
      <c r="AB621"/>
      <c r="AC621"/>
      <c r="AD621"/>
      <c r="AE621"/>
      <c r="AF621"/>
    </row>
    <row r="622" spans="24:32" x14ac:dyDescent="0.25">
      <c r="X622"/>
      <c r="Y622"/>
      <c r="Z622"/>
      <c r="AA622"/>
      <c r="AB622"/>
      <c r="AC622"/>
      <c r="AD622"/>
      <c r="AE622"/>
      <c r="AF622"/>
    </row>
    <row r="623" spans="24:32" x14ac:dyDescent="0.25">
      <c r="X623"/>
      <c r="Y623"/>
      <c r="Z623"/>
      <c r="AA623"/>
      <c r="AB623"/>
      <c r="AC623"/>
      <c r="AD623"/>
      <c r="AE623"/>
      <c r="AF623"/>
    </row>
    <row r="624" spans="24:32" x14ac:dyDescent="0.25">
      <c r="X624"/>
      <c r="Y624"/>
      <c r="Z624"/>
      <c r="AA624"/>
      <c r="AB624"/>
      <c r="AC624"/>
      <c r="AD624"/>
      <c r="AE624"/>
      <c r="AF624"/>
    </row>
    <row r="625" spans="24:32" x14ac:dyDescent="0.25">
      <c r="X625"/>
      <c r="Y625"/>
      <c r="Z625"/>
      <c r="AA625"/>
      <c r="AB625"/>
      <c r="AC625"/>
      <c r="AD625"/>
      <c r="AE625"/>
      <c r="AF625"/>
    </row>
    <row r="626" spans="24:32" x14ac:dyDescent="0.25">
      <c r="X626"/>
      <c r="Y626"/>
      <c r="Z626"/>
      <c r="AA626"/>
      <c r="AB626"/>
      <c r="AC626"/>
      <c r="AD626"/>
      <c r="AE626"/>
      <c r="AF626"/>
    </row>
    <row r="627" spans="24:32" x14ac:dyDescent="0.25">
      <c r="X627"/>
      <c r="Y627"/>
      <c r="Z627"/>
      <c r="AA627"/>
      <c r="AB627"/>
      <c r="AC627"/>
      <c r="AD627"/>
      <c r="AE627"/>
      <c r="AF627"/>
    </row>
    <row r="628" spans="24:32" x14ac:dyDescent="0.25">
      <c r="X628"/>
      <c r="Y628"/>
      <c r="Z628"/>
      <c r="AA628"/>
      <c r="AB628"/>
      <c r="AC628"/>
      <c r="AD628"/>
      <c r="AE628"/>
      <c r="AF628"/>
    </row>
    <row r="629" spans="24:32" x14ac:dyDescent="0.25">
      <c r="X629"/>
      <c r="Y629"/>
      <c r="Z629"/>
      <c r="AA629"/>
      <c r="AB629"/>
      <c r="AC629"/>
      <c r="AD629"/>
      <c r="AE629"/>
      <c r="AF629"/>
    </row>
    <row r="630" spans="24:32" x14ac:dyDescent="0.25">
      <c r="X630"/>
      <c r="Y630"/>
      <c r="Z630"/>
      <c r="AA630"/>
      <c r="AB630"/>
      <c r="AC630"/>
      <c r="AD630"/>
      <c r="AE630"/>
      <c r="AF630"/>
    </row>
    <row r="631" spans="24:32" x14ac:dyDescent="0.25">
      <c r="X631"/>
      <c r="Y631"/>
      <c r="Z631"/>
      <c r="AA631"/>
      <c r="AB631"/>
      <c r="AC631"/>
      <c r="AD631"/>
      <c r="AE631"/>
      <c r="AF631"/>
    </row>
    <row r="632" spans="24:32" x14ac:dyDescent="0.25">
      <c r="X632"/>
      <c r="Y632"/>
      <c r="Z632"/>
      <c r="AA632"/>
      <c r="AB632"/>
      <c r="AC632"/>
      <c r="AD632"/>
      <c r="AE632"/>
      <c r="AF632"/>
    </row>
    <row r="633" spans="24:32" x14ac:dyDescent="0.25">
      <c r="X633"/>
      <c r="Y633"/>
      <c r="Z633"/>
      <c r="AA633"/>
      <c r="AB633"/>
      <c r="AC633"/>
      <c r="AD633"/>
      <c r="AE633"/>
      <c r="AF633"/>
    </row>
    <row r="634" spans="24:32" x14ac:dyDescent="0.25">
      <c r="X634"/>
      <c r="Y634"/>
      <c r="Z634"/>
      <c r="AA634"/>
      <c r="AB634"/>
      <c r="AC634"/>
      <c r="AD634"/>
      <c r="AE634"/>
      <c r="AF634"/>
    </row>
    <row r="635" spans="24:32" x14ac:dyDescent="0.25">
      <c r="X635"/>
      <c r="Y635"/>
      <c r="Z635"/>
      <c r="AA635"/>
      <c r="AB635"/>
      <c r="AC635"/>
      <c r="AD635"/>
      <c r="AE635"/>
      <c r="AF635"/>
    </row>
    <row r="636" spans="24:32" x14ac:dyDescent="0.25">
      <c r="X636"/>
      <c r="Y636"/>
      <c r="Z636"/>
      <c r="AA636"/>
      <c r="AB636"/>
      <c r="AC636"/>
      <c r="AD636"/>
      <c r="AE636"/>
      <c r="AF636"/>
    </row>
    <row r="637" spans="24:32" x14ac:dyDescent="0.25">
      <c r="X637"/>
      <c r="Y637"/>
      <c r="Z637"/>
      <c r="AA637"/>
      <c r="AB637"/>
      <c r="AC637"/>
      <c r="AD637"/>
      <c r="AE637"/>
      <c r="AF637"/>
    </row>
    <row r="638" spans="24:32" x14ac:dyDescent="0.25">
      <c r="X638"/>
      <c r="Y638"/>
      <c r="Z638"/>
      <c r="AA638"/>
      <c r="AB638"/>
      <c r="AC638"/>
      <c r="AD638"/>
      <c r="AE638"/>
      <c r="AF638"/>
    </row>
    <row r="639" spans="24:32" x14ac:dyDescent="0.25">
      <c r="X639"/>
      <c r="Y639"/>
      <c r="Z639"/>
      <c r="AA639"/>
      <c r="AB639"/>
      <c r="AC639"/>
      <c r="AD639"/>
      <c r="AE639"/>
      <c r="AF639"/>
    </row>
    <row r="640" spans="24:32" x14ac:dyDescent="0.25">
      <c r="X640"/>
      <c r="Y640"/>
      <c r="Z640"/>
      <c r="AA640"/>
      <c r="AB640"/>
      <c r="AC640"/>
      <c r="AD640"/>
      <c r="AE640"/>
      <c r="AF640"/>
    </row>
    <row r="641" spans="24:32" x14ac:dyDescent="0.25">
      <c r="X641"/>
      <c r="Y641"/>
      <c r="Z641"/>
      <c r="AA641"/>
      <c r="AB641"/>
      <c r="AC641"/>
      <c r="AD641"/>
      <c r="AE641"/>
      <c r="AF641"/>
    </row>
    <row r="642" spans="24:32" x14ac:dyDescent="0.25">
      <c r="X642"/>
      <c r="Y642"/>
      <c r="Z642"/>
      <c r="AA642"/>
      <c r="AB642"/>
      <c r="AC642"/>
      <c r="AD642"/>
      <c r="AE642"/>
      <c r="AF642"/>
    </row>
    <row r="643" spans="24:32" x14ac:dyDescent="0.25">
      <c r="X643"/>
      <c r="Y643"/>
      <c r="Z643"/>
      <c r="AA643"/>
      <c r="AB643"/>
      <c r="AC643"/>
      <c r="AD643"/>
      <c r="AE643"/>
      <c r="AF643"/>
    </row>
    <row r="644" spans="24:32" x14ac:dyDescent="0.25">
      <c r="X644"/>
      <c r="Y644"/>
      <c r="Z644"/>
      <c r="AA644"/>
      <c r="AB644"/>
      <c r="AC644"/>
      <c r="AD644"/>
      <c r="AE644"/>
      <c r="AF644"/>
    </row>
    <row r="645" spans="24:32" x14ac:dyDescent="0.25">
      <c r="X645"/>
      <c r="Y645"/>
      <c r="Z645"/>
      <c r="AA645"/>
      <c r="AB645"/>
      <c r="AC645"/>
      <c r="AD645"/>
      <c r="AE645"/>
      <c r="AF645"/>
    </row>
    <row r="646" spans="24:32" x14ac:dyDescent="0.25">
      <c r="X646"/>
      <c r="Y646"/>
      <c r="Z646"/>
      <c r="AA646"/>
      <c r="AB646"/>
      <c r="AC646"/>
      <c r="AD646"/>
      <c r="AE646"/>
      <c r="AF646"/>
    </row>
    <row r="648" spans="24:32" x14ac:dyDescent="0.25">
      <c r="X648"/>
      <c r="Y648"/>
      <c r="Z648"/>
      <c r="AA648"/>
      <c r="AB648"/>
      <c r="AC648"/>
      <c r="AD648"/>
      <c r="AE648"/>
      <c r="AF648"/>
    </row>
    <row r="649" spans="24:32" x14ac:dyDescent="0.25">
      <c r="X649"/>
      <c r="Y649"/>
      <c r="Z649"/>
      <c r="AA649"/>
      <c r="AB649"/>
      <c r="AC649"/>
      <c r="AD649"/>
      <c r="AE649"/>
      <c r="AF649"/>
    </row>
    <row r="650" spans="24:32" x14ac:dyDescent="0.25">
      <c r="X650"/>
      <c r="Y650"/>
      <c r="Z650"/>
      <c r="AA650"/>
      <c r="AB650"/>
      <c r="AC650"/>
      <c r="AD650"/>
      <c r="AE650"/>
      <c r="AF650"/>
    </row>
    <row r="651" spans="24:32" x14ac:dyDescent="0.25">
      <c r="X651"/>
      <c r="Y651"/>
      <c r="Z651"/>
      <c r="AA651"/>
      <c r="AB651"/>
      <c r="AC651"/>
      <c r="AD651"/>
      <c r="AE651"/>
      <c r="AF651"/>
    </row>
    <row r="652" spans="24:32" x14ac:dyDescent="0.25">
      <c r="X652"/>
      <c r="Y652"/>
      <c r="Z652"/>
      <c r="AA652"/>
      <c r="AB652"/>
      <c r="AC652"/>
      <c r="AD652"/>
      <c r="AE652"/>
      <c r="AF652"/>
    </row>
    <row r="653" spans="24:32" x14ac:dyDescent="0.25">
      <c r="X653"/>
      <c r="Y653"/>
      <c r="Z653"/>
      <c r="AA653"/>
      <c r="AB653"/>
      <c r="AC653"/>
      <c r="AD653"/>
      <c r="AE653"/>
      <c r="AF653"/>
    </row>
    <row r="654" spans="24:32" x14ac:dyDescent="0.25">
      <c r="X654"/>
      <c r="Y654"/>
      <c r="Z654"/>
      <c r="AA654"/>
      <c r="AB654"/>
      <c r="AC654"/>
      <c r="AD654"/>
      <c r="AE654"/>
      <c r="AF654"/>
    </row>
    <row r="655" spans="24:32" x14ac:dyDescent="0.25">
      <c r="X655"/>
      <c r="Y655"/>
      <c r="Z655"/>
      <c r="AA655"/>
      <c r="AB655"/>
      <c r="AC655"/>
      <c r="AD655"/>
      <c r="AE655"/>
      <c r="AF655"/>
    </row>
    <row r="656" spans="24:32" x14ac:dyDescent="0.25">
      <c r="X656"/>
      <c r="Y656"/>
      <c r="Z656"/>
      <c r="AA656"/>
      <c r="AB656"/>
      <c r="AC656"/>
      <c r="AD656"/>
      <c r="AE656"/>
      <c r="AF656"/>
    </row>
    <row r="657" spans="24:32" x14ac:dyDescent="0.25">
      <c r="X657"/>
      <c r="Y657"/>
      <c r="Z657"/>
      <c r="AA657"/>
      <c r="AB657"/>
      <c r="AC657"/>
      <c r="AD657"/>
      <c r="AE657"/>
      <c r="AF657"/>
    </row>
    <row r="658" spans="24:32" x14ac:dyDescent="0.25">
      <c r="X658"/>
      <c r="Y658"/>
      <c r="Z658"/>
      <c r="AA658"/>
      <c r="AB658"/>
      <c r="AC658"/>
      <c r="AD658"/>
      <c r="AE658"/>
      <c r="AF658"/>
    </row>
    <row r="659" spans="24:32" x14ac:dyDescent="0.25">
      <c r="X659"/>
      <c r="Y659"/>
      <c r="Z659"/>
      <c r="AA659"/>
      <c r="AB659"/>
      <c r="AC659"/>
      <c r="AD659"/>
      <c r="AE659"/>
      <c r="AF659"/>
    </row>
    <row r="660" spans="24:32" x14ac:dyDescent="0.25">
      <c r="X660"/>
      <c r="Y660"/>
      <c r="Z660"/>
      <c r="AA660"/>
      <c r="AB660"/>
      <c r="AC660"/>
      <c r="AD660"/>
      <c r="AE660"/>
      <c r="AF660"/>
    </row>
    <row r="661" spans="24:32" x14ac:dyDescent="0.25">
      <c r="X661"/>
      <c r="Y661"/>
      <c r="Z661"/>
      <c r="AA661"/>
      <c r="AB661"/>
      <c r="AC661"/>
      <c r="AD661"/>
      <c r="AE661"/>
      <c r="AF661"/>
    </row>
    <row r="662" spans="24:32" x14ac:dyDescent="0.25">
      <c r="X662"/>
      <c r="Y662"/>
      <c r="Z662"/>
      <c r="AA662"/>
      <c r="AB662"/>
      <c r="AC662"/>
      <c r="AD662"/>
      <c r="AE662"/>
      <c r="AF662"/>
    </row>
    <row r="663" spans="24:32" x14ac:dyDescent="0.25">
      <c r="X663"/>
      <c r="Y663"/>
      <c r="Z663"/>
      <c r="AA663"/>
      <c r="AB663"/>
      <c r="AC663"/>
      <c r="AD663"/>
      <c r="AE663"/>
      <c r="AF663"/>
    </row>
    <row r="664" spans="24:32" x14ac:dyDescent="0.25">
      <c r="X664"/>
      <c r="Y664"/>
      <c r="Z664"/>
      <c r="AA664"/>
      <c r="AB664"/>
      <c r="AC664"/>
      <c r="AD664"/>
      <c r="AE664"/>
      <c r="AF664"/>
    </row>
    <row r="665" spans="24:32" x14ac:dyDescent="0.25">
      <c r="X665"/>
      <c r="Y665"/>
      <c r="Z665"/>
      <c r="AA665"/>
      <c r="AB665"/>
      <c r="AC665"/>
      <c r="AD665"/>
      <c r="AE665"/>
      <c r="AF665"/>
    </row>
    <row r="666" spans="24:32" x14ac:dyDescent="0.25">
      <c r="X666"/>
      <c r="Y666"/>
      <c r="Z666"/>
      <c r="AA666"/>
      <c r="AB666"/>
      <c r="AC666"/>
      <c r="AD666"/>
      <c r="AE666"/>
      <c r="AF666"/>
    </row>
    <row r="667" spans="24:32" x14ac:dyDescent="0.25">
      <c r="X667"/>
      <c r="Y667"/>
      <c r="Z667"/>
      <c r="AA667"/>
      <c r="AB667"/>
      <c r="AC667"/>
      <c r="AD667"/>
      <c r="AE667"/>
      <c r="AF667"/>
    </row>
    <row r="668" spans="24:32" x14ac:dyDescent="0.25">
      <c r="X668"/>
      <c r="Y668"/>
      <c r="Z668"/>
      <c r="AA668"/>
      <c r="AB668"/>
      <c r="AC668"/>
      <c r="AD668"/>
      <c r="AE668"/>
      <c r="AF668"/>
    </row>
    <row r="669" spans="24:32" x14ac:dyDescent="0.25">
      <c r="X669"/>
      <c r="Y669"/>
      <c r="Z669"/>
      <c r="AA669"/>
      <c r="AB669"/>
      <c r="AC669"/>
      <c r="AD669"/>
      <c r="AE669"/>
      <c r="AF669"/>
    </row>
    <row r="670" spans="24:32" x14ac:dyDescent="0.25">
      <c r="X670"/>
      <c r="Y670"/>
      <c r="Z670"/>
      <c r="AA670"/>
      <c r="AB670"/>
      <c r="AC670"/>
      <c r="AD670"/>
      <c r="AE670"/>
      <c r="AF670"/>
    </row>
    <row r="671" spans="24:32" x14ac:dyDescent="0.25">
      <c r="X671"/>
      <c r="Y671"/>
      <c r="Z671"/>
      <c r="AA671"/>
      <c r="AB671"/>
      <c r="AC671"/>
      <c r="AD671"/>
      <c r="AE671"/>
      <c r="AF671"/>
    </row>
    <row r="672" spans="24:32" x14ac:dyDescent="0.25">
      <c r="X672"/>
      <c r="Y672"/>
      <c r="Z672"/>
      <c r="AA672"/>
      <c r="AB672"/>
      <c r="AC672"/>
      <c r="AD672"/>
      <c r="AE672"/>
      <c r="AF672"/>
    </row>
    <row r="673" spans="24:32" x14ac:dyDescent="0.25">
      <c r="X673"/>
      <c r="Y673"/>
      <c r="Z673"/>
      <c r="AA673"/>
      <c r="AB673"/>
      <c r="AC673"/>
      <c r="AD673"/>
      <c r="AE673"/>
      <c r="AF673"/>
    </row>
    <row r="674" spans="24:32" x14ac:dyDescent="0.25">
      <c r="X674"/>
      <c r="Y674"/>
      <c r="Z674"/>
      <c r="AA674"/>
      <c r="AB674"/>
      <c r="AC674"/>
      <c r="AD674"/>
      <c r="AE674"/>
      <c r="AF674"/>
    </row>
    <row r="675" spans="24:32" x14ac:dyDescent="0.25">
      <c r="X675"/>
      <c r="Y675"/>
      <c r="Z675"/>
      <c r="AA675"/>
      <c r="AB675"/>
      <c r="AC675"/>
      <c r="AD675"/>
      <c r="AE675"/>
      <c r="AF675"/>
    </row>
    <row r="676" spans="24:32" x14ac:dyDescent="0.25">
      <c r="X676"/>
      <c r="Y676"/>
      <c r="Z676"/>
      <c r="AA676"/>
      <c r="AB676"/>
      <c r="AC676"/>
      <c r="AD676"/>
      <c r="AE676"/>
      <c r="AF676"/>
    </row>
    <row r="677" spans="24:32" x14ac:dyDescent="0.25">
      <c r="X677"/>
      <c r="Y677"/>
      <c r="Z677"/>
      <c r="AA677"/>
      <c r="AB677"/>
      <c r="AC677"/>
      <c r="AD677"/>
      <c r="AE677"/>
      <c r="AF677"/>
    </row>
    <row r="678" spans="24:32" x14ac:dyDescent="0.25">
      <c r="X678"/>
      <c r="Y678"/>
      <c r="Z678"/>
      <c r="AA678"/>
      <c r="AB678"/>
      <c r="AC678"/>
      <c r="AD678"/>
      <c r="AE678"/>
      <c r="AF678"/>
    </row>
    <row r="679" spans="24:32" x14ac:dyDescent="0.25">
      <c r="X679"/>
      <c r="Y679"/>
      <c r="Z679"/>
      <c r="AA679"/>
      <c r="AB679"/>
      <c r="AC679"/>
      <c r="AD679"/>
      <c r="AE679"/>
      <c r="AF679"/>
    </row>
    <row r="680" spans="24:32" x14ac:dyDescent="0.25">
      <c r="X680"/>
      <c r="Y680"/>
      <c r="Z680"/>
      <c r="AA680"/>
      <c r="AB680"/>
      <c r="AC680"/>
      <c r="AD680"/>
      <c r="AE680"/>
      <c r="AF680"/>
    </row>
    <row r="681" spans="24:32" x14ac:dyDescent="0.25">
      <c r="X681"/>
      <c r="Y681"/>
      <c r="Z681"/>
      <c r="AA681"/>
      <c r="AB681"/>
      <c r="AC681"/>
      <c r="AD681"/>
      <c r="AE681"/>
      <c r="AF681"/>
    </row>
    <row r="682" spans="24:32" x14ac:dyDescent="0.25">
      <c r="X682"/>
      <c r="Y682"/>
      <c r="Z682"/>
      <c r="AA682"/>
      <c r="AB682"/>
      <c r="AC682"/>
      <c r="AD682"/>
      <c r="AE682"/>
      <c r="AF682"/>
    </row>
    <row r="683" spans="24:32" x14ac:dyDescent="0.25">
      <c r="X683"/>
      <c r="Y683"/>
      <c r="Z683"/>
      <c r="AA683"/>
      <c r="AB683"/>
      <c r="AC683"/>
      <c r="AD683"/>
      <c r="AE683"/>
      <c r="AF683"/>
    </row>
    <row r="684" spans="24:32" x14ac:dyDescent="0.25">
      <c r="X684"/>
      <c r="Y684"/>
      <c r="Z684"/>
      <c r="AA684"/>
      <c r="AB684"/>
      <c r="AC684"/>
      <c r="AD684"/>
      <c r="AE684"/>
      <c r="AF684"/>
    </row>
    <row r="685" spans="24:32" x14ac:dyDescent="0.25">
      <c r="X685"/>
      <c r="Y685"/>
      <c r="Z685"/>
      <c r="AA685"/>
      <c r="AB685"/>
      <c r="AC685"/>
      <c r="AD685"/>
      <c r="AE685"/>
      <c r="AF685"/>
    </row>
    <row r="686" spans="24:32" x14ac:dyDescent="0.25">
      <c r="X686"/>
      <c r="Y686"/>
      <c r="Z686"/>
      <c r="AA686"/>
      <c r="AB686"/>
      <c r="AC686"/>
      <c r="AD686"/>
      <c r="AE686"/>
      <c r="AF686"/>
    </row>
    <row r="687" spans="24:32" x14ac:dyDescent="0.25">
      <c r="X687"/>
      <c r="Y687"/>
      <c r="Z687"/>
      <c r="AA687"/>
      <c r="AB687"/>
      <c r="AC687"/>
      <c r="AD687"/>
      <c r="AE687"/>
      <c r="AF687"/>
    </row>
    <row r="688" spans="24:32" x14ac:dyDescent="0.25">
      <c r="X688"/>
      <c r="Y688"/>
      <c r="Z688"/>
      <c r="AA688"/>
      <c r="AB688"/>
      <c r="AC688"/>
      <c r="AD688"/>
      <c r="AE688"/>
      <c r="AF688"/>
    </row>
    <row r="689" spans="24:32" x14ac:dyDescent="0.25">
      <c r="X689"/>
      <c r="Y689"/>
      <c r="Z689"/>
      <c r="AA689"/>
      <c r="AB689"/>
      <c r="AC689"/>
      <c r="AD689"/>
      <c r="AE689"/>
      <c r="AF689"/>
    </row>
    <row r="690" spans="24:32" x14ac:dyDescent="0.25">
      <c r="X690"/>
      <c r="Y690"/>
      <c r="Z690"/>
      <c r="AA690"/>
      <c r="AB690"/>
      <c r="AC690"/>
      <c r="AD690"/>
      <c r="AE690"/>
      <c r="AF690"/>
    </row>
    <row r="691" spans="24:32" x14ac:dyDescent="0.25">
      <c r="X691"/>
      <c r="Y691"/>
      <c r="Z691"/>
      <c r="AA691"/>
      <c r="AB691"/>
      <c r="AC691"/>
      <c r="AD691"/>
      <c r="AE691"/>
      <c r="AF691"/>
    </row>
    <row r="692" spans="24:32" x14ac:dyDescent="0.25">
      <c r="X692"/>
      <c r="Y692"/>
      <c r="Z692"/>
      <c r="AA692"/>
      <c r="AB692"/>
      <c r="AC692"/>
      <c r="AD692"/>
      <c r="AE692"/>
      <c r="AF692"/>
    </row>
    <row r="693" spans="24:32" x14ac:dyDescent="0.25">
      <c r="X693"/>
      <c r="Y693"/>
      <c r="Z693"/>
      <c r="AA693"/>
      <c r="AB693"/>
      <c r="AC693"/>
      <c r="AD693"/>
      <c r="AE693"/>
      <c r="AF693"/>
    </row>
    <row r="694" spans="24:32" x14ac:dyDescent="0.25">
      <c r="X694"/>
      <c r="Y694"/>
      <c r="Z694"/>
      <c r="AA694"/>
      <c r="AB694"/>
      <c r="AC694"/>
      <c r="AD694"/>
      <c r="AE694"/>
      <c r="AF694"/>
    </row>
    <row r="695" spans="24:32" x14ac:dyDescent="0.25">
      <c r="X695"/>
      <c r="Y695"/>
      <c r="Z695"/>
      <c r="AA695"/>
      <c r="AB695"/>
      <c r="AC695"/>
      <c r="AD695"/>
      <c r="AE695"/>
      <c r="AF695"/>
    </row>
    <row r="696" spans="24:32" x14ac:dyDescent="0.25">
      <c r="X696"/>
      <c r="Y696"/>
      <c r="Z696"/>
      <c r="AA696"/>
      <c r="AB696"/>
      <c r="AC696"/>
      <c r="AD696"/>
      <c r="AE696"/>
      <c r="AF696"/>
    </row>
    <row r="697" spans="24:32" x14ac:dyDescent="0.25">
      <c r="X697"/>
      <c r="Y697"/>
      <c r="Z697"/>
      <c r="AA697"/>
      <c r="AB697"/>
      <c r="AC697"/>
      <c r="AD697"/>
      <c r="AE697"/>
      <c r="AF697"/>
    </row>
    <row r="698" spans="24:32" x14ac:dyDescent="0.25">
      <c r="X698"/>
      <c r="Y698"/>
      <c r="Z698"/>
      <c r="AA698"/>
      <c r="AB698"/>
      <c r="AC698"/>
      <c r="AD698"/>
      <c r="AE698"/>
      <c r="AF698"/>
    </row>
    <row r="699" spans="24:32" x14ac:dyDescent="0.25">
      <c r="X699"/>
      <c r="Y699"/>
      <c r="Z699"/>
      <c r="AA699"/>
      <c r="AB699"/>
      <c r="AC699"/>
      <c r="AD699"/>
      <c r="AE699"/>
      <c r="AF699"/>
    </row>
    <row r="700" spans="24:32" x14ac:dyDescent="0.25">
      <c r="X700"/>
      <c r="Y700"/>
      <c r="Z700"/>
      <c r="AA700"/>
      <c r="AB700"/>
      <c r="AC700"/>
      <c r="AD700"/>
      <c r="AE700"/>
      <c r="AF700"/>
    </row>
    <row r="701" spans="24:32" x14ac:dyDescent="0.25">
      <c r="X701"/>
      <c r="Y701"/>
      <c r="Z701"/>
      <c r="AA701"/>
      <c r="AB701"/>
      <c r="AC701"/>
      <c r="AD701"/>
      <c r="AE701"/>
      <c r="AF701"/>
    </row>
    <row r="702" spans="24:32" x14ac:dyDescent="0.25">
      <c r="X702"/>
      <c r="Y702"/>
      <c r="Z702"/>
      <c r="AA702"/>
      <c r="AB702"/>
      <c r="AC702"/>
      <c r="AD702"/>
      <c r="AE702"/>
      <c r="AF702"/>
    </row>
    <row r="703" spans="24:32" x14ac:dyDescent="0.25">
      <c r="X703"/>
      <c r="Y703"/>
      <c r="Z703"/>
      <c r="AA703"/>
      <c r="AB703"/>
      <c r="AC703"/>
      <c r="AD703"/>
      <c r="AE703"/>
      <c r="AF703"/>
    </row>
    <row r="704" spans="24:32" x14ac:dyDescent="0.25">
      <c r="X704"/>
      <c r="Y704"/>
      <c r="Z704"/>
      <c r="AA704"/>
      <c r="AB704"/>
      <c r="AC704"/>
      <c r="AD704"/>
      <c r="AE704"/>
      <c r="AF704"/>
    </row>
    <row r="705" spans="24:32" x14ac:dyDescent="0.25">
      <c r="X705"/>
      <c r="Y705"/>
      <c r="Z705"/>
      <c r="AA705"/>
      <c r="AB705"/>
      <c r="AC705"/>
      <c r="AD705"/>
      <c r="AE705"/>
      <c r="AF705"/>
    </row>
    <row r="706" spans="24:32" x14ac:dyDescent="0.25">
      <c r="X706"/>
      <c r="Y706"/>
      <c r="Z706"/>
      <c r="AA706"/>
      <c r="AB706"/>
      <c r="AC706"/>
      <c r="AD706"/>
      <c r="AE706"/>
      <c r="AF706"/>
    </row>
    <row r="707" spans="24:32" x14ac:dyDescent="0.25">
      <c r="X707"/>
      <c r="Y707"/>
      <c r="Z707"/>
      <c r="AA707"/>
      <c r="AB707"/>
      <c r="AC707"/>
      <c r="AD707"/>
      <c r="AE707"/>
      <c r="AF707"/>
    </row>
    <row r="708" spans="24:32" x14ac:dyDescent="0.25">
      <c r="X708"/>
      <c r="Y708"/>
      <c r="Z708"/>
      <c r="AA708"/>
      <c r="AB708"/>
      <c r="AC708"/>
      <c r="AD708"/>
      <c r="AE708"/>
      <c r="AF708"/>
    </row>
    <row r="709" spans="24:32" x14ac:dyDescent="0.25">
      <c r="X709"/>
      <c r="Y709"/>
      <c r="Z709"/>
      <c r="AA709"/>
      <c r="AB709"/>
      <c r="AC709"/>
      <c r="AD709"/>
      <c r="AE709"/>
      <c r="AF709"/>
    </row>
    <row r="710" spans="24:32" x14ac:dyDescent="0.25">
      <c r="X710"/>
      <c r="Y710"/>
      <c r="Z710"/>
      <c r="AA710"/>
      <c r="AB710"/>
      <c r="AC710"/>
      <c r="AD710"/>
      <c r="AE710"/>
      <c r="AF710"/>
    </row>
    <row r="711" spans="24:32" x14ac:dyDescent="0.25">
      <c r="X711"/>
      <c r="Y711"/>
      <c r="Z711"/>
      <c r="AA711"/>
      <c r="AB711"/>
      <c r="AC711"/>
      <c r="AD711"/>
      <c r="AE711"/>
      <c r="AF711"/>
    </row>
    <row r="712" spans="24:32" x14ac:dyDescent="0.25">
      <c r="X712"/>
      <c r="Y712"/>
      <c r="Z712"/>
      <c r="AA712"/>
      <c r="AB712"/>
      <c r="AC712"/>
      <c r="AD712"/>
      <c r="AE712"/>
      <c r="AF712"/>
    </row>
    <row r="713" spans="24:32" x14ac:dyDescent="0.25">
      <c r="X713"/>
      <c r="Y713"/>
      <c r="Z713"/>
      <c r="AA713"/>
      <c r="AB713"/>
      <c r="AC713"/>
      <c r="AD713"/>
      <c r="AE713"/>
      <c r="AF713"/>
    </row>
    <row r="714" spans="24:32" x14ac:dyDescent="0.25">
      <c r="X714"/>
      <c r="Y714"/>
      <c r="Z714"/>
      <c r="AA714"/>
      <c r="AB714"/>
      <c r="AC714"/>
      <c r="AD714"/>
      <c r="AE714"/>
      <c r="AF714"/>
    </row>
    <row r="715" spans="24:32" x14ac:dyDescent="0.25">
      <c r="X715"/>
      <c r="Y715"/>
      <c r="Z715"/>
      <c r="AA715"/>
      <c r="AB715"/>
      <c r="AC715"/>
      <c r="AD715"/>
      <c r="AE715"/>
      <c r="AF715"/>
    </row>
    <row r="716" spans="24:32" x14ac:dyDescent="0.25">
      <c r="X716"/>
      <c r="Y716"/>
      <c r="Z716"/>
      <c r="AA716"/>
      <c r="AB716"/>
      <c r="AC716"/>
      <c r="AD716"/>
      <c r="AE716"/>
      <c r="AF716"/>
    </row>
    <row r="717" spans="24:32" x14ac:dyDescent="0.25">
      <c r="X717"/>
      <c r="Y717"/>
      <c r="Z717"/>
      <c r="AA717"/>
      <c r="AB717"/>
      <c r="AC717"/>
      <c r="AD717"/>
      <c r="AE717"/>
      <c r="AF717"/>
    </row>
    <row r="718" spans="24:32" x14ac:dyDescent="0.25">
      <c r="X718"/>
      <c r="Y718"/>
      <c r="Z718"/>
      <c r="AA718"/>
      <c r="AB718"/>
      <c r="AC718"/>
      <c r="AD718"/>
      <c r="AE718"/>
      <c r="AF718"/>
    </row>
    <row r="719" spans="24:32" x14ac:dyDescent="0.25">
      <c r="X719"/>
      <c r="Y719"/>
      <c r="Z719"/>
      <c r="AA719"/>
      <c r="AB719"/>
      <c r="AC719"/>
      <c r="AD719"/>
      <c r="AE719"/>
      <c r="AF719"/>
    </row>
    <row r="720" spans="24:32" x14ac:dyDescent="0.25">
      <c r="X720"/>
      <c r="Y720"/>
      <c r="Z720"/>
      <c r="AA720"/>
      <c r="AB720"/>
      <c r="AC720"/>
      <c r="AD720"/>
      <c r="AE720"/>
      <c r="AF720"/>
    </row>
    <row r="721" spans="24:32" x14ac:dyDescent="0.25">
      <c r="X721"/>
      <c r="Y721"/>
      <c r="Z721"/>
      <c r="AA721"/>
      <c r="AB721"/>
      <c r="AC721"/>
      <c r="AD721"/>
      <c r="AE721"/>
      <c r="AF721"/>
    </row>
    <row r="722" spans="24:32" x14ac:dyDescent="0.25">
      <c r="X722"/>
      <c r="Y722"/>
      <c r="Z722"/>
      <c r="AA722"/>
      <c r="AB722"/>
      <c r="AC722"/>
      <c r="AD722"/>
      <c r="AE722"/>
      <c r="AF722"/>
    </row>
    <row r="723" spans="24:32" x14ac:dyDescent="0.25">
      <c r="X723"/>
      <c r="Y723"/>
      <c r="Z723"/>
      <c r="AA723"/>
      <c r="AB723"/>
      <c r="AC723"/>
      <c r="AD723"/>
      <c r="AE723"/>
      <c r="AF723"/>
    </row>
    <row r="724" spans="24:32" x14ac:dyDescent="0.25">
      <c r="X724"/>
      <c r="Y724"/>
      <c r="Z724"/>
      <c r="AA724"/>
      <c r="AB724"/>
      <c r="AC724"/>
      <c r="AD724"/>
      <c r="AE724"/>
      <c r="AF724"/>
    </row>
    <row r="725" spans="24:32" x14ac:dyDescent="0.25">
      <c r="X725"/>
      <c r="Y725"/>
      <c r="Z725"/>
      <c r="AA725"/>
      <c r="AB725"/>
      <c r="AC725"/>
      <c r="AD725"/>
      <c r="AE725"/>
      <c r="AF725"/>
    </row>
    <row r="726" spans="24:32" x14ac:dyDescent="0.25">
      <c r="X726"/>
      <c r="Y726"/>
      <c r="Z726"/>
      <c r="AA726"/>
      <c r="AB726"/>
      <c r="AC726"/>
      <c r="AD726"/>
      <c r="AE726"/>
      <c r="AF726"/>
    </row>
    <row r="727" spans="24:32" x14ac:dyDescent="0.25">
      <c r="X727"/>
      <c r="Y727"/>
      <c r="Z727"/>
      <c r="AA727"/>
      <c r="AB727"/>
      <c r="AC727"/>
      <c r="AD727"/>
      <c r="AE727"/>
      <c r="AF727"/>
    </row>
    <row r="728" spans="24:32" x14ac:dyDescent="0.25">
      <c r="X728"/>
      <c r="Y728"/>
      <c r="Z728"/>
      <c r="AA728"/>
      <c r="AB728"/>
      <c r="AC728"/>
      <c r="AD728"/>
      <c r="AE728"/>
      <c r="AF728"/>
    </row>
    <row r="729" spans="24:32" x14ac:dyDescent="0.25">
      <c r="X729"/>
      <c r="Y729"/>
      <c r="Z729"/>
      <c r="AA729"/>
      <c r="AB729"/>
      <c r="AC729"/>
      <c r="AD729"/>
      <c r="AE729"/>
      <c r="AF729"/>
    </row>
    <row r="730" spans="24:32" x14ac:dyDescent="0.25">
      <c r="X730"/>
      <c r="Y730"/>
      <c r="Z730"/>
      <c r="AA730"/>
      <c r="AB730"/>
      <c r="AC730"/>
      <c r="AD730"/>
      <c r="AE730"/>
      <c r="AF730"/>
    </row>
    <row r="731" spans="24:32" x14ac:dyDescent="0.25">
      <c r="X731"/>
      <c r="Y731"/>
      <c r="Z731"/>
      <c r="AA731"/>
      <c r="AB731"/>
      <c r="AC731"/>
      <c r="AD731"/>
      <c r="AE731"/>
      <c r="AF731"/>
    </row>
    <row r="732" spans="24:32" x14ac:dyDescent="0.25">
      <c r="X732"/>
      <c r="Y732"/>
      <c r="Z732"/>
      <c r="AA732"/>
      <c r="AB732"/>
      <c r="AC732"/>
      <c r="AD732"/>
      <c r="AE732"/>
      <c r="AF732"/>
    </row>
    <row r="733" spans="24:32" x14ac:dyDescent="0.25">
      <c r="X733"/>
      <c r="Y733"/>
      <c r="Z733"/>
      <c r="AA733"/>
      <c r="AB733"/>
      <c r="AC733"/>
      <c r="AD733"/>
      <c r="AE733"/>
      <c r="AF733"/>
    </row>
    <row r="734" spans="24:32" x14ac:dyDescent="0.25">
      <c r="X734"/>
      <c r="Y734"/>
      <c r="Z734"/>
      <c r="AA734"/>
      <c r="AB734"/>
      <c r="AC734"/>
      <c r="AD734"/>
      <c r="AE734"/>
      <c r="AF734"/>
    </row>
    <row r="735" spans="24:32" x14ac:dyDescent="0.25">
      <c r="X735"/>
      <c r="Y735"/>
      <c r="Z735"/>
      <c r="AA735"/>
      <c r="AB735"/>
      <c r="AC735"/>
      <c r="AD735"/>
      <c r="AE735"/>
      <c r="AF735"/>
    </row>
    <row r="736" spans="24:32" x14ac:dyDescent="0.25">
      <c r="X736"/>
      <c r="Y736"/>
      <c r="Z736"/>
      <c r="AA736"/>
      <c r="AB736"/>
      <c r="AC736"/>
      <c r="AD736"/>
      <c r="AE736"/>
      <c r="AF736"/>
    </row>
  </sheetData>
  <mergeCells count="3">
    <mergeCell ref="B343:AI343"/>
    <mergeCell ref="B247:AI247"/>
    <mergeCell ref="B2:AI2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AI186"/>
  <sheetViews>
    <sheetView topLeftCell="A2" zoomScale="70" zoomScaleNormal="70" workbookViewId="0">
      <selection activeCell="B83" sqref="B83:AI172"/>
    </sheetView>
  </sheetViews>
  <sheetFormatPr baseColWidth="10" defaultRowHeight="15" x14ac:dyDescent="0.25"/>
  <cols>
    <col min="2" max="2" width="34.7109375" bestFit="1" customWidth="1"/>
    <col min="3" max="3" width="20.42578125" bestFit="1" customWidth="1"/>
    <col min="4" max="4" width="9.28515625" style="2" customWidth="1"/>
    <col min="5" max="5" width="63.7109375" bestFit="1" customWidth="1"/>
    <col min="6" max="6" width="52.42578125" style="1" bestFit="1" customWidth="1"/>
    <col min="7" max="7" width="72.7109375" style="1" customWidth="1"/>
    <col min="8" max="8" width="83" style="1" customWidth="1"/>
    <col min="9" max="9" width="19.42578125" style="1" customWidth="1"/>
    <col min="10" max="10" width="15.7109375" style="1" customWidth="1"/>
    <col min="11" max="17" width="13.42578125" style="1" customWidth="1"/>
    <col min="18" max="22" width="13.42578125" customWidth="1"/>
    <col min="24" max="24" width="15.7109375" bestFit="1" customWidth="1"/>
  </cols>
  <sheetData>
    <row r="1" spans="1:35" ht="18.600000000000001" customHeight="1" thickBot="1" x14ac:dyDescent="0.3">
      <c r="A1" s="192"/>
      <c r="B1" s="193"/>
      <c r="C1" s="194"/>
      <c r="D1" s="194"/>
      <c r="E1" s="195"/>
      <c r="F1" s="195"/>
      <c r="G1" s="195"/>
      <c r="I1" s="214"/>
      <c r="J1" s="214"/>
      <c r="K1" s="214"/>
      <c r="L1" s="214"/>
      <c r="M1" s="214"/>
      <c r="N1" s="214"/>
      <c r="O1" s="214"/>
      <c r="P1" s="214"/>
      <c r="Q1" s="214"/>
    </row>
    <row r="2" spans="1:35" ht="18.75" x14ac:dyDescent="0.25">
      <c r="A2" s="86"/>
      <c r="B2" s="135" t="s">
        <v>18</v>
      </c>
      <c r="C2" s="136" t="s">
        <v>0</v>
      </c>
      <c r="D2" s="136" t="s">
        <v>671</v>
      </c>
      <c r="E2" s="136" t="s">
        <v>1</v>
      </c>
      <c r="F2" s="215" t="s">
        <v>2</v>
      </c>
      <c r="G2" s="215" t="s">
        <v>3</v>
      </c>
      <c r="H2" s="215" t="s">
        <v>4</v>
      </c>
      <c r="I2" s="363" t="s">
        <v>1527</v>
      </c>
      <c r="J2" s="242" t="s">
        <v>1528</v>
      </c>
      <c r="K2" s="242" t="s">
        <v>1702</v>
      </c>
      <c r="L2" s="242" t="s">
        <v>1703</v>
      </c>
      <c r="M2" s="242" t="s">
        <v>1704</v>
      </c>
      <c r="N2" s="242" t="s">
        <v>1705</v>
      </c>
      <c r="O2" s="242" t="s">
        <v>1706</v>
      </c>
      <c r="P2" s="242" t="s">
        <v>1707</v>
      </c>
      <c r="Q2" s="242" t="s">
        <v>1708</v>
      </c>
      <c r="R2" s="242" t="s">
        <v>1709</v>
      </c>
      <c r="S2" s="364" t="s">
        <v>1710</v>
      </c>
      <c r="T2" s="364" t="s">
        <v>1711</v>
      </c>
      <c r="U2" s="364" t="s">
        <v>1712</v>
      </c>
      <c r="V2" s="365" t="s">
        <v>1713</v>
      </c>
      <c r="W2" s="90" t="s">
        <v>711</v>
      </c>
      <c r="X2" s="91" t="s">
        <v>463</v>
      </c>
      <c r="Y2" s="91" t="s">
        <v>464</v>
      </c>
      <c r="Z2" s="91" t="s">
        <v>465</v>
      </c>
      <c r="AA2" s="91" t="s">
        <v>466</v>
      </c>
      <c r="AB2" s="91" t="s">
        <v>467</v>
      </c>
      <c r="AC2" s="91" t="s">
        <v>468</v>
      </c>
      <c r="AD2" s="91" t="s">
        <v>469</v>
      </c>
      <c r="AE2" s="91" t="s">
        <v>470</v>
      </c>
      <c r="AF2" s="91" t="s">
        <v>471</v>
      </c>
      <c r="AG2" s="91" t="s">
        <v>472</v>
      </c>
      <c r="AH2" s="91" t="s">
        <v>473</v>
      </c>
      <c r="AI2" s="91" t="s">
        <v>474</v>
      </c>
    </row>
    <row r="3" spans="1:35" ht="18.75" hidden="1" x14ac:dyDescent="0.3">
      <c r="A3" s="243"/>
      <c r="B3" s="97" t="s">
        <v>1483</v>
      </c>
      <c r="C3" s="94" t="s">
        <v>1486</v>
      </c>
      <c r="D3" s="94">
        <v>0</v>
      </c>
      <c r="E3" s="95" t="s">
        <v>376</v>
      </c>
      <c r="F3" s="96" t="s">
        <v>1636</v>
      </c>
      <c r="G3" s="172" t="s">
        <v>1485</v>
      </c>
      <c r="H3" s="96" t="s">
        <v>1484</v>
      </c>
      <c r="I3" s="173">
        <v>5355</v>
      </c>
      <c r="J3" s="173"/>
      <c r="K3" s="173"/>
      <c r="L3" s="173"/>
      <c r="M3" s="173"/>
      <c r="N3" s="173"/>
      <c r="O3" s="173"/>
      <c r="P3" s="173"/>
      <c r="Q3" s="173"/>
      <c r="R3" s="213"/>
      <c r="S3" s="101"/>
      <c r="T3" s="101"/>
      <c r="U3" s="101"/>
      <c r="V3" s="101"/>
      <c r="W3" s="139"/>
      <c r="X3" s="139" t="s">
        <v>692</v>
      </c>
      <c r="Y3" s="139" t="s">
        <v>692</v>
      </c>
      <c r="Z3" s="139" t="s">
        <v>692</v>
      </c>
      <c r="AA3" s="139" t="s">
        <v>692</v>
      </c>
      <c r="AB3" s="139" t="s">
        <v>692</v>
      </c>
      <c r="AC3" s="139" t="s">
        <v>692</v>
      </c>
      <c r="AD3" s="139" t="s">
        <v>692</v>
      </c>
      <c r="AE3" s="139" t="s">
        <v>692</v>
      </c>
      <c r="AF3" s="139" t="s">
        <v>692</v>
      </c>
      <c r="AG3" s="139" t="s">
        <v>692</v>
      </c>
      <c r="AH3" s="139" t="s">
        <v>692</v>
      </c>
      <c r="AI3" s="139" t="s">
        <v>692</v>
      </c>
    </row>
    <row r="4" spans="1:35" ht="18.75" hidden="1" customHeight="1" x14ac:dyDescent="0.25">
      <c r="A4" s="243"/>
      <c r="B4" s="97">
        <v>78226859</v>
      </c>
      <c r="C4" s="97" t="s">
        <v>579</v>
      </c>
      <c r="D4" s="97">
        <v>0</v>
      </c>
      <c r="E4" s="172" t="s">
        <v>21</v>
      </c>
      <c r="F4" s="172" t="s">
        <v>580</v>
      </c>
      <c r="G4" s="172" t="s">
        <v>1253</v>
      </c>
      <c r="H4" s="172"/>
      <c r="I4" s="172">
        <v>21619994</v>
      </c>
      <c r="J4" s="172"/>
      <c r="K4" s="172"/>
      <c r="L4" s="172"/>
      <c r="M4" s="172"/>
      <c r="N4" s="172"/>
      <c r="O4" s="172"/>
      <c r="P4" s="172"/>
      <c r="Q4" s="172"/>
      <c r="R4" s="101"/>
      <c r="S4" s="101"/>
      <c r="T4" s="101"/>
      <c r="U4" s="101"/>
      <c r="V4" s="101"/>
      <c r="W4" s="139"/>
      <c r="X4" s="139" t="s">
        <v>692</v>
      </c>
      <c r="Y4" s="139" t="s">
        <v>692</v>
      </c>
      <c r="Z4" s="139" t="s">
        <v>692</v>
      </c>
      <c r="AA4" s="139" t="s">
        <v>692</v>
      </c>
      <c r="AB4" s="139" t="s">
        <v>692</v>
      </c>
      <c r="AC4" s="139" t="s">
        <v>692</v>
      </c>
      <c r="AD4" s="139" t="s">
        <v>692</v>
      </c>
      <c r="AE4" s="139" t="s">
        <v>692</v>
      </c>
      <c r="AF4" s="139" t="s">
        <v>692</v>
      </c>
      <c r="AG4" s="139" t="s">
        <v>692</v>
      </c>
      <c r="AH4" s="139" t="s">
        <v>692</v>
      </c>
      <c r="AI4" s="139" t="s">
        <v>692</v>
      </c>
    </row>
    <row r="5" spans="1:35" ht="18.75" hidden="1" x14ac:dyDescent="0.25">
      <c r="A5" s="243"/>
      <c r="B5" s="97" t="s">
        <v>398</v>
      </c>
      <c r="C5" s="94" t="s">
        <v>581</v>
      </c>
      <c r="D5" s="94">
        <v>0</v>
      </c>
      <c r="E5" s="174" t="s">
        <v>21</v>
      </c>
      <c r="F5" s="99" t="s">
        <v>585</v>
      </c>
      <c r="G5" s="99" t="s">
        <v>606</v>
      </c>
      <c r="H5" s="175"/>
      <c r="I5" s="173">
        <v>3385338</v>
      </c>
      <c r="J5" s="173"/>
      <c r="K5" s="173"/>
      <c r="L5" s="173"/>
      <c r="M5" s="173"/>
      <c r="N5" s="173"/>
      <c r="O5" s="173"/>
      <c r="P5" s="173"/>
      <c r="Q5" s="173"/>
      <c r="R5" s="213"/>
      <c r="S5" s="101"/>
      <c r="T5" s="101"/>
      <c r="U5" s="101"/>
      <c r="V5" s="101"/>
      <c r="W5" s="139"/>
      <c r="X5" s="139" t="s">
        <v>692</v>
      </c>
      <c r="Y5" s="139" t="s">
        <v>692</v>
      </c>
      <c r="Z5" s="139" t="s">
        <v>692</v>
      </c>
      <c r="AA5" s="139" t="s">
        <v>692</v>
      </c>
      <c r="AB5" s="139" t="s">
        <v>692</v>
      </c>
      <c r="AC5" s="139" t="s">
        <v>692</v>
      </c>
      <c r="AD5" s="139" t="s">
        <v>692</v>
      </c>
      <c r="AE5" s="139" t="s">
        <v>692</v>
      </c>
      <c r="AF5" s="139" t="s">
        <v>692</v>
      </c>
      <c r="AG5" s="139" t="s">
        <v>692</v>
      </c>
      <c r="AH5" s="139" t="s">
        <v>692</v>
      </c>
      <c r="AI5" s="139" t="s">
        <v>692</v>
      </c>
    </row>
    <row r="6" spans="1:35" ht="18.75" hidden="1" x14ac:dyDescent="0.25">
      <c r="A6" s="243"/>
      <c r="B6" s="97" t="s">
        <v>386</v>
      </c>
      <c r="C6" s="97" t="s">
        <v>581</v>
      </c>
      <c r="D6" s="97">
        <v>0</v>
      </c>
      <c r="E6" s="172" t="s">
        <v>21</v>
      </c>
      <c r="F6" s="172" t="s">
        <v>585</v>
      </c>
      <c r="G6" s="172" t="s">
        <v>1255</v>
      </c>
      <c r="H6" s="172"/>
      <c r="I6" s="172">
        <v>495931</v>
      </c>
      <c r="J6" s="172"/>
      <c r="K6" s="172"/>
      <c r="L6" s="172"/>
      <c r="M6" s="172"/>
      <c r="N6" s="172"/>
      <c r="O6" s="172"/>
      <c r="P6" s="172"/>
      <c r="Q6" s="172"/>
      <c r="R6" s="101"/>
      <c r="S6" s="101"/>
      <c r="T6" s="101"/>
      <c r="U6" s="101"/>
      <c r="V6" s="101"/>
      <c r="W6" s="139"/>
      <c r="X6" s="139" t="s">
        <v>692</v>
      </c>
      <c r="Y6" s="139" t="s">
        <v>692</v>
      </c>
      <c r="Z6" s="139" t="s">
        <v>692</v>
      </c>
      <c r="AA6" s="139" t="s">
        <v>692</v>
      </c>
      <c r="AB6" s="139" t="s">
        <v>692</v>
      </c>
      <c r="AC6" s="139" t="s">
        <v>692</v>
      </c>
      <c r="AD6" s="139" t="s">
        <v>692</v>
      </c>
      <c r="AE6" s="139" t="s">
        <v>692</v>
      </c>
      <c r="AF6" s="139" t="s">
        <v>692</v>
      </c>
      <c r="AG6" s="139" t="s">
        <v>692</v>
      </c>
      <c r="AH6" s="139" t="s">
        <v>692</v>
      </c>
      <c r="AI6" s="139" t="s">
        <v>692</v>
      </c>
    </row>
    <row r="7" spans="1:35" ht="18.75" hidden="1" x14ac:dyDescent="0.25">
      <c r="A7" s="243"/>
      <c r="B7" s="97" t="s">
        <v>387</v>
      </c>
      <c r="C7" s="97" t="s">
        <v>581</v>
      </c>
      <c r="D7" s="97">
        <v>0</v>
      </c>
      <c r="E7" s="172" t="s">
        <v>21</v>
      </c>
      <c r="F7" s="172" t="s">
        <v>585</v>
      </c>
      <c r="G7" s="172" t="s">
        <v>586</v>
      </c>
      <c r="H7" s="172"/>
      <c r="I7" s="172">
        <v>795010</v>
      </c>
      <c r="J7" s="172"/>
      <c r="K7" s="172"/>
      <c r="L7" s="172"/>
      <c r="M7" s="172"/>
      <c r="N7" s="172"/>
      <c r="O7" s="172"/>
      <c r="P7" s="172"/>
      <c r="Q7" s="172"/>
      <c r="R7" s="101"/>
      <c r="S7" s="101"/>
      <c r="T7" s="101"/>
      <c r="U7" s="101"/>
      <c r="V7" s="101"/>
      <c r="W7" s="139"/>
      <c r="X7" s="139" t="s">
        <v>692</v>
      </c>
      <c r="Y7" s="139" t="s">
        <v>692</v>
      </c>
      <c r="Z7" s="139" t="s">
        <v>692</v>
      </c>
      <c r="AA7" s="139" t="s">
        <v>692</v>
      </c>
      <c r="AB7" s="139" t="s">
        <v>692</v>
      </c>
      <c r="AC7" s="139" t="s">
        <v>692</v>
      </c>
      <c r="AD7" s="139" t="s">
        <v>692</v>
      </c>
      <c r="AE7" s="139" t="s">
        <v>692</v>
      </c>
      <c r="AF7" s="139" t="s">
        <v>692</v>
      </c>
      <c r="AG7" s="139" t="s">
        <v>692</v>
      </c>
      <c r="AH7" s="139" t="s">
        <v>692</v>
      </c>
      <c r="AI7" s="139" t="s">
        <v>692</v>
      </c>
    </row>
    <row r="8" spans="1:35" ht="18.75" hidden="1" x14ac:dyDescent="0.25">
      <c r="A8" s="243"/>
      <c r="B8" s="97" t="s">
        <v>412</v>
      </c>
      <c r="C8" s="97" t="s">
        <v>643</v>
      </c>
      <c r="D8" s="97">
        <v>0</v>
      </c>
      <c r="E8" s="172" t="s">
        <v>21</v>
      </c>
      <c r="F8" s="172" t="s">
        <v>1276</v>
      </c>
      <c r="G8" s="172" t="s">
        <v>644</v>
      </c>
      <c r="H8" s="172"/>
      <c r="I8" s="172">
        <v>667764</v>
      </c>
      <c r="J8" s="172"/>
      <c r="K8" s="172"/>
      <c r="L8" s="172"/>
      <c r="M8" s="172"/>
      <c r="N8" s="172"/>
      <c r="O8" s="172"/>
      <c r="P8" s="172"/>
      <c r="Q8" s="172"/>
      <c r="R8" s="213"/>
      <c r="S8" s="101"/>
      <c r="T8" s="101"/>
      <c r="U8" s="101"/>
      <c r="V8" s="101"/>
      <c r="W8" s="139"/>
      <c r="X8" s="139" t="s">
        <v>692</v>
      </c>
      <c r="Y8" s="139" t="s">
        <v>692</v>
      </c>
      <c r="Z8" s="139" t="s">
        <v>692</v>
      </c>
      <c r="AA8" s="139" t="s">
        <v>692</v>
      </c>
      <c r="AB8" s="139" t="s">
        <v>692</v>
      </c>
      <c r="AC8" s="139" t="s">
        <v>692</v>
      </c>
      <c r="AD8" s="139" t="s">
        <v>692</v>
      </c>
      <c r="AE8" s="139" t="s">
        <v>692</v>
      </c>
      <c r="AF8" s="139" t="s">
        <v>692</v>
      </c>
      <c r="AG8" s="139" t="s">
        <v>692</v>
      </c>
      <c r="AH8" s="139" t="s">
        <v>692</v>
      </c>
      <c r="AI8" s="139" t="s">
        <v>692</v>
      </c>
    </row>
    <row r="9" spans="1:35" ht="18.75" hidden="1" x14ac:dyDescent="0.25">
      <c r="A9" s="243"/>
      <c r="B9" s="97">
        <v>41709388</v>
      </c>
      <c r="C9" s="97" t="s">
        <v>645</v>
      </c>
      <c r="D9" s="97">
        <v>0</v>
      </c>
      <c r="E9" s="172" t="s">
        <v>21</v>
      </c>
      <c r="F9" s="172" t="s">
        <v>609</v>
      </c>
      <c r="G9" s="172" t="s">
        <v>646</v>
      </c>
      <c r="H9" s="172" t="s">
        <v>1279</v>
      </c>
      <c r="I9" s="172"/>
      <c r="J9" s="172"/>
      <c r="K9" s="172"/>
      <c r="L9" s="172"/>
      <c r="M9" s="172"/>
      <c r="N9" s="172"/>
      <c r="O9" s="172"/>
      <c r="P9" s="172"/>
      <c r="Q9" s="172"/>
      <c r="R9" s="213"/>
      <c r="S9" s="101"/>
      <c r="T9" s="101"/>
      <c r="U9" s="101"/>
      <c r="V9" s="101"/>
      <c r="W9" s="139"/>
      <c r="X9" s="139" t="s">
        <v>692</v>
      </c>
      <c r="Y9" s="139" t="s">
        <v>692</v>
      </c>
      <c r="Z9" s="139" t="s">
        <v>692</v>
      </c>
      <c r="AA9" s="139" t="s">
        <v>692</v>
      </c>
      <c r="AB9" s="139" t="s">
        <v>692</v>
      </c>
      <c r="AC9" s="139" t="s">
        <v>692</v>
      </c>
      <c r="AD9" s="139" t="s">
        <v>692</v>
      </c>
      <c r="AE9" s="139" t="s">
        <v>692</v>
      </c>
      <c r="AF9" s="139" t="s">
        <v>692</v>
      </c>
      <c r="AG9" s="139" t="s">
        <v>692</v>
      </c>
      <c r="AH9" s="139" t="s">
        <v>692</v>
      </c>
      <c r="AI9" s="139" t="s">
        <v>692</v>
      </c>
    </row>
    <row r="10" spans="1:35" ht="18.75" hidden="1" x14ac:dyDescent="0.25">
      <c r="A10" s="243"/>
      <c r="B10" s="97">
        <v>49311166</v>
      </c>
      <c r="C10" s="97" t="s">
        <v>645</v>
      </c>
      <c r="D10" s="97">
        <v>0</v>
      </c>
      <c r="E10" s="98" t="s">
        <v>21</v>
      </c>
      <c r="F10" s="99" t="s">
        <v>609</v>
      </c>
      <c r="G10" s="99" t="s">
        <v>646</v>
      </c>
      <c r="H10" s="99" t="s">
        <v>1301</v>
      </c>
      <c r="I10" s="173"/>
      <c r="J10" s="173"/>
      <c r="K10" s="173"/>
      <c r="L10" s="173"/>
      <c r="M10" s="173"/>
      <c r="N10" s="173"/>
      <c r="O10" s="173"/>
      <c r="P10" s="173"/>
      <c r="Q10" s="173"/>
      <c r="R10" s="213"/>
      <c r="S10" s="101"/>
      <c r="T10" s="101"/>
      <c r="U10" s="101"/>
      <c r="V10" s="101"/>
      <c r="W10" s="139"/>
      <c r="X10" s="139" t="s">
        <v>692</v>
      </c>
      <c r="Y10" s="139" t="s">
        <v>692</v>
      </c>
      <c r="Z10" s="139" t="s">
        <v>692</v>
      </c>
      <c r="AA10" s="139" t="s">
        <v>692</v>
      </c>
      <c r="AB10" s="139" t="s">
        <v>692</v>
      </c>
      <c r="AC10" s="139" t="s">
        <v>692</v>
      </c>
      <c r="AD10" s="139" t="s">
        <v>692</v>
      </c>
      <c r="AE10" s="139" t="s">
        <v>692</v>
      </c>
      <c r="AF10" s="139" t="s">
        <v>692</v>
      </c>
      <c r="AG10" s="139" t="s">
        <v>692</v>
      </c>
      <c r="AH10" s="139" t="s">
        <v>692</v>
      </c>
      <c r="AI10" s="139" t="s">
        <v>692</v>
      </c>
    </row>
    <row r="11" spans="1:35" ht="18.75" hidden="1" customHeight="1" x14ac:dyDescent="0.3">
      <c r="A11" s="243"/>
      <c r="B11" s="200" t="s">
        <v>1328</v>
      </c>
      <c r="C11" s="87" t="s">
        <v>342</v>
      </c>
      <c r="D11" s="87">
        <v>0</v>
      </c>
      <c r="E11" s="183" t="s">
        <v>378</v>
      </c>
      <c r="F11" s="175" t="s">
        <v>379</v>
      </c>
      <c r="G11" s="185"/>
      <c r="H11" s="184" t="s">
        <v>883</v>
      </c>
      <c r="I11" s="173">
        <v>923254</v>
      </c>
      <c r="J11" s="173"/>
      <c r="K11" s="173"/>
      <c r="L11" s="173"/>
      <c r="M11" s="139"/>
      <c r="N11" s="139"/>
      <c r="O11" s="139"/>
      <c r="P11" s="139"/>
      <c r="Q11" s="139"/>
      <c r="R11" s="213"/>
      <c r="S11" s="101"/>
      <c r="T11" s="101"/>
      <c r="U11" s="101"/>
      <c r="V11" s="101"/>
      <c r="W11" s="139"/>
      <c r="X11" s="139" t="s">
        <v>692</v>
      </c>
      <c r="Y11" s="139" t="s">
        <v>692</v>
      </c>
      <c r="Z11" s="139" t="s">
        <v>692</v>
      </c>
      <c r="AA11" s="139" t="s">
        <v>692</v>
      </c>
      <c r="AB11" s="139" t="s">
        <v>692</v>
      </c>
      <c r="AC11" s="139" t="s">
        <v>692</v>
      </c>
      <c r="AD11" s="139" t="s">
        <v>692</v>
      </c>
      <c r="AE11" s="139" t="s">
        <v>692</v>
      </c>
      <c r="AF11" s="139" t="s">
        <v>692</v>
      </c>
      <c r="AG11" s="139" t="s">
        <v>692</v>
      </c>
      <c r="AH11" s="139" t="s">
        <v>692</v>
      </c>
      <c r="AI11" s="139" t="s">
        <v>692</v>
      </c>
    </row>
    <row r="12" spans="1:35" ht="18.75" hidden="1" customHeight="1" x14ac:dyDescent="0.3">
      <c r="A12" s="243"/>
      <c r="B12" s="244" t="s">
        <v>1327</v>
      </c>
      <c r="C12" s="181" t="s">
        <v>342</v>
      </c>
      <c r="D12" s="181">
        <v>0</v>
      </c>
      <c r="E12" s="182" t="s">
        <v>376</v>
      </c>
      <c r="F12" s="175" t="s">
        <v>377</v>
      </c>
      <c r="G12" s="99" t="s">
        <v>1481</v>
      </c>
      <c r="H12" s="175" t="s">
        <v>883</v>
      </c>
      <c r="I12" s="173"/>
      <c r="J12" s="173"/>
      <c r="K12" s="173"/>
      <c r="L12" s="173"/>
      <c r="M12" s="173"/>
      <c r="N12" s="173"/>
      <c r="O12" s="173"/>
      <c r="P12" s="173"/>
      <c r="Q12" s="173"/>
      <c r="R12" s="213"/>
      <c r="S12" s="101"/>
      <c r="T12" s="101"/>
      <c r="U12" s="101"/>
      <c r="V12" s="101"/>
      <c r="W12" s="139"/>
      <c r="X12" s="139" t="s">
        <v>692</v>
      </c>
      <c r="Y12" s="139" t="s">
        <v>692</v>
      </c>
      <c r="Z12" s="139" t="s">
        <v>692</v>
      </c>
      <c r="AA12" s="139" t="s">
        <v>692</v>
      </c>
      <c r="AB12" s="139" t="s">
        <v>692</v>
      </c>
      <c r="AC12" s="139" t="s">
        <v>692</v>
      </c>
      <c r="AD12" s="139" t="s">
        <v>692</v>
      </c>
      <c r="AE12" s="139" t="s">
        <v>692</v>
      </c>
      <c r="AF12" s="139" t="s">
        <v>692</v>
      </c>
      <c r="AG12" s="139" t="s">
        <v>692</v>
      </c>
      <c r="AH12" s="139" t="s">
        <v>692</v>
      </c>
      <c r="AI12" s="139" t="s">
        <v>692</v>
      </c>
    </row>
    <row r="13" spans="1:35" ht="18.75" hidden="1" x14ac:dyDescent="0.25">
      <c r="A13" s="243"/>
      <c r="B13" s="97" t="s">
        <v>1625</v>
      </c>
      <c r="C13" s="97" t="s">
        <v>318</v>
      </c>
      <c r="D13" s="97">
        <v>0</v>
      </c>
      <c r="E13" s="172" t="s">
        <v>1623</v>
      </c>
      <c r="F13" s="172"/>
      <c r="G13" s="172" t="s">
        <v>1624</v>
      </c>
      <c r="H13" s="172"/>
      <c r="I13" s="172">
        <v>44301270</v>
      </c>
      <c r="J13" s="172"/>
      <c r="K13" s="172"/>
      <c r="L13" s="172"/>
      <c r="M13" s="172"/>
      <c r="N13" s="172"/>
      <c r="O13" s="172"/>
      <c r="P13" s="172"/>
      <c r="Q13" s="172"/>
      <c r="R13" s="101"/>
      <c r="S13" s="101"/>
      <c r="T13" s="101"/>
      <c r="U13" s="101"/>
      <c r="V13" s="101"/>
      <c r="W13" s="139"/>
      <c r="X13" s="139" t="s">
        <v>692</v>
      </c>
      <c r="Y13" s="139" t="s">
        <v>692</v>
      </c>
      <c r="Z13" s="139" t="s">
        <v>692</v>
      </c>
      <c r="AA13" s="139" t="s">
        <v>692</v>
      </c>
      <c r="AB13" s="139" t="s">
        <v>692</v>
      </c>
      <c r="AC13" s="139" t="s">
        <v>692</v>
      </c>
      <c r="AD13" s="139" t="s">
        <v>692</v>
      </c>
      <c r="AE13" s="139" t="s">
        <v>692</v>
      </c>
      <c r="AF13" s="139" t="s">
        <v>692</v>
      </c>
      <c r="AG13" s="139" t="s">
        <v>692</v>
      </c>
      <c r="AH13" s="139" t="s">
        <v>692</v>
      </c>
      <c r="AI13" s="139" t="s">
        <v>692</v>
      </c>
    </row>
    <row r="14" spans="1:35" ht="18.75" hidden="1" x14ac:dyDescent="0.25">
      <c r="A14" s="243"/>
      <c r="B14" s="97" t="s">
        <v>1622</v>
      </c>
      <c r="C14" s="97" t="s">
        <v>318</v>
      </c>
      <c r="D14" s="97">
        <v>0</v>
      </c>
      <c r="E14" s="172" t="s">
        <v>1623</v>
      </c>
      <c r="F14" s="172"/>
      <c r="G14" s="172" t="s">
        <v>1624</v>
      </c>
      <c r="H14" s="172"/>
      <c r="I14" s="172">
        <v>40267099</v>
      </c>
      <c r="J14" s="172"/>
      <c r="K14" s="172"/>
      <c r="L14" s="172"/>
      <c r="M14" s="172"/>
      <c r="N14" s="172"/>
      <c r="O14" s="172"/>
      <c r="P14" s="172"/>
      <c r="Q14" s="172"/>
      <c r="R14" s="101"/>
      <c r="S14" s="101"/>
      <c r="T14" s="101"/>
      <c r="U14" s="101"/>
      <c r="V14" s="101"/>
      <c r="W14" s="139"/>
      <c r="X14" s="139" t="s">
        <v>692</v>
      </c>
      <c r="Y14" s="139" t="s">
        <v>692</v>
      </c>
      <c r="Z14" s="139" t="s">
        <v>692</v>
      </c>
      <c r="AA14" s="139" t="s">
        <v>692</v>
      </c>
      <c r="AB14" s="139" t="s">
        <v>692</v>
      </c>
      <c r="AC14" s="139" t="s">
        <v>692</v>
      </c>
      <c r="AD14" s="139" t="s">
        <v>692</v>
      </c>
      <c r="AE14" s="139" t="s">
        <v>692</v>
      </c>
      <c r="AF14" s="139" t="s">
        <v>692</v>
      </c>
      <c r="AG14" s="139" t="s">
        <v>692</v>
      </c>
      <c r="AH14" s="139" t="s">
        <v>692</v>
      </c>
      <c r="AI14" s="139" t="s">
        <v>692</v>
      </c>
    </row>
    <row r="15" spans="1:35" ht="18.75" hidden="1" x14ac:dyDescent="0.25">
      <c r="A15" s="243"/>
      <c r="B15" s="97" t="s">
        <v>78</v>
      </c>
      <c r="C15" s="97" t="s">
        <v>681</v>
      </c>
      <c r="D15" s="97">
        <v>0</v>
      </c>
      <c r="E15" s="177" t="s">
        <v>835</v>
      </c>
      <c r="F15" s="177" t="s">
        <v>47</v>
      </c>
      <c r="G15" s="99"/>
      <c r="H15" s="178"/>
      <c r="I15" s="173">
        <v>8977310</v>
      </c>
      <c r="J15" s="173"/>
      <c r="K15" s="173"/>
      <c r="L15" s="173"/>
      <c r="M15" s="173"/>
      <c r="N15" s="173"/>
      <c r="O15" s="173"/>
      <c r="P15" s="173"/>
      <c r="Q15" s="173"/>
      <c r="R15" s="213"/>
      <c r="S15" s="101"/>
      <c r="T15" s="101"/>
      <c r="U15" s="101"/>
      <c r="V15" s="101"/>
      <c r="W15" s="139"/>
      <c r="X15" s="139" t="s">
        <v>692</v>
      </c>
      <c r="Y15" s="139" t="s">
        <v>692</v>
      </c>
      <c r="Z15" s="139" t="s">
        <v>692</v>
      </c>
      <c r="AA15" s="139" t="s">
        <v>692</v>
      </c>
      <c r="AB15" s="139" t="s">
        <v>692</v>
      </c>
      <c r="AC15" s="139" t="s">
        <v>692</v>
      </c>
      <c r="AD15" s="139" t="s">
        <v>692</v>
      </c>
      <c r="AE15" s="139" t="s">
        <v>692</v>
      </c>
      <c r="AF15" s="139" t="s">
        <v>692</v>
      </c>
      <c r="AG15" s="139" t="s">
        <v>692</v>
      </c>
      <c r="AH15" s="139" t="s">
        <v>692</v>
      </c>
      <c r="AI15" s="139" t="s">
        <v>692</v>
      </c>
    </row>
    <row r="16" spans="1:35" ht="18.75" hidden="1" x14ac:dyDescent="0.25">
      <c r="A16" s="243"/>
      <c r="B16" s="97" t="s">
        <v>144</v>
      </c>
      <c r="C16" s="94" t="s">
        <v>142</v>
      </c>
      <c r="D16" s="94">
        <v>0</v>
      </c>
      <c r="E16" s="174" t="s">
        <v>145</v>
      </c>
      <c r="F16" s="175" t="s">
        <v>38</v>
      </c>
      <c r="G16" s="99" t="s">
        <v>146</v>
      </c>
      <c r="H16" s="175" t="s">
        <v>1069</v>
      </c>
      <c r="I16" s="173"/>
      <c r="J16" s="173"/>
      <c r="K16" s="173"/>
      <c r="L16" s="173"/>
      <c r="M16" s="139"/>
      <c r="N16" s="139"/>
      <c r="O16" s="139"/>
      <c r="P16" s="139"/>
      <c r="Q16" s="139"/>
      <c r="R16" s="213"/>
      <c r="S16" s="101"/>
      <c r="T16" s="101"/>
      <c r="U16" s="101"/>
      <c r="V16" s="101"/>
      <c r="W16" s="139"/>
      <c r="X16" s="139" t="s">
        <v>692</v>
      </c>
      <c r="Y16" s="139" t="s">
        <v>692</v>
      </c>
      <c r="Z16" s="139" t="s">
        <v>692</v>
      </c>
      <c r="AA16" s="139" t="s">
        <v>692</v>
      </c>
      <c r="AB16" s="139" t="s">
        <v>692</v>
      </c>
      <c r="AC16" s="139" t="s">
        <v>692</v>
      </c>
      <c r="AD16" s="139" t="s">
        <v>692</v>
      </c>
      <c r="AE16" s="139" t="s">
        <v>692</v>
      </c>
      <c r="AF16" s="139" t="s">
        <v>692</v>
      </c>
      <c r="AG16" s="139" t="s">
        <v>692</v>
      </c>
      <c r="AH16" s="139" t="s">
        <v>692</v>
      </c>
      <c r="AI16" s="139" t="s">
        <v>692</v>
      </c>
    </row>
    <row r="17" spans="1:35" ht="18.75" hidden="1" x14ac:dyDescent="0.25">
      <c r="A17" s="243"/>
      <c r="B17" s="97">
        <v>5900984</v>
      </c>
      <c r="C17" s="97" t="s">
        <v>318</v>
      </c>
      <c r="D17" s="97">
        <v>1</v>
      </c>
      <c r="E17" s="172" t="s">
        <v>328</v>
      </c>
      <c r="F17" s="172" t="s">
        <v>329</v>
      </c>
      <c r="G17" s="172"/>
      <c r="H17" s="172"/>
      <c r="I17" s="172">
        <v>195598</v>
      </c>
      <c r="J17" s="172"/>
      <c r="K17" s="172"/>
      <c r="L17" s="172"/>
      <c r="M17" s="172"/>
      <c r="N17" s="172"/>
      <c r="O17" s="172"/>
      <c r="P17" s="172"/>
      <c r="Q17" s="172"/>
      <c r="R17" s="101"/>
      <c r="S17" s="101"/>
      <c r="T17" s="101"/>
      <c r="U17" s="101"/>
      <c r="V17" s="101"/>
      <c r="W17" s="139"/>
      <c r="X17" s="139" t="s">
        <v>692</v>
      </c>
      <c r="Y17" s="139" t="s">
        <v>692</v>
      </c>
      <c r="Z17" s="139" t="s">
        <v>692</v>
      </c>
      <c r="AA17" s="139" t="s">
        <v>692</v>
      </c>
      <c r="AB17" s="139" t="s">
        <v>692</v>
      </c>
      <c r="AC17" s="139" t="s">
        <v>692</v>
      </c>
      <c r="AD17" s="139" t="s">
        <v>692</v>
      </c>
      <c r="AE17" s="139" t="s">
        <v>692</v>
      </c>
      <c r="AF17" s="139" t="s">
        <v>692</v>
      </c>
      <c r="AG17" s="139" t="s">
        <v>692</v>
      </c>
      <c r="AH17" s="139" t="s">
        <v>692</v>
      </c>
      <c r="AI17" s="139" t="s">
        <v>692</v>
      </c>
    </row>
    <row r="18" spans="1:35" ht="18.75" hidden="1" x14ac:dyDescent="0.25">
      <c r="A18" s="243"/>
      <c r="B18" s="97">
        <v>40564523</v>
      </c>
      <c r="C18" s="97" t="s">
        <v>318</v>
      </c>
      <c r="D18" s="97">
        <v>1</v>
      </c>
      <c r="E18" s="172" t="s">
        <v>331</v>
      </c>
      <c r="F18" s="172" t="s">
        <v>900</v>
      </c>
      <c r="G18" s="172"/>
      <c r="H18" s="172"/>
      <c r="I18" s="172">
        <v>24131</v>
      </c>
      <c r="J18" s="172"/>
      <c r="K18" s="172"/>
      <c r="L18" s="172"/>
      <c r="M18" s="172"/>
      <c r="N18" s="172"/>
      <c r="O18" s="172"/>
      <c r="P18" s="172"/>
      <c r="Q18" s="172"/>
      <c r="R18" s="101"/>
      <c r="S18" s="101"/>
      <c r="T18" s="101"/>
      <c r="U18" s="101"/>
      <c r="V18" s="101"/>
      <c r="W18" s="139"/>
      <c r="X18" s="139" t="s">
        <v>692</v>
      </c>
      <c r="Y18" s="139" t="s">
        <v>692</v>
      </c>
      <c r="Z18" s="139" t="s">
        <v>692</v>
      </c>
      <c r="AA18" s="139" t="s">
        <v>692</v>
      </c>
      <c r="AB18" s="139" t="s">
        <v>692</v>
      </c>
      <c r="AC18" s="139" t="s">
        <v>692</v>
      </c>
      <c r="AD18" s="139" t="s">
        <v>692</v>
      </c>
      <c r="AE18" s="139" t="s">
        <v>692</v>
      </c>
      <c r="AF18" s="139" t="s">
        <v>692</v>
      </c>
      <c r="AG18" s="139" t="s">
        <v>692</v>
      </c>
      <c r="AH18" s="139" t="s">
        <v>692</v>
      </c>
      <c r="AI18" s="139" t="s">
        <v>692</v>
      </c>
    </row>
    <row r="19" spans="1:35" ht="18.75" hidden="1" x14ac:dyDescent="0.25">
      <c r="A19" s="243"/>
      <c r="B19" s="97" t="s">
        <v>334</v>
      </c>
      <c r="C19" s="97" t="s">
        <v>318</v>
      </c>
      <c r="D19" s="97">
        <v>1</v>
      </c>
      <c r="E19" s="172" t="s">
        <v>335</v>
      </c>
      <c r="F19" s="172" t="s">
        <v>998</v>
      </c>
      <c r="G19" s="172" t="s">
        <v>336</v>
      </c>
      <c r="H19" s="172"/>
      <c r="I19" s="172">
        <v>2515</v>
      </c>
      <c r="J19" s="172"/>
      <c r="K19" s="172"/>
      <c r="L19" s="172"/>
      <c r="M19" s="172"/>
      <c r="N19" s="172"/>
      <c r="O19" s="172"/>
      <c r="P19" s="172"/>
      <c r="Q19" s="172"/>
      <c r="R19" s="101"/>
      <c r="S19" s="101"/>
      <c r="T19" s="101"/>
      <c r="U19" s="101"/>
      <c r="V19" s="101"/>
      <c r="W19" s="139"/>
      <c r="X19" s="139" t="s">
        <v>692</v>
      </c>
      <c r="Y19" s="139" t="s">
        <v>692</v>
      </c>
      <c r="Z19" s="139" t="s">
        <v>692</v>
      </c>
      <c r="AA19" s="139" t="s">
        <v>692</v>
      </c>
      <c r="AB19" s="139" t="s">
        <v>692</v>
      </c>
      <c r="AC19" s="139" t="s">
        <v>692</v>
      </c>
      <c r="AD19" s="139" t="s">
        <v>692</v>
      </c>
      <c r="AE19" s="139" t="s">
        <v>692</v>
      </c>
      <c r="AF19" s="139" t="s">
        <v>692</v>
      </c>
      <c r="AG19" s="139" t="s">
        <v>692</v>
      </c>
      <c r="AH19" s="139" t="s">
        <v>692</v>
      </c>
      <c r="AI19" s="139" t="s">
        <v>692</v>
      </c>
    </row>
    <row r="20" spans="1:35" ht="18.75" hidden="1" x14ac:dyDescent="0.25">
      <c r="A20" s="243"/>
      <c r="B20" s="190">
        <v>52577618</v>
      </c>
      <c r="C20" s="55" t="s">
        <v>86</v>
      </c>
      <c r="D20" s="55">
        <v>1</v>
      </c>
      <c r="E20" s="177" t="s">
        <v>710</v>
      </c>
      <c r="F20" s="177" t="s">
        <v>63</v>
      </c>
      <c r="G20" s="178" t="s">
        <v>1222</v>
      </c>
      <c r="H20" s="177" t="s">
        <v>754</v>
      </c>
      <c r="I20" s="179"/>
      <c r="J20" s="179"/>
      <c r="K20" s="179"/>
      <c r="L20" s="179"/>
      <c r="M20" s="179"/>
      <c r="N20" s="179"/>
      <c r="O20" s="179"/>
      <c r="P20" s="179"/>
      <c r="Q20" s="179"/>
      <c r="R20" s="213"/>
      <c r="S20" s="101"/>
      <c r="T20" s="101"/>
      <c r="U20" s="101"/>
      <c r="V20" s="101"/>
      <c r="W20" s="139"/>
      <c r="X20" s="139" t="s">
        <v>692</v>
      </c>
      <c r="Y20" s="139" t="s">
        <v>692</v>
      </c>
      <c r="Z20" s="139" t="s">
        <v>692</v>
      </c>
      <c r="AA20" s="139" t="s">
        <v>692</v>
      </c>
      <c r="AB20" s="139" t="s">
        <v>692</v>
      </c>
      <c r="AC20" s="139" t="s">
        <v>692</v>
      </c>
      <c r="AD20" s="139" t="s">
        <v>692</v>
      </c>
      <c r="AE20" s="139" t="s">
        <v>692</v>
      </c>
      <c r="AF20" s="139" t="s">
        <v>692</v>
      </c>
      <c r="AG20" s="139" t="s">
        <v>692</v>
      </c>
      <c r="AH20" s="139" t="s">
        <v>692</v>
      </c>
      <c r="AI20" s="139" t="s">
        <v>692</v>
      </c>
    </row>
    <row r="21" spans="1:35" ht="18.75" hidden="1" x14ac:dyDescent="0.25">
      <c r="A21" s="243"/>
      <c r="B21" s="97" t="s">
        <v>707</v>
      </c>
      <c r="C21" s="97" t="s">
        <v>120</v>
      </c>
      <c r="D21" s="97">
        <v>1</v>
      </c>
      <c r="E21" s="172" t="s">
        <v>708</v>
      </c>
      <c r="F21" s="172" t="s">
        <v>63</v>
      </c>
      <c r="G21" s="172"/>
      <c r="H21" s="172"/>
      <c r="I21" s="172">
        <v>2423693</v>
      </c>
      <c r="J21" s="172"/>
      <c r="K21" s="172"/>
      <c r="L21" s="172"/>
      <c r="M21" s="172"/>
      <c r="N21" s="172"/>
      <c r="O21" s="172"/>
      <c r="P21" s="172"/>
      <c r="Q21" s="172"/>
      <c r="R21" s="101"/>
      <c r="S21" s="101"/>
      <c r="T21" s="101"/>
      <c r="U21" s="101"/>
      <c r="V21" s="101"/>
      <c r="W21" s="139"/>
      <c r="X21" s="139" t="s">
        <v>692</v>
      </c>
      <c r="Y21" s="139" t="s">
        <v>692</v>
      </c>
      <c r="Z21" s="139" t="s">
        <v>692</v>
      </c>
      <c r="AA21" s="139" t="s">
        <v>692</v>
      </c>
      <c r="AB21" s="139" t="s">
        <v>692</v>
      </c>
      <c r="AC21" s="139" t="s">
        <v>692</v>
      </c>
      <c r="AD21" s="139" t="s">
        <v>692</v>
      </c>
      <c r="AE21" s="139" t="s">
        <v>692</v>
      </c>
      <c r="AF21" s="139" t="s">
        <v>692</v>
      </c>
      <c r="AG21" s="139" t="s">
        <v>692</v>
      </c>
      <c r="AH21" s="139" t="s">
        <v>692</v>
      </c>
      <c r="AI21" s="139" t="s">
        <v>692</v>
      </c>
    </row>
    <row r="22" spans="1:35" ht="18.75" hidden="1" x14ac:dyDescent="0.25">
      <c r="A22" s="243"/>
      <c r="B22" s="97" t="s">
        <v>709</v>
      </c>
      <c r="C22" s="97" t="s">
        <v>135</v>
      </c>
      <c r="D22" s="97">
        <v>1</v>
      </c>
      <c r="E22" s="172" t="s">
        <v>846</v>
      </c>
      <c r="F22" s="172" t="s">
        <v>63</v>
      </c>
      <c r="G22" s="172"/>
      <c r="H22" s="172"/>
      <c r="I22" s="172">
        <v>4890294</v>
      </c>
      <c r="J22" s="172"/>
      <c r="K22" s="172"/>
      <c r="L22" s="172"/>
      <c r="M22" s="172"/>
      <c r="N22" s="172"/>
      <c r="O22" s="172"/>
      <c r="P22" s="172"/>
      <c r="Q22" s="172"/>
      <c r="R22" s="101"/>
      <c r="S22" s="101"/>
      <c r="T22" s="101"/>
      <c r="U22" s="101"/>
      <c r="V22" s="101"/>
      <c r="W22" s="139"/>
      <c r="X22" s="139" t="s">
        <v>692</v>
      </c>
      <c r="Y22" s="139" t="s">
        <v>692</v>
      </c>
      <c r="Z22" s="139" t="s">
        <v>692</v>
      </c>
      <c r="AA22" s="139" t="s">
        <v>692</v>
      </c>
      <c r="AB22" s="139" t="s">
        <v>692</v>
      </c>
      <c r="AC22" s="139" t="s">
        <v>692</v>
      </c>
      <c r="AD22" s="139" t="s">
        <v>692</v>
      </c>
      <c r="AE22" s="139" t="s">
        <v>692</v>
      </c>
      <c r="AF22" s="139" t="s">
        <v>692</v>
      </c>
      <c r="AG22" s="139" t="s">
        <v>692</v>
      </c>
      <c r="AH22" s="139" t="s">
        <v>692</v>
      </c>
      <c r="AI22" s="139" t="s">
        <v>692</v>
      </c>
    </row>
    <row r="23" spans="1:35" ht="18.75" hidden="1" x14ac:dyDescent="0.25">
      <c r="A23" s="243"/>
      <c r="B23" s="97" t="s">
        <v>1135</v>
      </c>
      <c r="C23" s="94" t="s">
        <v>151</v>
      </c>
      <c r="D23" s="94">
        <v>1</v>
      </c>
      <c r="E23" s="174" t="s">
        <v>838</v>
      </c>
      <c r="F23" s="175" t="s">
        <v>772</v>
      </c>
      <c r="G23" s="98"/>
      <c r="H23" s="174"/>
      <c r="I23" s="173">
        <v>117581</v>
      </c>
      <c r="J23" s="173"/>
      <c r="K23" s="173"/>
      <c r="L23" s="173"/>
      <c r="M23" s="173"/>
      <c r="N23" s="173"/>
      <c r="O23" s="173"/>
      <c r="P23" s="173"/>
      <c r="Q23" s="173"/>
      <c r="R23" s="213"/>
      <c r="S23" s="101"/>
      <c r="T23" s="101"/>
      <c r="U23" s="101"/>
      <c r="V23" s="101"/>
      <c r="W23" s="139"/>
      <c r="X23" s="139" t="s">
        <v>692</v>
      </c>
      <c r="Y23" s="139" t="s">
        <v>692</v>
      </c>
      <c r="Z23" s="139" t="s">
        <v>692</v>
      </c>
      <c r="AA23" s="139" t="s">
        <v>692</v>
      </c>
      <c r="AB23" s="139" t="s">
        <v>692</v>
      </c>
      <c r="AC23" s="139" t="s">
        <v>692</v>
      </c>
      <c r="AD23" s="139" t="s">
        <v>692</v>
      </c>
      <c r="AE23" s="139" t="s">
        <v>692</v>
      </c>
      <c r="AF23" s="139" t="s">
        <v>692</v>
      </c>
      <c r="AG23" s="139" t="s">
        <v>692</v>
      </c>
      <c r="AH23" s="139" t="s">
        <v>692</v>
      </c>
      <c r="AI23" s="139" t="s">
        <v>692</v>
      </c>
    </row>
    <row r="24" spans="1:35" ht="18.75" hidden="1" x14ac:dyDescent="0.25">
      <c r="A24" s="243"/>
      <c r="B24" s="97" t="s">
        <v>1190</v>
      </c>
      <c r="C24" s="94" t="s">
        <v>217</v>
      </c>
      <c r="D24" s="94">
        <v>1</v>
      </c>
      <c r="E24" s="174" t="s">
        <v>841</v>
      </c>
      <c r="F24" s="175" t="s">
        <v>288</v>
      </c>
      <c r="G24" s="98" t="s">
        <v>218</v>
      </c>
      <c r="H24" s="174"/>
      <c r="I24" s="173">
        <v>1589214</v>
      </c>
      <c r="J24" s="173"/>
      <c r="K24" s="173"/>
      <c r="L24" s="173"/>
      <c r="M24" s="173"/>
      <c r="N24" s="173"/>
      <c r="O24" s="173"/>
      <c r="P24" s="173"/>
      <c r="Q24" s="173"/>
      <c r="R24" s="213"/>
      <c r="S24" s="101"/>
      <c r="T24" s="101"/>
      <c r="U24" s="101"/>
      <c r="V24" s="101"/>
      <c r="W24" s="139"/>
      <c r="X24" s="139" t="s">
        <v>692</v>
      </c>
      <c r="Y24" s="139" t="s">
        <v>692</v>
      </c>
      <c r="Z24" s="139" t="s">
        <v>692</v>
      </c>
      <c r="AA24" s="139" t="s">
        <v>692</v>
      </c>
      <c r="AB24" s="139" t="s">
        <v>692</v>
      </c>
      <c r="AC24" s="139" t="s">
        <v>692</v>
      </c>
      <c r="AD24" s="139" t="s">
        <v>692</v>
      </c>
      <c r="AE24" s="139" t="s">
        <v>692</v>
      </c>
      <c r="AF24" s="139" t="s">
        <v>692</v>
      </c>
      <c r="AG24" s="139" t="s">
        <v>692</v>
      </c>
      <c r="AH24" s="139" t="s">
        <v>692</v>
      </c>
      <c r="AI24" s="139" t="s">
        <v>692</v>
      </c>
    </row>
    <row r="25" spans="1:35" ht="18.75" hidden="1" x14ac:dyDescent="0.25">
      <c r="A25" s="243"/>
      <c r="B25" s="97">
        <v>5355250</v>
      </c>
      <c r="C25" s="97" t="s">
        <v>502</v>
      </c>
      <c r="D25" s="97">
        <v>2</v>
      </c>
      <c r="E25" s="98" t="s">
        <v>503</v>
      </c>
      <c r="F25" s="99"/>
      <c r="G25" s="99"/>
      <c r="H25" s="99"/>
      <c r="I25" s="173">
        <v>15900</v>
      </c>
      <c r="J25" s="173"/>
      <c r="K25" s="173"/>
      <c r="L25" s="173"/>
      <c r="M25" s="173"/>
      <c r="N25" s="173"/>
      <c r="O25" s="173"/>
      <c r="P25" s="173"/>
      <c r="Q25" s="173"/>
      <c r="R25" s="213"/>
      <c r="S25" s="101"/>
      <c r="T25" s="101"/>
      <c r="U25" s="101"/>
      <c r="V25" s="101"/>
      <c r="W25" s="139"/>
      <c r="X25" s="139" t="s">
        <v>692</v>
      </c>
      <c r="Y25" s="139" t="s">
        <v>692</v>
      </c>
      <c r="Z25" s="139" t="s">
        <v>692</v>
      </c>
      <c r="AA25" s="139" t="s">
        <v>692</v>
      </c>
      <c r="AB25" s="139" t="s">
        <v>692</v>
      </c>
      <c r="AC25" s="139" t="s">
        <v>692</v>
      </c>
      <c r="AD25" s="139" t="s">
        <v>692</v>
      </c>
      <c r="AE25" s="139" t="s">
        <v>692</v>
      </c>
      <c r="AF25" s="139" t="s">
        <v>692</v>
      </c>
      <c r="AG25" s="139" t="s">
        <v>692</v>
      </c>
      <c r="AH25" s="139" t="s">
        <v>692</v>
      </c>
      <c r="AI25" s="139" t="s">
        <v>692</v>
      </c>
    </row>
    <row r="26" spans="1:35" ht="18.75" hidden="1" x14ac:dyDescent="0.25">
      <c r="A26" s="243"/>
      <c r="B26" s="190">
        <v>5355251</v>
      </c>
      <c r="C26" s="190" t="s">
        <v>504</v>
      </c>
      <c r="D26" s="190">
        <v>2</v>
      </c>
      <c r="E26" s="191" t="s">
        <v>505</v>
      </c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01"/>
      <c r="S26" s="101"/>
      <c r="T26" s="101"/>
      <c r="U26" s="101"/>
      <c r="V26" s="101"/>
      <c r="W26" s="139"/>
      <c r="X26" s="139" t="s">
        <v>692</v>
      </c>
      <c r="Y26" s="139" t="s">
        <v>692</v>
      </c>
      <c r="Z26" s="139" t="s">
        <v>692</v>
      </c>
      <c r="AA26" s="139" t="s">
        <v>692</v>
      </c>
      <c r="AB26" s="139" t="s">
        <v>692</v>
      </c>
      <c r="AC26" s="139" t="s">
        <v>692</v>
      </c>
      <c r="AD26" s="139" t="s">
        <v>692</v>
      </c>
      <c r="AE26" s="139" t="s">
        <v>692</v>
      </c>
      <c r="AF26" s="139" t="s">
        <v>692</v>
      </c>
      <c r="AG26" s="139" t="s">
        <v>692</v>
      </c>
      <c r="AH26" s="139" t="s">
        <v>692</v>
      </c>
      <c r="AI26" s="139" t="s">
        <v>692</v>
      </c>
    </row>
    <row r="27" spans="1:35" ht="18.75" hidden="1" x14ac:dyDescent="0.25">
      <c r="A27" s="243"/>
      <c r="B27" s="97">
        <v>5356223</v>
      </c>
      <c r="C27" s="97" t="s">
        <v>506</v>
      </c>
      <c r="D27" s="97">
        <v>2</v>
      </c>
      <c r="E27" s="172" t="s">
        <v>507</v>
      </c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01"/>
      <c r="S27" s="101"/>
      <c r="T27" s="101"/>
      <c r="U27" s="101"/>
      <c r="V27" s="101"/>
      <c r="W27" s="139"/>
      <c r="X27" s="139" t="s">
        <v>692</v>
      </c>
      <c r="Y27" s="139" t="s">
        <v>692</v>
      </c>
      <c r="Z27" s="139" t="s">
        <v>692</v>
      </c>
      <c r="AA27" s="139" t="s">
        <v>692</v>
      </c>
      <c r="AB27" s="139" t="s">
        <v>692</v>
      </c>
      <c r="AC27" s="139" t="s">
        <v>692</v>
      </c>
      <c r="AD27" s="139" t="s">
        <v>692</v>
      </c>
      <c r="AE27" s="139" t="s">
        <v>692</v>
      </c>
      <c r="AF27" s="139" t="s">
        <v>692</v>
      </c>
      <c r="AG27" s="139" t="s">
        <v>692</v>
      </c>
      <c r="AH27" s="139" t="s">
        <v>692</v>
      </c>
      <c r="AI27" s="139" t="s">
        <v>692</v>
      </c>
    </row>
    <row r="28" spans="1:35" ht="18.75" hidden="1" x14ac:dyDescent="0.25">
      <c r="A28" s="243"/>
      <c r="B28" s="97">
        <v>17070</v>
      </c>
      <c r="C28" s="97" t="s">
        <v>508</v>
      </c>
      <c r="D28" s="97">
        <v>2</v>
      </c>
      <c r="E28" s="172" t="s">
        <v>523</v>
      </c>
      <c r="F28" s="172" t="s">
        <v>1446</v>
      </c>
      <c r="G28" s="172" t="s">
        <v>65</v>
      </c>
      <c r="H28" s="172" t="s">
        <v>820</v>
      </c>
      <c r="I28" s="172"/>
      <c r="J28" s="172"/>
      <c r="K28" s="172"/>
      <c r="L28" s="172"/>
      <c r="M28" s="172"/>
      <c r="N28" s="172"/>
      <c r="O28" s="172"/>
      <c r="P28" s="172"/>
      <c r="Q28" s="172"/>
      <c r="R28" s="101"/>
      <c r="S28" s="101"/>
      <c r="T28" s="101"/>
      <c r="U28" s="101"/>
      <c r="V28" s="101"/>
      <c r="W28" s="139"/>
      <c r="X28" s="139" t="s">
        <v>692</v>
      </c>
      <c r="Y28" s="139" t="s">
        <v>692</v>
      </c>
      <c r="Z28" s="139" t="s">
        <v>692</v>
      </c>
      <c r="AA28" s="139" t="s">
        <v>692</v>
      </c>
      <c r="AB28" s="139" t="s">
        <v>692</v>
      </c>
      <c r="AC28" s="139" t="s">
        <v>692</v>
      </c>
      <c r="AD28" s="139" t="s">
        <v>692</v>
      </c>
      <c r="AE28" s="139" t="s">
        <v>692</v>
      </c>
      <c r="AF28" s="139" t="s">
        <v>692</v>
      </c>
      <c r="AG28" s="139" t="s">
        <v>692</v>
      </c>
      <c r="AH28" s="139" t="s">
        <v>692</v>
      </c>
      <c r="AI28" s="139" t="s">
        <v>692</v>
      </c>
    </row>
    <row r="29" spans="1:35" ht="18.75" hidden="1" x14ac:dyDescent="0.25">
      <c r="A29" s="243"/>
      <c r="B29" s="97">
        <v>62079903</v>
      </c>
      <c r="C29" s="97" t="s">
        <v>508</v>
      </c>
      <c r="D29" s="97">
        <v>2</v>
      </c>
      <c r="E29" s="172" t="s">
        <v>1059</v>
      </c>
      <c r="F29" s="172" t="s">
        <v>1058</v>
      </c>
      <c r="G29" s="172" t="s">
        <v>1363</v>
      </c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01"/>
      <c r="S29" s="101"/>
      <c r="T29" s="101"/>
      <c r="U29" s="101"/>
      <c r="V29" s="101"/>
      <c r="W29" s="139"/>
      <c r="X29" s="139" t="s">
        <v>692</v>
      </c>
      <c r="Y29" s="139" t="s">
        <v>692</v>
      </c>
      <c r="Z29" s="139" t="s">
        <v>692</v>
      </c>
      <c r="AA29" s="139" t="s">
        <v>692</v>
      </c>
      <c r="AB29" s="139" t="s">
        <v>692</v>
      </c>
      <c r="AC29" s="139" t="s">
        <v>692</v>
      </c>
      <c r="AD29" s="139" t="s">
        <v>692</v>
      </c>
      <c r="AE29" s="139" t="s">
        <v>692</v>
      </c>
      <c r="AF29" s="139" t="s">
        <v>692</v>
      </c>
      <c r="AG29" s="139" t="s">
        <v>692</v>
      </c>
      <c r="AH29" s="139" t="s">
        <v>692</v>
      </c>
      <c r="AI29" s="139" t="s">
        <v>692</v>
      </c>
    </row>
    <row r="30" spans="1:35" ht="18.75" hidden="1" x14ac:dyDescent="0.25">
      <c r="A30" s="243"/>
      <c r="B30" s="97" t="s">
        <v>1447</v>
      </c>
      <c r="C30" s="97" t="s">
        <v>508</v>
      </c>
      <c r="D30" s="97">
        <v>2</v>
      </c>
      <c r="E30" s="172" t="s">
        <v>523</v>
      </c>
      <c r="F30" s="172"/>
      <c r="G30" s="172" t="s">
        <v>1448</v>
      </c>
      <c r="H30" s="172"/>
      <c r="I30" s="172">
        <v>4421</v>
      </c>
      <c r="J30" s="172"/>
      <c r="K30" s="172"/>
      <c r="L30" s="172"/>
      <c r="M30" s="172"/>
      <c r="N30" s="172"/>
      <c r="O30" s="172"/>
      <c r="P30" s="172"/>
      <c r="Q30" s="172"/>
      <c r="R30" s="101"/>
      <c r="S30" s="101"/>
      <c r="T30" s="101"/>
      <c r="U30" s="101"/>
      <c r="V30" s="101"/>
      <c r="W30" s="139"/>
      <c r="X30" s="139" t="s">
        <v>692</v>
      </c>
      <c r="Y30" s="139" t="s">
        <v>692</v>
      </c>
      <c r="Z30" s="139" t="s">
        <v>692</v>
      </c>
      <c r="AA30" s="139" t="s">
        <v>692</v>
      </c>
      <c r="AB30" s="139" t="s">
        <v>692</v>
      </c>
      <c r="AC30" s="139" t="s">
        <v>692</v>
      </c>
      <c r="AD30" s="139" t="s">
        <v>692</v>
      </c>
      <c r="AE30" s="139" t="s">
        <v>692</v>
      </c>
      <c r="AF30" s="139" t="s">
        <v>692</v>
      </c>
      <c r="AG30" s="139" t="s">
        <v>692</v>
      </c>
      <c r="AH30" s="139" t="s">
        <v>692</v>
      </c>
      <c r="AI30" s="139" t="s">
        <v>692</v>
      </c>
    </row>
    <row r="31" spans="1:35" ht="18.75" hidden="1" x14ac:dyDescent="0.25">
      <c r="A31" s="243"/>
      <c r="B31" s="97" t="s">
        <v>1026</v>
      </c>
      <c r="C31" s="97" t="s">
        <v>508</v>
      </c>
      <c r="D31" s="97">
        <v>2</v>
      </c>
      <c r="E31" s="172" t="s">
        <v>520</v>
      </c>
      <c r="F31" s="172" t="s">
        <v>521</v>
      </c>
      <c r="G31" s="172" t="s">
        <v>1027</v>
      </c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01"/>
      <c r="S31" s="101"/>
      <c r="T31" s="101"/>
      <c r="U31" s="101"/>
      <c r="V31" s="101"/>
      <c r="W31" s="139"/>
      <c r="X31" s="139" t="s">
        <v>692</v>
      </c>
      <c r="Y31" s="139" t="s">
        <v>692</v>
      </c>
      <c r="Z31" s="139" t="s">
        <v>692</v>
      </c>
      <c r="AA31" s="139" t="s">
        <v>692</v>
      </c>
      <c r="AB31" s="139" t="s">
        <v>692</v>
      </c>
      <c r="AC31" s="139" t="s">
        <v>692</v>
      </c>
      <c r="AD31" s="139" t="s">
        <v>692</v>
      </c>
      <c r="AE31" s="139" t="s">
        <v>692</v>
      </c>
      <c r="AF31" s="139" t="s">
        <v>692</v>
      </c>
      <c r="AG31" s="139" t="s">
        <v>692</v>
      </c>
      <c r="AH31" s="139" t="s">
        <v>692</v>
      </c>
      <c r="AI31" s="139" t="s">
        <v>692</v>
      </c>
    </row>
    <row r="32" spans="1:35" ht="18.75" hidden="1" x14ac:dyDescent="0.25">
      <c r="A32" s="243"/>
      <c r="B32" s="97" t="s">
        <v>1559</v>
      </c>
      <c r="C32" s="97" t="s">
        <v>508</v>
      </c>
      <c r="D32" s="97">
        <v>2</v>
      </c>
      <c r="E32" s="98" t="s">
        <v>1558</v>
      </c>
      <c r="F32" s="172" t="s">
        <v>1558</v>
      </c>
      <c r="G32" s="99" t="s">
        <v>1560</v>
      </c>
      <c r="H32" s="99" t="s">
        <v>1566</v>
      </c>
      <c r="I32" s="173">
        <v>322057</v>
      </c>
      <c r="J32" s="173"/>
      <c r="K32" s="173"/>
      <c r="L32" s="173"/>
      <c r="M32" s="173"/>
      <c r="N32" s="173"/>
      <c r="O32" s="173"/>
      <c r="P32" s="173"/>
      <c r="Q32" s="173"/>
      <c r="R32" s="213"/>
      <c r="S32" s="101"/>
      <c r="T32" s="101"/>
      <c r="U32" s="101"/>
      <c r="V32" s="101"/>
      <c r="W32" s="139"/>
      <c r="X32" s="139" t="s">
        <v>692</v>
      </c>
      <c r="Y32" s="139" t="s">
        <v>692</v>
      </c>
      <c r="Z32" s="139" t="s">
        <v>692</v>
      </c>
      <c r="AA32" s="139" t="s">
        <v>692</v>
      </c>
      <c r="AB32" s="139" t="s">
        <v>692</v>
      </c>
      <c r="AC32" s="139" t="s">
        <v>692</v>
      </c>
      <c r="AD32" s="139" t="s">
        <v>692</v>
      </c>
      <c r="AE32" s="139" t="s">
        <v>692</v>
      </c>
      <c r="AF32" s="139" t="s">
        <v>692</v>
      </c>
      <c r="AG32" s="139" t="s">
        <v>692</v>
      </c>
      <c r="AH32" s="139" t="s">
        <v>692</v>
      </c>
      <c r="AI32" s="139" t="s">
        <v>692</v>
      </c>
    </row>
    <row r="33" spans="1:35" ht="18.75" hidden="1" customHeight="1" x14ac:dyDescent="0.25">
      <c r="A33" s="243"/>
      <c r="B33" s="97" t="s">
        <v>1028</v>
      </c>
      <c r="C33" s="97" t="s">
        <v>508</v>
      </c>
      <c r="D33" s="97">
        <v>2</v>
      </c>
      <c r="E33" s="98" t="s">
        <v>524</v>
      </c>
      <c r="F33" s="172" t="s">
        <v>525</v>
      </c>
      <c r="G33" s="99"/>
      <c r="H33" s="99"/>
      <c r="I33" s="173">
        <v>5210</v>
      </c>
      <c r="J33" s="173"/>
      <c r="K33" s="173"/>
      <c r="L33" s="173"/>
      <c r="M33" s="173"/>
      <c r="N33" s="173"/>
      <c r="O33" s="173"/>
      <c r="P33" s="173"/>
      <c r="Q33" s="173"/>
      <c r="R33" s="213"/>
      <c r="S33" s="101"/>
      <c r="T33" s="101"/>
      <c r="U33" s="101"/>
      <c r="V33" s="101"/>
      <c r="W33" s="139"/>
      <c r="X33" s="139" t="s">
        <v>692</v>
      </c>
      <c r="Y33" s="139" t="s">
        <v>692</v>
      </c>
      <c r="Z33" s="139" t="s">
        <v>692</v>
      </c>
      <c r="AA33" s="139" t="s">
        <v>692</v>
      </c>
      <c r="AB33" s="139" t="s">
        <v>692</v>
      </c>
      <c r="AC33" s="139" t="s">
        <v>692</v>
      </c>
      <c r="AD33" s="139" t="s">
        <v>692</v>
      </c>
      <c r="AE33" s="139" t="s">
        <v>692</v>
      </c>
      <c r="AF33" s="139" t="s">
        <v>692</v>
      </c>
      <c r="AG33" s="139" t="s">
        <v>692</v>
      </c>
      <c r="AH33" s="139" t="s">
        <v>692</v>
      </c>
      <c r="AI33" s="139" t="s">
        <v>692</v>
      </c>
    </row>
    <row r="34" spans="1:35" ht="18.75" hidden="1" customHeight="1" x14ac:dyDescent="0.25">
      <c r="A34" s="243"/>
      <c r="B34" s="97" t="s">
        <v>1056</v>
      </c>
      <c r="C34" s="97" t="s">
        <v>508</v>
      </c>
      <c r="D34" s="97">
        <v>2</v>
      </c>
      <c r="E34" s="98" t="s">
        <v>1057</v>
      </c>
      <c r="F34" s="172"/>
      <c r="G34" s="99"/>
      <c r="H34" s="99"/>
      <c r="I34" s="173">
        <v>52191</v>
      </c>
      <c r="J34" s="173"/>
      <c r="K34" s="173"/>
      <c r="L34" s="173"/>
      <c r="M34" s="173"/>
      <c r="N34" s="173"/>
      <c r="O34" s="173"/>
      <c r="P34" s="173"/>
      <c r="Q34" s="173"/>
      <c r="R34" s="213"/>
      <c r="S34" s="101"/>
      <c r="T34" s="101"/>
      <c r="U34" s="101"/>
      <c r="V34" s="101"/>
      <c r="W34" s="139"/>
      <c r="X34" s="139" t="s">
        <v>692</v>
      </c>
      <c r="Y34" s="139" t="s">
        <v>692</v>
      </c>
      <c r="Z34" s="139" t="s">
        <v>692</v>
      </c>
      <c r="AA34" s="139" t="s">
        <v>692</v>
      </c>
      <c r="AB34" s="139" t="s">
        <v>692</v>
      </c>
      <c r="AC34" s="139" t="s">
        <v>692</v>
      </c>
      <c r="AD34" s="139" t="s">
        <v>692</v>
      </c>
      <c r="AE34" s="139" t="s">
        <v>692</v>
      </c>
      <c r="AF34" s="139" t="s">
        <v>692</v>
      </c>
      <c r="AG34" s="139" t="s">
        <v>692</v>
      </c>
      <c r="AH34" s="139" t="s">
        <v>692</v>
      </c>
      <c r="AI34" s="139" t="s">
        <v>692</v>
      </c>
    </row>
    <row r="35" spans="1:35" ht="18.75" hidden="1" x14ac:dyDescent="0.25">
      <c r="A35" s="243"/>
      <c r="B35" s="97"/>
      <c r="C35" s="97" t="s">
        <v>508</v>
      </c>
      <c r="D35" s="97">
        <v>2</v>
      </c>
      <c r="E35" s="98" t="s">
        <v>522</v>
      </c>
      <c r="F35" s="172"/>
      <c r="G35" s="99"/>
      <c r="H35" s="99"/>
      <c r="I35" s="173"/>
      <c r="J35" s="173"/>
      <c r="K35" s="173"/>
      <c r="L35" s="173"/>
      <c r="M35" s="173"/>
      <c r="N35" s="173"/>
      <c r="O35" s="173"/>
      <c r="P35" s="173"/>
      <c r="Q35" s="173"/>
      <c r="R35" s="213"/>
      <c r="S35" s="101"/>
      <c r="T35" s="101"/>
      <c r="U35" s="101"/>
      <c r="V35" s="101"/>
      <c r="W35" s="139"/>
      <c r="X35" s="139" t="s">
        <v>692</v>
      </c>
      <c r="Y35" s="139" t="s">
        <v>692</v>
      </c>
      <c r="Z35" s="139" t="s">
        <v>692</v>
      </c>
      <c r="AA35" s="139" t="s">
        <v>692</v>
      </c>
      <c r="AB35" s="139" t="s">
        <v>692</v>
      </c>
      <c r="AC35" s="139" t="s">
        <v>692</v>
      </c>
      <c r="AD35" s="139" t="s">
        <v>692</v>
      </c>
      <c r="AE35" s="139" t="s">
        <v>692</v>
      </c>
      <c r="AF35" s="139" t="s">
        <v>692</v>
      </c>
      <c r="AG35" s="139" t="s">
        <v>692</v>
      </c>
      <c r="AH35" s="139" t="s">
        <v>692</v>
      </c>
      <c r="AI35" s="139" t="s">
        <v>692</v>
      </c>
    </row>
    <row r="36" spans="1:35" ht="18.75" hidden="1" x14ac:dyDescent="0.25">
      <c r="A36" s="243"/>
      <c r="B36" s="97"/>
      <c r="C36" s="97" t="s">
        <v>508</v>
      </c>
      <c r="D36" s="97">
        <v>2</v>
      </c>
      <c r="E36" s="98" t="s">
        <v>171</v>
      </c>
      <c r="F36" s="172"/>
      <c r="G36" s="99"/>
      <c r="H36" s="99"/>
      <c r="I36" s="173"/>
      <c r="J36" s="173"/>
      <c r="K36" s="173"/>
      <c r="L36" s="173"/>
      <c r="M36" s="173"/>
      <c r="N36" s="173"/>
      <c r="O36" s="173"/>
      <c r="P36" s="173"/>
      <c r="Q36" s="173"/>
      <c r="R36" s="213"/>
      <c r="S36" s="101"/>
      <c r="T36" s="101"/>
      <c r="U36" s="101"/>
      <c r="V36" s="101"/>
      <c r="W36" s="139"/>
      <c r="X36" s="139" t="s">
        <v>692</v>
      </c>
      <c r="Y36" s="139" t="s">
        <v>692</v>
      </c>
      <c r="Z36" s="139" t="s">
        <v>692</v>
      </c>
      <c r="AA36" s="139" t="s">
        <v>692</v>
      </c>
      <c r="AB36" s="139" t="s">
        <v>692</v>
      </c>
      <c r="AC36" s="139" t="s">
        <v>692</v>
      </c>
      <c r="AD36" s="139" t="s">
        <v>692</v>
      </c>
      <c r="AE36" s="139" t="s">
        <v>692</v>
      </c>
      <c r="AF36" s="139" t="s">
        <v>692</v>
      </c>
      <c r="AG36" s="139" t="s">
        <v>692</v>
      </c>
      <c r="AH36" s="139" t="s">
        <v>692</v>
      </c>
      <c r="AI36" s="139" t="s">
        <v>692</v>
      </c>
    </row>
    <row r="37" spans="1:35" ht="18.75" hidden="1" x14ac:dyDescent="0.25">
      <c r="A37" s="243"/>
      <c r="B37" s="97">
        <v>5669713</v>
      </c>
      <c r="C37" s="97" t="s">
        <v>526</v>
      </c>
      <c r="D37" s="97">
        <v>2</v>
      </c>
      <c r="E37" s="98" t="s">
        <v>534</v>
      </c>
      <c r="F37" s="172" t="s">
        <v>123</v>
      </c>
      <c r="G37" s="99"/>
      <c r="H37" s="99"/>
      <c r="I37" s="173">
        <v>22630</v>
      </c>
      <c r="J37" s="173"/>
      <c r="K37" s="173"/>
      <c r="L37" s="173"/>
      <c r="M37" s="173"/>
      <c r="N37" s="173"/>
      <c r="O37" s="173"/>
      <c r="P37" s="173"/>
      <c r="Q37" s="173"/>
      <c r="R37" s="213"/>
      <c r="S37" s="101"/>
      <c r="T37" s="101"/>
      <c r="U37" s="101"/>
      <c r="V37" s="101"/>
      <c r="W37" s="139"/>
      <c r="X37" s="139" t="s">
        <v>692</v>
      </c>
      <c r="Y37" s="139" t="s">
        <v>692</v>
      </c>
      <c r="Z37" s="139" t="s">
        <v>692</v>
      </c>
      <c r="AA37" s="139" t="s">
        <v>692</v>
      </c>
      <c r="AB37" s="139" t="s">
        <v>692</v>
      </c>
      <c r="AC37" s="139" t="s">
        <v>692</v>
      </c>
      <c r="AD37" s="139" t="s">
        <v>692</v>
      </c>
      <c r="AE37" s="139" t="s">
        <v>692</v>
      </c>
      <c r="AF37" s="139" t="s">
        <v>692</v>
      </c>
      <c r="AG37" s="139" t="s">
        <v>692</v>
      </c>
      <c r="AH37" s="139" t="s">
        <v>692</v>
      </c>
      <c r="AI37" s="139" t="s">
        <v>692</v>
      </c>
    </row>
    <row r="38" spans="1:35" ht="18.75" hidden="1" x14ac:dyDescent="0.25">
      <c r="A38" s="243"/>
      <c r="B38" s="97">
        <v>20583455</v>
      </c>
      <c r="C38" s="97" t="s">
        <v>526</v>
      </c>
      <c r="D38" s="97">
        <v>2</v>
      </c>
      <c r="E38" s="98" t="s">
        <v>533</v>
      </c>
      <c r="F38" s="172" t="s">
        <v>47</v>
      </c>
      <c r="G38" s="99" t="s">
        <v>1029</v>
      </c>
      <c r="H38" s="99"/>
      <c r="I38" s="173">
        <v>204519</v>
      </c>
      <c r="J38" s="173"/>
      <c r="K38" s="173"/>
      <c r="L38" s="173"/>
      <c r="M38" s="173"/>
      <c r="N38" s="173"/>
      <c r="O38" s="173"/>
      <c r="P38" s="173"/>
      <c r="Q38" s="173"/>
      <c r="R38" s="213"/>
      <c r="S38" s="101"/>
      <c r="T38" s="101"/>
      <c r="U38" s="101"/>
      <c r="V38" s="101"/>
      <c r="W38" s="139"/>
      <c r="X38" s="139" t="s">
        <v>692</v>
      </c>
      <c r="Y38" s="139" t="s">
        <v>692</v>
      </c>
      <c r="Z38" s="139" t="s">
        <v>692</v>
      </c>
      <c r="AA38" s="139" t="s">
        <v>692</v>
      </c>
      <c r="AB38" s="139" t="s">
        <v>692</v>
      </c>
      <c r="AC38" s="139" t="s">
        <v>692</v>
      </c>
      <c r="AD38" s="139" t="s">
        <v>692</v>
      </c>
      <c r="AE38" s="139" t="s">
        <v>692</v>
      </c>
      <c r="AF38" s="139" t="s">
        <v>692</v>
      </c>
      <c r="AG38" s="139" t="s">
        <v>692</v>
      </c>
      <c r="AH38" s="139" t="s">
        <v>692</v>
      </c>
      <c r="AI38" s="139" t="s">
        <v>692</v>
      </c>
    </row>
    <row r="39" spans="1:35" ht="18.75" hidden="1" x14ac:dyDescent="0.25">
      <c r="A39" s="243"/>
      <c r="B39" s="97"/>
      <c r="C39" s="97" t="s">
        <v>526</v>
      </c>
      <c r="D39" s="97">
        <v>2</v>
      </c>
      <c r="E39" s="98" t="s">
        <v>794</v>
      </c>
      <c r="F39" s="172" t="s">
        <v>527</v>
      </c>
      <c r="G39" s="99"/>
      <c r="H39" s="99"/>
      <c r="I39" s="173">
        <v>0</v>
      </c>
      <c r="J39" s="173"/>
      <c r="K39" s="173"/>
      <c r="L39" s="173"/>
      <c r="M39" s="173"/>
      <c r="N39" s="173"/>
      <c r="O39" s="173"/>
      <c r="P39" s="173"/>
      <c r="Q39" s="173"/>
      <c r="R39" s="213"/>
      <c r="S39" s="101"/>
      <c r="T39" s="101"/>
      <c r="U39" s="101"/>
      <c r="V39" s="101"/>
      <c r="W39" s="139"/>
      <c r="X39" s="139" t="s">
        <v>692</v>
      </c>
      <c r="Y39" s="139" t="s">
        <v>692</v>
      </c>
      <c r="Z39" s="139" t="s">
        <v>692</v>
      </c>
      <c r="AA39" s="139" t="s">
        <v>692</v>
      </c>
      <c r="AB39" s="139" t="s">
        <v>692</v>
      </c>
      <c r="AC39" s="139" t="s">
        <v>692</v>
      </c>
      <c r="AD39" s="139" t="s">
        <v>692</v>
      </c>
      <c r="AE39" s="139" t="s">
        <v>692</v>
      </c>
      <c r="AF39" s="139" t="s">
        <v>692</v>
      </c>
      <c r="AG39" s="139" t="s">
        <v>692</v>
      </c>
      <c r="AH39" s="139" t="s">
        <v>692</v>
      </c>
      <c r="AI39" s="139" t="s">
        <v>692</v>
      </c>
    </row>
    <row r="40" spans="1:35" ht="18.75" hidden="1" x14ac:dyDescent="0.25">
      <c r="A40" s="243"/>
      <c r="B40" s="97">
        <v>11313825</v>
      </c>
      <c r="C40" s="97" t="s">
        <v>535</v>
      </c>
      <c r="D40" s="97">
        <v>2</v>
      </c>
      <c r="E40" s="98" t="s">
        <v>541</v>
      </c>
      <c r="F40" s="172"/>
      <c r="G40" s="99"/>
      <c r="H40" s="99"/>
      <c r="I40" s="173">
        <v>100301</v>
      </c>
      <c r="J40" s="173"/>
      <c r="K40" s="173"/>
      <c r="L40" s="173"/>
      <c r="M40" s="173"/>
      <c r="N40" s="173"/>
      <c r="O40" s="173"/>
      <c r="P40" s="173"/>
      <c r="Q40" s="173"/>
      <c r="R40" s="213"/>
      <c r="S40" s="101"/>
      <c r="T40" s="101"/>
      <c r="U40" s="101"/>
      <c r="V40" s="101"/>
      <c r="W40" s="139"/>
      <c r="X40" s="139" t="s">
        <v>692</v>
      </c>
      <c r="Y40" s="139" t="s">
        <v>692</v>
      </c>
      <c r="Z40" s="139" t="s">
        <v>692</v>
      </c>
      <c r="AA40" s="139" t="s">
        <v>692</v>
      </c>
      <c r="AB40" s="139" t="s">
        <v>692</v>
      </c>
      <c r="AC40" s="139" t="s">
        <v>692</v>
      </c>
      <c r="AD40" s="139" t="s">
        <v>692</v>
      </c>
      <c r="AE40" s="139" t="s">
        <v>692</v>
      </c>
      <c r="AF40" s="139" t="s">
        <v>692</v>
      </c>
      <c r="AG40" s="139" t="s">
        <v>692</v>
      </c>
      <c r="AH40" s="139" t="s">
        <v>692</v>
      </c>
      <c r="AI40" s="139" t="s">
        <v>692</v>
      </c>
    </row>
    <row r="41" spans="1:35" ht="18.75" hidden="1" customHeight="1" x14ac:dyDescent="0.25">
      <c r="A41" s="243"/>
      <c r="B41" s="97">
        <v>53035468</v>
      </c>
      <c r="C41" s="97" t="s">
        <v>535</v>
      </c>
      <c r="D41" s="97">
        <v>2</v>
      </c>
      <c r="E41" s="98" t="s">
        <v>542</v>
      </c>
      <c r="F41" s="172"/>
      <c r="G41" s="99"/>
      <c r="H41" s="99"/>
      <c r="I41" s="173">
        <v>734996</v>
      </c>
      <c r="J41" s="173"/>
      <c r="K41" s="173"/>
      <c r="L41" s="173"/>
      <c r="M41" s="173"/>
      <c r="N41" s="173"/>
      <c r="O41" s="173"/>
      <c r="P41" s="173"/>
      <c r="Q41" s="173"/>
      <c r="R41" s="213"/>
      <c r="S41" s="101"/>
      <c r="T41" s="101"/>
      <c r="U41" s="101"/>
      <c r="V41" s="101"/>
      <c r="W41" s="139"/>
      <c r="X41" s="139" t="s">
        <v>692</v>
      </c>
      <c r="Y41" s="139" t="s">
        <v>692</v>
      </c>
      <c r="Z41" s="139" t="s">
        <v>692</v>
      </c>
      <c r="AA41" s="139" t="s">
        <v>692</v>
      </c>
      <c r="AB41" s="139" t="s">
        <v>692</v>
      </c>
      <c r="AC41" s="139" t="s">
        <v>692</v>
      </c>
      <c r="AD41" s="139" t="s">
        <v>692</v>
      </c>
      <c r="AE41" s="139" t="s">
        <v>692</v>
      </c>
      <c r="AF41" s="139" t="s">
        <v>692</v>
      </c>
      <c r="AG41" s="139" t="s">
        <v>692</v>
      </c>
      <c r="AH41" s="139" t="s">
        <v>692</v>
      </c>
      <c r="AI41" s="139" t="s">
        <v>692</v>
      </c>
    </row>
    <row r="42" spans="1:35" ht="18.75" hidden="1" customHeight="1" x14ac:dyDescent="0.25">
      <c r="A42" s="243"/>
      <c r="B42" s="97"/>
      <c r="C42" s="97" t="s">
        <v>535</v>
      </c>
      <c r="D42" s="97">
        <v>2</v>
      </c>
      <c r="E42" s="98" t="s">
        <v>540</v>
      </c>
      <c r="F42" s="172"/>
      <c r="G42" s="98"/>
      <c r="H42" s="98"/>
      <c r="I42" s="173">
        <v>0</v>
      </c>
      <c r="J42" s="173"/>
      <c r="K42" s="173"/>
      <c r="L42" s="173"/>
      <c r="M42" s="173"/>
      <c r="N42" s="173"/>
      <c r="O42" s="173"/>
      <c r="P42" s="173"/>
      <c r="Q42" s="173"/>
      <c r="R42" s="213"/>
      <c r="S42" s="101"/>
      <c r="T42" s="101"/>
      <c r="U42" s="101"/>
      <c r="V42" s="101"/>
      <c r="W42" s="139"/>
      <c r="X42" s="139" t="s">
        <v>692</v>
      </c>
      <c r="Y42" s="139" t="s">
        <v>692</v>
      </c>
      <c r="Z42" s="139" t="s">
        <v>692</v>
      </c>
      <c r="AA42" s="139" t="s">
        <v>692</v>
      </c>
      <c r="AB42" s="139" t="s">
        <v>692</v>
      </c>
      <c r="AC42" s="139" t="s">
        <v>692</v>
      </c>
      <c r="AD42" s="139" t="s">
        <v>692</v>
      </c>
      <c r="AE42" s="139" t="s">
        <v>692</v>
      </c>
      <c r="AF42" s="139" t="s">
        <v>692</v>
      </c>
      <c r="AG42" s="139" t="s">
        <v>692</v>
      </c>
      <c r="AH42" s="139" t="s">
        <v>692</v>
      </c>
      <c r="AI42" s="139" t="s">
        <v>692</v>
      </c>
    </row>
    <row r="43" spans="1:35" ht="18.75" hidden="1" customHeight="1" x14ac:dyDescent="0.25">
      <c r="A43" s="243"/>
      <c r="B43" s="97" t="s">
        <v>1033</v>
      </c>
      <c r="C43" s="97" t="s">
        <v>544</v>
      </c>
      <c r="D43" s="97">
        <v>2</v>
      </c>
      <c r="E43" s="98" t="s">
        <v>546</v>
      </c>
      <c r="F43" s="172" t="s">
        <v>47</v>
      </c>
      <c r="G43" s="98"/>
      <c r="H43" s="98"/>
      <c r="I43" s="173">
        <v>25713</v>
      </c>
      <c r="J43" s="173"/>
      <c r="K43" s="173"/>
      <c r="L43" s="173"/>
      <c r="M43" s="173"/>
      <c r="N43" s="173"/>
      <c r="O43" s="173"/>
      <c r="P43" s="173"/>
      <c r="Q43" s="173"/>
      <c r="R43" s="213"/>
      <c r="S43" s="101"/>
      <c r="T43" s="101"/>
      <c r="U43" s="101"/>
      <c r="V43" s="101"/>
      <c r="W43" s="139"/>
      <c r="X43" s="139" t="s">
        <v>692</v>
      </c>
      <c r="Y43" s="139" t="s">
        <v>692</v>
      </c>
      <c r="Z43" s="139" t="s">
        <v>692</v>
      </c>
      <c r="AA43" s="139" t="s">
        <v>692</v>
      </c>
      <c r="AB43" s="139" t="s">
        <v>692</v>
      </c>
      <c r="AC43" s="139" t="s">
        <v>692</v>
      </c>
      <c r="AD43" s="139" t="s">
        <v>692</v>
      </c>
      <c r="AE43" s="139" t="s">
        <v>692</v>
      </c>
      <c r="AF43" s="139" t="s">
        <v>692</v>
      </c>
      <c r="AG43" s="139" t="s">
        <v>692</v>
      </c>
      <c r="AH43" s="139" t="s">
        <v>692</v>
      </c>
      <c r="AI43" s="139" t="s">
        <v>692</v>
      </c>
    </row>
    <row r="44" spans="1:35" ht="18.75" hidden="1" customHeight="1" x14ac:dyDescent="0.25">
      <c r="A44" s="243"/>
      <c r="B44" s="97" t="s">
        <v>1053</v>
      </c>
      <c r="C44" s="94" t="s">
        <v>544</v>
      </c>
      <c r="D44" s="94">
        <v>2</v>
      </c>
      <c r="E44" s="174" t="s">
        <v>1048</v>
      </c>
      <c r="F44" s="175" t="s">
        <v>47</v>
      </c>
      <c r="G44" s="98"/>
      <c r="H44" s="174"/>
      <c r="I44" s="173">
        <v>0</v>
      </c>
      <c r="J44" s="173"/>
      <c r="K44" s="173"/>
      <c r="L44" s="173"/>
      <c r="M44" s="139"/>
      <c r="N44" s="139"/>
      <c r="O44" s="139"/>
      <c r="P44" s="139"/>
      <c r="Q44" s="139"/>
      <c r="R44" s="213"/>
      <c r="S44" s="101"/>
      <c r="T44" s="101"/>
      <c r="U44" s="101"/>
      <c r="V44" s="101"/>
      <c r="W44" s="139"/>
      <c r="X44" s="139" t="s">
        <v>692</v>
      </c>
      <c r="Y44" s="139" t="s">
        <v>692</v>
      </c>
      <c r="Z44" s="139" t="s">
        <v>692</v>
      </c>
      <c r="AA44" s="139" t="s">
        <v>692</v>
      </c>
      <c r="AB44" s="139" t="s">
        <v>692</v>
      </c>
      <c r="AC44" s="139" t="s">
        <v>692</v>
      </c>
      <c r="AD44" s="139" t="s">
        <v>692</v>
      </c>
      <c r="AE44" s="139" t="s">
        <v>692</v>
      </c>
      <c r="AF44" s="139" t="s">
        <v>692</v>
      </c>
      <c r="AG44" s="139" t="s">
        <v>692</v>
      </c>
      <c r="AH44" s="139" t="s">
        <v>692</v>
      </c>
      <c r="AI44" s="139" t="s">
        <v>692</v>
      </c>
    </row>
    <row r="45" spans="1:35" ht="18.75" hidden="1" customHeight="1" x14ac:dyDescent="0.25">
      <c r="A45" s="243"/>
      <c r="B45" s="190" t="s">
        <v>1054</v>
      </c>
      <c r="C45" s="55" t="s">
        <v>544</v>
      </c>
      <c r="D45" s="55">
        <v>2</v>
      </c>
      <c r="E45" s="177" t="s">
        <v>1055</v>
      </c>
      <c r="F45" s="177" t="s">
        <v>47</v>
      </c>
      <c r="G45" s="178"/>
      <c r="H45" s="177"/>
      <c r="I45" s="179">
        <v>0</v>
      </c>
      <c r="J45" s="179"/>
      <c r="K45" s="179"/>
      <c r="L45" s="179"/>
      <c r="M45" s="179"/>
      <c r="N45" s="179"/>
      <c r="O45" s="179"/>
      <c r="P45" s="179"/>
      <c r="Q45" s="179"/>
      <c r="R45" s="213"/>
      <c r="S45" s="101"/>
      <c r="T45" s="101"/>
      <c r="U45" s="101"/>
      <c r="V45" s="101"/>
      <c r="W45" s="139"/>
      <c r="X45" s="139" t="s">
        <v>692</v>
      </c>
      <c r="Y45" s="139" t="s">
        <v>692</v>
      </c>
      <c r="Z45" s="139" t="s">
        <v>692</v>
      </c>
      <c r="AA45" s="139" t="s">
        <v>692</v>
      </c>
      <c r="AB45" s="139" t="s">
        <v>692</v>
      </c>
      <c r="AC45" s="139" t="s">
        <v>692</v>
      </c>
      <c r="AD45" s="139" t="s">
        <v>692</v>
      </c>
      <c r="AE45" s="139" t="s">
        <v>692</v>
      </c>
      <c r="AF45" s="139" t="s">
        <v>692</v>
      </c>
      <c r="AG45" s="139" t="s">
        <v>692</v>
      </c>
      <c r="AH45" s="139" t="s">
        <v>692</v>
      </c>
      <c r="AI45" s="139" t="s">
        <v>692</v>
      </c>
    </row>
    <row r="46" spans="1:35" ht="18.75" hidden="1" x14ac:dyDescent="0.25">
      <c r="A46" s="243"/>
      <c r="B46" s="97">
        <v>5356221</v>
      </c>
      <c r="C46" s="97" t="s">
        <v>547</v>
      </c>
      <c r="D46" s="97">
        <v>2</v>
      </c>
      <c r="E46" s="177" t="s">
        <v>988</v>
      </c>
      <c r="F46" s="177" t="s">
        <v>548</v>
      </c>
      <c r="G46" s="99"/>
      <c r="H46" s="178"/>
      <c r="I46" s="173">
        <v>20078</v>
      </c>
      <c r="J46" s="173"/>
      <c r="K46" s="173"/>
      <c r="L46" s="173"/>
      <c r="M46" s="173"/>
      <c r="N46" s="173"/>
      <c r="O46" s="173"/>
      <c r="P46" s="173"/>
      <c r="Q46" s="173"/>
      <c r="R46" s="213"/>
      <c r="S46" s="101"/>
      <c r="T46" s="101"/>
      <c r="U46" s="101"/>
      <c r="V46" s="101"/>
      <c r="W46" s="139"/>
      <c r="X46" s="139" t="s">
        <v>692</v>
      </c>
      <c r="Y46" s="139" t="s">
        <v>692</v>
      </c>
      <c r="Z46" s="139" t="s">
        <v>692</v>
      </c>
      <c r="AA46" s="139" t="s">
        <v>692</v>
      </c>
      <c r="AB46" s="139" t="s">
        <v>692</v>
      </c>
      <c r="AC46" s="139" t="s">
        <v>692</v>
      </c>
      <c r="AD46" s="139" t="s">
        <v>692</v>
      </c>
      <c r="AE46" s="139" t="s">
        <v>692</v>
      </c>
      <c r="AF46" s="139" t="s">
        <v>692</v>
      </c>
      <c r="AG46" s="139" t="s">
        <v>692</v>
      </c>
      <c r="AH46" s="139" t="s">
        <v>692</v>
      </c>
      <c r="AI46" s="139" t="s">
        <v>692</v>
      </c>
    </row>
    <row r="47" spans="1:35" ht="18.75" hidden="1" customHeight="1" x14ac:dyDescent="0.25">
      <c r="A47" s="243"/>
      <c r="B47" s="97">
        <v>5356224</v>
      </c>
      <c r="C47" s="97" t="s">
        <v>547</v>
      </c>
      <c r="D47" s="97">
        <v>2</v>
      </c>
      <c r="E47" s="177" t="s">
        <v>549</v>
      </c>
      <c r="F47" s="177" t="s">
        <v>47</v>
      </c>
      <c r="G47" s="99"/>
      <c r="H47" s="178"/>
      <c r="I47" s="173">
        <v>7459</v>
      </c>
      <c r="J47" s="173"/>
      <c r="K47" s="173"/>
      <c r="L47" s="173"/>
      <c r="M47" s="173"/>
      <c r="N47" s="173"/>
      <c r="O47" s="173"/>
      <c r="P47" s="173"/>
      <c r="Q47" s="173"/>
      <c r="R47" s="213"/>
      <c r="S47" s="101"/>
      <c r="T47" s="101"/>
      <c r="U47" s="101"/>
      <c r="V47" s="101"/>
      <c r="W47" s="139"/>
      <c r="X47" s="139" t="s">
        <v>692</v>
      </c>
      <c r="Y47" s="139" t="s">
        <v>692</v>
      </c>
      <c r="Z47" s="139" t="s">
        <v>692</v>
      </c>
      <c r="AA47" s="139" t="s">
        <v>692</v>
      </c>
      <c r="AB47" s="139" t="s">
        <v>692</v>
      </c>
      <c r="AC47" s="139" t="s">
        <v>692</v>
      </c>
      <c r="AD47" s="139" t="s">
        <v>692</v>
      </c>
      <c r="AE47" s="139" t="s">
        <v>692</v>
      </c>
      <c r="AF47" s="139" t="s">
        <v>692</v>
      </c>
      <c r="AG47" s="139" t="s">
        <v>692</v>
      </c>
      <c r="AH47" s="139" t="s">
        <v>692</v>
      </c>
      <c r="AI47" s="139" t="s">
        <v>692</v>
      </c>
    </row>
    <row r="48" spans="1:35" ht="18.75" hidden="1" customHeight="1" x14ac:dyDescent="0.25">
      <c r="A48" s="243"/>
      <c r="B48" s="97">
        <v>5355254</v>
      </c>
      <c r="C48" s="97" t="s">
        <v>550</v>
      </c>
      <c r="D48" s="97">
        <v>2</v>
      </c>
      <c r="E48" s="177" t="s">
        <v>553</v>
      </c>
      <c r="F48" s="177" t="s">
        <v>47</v>
      </c>
      <c r="G48" s="99"/>
      <c r="H48" s="178"/>
      <c r="I48" s="173">
        <v>24448</v>
      </c>
      <c r="J48" s="173"/>
      <c r="K48" s="173"/>
      <c r="L48" s="173"/>
      <c r="M48" s="173"/>
      <c r="N48" s="173"/>
      <c r="O48" s="173"/>
      <c r="P48" s="173"/>
      <c r="Q48" s="173"/>
      <c r="R48" s="213"/>
      <c r="S48" s="101"/>
      <c r="T48" s="101"/>
      <c r="U48" s="101"/>
      <c r="V48" s="101"/>
      <c r="W48" s="139"/>
      <c r="X48" s="139" t="s">
        <v>692</v>
      </c>
      <c r="Y48" s="139" t="s">
        <v>692</v>
      </c>
      <c r="Z48" s="139" t="s">
        <v>692</v>
      </c>
      <c r="AA48" s="139" t="s">
        <v>692</v>
      </c>
      <c r="AB48" s="139" t="s">
        <v>692</v>
      </c>
      <c r="AC48" s="139" t="s">
        <v>692</v>
      </c>
      <c r="AD48" s="139" t="s">
        <v>692</v>
      </c>
      <c r="AE48" s="139" t="s">
        <v>692</v>
      </c>
      <c r="AF48" s="139" t="s">
        <v>692</v>
      </c>
      <c r="AG48" s="139" t="s">
        <v>692</v>
      </c>
      <c r="AH48" s="139" t="s">
        <v>692</v>
      </c>
      <c r="AI48" s="139" t="s">
        <v>692</v>
      </c>
    </row>
    <row r="49" spans="1:35" ht="18.75" hidden="1" x14ac:dyDescent="0.25">
      <c r="A49" s="243"/>
      <c r="B49" s="97">
        <v>5355253</v>
      </c>
      <c r="C49" s="97" t="s">
        <v>554</v>
      </c>
      <c r="D49" s="97">
        <v>2</v>
      </c>
      <c r="E49" s="172" t="s">
        <v>555</v>
      </c>
      <c r="F49" s="172" t="s">
        <v>1035</v>
      </c>
      <c r="G49" s="172"/>
      <c r="H49" s="172"/>
      <c r="I49" s="172">
        <v>16357</v>
      </c>
      <c r="J49" s="172"/>
      <c r="K49" s="172"/>
      <c r="L49" s="172"/>
      <c r="M49" s="172"/>
      <c r="N49" s="172"/>
      <c r="O49" s="172"/>
      <c r="P49" s="172"/>
      <c r="Q49" s="172"/>
      <c r="R49" s="101"/>
      <c r="S49" s="101"/>
      <c r="T49" s="101"/>
      <c r="U49" s="101"/>
      <c r="V49" s="101"/>
      <c r="W49" s="139"/>
      <c r="X49" s="139" t="s">
        <v>692</v>
      </c>
      <c r="Y49" s="139" t="s">
        <v>692</v>
      </c>
      <c r="Z49" s="139" t="s">
        <v>692</v>
      </c>
      <c r="AA49" s="139" t="s">
        <v>692</v>
      </c>
      <c r="AB49" s="139" t="s">
        <v>692</v>
      </c>
      <c r="AC49" s="139" t="s">
        <v>692</v>
      </c>
      <c r="AD49" s="139" t="s">
        <v>692</v>
      </c>
      <c r="AE49" s="139" t="s">
        <v>692</v>
      </c>
      <c r="AF49" s="139" t="s">
        <v>692</v>
      </c>
      <c r="AG49" s="139" t="s">
        <v>692</v>
      </c>
      <c r="AH49" s="139" t="s">
        <v>692</v>
      </c>
      <c r="AI49" s="139" t="s">
        <v>692</v>
      </c>
    </row>
    <row r="50" spans="1:35" ht="18.75" hidden="1" x14ac:dyDescent="0.25">
      <c r="A50" s="243"/>
      <c r="B50" s="97">
        <v>5355248</v>
      </c>
      <c r="C50" s="97" t="s">
        <v>556</v>
      </c>
      <c r="D50" s="97">
        <v>2</v>
      </c>
      <c r="E50" s="172" t="s">
        <v>557</v>
      </c>
      <c r="F50" s="172"/>
      <c r="G50" s="172"/>
      <c r="H50" s="172"/>
      <c r="I50" s="172">
        <v>17870</v>
      </c>
      <c r="J50" s="172"/>
      <c r="K50" s="172"/>
      <c r="L50" s="172"/>
      <c r="M50" s="172"/>
      <c r="N50" s="172"/>
      <c r="O50" s="172"/>
      <c r="P50" s="172"/>
      <c r="Q50" s="172"/>
      <c r="R50" s="101"/>
      <c r="S50" s="101"/>
      <c r="T50" s="101"/>
      <c r="U50" s="101"/>
      <c r="V50" s="101"/>
      <c r="W50" s="139"/>
      <c r="X50" s="139" t="s">
        <v>692</v>
      </c>
      <c r="Y50" s="139" t="s">
        <v>692</v>
      </c>
      <c r="Z50" s="139" t="s">
        <v>692</v>
      </c>
      <c r="AA50" s="139" t="s">
        <v>692</v>
      </c>
      <c r="AB50" s="139" t="s">
        <v>692</v>
      </c>
      <c r="AC50" s="139" t="s">
        <v>692</v>
      </c>
      <c r="AD50" s="139" t="s">
        <v>692</v>
      </c>
      <c r="AE50" s="139" t="s">
        <v>692</v>
      </c>
      <c r="AF50" s="139" t="s">
        <v>692</v>
      </c>
      <c r="AG50" s="139" t="s">
        <v>692</v>
      </c>
      <c r="AH50" s="139" t="s">
        <v>692</v>
      </c>
      <c r="AI50" s="139" t="s">
        <v>692</v>
      </c>
    </row>
    <row r="51" spans="1:35" ht="18.75" hidden="1" x14ac:dyDescent="0.25">
      <c r="A51" s="243"/>
      <c r="B51" s="97">
        <v>10121</v>
      </c>
      <c r="C51" s="97" t="s">
        <v>558</v>
      </c>
      <c r="D51" s="97">
        <v>2</v>
      </c>
      <c r="E51" s="172" t="s">
        <v>988</v>
      </c>
      <c r="F51" s="172" t="s">
        <v>561</v>
      </c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01"/>
      <c r="S51" s="101"/>
      <c r="T51" s="101"/>
      <c r="U51" s="101"/>
      <c r="V51" s="101"/>
      <c r="W51" s="139"/>
      <c r="X51" s="139" t="s">
        <v>692</v>
      </c>
      <c r="Y51" s="139" t="s">
        <v>692</v>
      </c>
      <c r="Z51" s="139" t="s">
        <v>692</v>
      </c>
      <c r="AA51" s="139" t="s">
        <v>692</v>
      </c>
      <c r="AB51" s="139" t="s">
        <v>692</v>
      </c>
      <c r="AC51" s="139" t="s">
        <v>692</v>
      </c>
      <c r="AD51" s="139" t="s">
        <v>692</v>
      </c>
      <c r="AE51" s="139" t="s">
        <v>692</v>
      </c>
      <c r="AF51" s="139" t="s">
        <v>692</v>
      </c>
      <c r="AG51" s="139" t="s">
        <v>692</v>
      </c>
      <c r="AH51" s="139" t="s">
        <v>692</v>
      </c>
      <c r="AI51" s="139" t="s">
        <v>692</v>
      </c>
    </row>
    <row r="52" spans="1:35" ht="18.75" hidden="1" x14ac:dyDescent="0.25">
      <c r="A52" s="243"/>
      <c r="B52" s="97">
        <v>10122</v>
      </c>
      <c r="C52" s="97" t="s">
        <v>558</v>
      </c>
      <c r="D52" s="97">
        <v>2</v>
      </c>
      <c r="E52" s="172" t="s">
        <v>988</v>
      </c>
      <c r="F52" s="172" t="s">
        <v>559</v>
      </c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01"/>
      <c r="S52" s="101"/>
      <c r="T52" s="101"/>
      <c r="U52" s="101"/>
      <c r="V52" s="101"/>
      <c r="W52" s="139"/>
      <c r="X52" s="139" t="s">
        <v>692</v>
      </c>
      <c r="Y52" s="139" t="s">
        <v>692</v>
      </c>
      <c r="Z52" s="139" t="s">
        <v>692</v>
      </c>
      <c r="AA52" s="139" t="s">
        <v>692</v>
      </c>
      <c r="AB52" s="139" t="s">
        <v>692</v>
      </c>
      <c r="AC52" s="139" t="s">
        <v>692</v>
      </c>
      <c r="AD52" s="139" t="s">
        <v>692</v>
      </c>
      <c r="AE52" s="139" t="s">
        <v>692</v>
      </c>
      <c r="AF52" s="139" t="s">
        <v>692</v>
      </c>
      <c r="AG52" s="139" t="s">
        <v>692</v>
      </c>
      <c r="AH52" s="139" t="s">
        <v>692</v>
      </c>
      <c r="AI52" s="139" t="s">
        <v>692</v>
      </c>
    </row>
    <row r="53" spans="1:35" ht="18.75" hidden="1" x14ac:dyDescent="0.25">
      <c r="A53" s="243"/>
      <c r="B53" s="97">
        <v>531109</v>
      </c>
      <c r="C53" s="97" t="s">
        <v>558</v>
      </c>
      <c r="D53" s="97">
        <v>2</v>
      </c>
      <c r="E53" s="172" t="s">
        <v>563</v>
      </c>
      <c r="F53" s="172" t="s">
        <v>123</v>
      </c>
      <c r="G53" s="172"/>
      <c r="H53" s="172"/>
      <c r="I53" s="172">
        <v>14212</v>
      </c>
      <c r="J53" s="172"/>
      <c r="K53" s="172"/>
      <c r="L53" s="172"/>
      <c r="M53" s="172"/>
      <c r="N53" s="172"/>
      <c r="O53" s="172"/>
      <c r="P53" s="172"/>
      <c r="Q53" s="172"/>
      <c r="R53" s="101"/>
      <c r="S53" s="101"/>
      <c r="T53" s="101"/>
      <c r="U53" s="101"/>
      <c r="V53" s="101"/>
      <c r="W53" s="139"/>
      <c r="X53" s="139" t="s">
        <v>692</v>
      </c>
      <c r="Y53" s="139" t="s">
        <v>692</v>
      </c>
      <c r="Z53" s="139" t="s">
        <v>692</v>
      </c>
      <c r="AA53" s="139" t="s">
        <v>692</v>
      </c>
      <c r="AB53" s="139" t="s">
        <v>692</v>
      </c>
      <c r="AC53" s="139" t="s">
        <v>692</v>
      </c>
      <c r="AD53" s="139" t="s">
        <v>692</v>
      </c>
      <c r="AE53" s="139" t="s">
        <v>692</v>
      </c>
      <c r="AF53" s="139" t="s">
        <v>692</v>
      </c>
      <c r="AG53" s="139" t="s">
        <v>692</v>
      </c>
      <c r="AH53" s="139" t="s">
        <v>692</v>
      </c>
      <c r="AI53" s="139" t="s">
        <v>692</v>
      </c>
    </row>
    <row r="54" spans="1:35" ht="18.75" hidden="1" x14ac:dyDescent="0.25">
      <c r="A54" s="243"/>
      <c r="B54" s="97">
        <v>5356220</v>
      </c>
      <c r="C54" s="97" t="s">
        <v>558</v>
      </c>
      <c r="D54" s="97">
        <v>2</v>
      </c>
      <c r="E54" s="172" t="s">
        <v>564</v>
      </c>
      <c r="F54" s="172" t="s">
        <v>1036</v>
      </c>
      <c r="G54" s="172"/>
      <c r="H54" s="172"/>
      <c r="I54" s="172">
        <v>3771</v>
      </c>
      <c r="J54" s="172"/>
      <c r="K54" s="172"/>
      <c r="L54" s="172"/>
      <c r="M54" s="172"/>
      <c r="N54" s="172"/>
      <c r="O54" s="172"/>
      <c r="P54" s="172"/>
      <c r="Q54" s="172"/>
      <c r="R54" s="101"/>
      <c r="S54" s="101"/>
      <c r="T54" s="101"/>
      <c r="U54" s="101"/>
      <c r="V54" s="101"/>
      <c r="W54" s="139"/>
      <c r="X54" s="139" t="s">
        <v>692</v>
      </c>
      <c r="Y54" s="139" t="s">
        <v>692</v>
      </c>
      <c r="Z54" s="139" t="s">
        <v>692</v>
      </c>
      <c r="AA54" s="139" t="s">
        <v>692</v>
      </c>
      <c r="AB54" s="139" t="s">
        <v>692</v>
      </c>
      <c r="AC54" s="139" t="s">
        <v>692</v>
      </c>
      <c r="AD54" s="139" t="s">
        <v>692</v>
      </c>
      <c r="AE54" s="139" t="s">
        <v>692</v>
      </c>
      <c r="AF54" s="139" t="s">
        <v>692</v>
      </c>
      <c r="AG54" s="139" t="s">
        <v>692</v>
      </c>
      <c r="AH54" s="139" t="s">
        <v>692</v>
      </c>
      <c r="AI54" s="139" t="s">
        <v>692</v>
      </c>
    </row>
    <row r="55" spans="1:35" ht="18.75" hidden="1" x14ac:dyDescent="0.25">
      <c r="A55" s="243"/>
      <c r="B55" s="97">
        <v>5356228</v>
      </c>
      <c r="C55" s="97" t="s">
        <v>558</v>
      </c>
      <c r="D55" s="97">
        <v>2</v>
      </c>
      <c r="E55" s="172" t="s">
        <v>1037</v>
      </c>
      <c r="F55" s="172" t="s">
        <v>123</v>
      </c>
      <c r="G55" s="172"/>
      <c r="H55" s="172"/>
      <c r="I55" s="172">
        <v>14810</v>
      </c>
      <c r="J55" s="172"/>
      <c r="K55" s="172"/>
      <c r="L55" s="172"/>
      <c r="M55" s="172"/>
      <c r="N55" s="172"/>
      <c r="O55" s="172"/>
      <c r="P55" s="172"/>
      <c r="Q55" s="172"/>
      <c r="R55" s="101"/>
      <c r="S55" s="101"/>
      <c r="T55" s="101"/>
      <c r="U55" s="101"/>
      <c r="V55" s="101"/>
      <c r="W55" s="139"/>
      <c r="X55" s="139" t="s">
        <v>692</v>
      </c>
      <c r="Y55" s="139" t="s">
        <v>692</v>
      </c>
      <c r="Z55" s="139" t="s">
        <v>692</v>
      </c>
      <c r="AA55" s="139" t="s">
        <v>692</v>
      </c>
      <c r="AB55" s="139" t="s">
        <v>692</v>
      </c>
      <c r="AC55" s="139" t="s">
        <v>692</v>
      </c>
      <c r="AD55" s="139" t="s">
        <v>692</v>
      </c>
      <c r="AE55" s="139" t="s">
        <v>692</v>
      </c>
      <c r="AF55" s="139" t="s">
        <v>692</v>
      </c>
      <c r="AG55" s="139" t="s">
        <v>692</v>
      </c>
      <c r="AH55" s="139" t="s">
        <v>692</v>
      </c>
      <c r="AI55" s="139" t="s">
        <v>692</v>
      </c>
    </row>
    <row r="56" spans="1:35" ht="18.75" hidden="1" x14ac:dyDescent="0.25">
      <c r="A56" s="243"/>
      <c r="B56" s="97">
        <v>535661921</v>
      </c>
      <c r="C56" s="97" t="s">
        <v>558</v>
      </c>
      <c r="D56" s="97">
        <v>2</v>
      </c>
      <c r="E56" s="172" t="s">
        <v>562</v>
      </c>
      <c r="F56" s="172" t="s">
        <v>123</v>
      </c>
      <c r="G56" s="172"/>
      <c r="H56" s="172"/>
      <c r="I56" s="172">
        <v>15787</v>
      </c>
      <c r="J56" s="172"/>
      <c r="K56" s="172"/>
      <c r="L56" s="172"/>
      <c r="M56" s="172"/>
      <c r="N56" s="172"/>
      <c r="O56" s="172"/>
      <c r="P56" s="172"/>
      <c r="Q56" s="172"/>
      <c r="R56" s="101"/>
      <c r="S56" s="101"/>
      <c r="T56" s="101"/>
      <c r="U56" s="101"/>
      <c r="V56" s="101"/>
      <c r="W56" s="139"/>
      <c r="X56" s="139" t="s">
        <v>692</v>
      </c>
      <c r="Y56" s="139" t="s">
        <v>692</v>
      </c>
      <c r="Z56" s="139" t="s">
        <v>692</v>
      </c>
      <c r="AA56" s="139" t="s">
        <v>692</v>
      </c>
      <c r="AB56" s="139" t="s">
        <v>692</v>
      </c>
      <c r="AC56" s="139" t="s">
        <v>692</v>
      </c>
      <c r="AD56" s="139" t="s">
        <v>692</v>
      </c>
      <c r="AE56" s="139" t="s">
        <v>692</v>
      </c>
      <c r="AF56" s="139" t="s">
        <v>692</v>
      </c>
      <c r="AG56" s="139" t="s">
        <v>692</v>
      </c>
      <c r="AH56" s="139" t="s">
        <v>692</v>
      </c>
      <c r="AI56" s="139" t="s">
        <v>692</v>
      </c>
    </row>
    <row r="57" spans="1:35" ht="18.75" hidden="1" x14ac:dyDescent="0.25">
      <c r="A57" s="243"/>
      <c r="B57" s="97">
        <v>502004989</v>
      </c>
      <c r="C57" s="97" t="s">
        <v>1561</v>
      </c>
      <c r="D57" s="97">
        <v>2</v>
      </c>
      <c r="E57" s="172" t="s">
        <v>1562</v>
      </c>
      <c r="F57" s="172" t="s">
        <v>1563</v>
      </c>
      <c r="G57" s="172" t="s">
        <v>1564</v>
      </c>
      <c r="H57" s="172" t="s">
        <v>1565</v>
      </c>
      <c r="I57" s="172">
        <v>111674</v>
      </c>
      <c r="J57" s="172"/>
      <c r="K57" s="172"/>
      <c r="L57" s="172"/>
      <c r="M57" s="172"/>
      <c r="N57" s="172"/>
      <c r="O57" s="172"/>
      <c r="P57" s="172"/>
      <c r="Q57" s="172"/>
      <c r="R57" s="101"/>
      <c r="S57" s="101"/>
      <c r="T57" s="101"/>
      <c r="U57" s="101"/>
      <c r="V57" s="101"/>
      <c r="W57" s="139"/>
      <c r="X57" s="139" t="s">
        <v>692</v>
      </c>
      <c r="Y57" s="139" t="s">
        <v>692</v>
      </c>
      <c r="Z57" s="139" t="s">
        <v>692</v>
      </c>
      <c r="AA57" s="139" t="s">
        <v>692</v>
      </c>
      <c r="AB57" s="139" t="s">
        <v>692</v>
      </c>
      <c r="AC57" s="139" t="s">
        <v>692</v>
      </c>
      <c r="AD57" s="139" t="s">
        <v>692</v>
      </c>
      <c r="AE57" s="139" t="s">
        <v>692</v>
      </c>
      <c r="AF57" s="139" t="s">
        <v>692</v>
      </c>
      <c r="AG57" s="139" t="s">
        <v>692</v>
      </c>
      <c r="AH57" s="139" t="s">
        <v>692</v>
      </c>
      <c r="AI57" s="139" t="s">
        <v>692</v>
      </c>
    </row>
    <row r="58" spans="1:35" ht="18.75" hidden="1" x14ac:dyDescent="0.25">
      <c r="A58" s="243"/>
      <c r="B58" s="97"/>
      <c r="C58" s="97" t="s">
        <v>565</v>
      </c>
      <c r="D58" s="97">
        <v>2</v>
      </c>
      <c r="E58" s="172" t="s">
        <v>571</v>
      </c>
      <c r="F58" s="172"/>
      <c r="G58" s="172"/>
      <c r="H58" s="172"/>
      <c r="I58" s="172">
        <v>0</v>
      </c>
      <c r="J58" s="172"/>
      <c r="K58" s="172"/>
      <c r="L58" s="172"/>
      <c r="M58" s="172"/>
      <c r="N58" s="172"/>
      <c r="O58" s="172"/>
      <c r="P58" s="172"/>
      <c r="Q58" s="172"/>
      <c r="R58" s="101"/>
      <c r="S58" s="101"/>
      <c r="T58" s="101"/>
      <c r="U58" s="101"/>
      <c r="V58" s="101"/>
      <c r="W58" s="139"/>
      <c r="X58" s="139" t="s">
        <v>692</v>
      </c>
      <c r="Y58" s="139" t="s">
        <v>692</v>
      </c>
      <c r="Z58" s="139" t="s">
        <v>692</v>
      </c>
      <c r="AA58" s="139" t="s">
        <v>692</v>
      </c>
      <c r="AB58" s="139" t="s">
        <v>692</v>
      </c>
      <c r="AC58" s="139" t="s">
        <v>692</v>
      </c>
      <c r="AD58" s="139" t="s">
        <v>692</v>
      </c>
      <c r="AE58" s="139" t="s">
        <v>692</v>
      </c>
      <c r="AF58" s="139" t="s">
        <v>692</v>
      </c>
      <c r="AG58" s="139" t="s">
        <v>692</v>
      </c>
      <c r="AH58" s="139" t="s">
        <v>692</v>
      </c>
      <c r="AI58" s="139" t="s">
        <v>692</v>
      </c>
    </row>
    <row r="59" spans="1:35" ht="18.75" hidden="1" x14ac:dyDescent="0.25">
      <c r="A59" s="243"/>
      <c r="B59" s="97">
        <v>114014011</v>
      </c>
      <c r="C59" s="97" t="s">
        <v>574</v>
      </c>
      <c r="D59" s="97">
        <v>2</v>
      </c>
      <c r="E59" s="172" t="s">
        <v>1052</v>
      </c>
      <c r="F59" s="172" t="s">
        <v>1044</v>
      </c>
      <c r="G59" s="172"/>
      <c r="H59" s="172"/>
      <c r="I59" s="172">
        <v>0</v>
      </c>
      <c r="J59" s="172"/>
      <c r="K59" s="172"/>
      <c r="L59" s="172"/>
      <c r="M59" s="172"/>
      <c r="N59" s="172"/>
      <c r="O59" s="172"/>
      <c r="P59" s="172"/>
      <c r="Q59" s="172"/>
      <c r="R59" s="101"/>
      <c r="S59" s="101"/>
      <c r="T59" s="101"/>
      <c r="U59" s="101"/>
      <c r="V59" s="101"/>
      <c r="W59" s="139"/>
      <c r="X59" s="139" t="s">
        <v>692</v>
      </c>
      <c r="Y59" s="139" t="s">
        <v>692</v>
      </c>
      <c r="Z59" s="139" t="s">
        <v>692</v>
      </c>
      <c r="AA59" s="139" t="s">
        <v>692</v>
      </c>
      <c r="AB59" s="139" t="s">
        <v>692</v>
      </c>
      <c r="AC59" s="139" t="s">
        <v>692</v>
      </c>
      <c r="AD59" s="139" t="s">
        <v>692</v>
      </c>
      <c r="AE59" s="139" t="s">
        <v>692</v>
      </c>
      <c r="AF59" s="139" t="s">
        <v>692</v>
      </c>
      <c r="AG59" s="139" t="s">
        <v>692</v>
      </c>
      <c r="AH59" s="139" t="s">
        <v>692</v>
      </c>
      <c r="AI59" s="139" t="s">
        <v>692</v>
      </c>
    </row>
    <row r="60" spans="1:35" ht="18.75" hidden="1" customHeight="1" x14ac:dyDescent="0.25">
      <c r="A60" s="243"/>
      <c r="B60" s="97" t="s">
        <v>1051</v>
      </c>
      <c r="C60" s="97" t="s">
        <v>574</v>
      </c>
      <c r="D60" s="97">
        <v>2</v>
      </c>
      <c r="E60" s="172" t="s">
        <v>1487</v>
      </c>
      <c r="F60" s="172" t="s">
        <v>1489</v>
      </c>
      <c r="G60" s="172"/>
      <c r="H60" s="172"/>
      <c r="I60" s="172">
        <v>94489</v>
      </c>
      <c r="J60" s="172"/>
      <c r="K60" s="172"/>
      <c r="L60" s="172"/>
      <c r="M60" s="172"/>
      <c r="N60" s="172"/>
      <c r="O60" s="172"/>
      <c r="P60" s="172"/>
      <c r="Q60" s="172"/>
      <c r="R60" s="101"/>
      <c r="S60" s="101"/>
      <c r="T60" s="101"/>
      <c r="U60" s="101"/>
      <c r="V60" s="101"/>
      <c r="W60" s="139"/>
      <c r="X60" s="139" t="s">
        <v>692</v>
      </c>
      <c r="Y60" s="139" t="s">
        <v>692</v>
      </c>
      <c r="Z60" s="139" t="s">
        <v>692</v>
      </c>
      <c r="AA60" s="139" t="s">
        <v>692</v>
      </c>
      <c r="AB60" s="139" t="s">
        <v>692</v>
      </c>
      <c r="AC60" s="139" t="s">
        <v>692</v>
      </c>
      <c r="AD60" s="139" t="s">
        <v>692</v>
      </c>
      <c r="AE60" s="139" t="s">
        <v>692</v>
      </c>
      <c r="AF60" s="139" t="s">
        <v>692</v>
      </c>
      <c r="AG60" s="139" t="s">
        <v>692</v>
      </c>
      <c r="AH60" s="139" t="s">
        <v>692</v>
      </c>
      <c r="AI60" s="139" t="s">
        <v>692</v>
      </c>
    </row>
    <row r="61" spans="1:35" ht="18.75" hidden="1" customHeight="1" x14ac:dyDescent="0.3">
      <c r="A61" s="243"/>
      <c r="B61" s="97" t="s">
        <v>1045</v>
      </c>
      <c r="C61" s="94" t="s">
        <v>574</v>
      </c>
      <c r="D61" s="94">
        <v>2</v>
      </c>
      <c r="E61" s="95" t="s">
        <v>1488</v>
      </c>
      <c r="F61" s="96" t="s">
        <v>1490</v>
      </c>
      <c r="G61" s="172"/>
      <c r="H61" s="96"/>
      <c r="I61" s="173">
        <v>121679</v>
      </c>
      <c r="J61" s="173"/>
      <c r="K61" s="173"/>
      <c r="L61" s="173"/>
      <c r="M61" s="173"/>
      <c r="N61" s="173"/>
      <c r="O61" s="173"/>
      <c r="P61" s="173"/>
      <c r="Q61" s="173"/>
      <c r="R61" s="213"/>
      <c r="S61" s="101"/>
      <c r="T61" s="101"/>
      <c r="U61" s="101"/>
      <c r="V61" s="101"/>
      <c r="W61" s="139"/>
      <c r="X61" s="139" t="s">
        <v>692</v>
      </c>
      <c r="Y61" s="139" t="s">
        <v>692</v>
      </c>
      <c r="Z61" s="139" t="s">
        <v>692</v>
      </c>
      <c r="AA61" s="139" t="s">
        <v>692</v>
      </c>
      <c r="AB61" s="139" t="s">
        <v>692</v>
      </c>
      <c r="AC61" s="139" t="s">
        <v>692</v>
      </c>
      <c r="AD61" s="139" t="s">
        <v>692</v>
      </c>
      <c r="AE61" s="139" t="s">
        <v>692</v>
      </c>
      <c r="AF61" s="139" t="s">
        <v>692</v>
      </c>
      <c r="AG61" s="139" t="s">
        <v>692</v>
      </c>
      <c r="AH61" s="139" t="s">
        <v>692</v>
      </c>
      <c r="AI61" s="139" t="s">
        <v>692</v>
      </c>
    </row>
    <row r="62" spans="1:35" ht="18.75" hidden="1" x14ac:dyDescent="0.25">
      <c r="A62" s="243"/>
      <c r="B62" s="97" t="s">
        <v>1047</v>
      </c>
      <c r="C62" s="94" t="s">
        <v>574</v>
      </c>
      <c r="D62" s="94">
        <v>2</v>
      </c>
      <c r="E62" s="174" t="s">
        <v>1048</v>
      </c>
      <c r="F62" s="99" t="s">
        <v>47</v>
      </c>
      <c r="G62" s="99"/>
      <c r="H62" s="175"/>
      <c r="I62" s="173">
        <v>0</v>
      </c>
      <c r="J62" s="173"/>
      <c r="K62" s="173"/>
      <c r="L62" s="173"/>
      <c r="M62" s="173"/>
      <c r="N62" s="173"/>
      <c r="O62" s="173"/>
      <c r="P62" s="173"/>
      <c r="Q62" s="173"/>
      <c r="R62" s="213"/>
      <c r="S62" s="101"/>
      <c r="T62" s="101"/>
      <c r="U62" s="101"/>
      <c r="V62" s="101"/>
      <c r="W62" s="139"/>
      <c r="X62" s="139" t="s">
        <v>692</v>
      </c>
      <c r="Y62" s="139" t="s">
        <v>692</v>
      </c>
      <c r="Z62" s="139" t="s">
        <v>692</v>
      </c>
      <c r="AA62" s="139" t="s">
        <v>692</v>
      </c>
      <c r="AB62" s="139" t="s">
        <v>692</v>
      </c>
      <c r="AC62" s="139" t="s">
        <v>692</v>
      </c>
      <c r="AD62" s="139" t="s">
        <v>692</v>
      </c>
      <c r="AE62" s="139" t="s">
        <v>692</v>
      </c>
      <c r="AF62" s="139" t="s">
        <v>692</v>
      </c>
      <c r="AG62" s="139" t="s">
        <v>692</v>
      </c>
      <c r="AH62" s="139" t="s">
        <v>692</v>
      </c>
      <c r="AI62" s="139" t="s">
        <v>692</v>
      </c>
    </row>
    <row r="63" spans="1:35" ht="18.75" hidden="1" x14ac:dyDescent="0.25">
      <c r="A63" s="243"/>
      <c r="B63" s="190" t="s">
        <v>1049</v>
      </c>
      <c r="C63" s="55" t="s">
        <v>574</v>
      </c>
      <c r="D63" s="55">
        <v>2</v>
      </c>
      <c r="E63" s="177" t="s">
        <v>1048</v>
      </c>
      <c r="F63" s="177" t="s">
        <v>1044</v>
      </c>
      <c r="G63" s="178"/>
      <c r="H63" s="177"/>
      <c r="I63" s="179">
        <v>0</v>
      </c>
      <c r="J63" s="179"/>
      <c r="K63" s="179"/>
      <c r="L63" s="179"/>
      <c r="M63" s="179"/>
      <c r="N63" s="179"/>
      <c r="O63" s="179"/>
      <c r="P63" s="179"/>
      <c r="Q63" s="179"/>
      <c r="R63" s="213"/>
      <c r="S63" s="101"/>
      <c r="T63" s="101"/>
      <c r="U63" s="101"/>
      <c r="V63" s="101"/>
      <c r="W63" s="139"/>
      <c r="X63" s="139" t="s">
        <v>692</v>
      </c>
      <c r="Y63" s="139" t="s">
        <v>692</v>
      </c>
      <c r="Z63" s="139" t="s">
        <v>692</v>
      </c>
      <c r="AA63" s="139" t="s">
        <v>692</v>
      </c>
      <c r="AB63" s="139" t="s">
        <v>692</v>
      </c>
      <c r="AC63" s="139" t="s">
        <v>692</v>
      </c>
      <c r="AD63" s="139" t="s">
        <v>692</v>
      </c>
      <c r="AE63" s="139" t="s">
        <v>692</v>
      </c>
      <c r="AF63" s="139" t="s">
        <v>692</v>
      </c>
      <c r="AG63" s="139" t="s">
        <v>692</v>
      </c>
      <c r="AH63" s="139" t="s">
        <v>692</v>
      </c>
      <c r="AI63" s="139" t="s">
        <v>692</v>
      </c>
    </row>
    <row r="64" spans="1:35" ht="18.75" hidden="1" x14ac:dyDescent="0.25">
      <c r="A64" s="243"/>
      <c r="B64" s="97" t="s">
        <v>1043</v>
      </c>
      <c r="C64" s="97" t="s">
        <v>574</v>
      </c>
      <c r="D64" s="97">
        <v>2</v>
      </c>
      <c r="E64" s="172" t="s">
        <v>577</v>
      </c>
      <c r="F64" s="172" t="s">
        <v>1044</v>
      </c>
      <c r="G64" s="172"/>
      <c r="H64" s="172"/>
      <c r="I64" s="172">
        <v>485942</v>
      </c>
      <c r="J64" s="172"/>
      <c r="K64" s="172"/>
      <c r="L64" s="172"/>
      <c r="M64" s="172"/>
      <c r="N64" s="172"/>
      <c r="O64" s="172"/>
      <c r="P64" s="172"/>
      <c r="Q64" s="172"/>
      <c r="R64" s="101"/>
      <c r="S64" s="101"/>
      <c r="T64" s="101"/>
      <c r="U64" s="101"/>
      <c r="V64" s="101"/>
      <c r="W64" s="139"/>
      <c r="X64" s="139" t="s">
        <v>692</v>
      </c>
      <c r="Y64" s="139" t="s">
        <v>692</v>
      </c>
      <c r="Z64" s="139" t="s">
        <v>692</v>
      </c>
      <c r="AA64" s="139" t="s">
        <v>692</v>
      </c>
      <c r="AB64" s="139" t="s">
        <v>692</v>
      </c>
      <c r="AC64" s="139" t="s">
        <v>692</v>
      </c>
      <c r="AD64" s="139" t="s">
        <v>692</v>
      </c>
      <c r="AE64" s="139" t="s">
        <v>692</v>
      </c>
      <c r="AF64" s="139" t="s">
        <v>692</v>
      </c>
      <c r="AG64" s="139" t="s">
        <v>692</v>
      </c>
      <c r="AH64" s="139" t="s">
        <v>692</v>
      </c>
      <c r="AI64" s="139" t="s">
        <v>692</v>
      </c>
    </row>
    <row r="65" spans="1:35" ht="18.75" hidden="1" x14ac:dyDescent="0.25">
      <c r="A65" s="248"/>
      <c r="B65" s="97"/>
      <c r="C65" s="94" t="s">
        <v>574</v>
      </c>
      <c r="D65" s="94">
        <v>2</v>
      </c>
      <c r="E65" s="174" t="s">
        <v>575</v>
      </c>
      <c r="F65" s="99" t="s">
        <v>576</v>
      </c>
      <c r="G65" s="99" t="s">
        <v>1581</v>
      </c>
      <c r="H65" s="175"/>
      <c r="I65" s="173"/>
      <c r="J65" s="173"/>
      <c r="K65" s="173"/>
      <c r="L65" s="173"/>
      <c r="M65" s="173"/>
      <c r="N65" s="173"/>
      <c r="O65" s="173"/>
      <c r="P65" s="173"/>
      <c r="Q65" s="173"/>
      <c r="R65" s="213"/>
      <c r="S65" s="101"/>
      <c r="T65" s="101"/>
      <c r="U65" s="101"/>
      <c r="V65" s="101"/>
      <c r="W65" s="139"/>
      <c r="X65" s="139" t="s">
        <v>692</v>
      </c>
      <c r="Y65" s="139" t="s">
        <v>692</v>
      </c>
      <c r="Z65" s="139" t="s">
        <v>692</v>
      </c>
      <c r="AA65" s="139" t="s">
        <v>692</v>
      </c>
      <c r="AB65" s="139" t="s">
        <v>692</v>
      </c>
      <c r="AC65" s="139" t="s">
        <v>692</v>
      </c>
      <c r="AD65" s="139" t="s">
        <v>692</v>
      </c>
      <c r="AE65" s="139" t="s">
        <v>692</v>
      </c>
      <c r="AF65" s="139" t="s">
        <v>692</v>
      </c>
      <c r="AG65" s="139" t="s">
        <v>692</v>
      </c>
      <c r="AH65" s="139" t="s">
        <v>692</v>
      </c>
      <c r="AI65" s="139" t="s">
        <v>692</v>
      </c>
    </row>
    <row r="66" spans="1:35" ht="18.75" hidden="1" x14ac:dyDescent="0.25">
      <c r="A66" s="248"/>
      <c r="B66" s="97">
        <v>79007</v>
      </c>
      <c r="C66" s="97" t="s">
        <v>581</v>
      </c>
      <c r="D66" s="97">
        <v>3</v>
      </c>
      <c r="E66" s="172" t="s">
        <v>1252</v>
      </c>
      <c r="F66" s="172" t="s">
        <v>583</v>
      </c>
      <c r="G66" s="172" t="s">
        <v>584</v>
      </c>
      <c r="H66" s="172"/>
      <c r="I66" s="172">
        <v>98539.7</v>
      </c>
      <c r="J66" s="172"/>
      <c r="K66" s="172"/>
      <c r="L66" s="172"/>
      <c r="M66" s="172"/>
      <c r="N66" s="172"/>
      <c r="O66" s="172"/>
      <c r="P66" s="172"/>
      <c r="Q66" s="172"/>
      <c r="R66" s="101"/>
      <c r="S66" s="101"/>
      <c r="T66" s="101"/>
      <c r="U66" s="101"/>
      <c r="V66" s="101"/>
      <c r="W66" s="139"/>
      <c r="X66" s="139" t="s">
        <v>692</v>
      </c>
      <c r="Y66" s="139" t="s">
        <v>692</v>
      </c>
      <c r="Z66" s="139" t="s">
        <v>692</v>
      </c>
      <c r="AA66" s="139" t="s">
        <v>692</v>
      </c>
      <c r="AB66" s="139" t="s">
        <v>692</v>
      </c>
      <c r="AC66" s="139" t="s">
        <v>692</v>
      </c>
      <c r="AD66" s="139" t="s">
        <v>692</v>
      </c>
      <c r="AE66" s="139" t="s">
        <v>692</v>
      </c>
      <c r="AF66" s="139" t="s">
        <v>692</v>
      </c>
      <c r="AG66" s="139" t="s">
        <v>692</v>
      </c>
      <c r="AH66" s="139" t="s">
        <v>692</v>
      </c>
      <c r="AI66" s="139" t="s">
        <v>692</v>
      </c>
    </row>
    <row r="67" spans="1:35" ht="18.75" hidden="1" x14ac:dyDescent="0.25">
      <c r="A67" s="248"/>
      <c r="B67" s="97">
        <v>79062</v>
      </c>
      <c r="C67" s="97" t="s">
        <v>581</v>
      </c>
      <c r="D67" s="97">
        <v>3</v>
      </c>
      <c r="E67" s="172" t="s">
        <v>21</v>
      </c>
      <c r="F67" s="172" t="s">
        <v>583</v>
      </c>
      <c r="G67" s="172" t="s">
        <v>1231</v>
      </c>
      <c r="H67" s="172"/>
      <c r="I67" s="172">
        <v>56935.4</v>
      </c>
      <c r="J67" s="172"/>
      <c r="K67" s="172"/>
      <c r="L67" s="172"/>
      <c r="M67" s="172"/>
      <c r="N67" s="172"/>
      <c r="O67" s="172"/>
      <c r="P67" s="172"/>
      <c r="Q67" s="172"/>
      <c r="R67" s="101"/>
      <c r="S67" s="101"/>
      <c r="T67" s="101"/>
      <c r="U67" s="101"/>
      <c r="V67" s="101"/>
      <c r="W67" s="139"/>
      <c r="X67" s="139" t="s">
        <v>692</v>
      </c>
      <c r="Y67" s="139" t="s">
        <v>692</v>
      </c>
      <c r="Z67" s="139" t="s">
        <v>692</v>
      </c>
      <c r="AA67" s="139" t="s">
        <v>692</v>
      </c>
      <c r="AB67" s="139" t="s">
        <v>692</v>
      </c>
      <c r="AC67" s="139" t="s">
        <v>692</v>
      </c>
      <c r="AD67" s="139" t="s">
        <v>692</v>
      </c>
      <c r="AE67" s="139" t="s">
        <v>692</v>
      </c>
      <c r="AF67" s="139" t="s">
        <v>692</v>
      </c>
      <c r="AG67" s="139" t="s">
        <v>692</v>
      </c>
      <c r="AH67" s="139" t="s">
        <v>692</v>
      </c>
      <c r="AI67" s="139" t="s">
        <v>692</v>
      </c>
    </row>
    <row r="68" spans="1:35" ht="18.75" hidden="1" x14ac:dyDescent="0.25">
      <c r="A68" s="248"/>
      <c r="B68" s="97">
        <v>32973653</v>
      </c>
      <c r="C68" s="97" t="s">
        <v>581</v>
      </c>
      <c r="D68" s="97">
        <v>3</v>
      </c>
      <c r="E68" s="172" t="s">
        <v>21</v>
      </c>
      <c r="F68" s="172" t="s">
        <v>1285</v>
      </c>
      <c r="G68" s="172" t="s">
        <v>1280</v>
      </c>
      <c r="H68" s="172" t="s">
        <v>664</v>
      </c>
      <c r="I68" s="172">
        <v>11324</v>
      </c>
      <c r="J68" s="172"/>
      <c r="K68" s="172"/>
      <c r="L68" s="172"/>
      <c r="M68" s="172"/>
      <c r="N68" s="172"/>
      <c r="O68" s="172"/>
      <c r="P68" s="172"/>
      <c r="Q68" s="172"/>
      <c r="R68" s="101"/>
      <c r="S68" s="101"/>
      <c r="T68" s="101"/>
      <c r="U68" s="101"/>
      <c r="V68" s="101"/>
      <c r="W68" s="139"/>
      <c r="X68" s="139" t="s">
        <v>692</v>
      </c>
      <c r="Y68" s="139" t="s">
        <v>692</v>
      </c>
      <c r="Z68" s="139" t="s">
        <v>692</v>
      </c>
      <c r="AA68" s="139" t="s">
        <v>692</v>
      </c>
      <c r="AB68" s="139" t="s">
        <v>692</v>
      </c>
      <c r="AC68" s="139" t="s">
        <v>692</v>
      </c>
      <c r="AD68" s="139" t="s">
        <v>692</v>
      </c>
      <c r="AE68" s="139" t="s">
        <v>692</v>
      </c>
      <c r="AF68" s="139" t="s">
        <v>692</v>
      </c>
      <c r="AG68" s="139" t="s">
        <v>692</v>
      </c>
      <c r="AH68" s="139" t="s">
        <v>692</v>
      </c>
      <c r="AI68" s="139" t="s">
        <v>692</v>
      </c>
    </row>
    <row r="69" spans="1:35" ht="18.75" hidden="1" x14ac:dyDescent="0.25">
      <c r="A69" s="248"/>
      <c r="B69" s="97" t="s">
        <v>394</v>
      </c>
      <c r="C69" s="97" t="s">
        <v>581</v>
      </c>
      <c r="D69" s="97">
        <v>3</v>
      </c>
      <c r="E69" s="172" t="s">
        <v>21</v>
      </c>
      <c r="F69" s="172" t="s">
        <v>600</v>
      </c>
      <c r="G69" s="172" t="s">
        <v>601</v>
      </c>
      <c r="H69" s="172" t="s">
        <v>1070</v>
      </c>
      <c r="I69" s="172">
        <v>15928.9</v>
      </c>
      <c r="J69" s="172"/>
      <c r="K69" s="172"/>
      <c r="L69" s="172"/>
      <c r="M69" s="172"/>
      <c r="N69" s="172"/>
      <c r="O69" s="172"/>
      <c r="P69" s="172"/>
      <c r="Q69" s="172"/>
      <c r="R69" s="101"/>
      <c r="S69" s="101"/>
      <c r="T69" s="101"/>
      <c r="U69" s="101"/>
      <c r="V69" s="101"/>
      <c r="W69" s="139"/>
      <c r="X69" s="139" t="s">
        <v>692</v>
      </c>
      <c r="Y69" s="139" t="s">
        <v>692</v>
      </c>
      <c r="Z69" s="139" t="s">
        <v>692</v>
      </c>
      <c r="AA69" s="139" t="s">
        <v>692</v>
      </c>
      <c r="AB69" s="139" t="s">
        <v>692</v>
      </c>
      <c r="AC69" s="139" t="s">
        <v>692</v>
      </c>
      <c r="AD69" s="139" t="s">
        <v>692</v>
      </c>
      <c r="AE69" s="139" t="s">
        <v>692</v>
      </c>
      <c r="AF69" s="139" t="s">
        <v>692</v>
      </c>
      <c r="AG69" s="139" t="s">
        <v>692</v>
      </c>
      <c r="AH69" s="139" t="s">
        <v>692</v>
      </c>
      <c r="AI69" s="139" t="s">
        <v>692</v>
      </c>
    </row>
    <row r="70" spans="1:35" ht="18.75" hidden="1" x14ac:dyDescent="0.25">
      <c r="A70" s="248"/>
      <c r="B70" s="97" t="s">
        <v>392</v>
      </c>
      <c r="C70" s="97" t="s">
        <v>581</v>
      </c>
      <c r="D70" s="97">
        <v>3</v>
      </c>
      <c r="E70" s="172" t="s">
        <v>21</v>
      </c>
      <c r="F70" s="172" t="s">
        <v>585</v>
      </c>
      <c r="G70" s="172" t="s">
        <v>590</v>
      </c>
      <c r="H70" s="172"/>
      <c r="I70" s="172">
        <v>2083</v>
      </c>
      <c r="J70" s="172"/>
      <c r="K70" s="172"/>
      <c r="L70" s="172"/>
      <c r="M70" s="172"/>
      <c r="N70" s="172"/>
      <c r="O70" s="172"/>
      <c r="P70" s="172"/>
      <c r="Q70" s="172"/>
      <c r="R70" s="101"/>
      <c r="S70" s="101"/>
      <c r="T70" s="101"/>
      <c r="U70" s="101"/>
      <c r="V70" s="101"/>
      <c r="W70" s="139"/>
      <c r="X70" s="139" t="s">
        <v>692</v>
      </c>
      <c r="Y70" s="139" t="s">
        <v>692</v>
      </c>
      <c r="Z70" s="139" t="s">
        <v>692</v>
      </c>
      <c r="AA70" s="139" t="s">
        <v>692</v>
      </c>
      <c r="AB70" s="139" t="s">
        <v>692</v>
      </c>
      <c r="AC70" s="139" t="s">
        <v>692</v>
      </c>
      <c r="AD70" s="139" t="s">
        <v>692</v>
      </c>
      <c r="AE70" s="139" t="s">
        <v>692</v>
      </c>
      <c r="AF70" s="139" t="s">
        <v>692</v>
      </c>
      <c r="AG70" s="139" t="s">
        <v>692</v>
      </c>
      <c r="AH70" s="139" t="s">
        <v>692</v>
      </c>
      <c r="AI70" s="139" t="s">
        <v>692</v>
      </c>
    </row>
    <row r="71" spans="1:35" ht="18.75" hidden="1" x14ac:dyDescent="0.25">
      <c r="A71" s="248"/>
      <c r="B71" s="97" t="s">
        <v>391</v>
      </c>
      <c r="C71" s="97" t="s">
        <v>581</v>
      </c>
      <c r="D71" s="97">
        <v>3</v>
      </c>
      <c r="E71" s="172" t="s">
        <v>21</v>
      </c>
      <c r="F71" s="172" t="s">
        <v>585</v>
      </c>
      <c r="G71" s="172" t="s">
        <v>1283</v>
      </c>
      <c r="H71" s="172"/>
      <c r="I71" s="172">
        <v>335247</v>
      </c>
      <c r="J71" s="172"/>
      <c r="K71" s="172"/>
      <c r="L71" s="172"/>
      <c r="M71" s="172"/>
      <c r="N71" s="172"/>
      <c r="O71" s="172"/>
      <c r="P71" s="172"/>
      <c r="Q71" s="172"/>
      <c r="R71" s="101"/>
      <c r="S71" s="101"/>
      <c r="T71" s="101"/>
      <c r="U71" s="101"/>
      <c r="V71" s="101"/>
      <c r="W71" s="139"/>
      <c r="X71" s="139" t="s">
        <v>692</v>
      </c>
      <c r="Y71" s="139" t="s">
        <v>692</v>
      </c>
      <c r="Z71" s="139" t="s">
        <v>692</v>
      </c>
      <c r="AA71" s="139" t="s">
        <v>692</v>
      </c>
      <c r="AB71" s="139" t="s">
        <v>692</v>
      </c>
      <c r="AC71" s="139" t="s">
        <v>692</v>
      </c>
      <c r="AD71" s="139" t="s">
        <v>692</v>
      </c>
      <c r="AE71" s="139" t="s">
        <v>692</v>
      </c>
      <c r="AF71" s="139" t="s">
        <v>692</v>
      </c>
      <c r="AG71" s="139" t="s">
        <v>692</v>
      </c>
      <c r="AH71" s="139" t="s">
        <v>692</v>
      </c>
      <c r="AI71" s="139" t="s">
        <v>692</v>
      </c>
    </row>
    <row r="72" spans="1:35" ht="18.75" hidden="1" x14ac:dyDescent="0.25">
      <c r="A72" s="248"/>
      <c r="B72" s="97" t="s">
        <v>390</v>
      </c>
      <c r="C72" s="97" t="s">
        <v>581</v>
      </c>
      <c r="D72" s="97">
        <v>3</v>
      </c>
      <c r="E72" s="172" t="s">
        <v>21</v>
      </c>
      <c r="F72" s="172" t="s">
        <v>585</v>
      </c>
      <c r="G72" s="172" t="s">
        <v>589</v>
      </c>
      <c r="H72" s="172"/>
      <c r="I72" s="172">
        <v>30143</v>
      </c>
      <c r="J72" s="172"/>
      <c r="K72" s="172"/>
      <c r="L72" s="172"/>
      <c r="M72" s="172"/>
      <c r="N72" s="172"/>
      <c r="O72" s="172"/>
      <c r="P72" s="172"/>
      <c r="Q72" s="172"/>
      <c r="R72" s="101"/>
      <c r="S72" s="101"/>
      <c r="T72" s="101"/>
      <c r="U72" s="101"/>
      <c r="V72" s="101"/>
      <c r="W72" s="139"/>
      <c r="X72" s="139" t="s">
        <v>692</v>
      </c>
      <c r="Y72" s="139" t="s">
        <v>692</v>
      </c>
      <c r="Z72" s="139" t="s">
        <v>692</v>
      </c>
      <c r="AA72" s="139" t="s">
        <v>692</v>
      </c>
      <c r="AB72" s="139" t="s">
        <v>692</v>
      </c>
      <c r="AC72" s="139" t="s">
        <v>692</v>
      </c>
      <c r="AD72" s="139" t="s">
        <v>692</v>
      </c>
      <c r="AE72" s="139" t="s">
        <v>692</v>
      </c>
      <c r="AF72" s="139" t="s">
        <v>692</v>
      </c>
      <c r="AG72" s="139" t="s">
        <v>692</v>
      </c>
      <c r="AH72" s="139" t="s">
        <v>692</v>
      </c>
      <c r="AI72" s="139" t="s">
        <v>692</v>
      </c>
    </row>
    <row r="73" spans="1:35" ht="18.75" hidden="1" x14ac:dyDescent="0.25">
      <c r="A73" s="248"/>
      <c r="B73" s="97" t="s">
        <v>385</v>
      </c>
      <c r="C73" s="94" t="s">
        <v>581</v>
      </c>
      <c r="D73" s="94">
        <v>3</v>
      </c>
      <c r="E73" s="174" t="s">
        <v>21</v>
      </c>
      <c r="F73" s="99" t="s">
        <v>585</v>
      </c>
      <c r="G73" s="99" t="s">
        <v>1254</v>
      </c>
      <c r="H73" s="175"/>
      <c r="I73" s="173">
        <v>807664</v>
      </c>
      <c r="J73" s="173"/>
      <c r="K73" s="173"/>
      <c r="L73" s="173"/>
      <c r="M73" s="173"/>
      <c r="N73" s="173"/>
      <c r="O73" s="173"/>
      <c r="P73" s="173"/>
      <c r="Q73" s="173"/>
      <c r="R73" s="213"/>
      <c r="S73" s="101"/>
      <c r="T73" s="101"/>
      <c r="U73" s="101"/>
      <c r="V73" s="101"/>
      <c r="W73" s="139"/>
      <c r="X73" s="139" t="s">
        <v>692</v>
      </c>
      <c r="Y73" s="139" t="s">
        <v>692</v>
      </c>
      <c r="Z73" s="139" t="s">
        <v>692</v>
      </c>
      <c r="AA73" s="139" t="s">
        <v>692</v>
      </c>
      <c r="AB73" s="139" t="s">
        <v>692</v>
      </c>
      <c r="AC73" s="139" t="s">
        <v>692</v>
      </c>
      <c r="AD73" s="139" t="s">
        <v>692</v>
      </c>
      <c r="AE73" s="139" t="s">
        <v>692</v>
      </c>
      <c r="AF73" s="139" t="s">
        <v>692</v>
      </c>
      <c r="AG73" s="139" t="s">
        <v>692</v>
      </c>
      <c r="AH73" s="139" t="s">
        <v>692</v>
      </c>
      <c r="AI73" s="139" t="s">
        <v>692</v>
      </c>
    </row>
    <row r="74" spans="1:35" ht="18.75" hidden="1" x14ac:dyDescent="0.25">
      <c r="A74" s="248"/>
      <c r="B74" s="97" t="s">
        <v>397</v>
      </c>
      <c r="C74" s="94" t="s">
        <v>581</v>
      </c>
      <c r="D74" s="94">
        <v>3</v>
      </c>
      <c r="E74" s="174" t="s">
        <v>21</v>
      </c>
      <c r="F74" s="99" t="s">
        <v>585</v>
      </c>
      <c r="G74" s="99" t="s">
        <v>1264</v>
      </c>
      <c r="H74" s="99"/>
      <c r="I74" s="173">
        <v>176716</v>
      </c>
      <c r="J74" s="173"/>
      <c r="K74" s="173"/>
      <c r="L74" s="173"/>
      <c r="M74" s="173"/>
      <c r="N74" s="173"/>
      <c r="O74" s="173"/>
      <c r="P74" s="173"/>
      <c r="Q74" s="173"/>
      <c r="R74" s="213"/>
      <c r="S74" s="101"/>
      <c r="T74" s="101"/>
      <c r="U74" s="101"/>
      <c r="V74" s="101"/>
      <c r="W74" s="139"/>
      <c r="X74" s="139" t="s">
        <v>692</v>
      </c>
      <c r="Y74" s="139" t="s">
        <v>692</v>
      </c>
      <c r="Z74" s="139" t="s">
        <v>692</v>
      </c>
      <c r="AA74" s="139" t="s">
        <v>692</v>
      </c>
      <c r="AB74" s="139" t="s">
        <v>692</v>
      </c>
      <c r="AC74" s="139" t="s">
        <v>692</v>
      </c>
      <c r="AD74" s="139" t="s">
        <v>692</v>
      </c>
      <c r="AE74" s="139" t="s">
        <v>692</v>
      </c>
      <c r="AF74" s="139" t="s">
        <v>692</v>
      </c>
      <c r="AG74" s="139" t="s">
        <v>692</v>
      </c>
      <c r="AH74" s="139" t="s">
        <v>692</v>
      </c>
      <c r="AI74" s="139" t="s">
        <v>692</v>
      </c>
    </row>
    <row r="75" spans="1:35" ht="18.75" hidden="1" x14ac:dyDescent="0.25">
      <c r="A75" s="248"/>
      <c r="B75" s="97" t="s">
        <v>396</v>
      </c>
      <c r="C75" s="94" t="s">
        <v>581</v>
      </c>
      <c r="D75" s="94">
        <v>3</v>
      </c>
      <c r="E75" s="174" t="s">
        <v>21</v>
      </c>
      <c r="F75" s="99" t="s">
        <v>585</v>
      </c>
      <c r="G75" s="99" t="s">
        <v>605</v>
      </c>
      <c r="H75" s="175"/>
      <c r="I75" s="173">
        <v>17</v>
      </c>
      <c r="J75" s="173"/>
      <c r="K75" s="173"/>
      <c r="L75" s="173"/>
      <c r="M75" s="173"/>
      <c r="N75" s="173"/>
      <c r="O75" s="173"/>
      <c r="P75" s="173"/>
      <c r="Q75" s="173"/>
      <c r="R75" s="213"/>
      <c r="S75" s="101"/>
      <c r="T75" s="101"/>
      <c r="U75" s="101"/>
      <c r="V75" s="101"/>
      <c r="W75" s="139"/>
      <c r="X75" s="139" t="s">
        <v>692</v>
      </c>
      <c r="Y75" s="139" t="s">
        <v>692</v>
      </c>
      <c r="Z75" s="139" t="s">
        <v>692</v>
      </c>
      <c r="AA75" s="139" t="s">
        <v>692</v>
      </c>
      <c r="AB75" s="139" t="s">
        <v>692</v>
      </c>
      <c r="AC75" s="139" t="s">
        <v>692</v>
      </c>
      <c r="AD75" s="139" t="s">
        <v>692</v>
      </c>
      <c r="AE75" s="139" t="s">
        <v>692</v>
      </c>
      <c r="AF75" s="139" t="s">
        <v>692</v>
      </c>
      <c r="AG75" s="139" t="s">
        <v>692</v>
      </c>
      <c r="AH75" s="139" t="s">
        <v>692</v>
      </c>
      <c r="AI75" s="139" t="s">
        <v>692</v>
      </c>
    </row>
    <row r="76" spans="1:35" ht="18.75" hidden="1" x14ac:dyDescent="0.25">
      <c r="A76" s="248"/>
      <c r="B76" s="97" t="s">
        <v>399</v>
      </c>
      <c r="C76" s="94" t="s">
        <v>581</v>
      </c>
      <c r="D76" s="94">
        <v>3</v>
      </c>
      <c r="E76" s="174" t="s">
        <v>21</v>
      </c>
      <c r="F76" s="175" t="s">
        <v>585</v>
      </c>
      <c r="G76" s="98" t="s">
        <v>607</v>
      </c>
      <c r="H76" s="174"/>
      <c r="I76" s="173">
        <v>57831</v>
      </c>
      <c r="J76" s="173"/>
      <c r="K76" s="173"/>
      <c r="L76" s="173"/>
      <c r="M76" s="173"/>
      <c r="N76" s="173"/>
      <c r="O76" s="173"/>
      <c r="P76" s="173"/>
      <c r="Q76" s="173"/>
      <c r="R76" s="213"/>
      <c r="S76" s="101"/>
      <c r="T76" s="101"/>
      <c r="U76" s="101"/>
      <c r="V76" s="101"/>
      <c r="W76" s="139"/>
      <c r="X76" s="139" t="s">
        <v>692</v>
      </c>
      <c r="Y76" s="139" t="s">
        <v>692</v>
      </c>
      <c r="Z76" s="139" t="s">
        <v>692</v>
      </c>
      <c r="AA76" s="139" t="s">
        <v>692</v>
      </c>
      <c r="AB76" s="139" t="s">
        <v>692</v>
      </c>
      <c r="AC76" s="139" t="s">
        <v>692</v>
      </c>
      <c r="AD76" s="139" t="s">
        <v>692</v>
      </c>
      <c r="AE76" s="139" t="s">
        <v>692</v>
      </c>
      <c r="AF76" s="139" t="s">
        <v>692</v>
      </c>
      <c r="AG76" s="139" t="s">
        <v>692</v>
      </c>
      <c r="AH76" s="139" t="s">
        <v>692</v>
      </c>
      <c r="AI76" s="139" t="s">
        <v>692</v>
      </c>
    </row>
    <row r="77" spans="1:35" ht="18.75" hidden="1" x14ac:dyDescent="0.25">
      <c r="A77" s="248"/>
      <c r="B77" s="97" t="s">
        <v>400</v>
      </c>
      <c r="C77" s="97" t="s">
        <v>581</v>
      </c>
      <c r="D77" s="97">
        <v>3</v>
      </c>
      <c r="E77" s="98" t="s">
        <v>21</v>
      </c>
      <c r="F77" s="99" t="s">
        <v>585</v>
      </c>
      <c r="G77" s="99" t="s">
        <v>610</v>
      </c>
      <c r="H77" s="99"/>
      <c r="I77" s="173">
        <v>30</v>
      </c>
      <c r="J77" s="173"/>
      <c r="K77" s="173"/>
      <c r="L77" s="173"/>
      <c r="M77" s="173"/>
      <c r="N77" s="173"/>
      <c r="O77" s="173"/>
      <c r="P77" s="173"/>
      <c r="Q77" s="173"/>
      <c r="R77" s="213"/>
      <c r="S77" s="101"/>
      <c r="T77" s="101"/>
      <c r="U77" s="101"/>
      <c r="V77" s="101"/>
      <c r="W77" s="139"/>
      <c r="X77" s="139" t="s">
        <v>692</v>
      </c>
      <c r="Y77" s="139" t="s">
        <v>692</v>
      </c>
      <c r="Z77" s="139" t="s">
        <v>692</v>
      </c>
      <c r="AA77" s="139" t="s">
        <v>692</v>
      </c>
      <c r="AB77" s="139" t="s">
        <v>692</v>
      </c>
      <c r="AC77" s="139" t="s">
        <v>692</v>
      </c>
      <c r="AD77" s="139" t="s">
        <v>692</v>
      </c>
      <c r="AE77" s="139" t="s">
        <v>692</v>
      </c>
      <c r="AF77" s="139" t="s">
        <v>692</v>
      </c>
      <c r="AG77" s="139" t="s">
        <v>692</v>
      </c>
      <c r="AH77" s="139" t="s">
        <v>692</v>
      </c>
      <c r="AI77" s="139" t="s">
        <v>692</v>
      </c>
    </row>
    <row r="78" spans="1:35" ht="18.75" hidden="1" x14ac:dyDescent="0.25">
      <c r="A78" s="248"/>
      <c r="B78" s="97" t="s">
        <v>395</v>
      </c>
      <c r="C78" s="97" t="s">
        <v>581</v>
      </c>
      <c r="D78" s="97">
        <v>3</v>
      </c>
      <c r="E78" s="98" t="s">
        <v>21</v>
      </c>
      <c r="F78" s="99" t="s">
        <v>602</v>
      </c>
      <c r="G78" s="99" t="s">
        <v>1263</v>
      </c>
      <c r="H78" s="99"/>
      <c r="I78" s="173">
        <v>4301</v>
      </c>
      <c r="J78" s="173"/>
      <c r="K78" s="173"/>
      <c r="L78" s="173"/>
      <c r="M78" s="173"/>
      <c r="N78" s="173"/>
      <c r="O78" s="173"/>
      <c r="P78" s="173"/>
      <c r="Q78" s="173"/>
      <c r="R78" s="213"/>
      <c r="S78" s="101"/>
      <c r="T78" s="101"/>
      <c r="U78" s="101"/>
      <c r="V78" s="101"/>
      <c r="W78" s="139"/>
      <c r="X78" s="139" t="s">
        <v>692</v>
      </c>
      <c r="Y78" s="139" t="s">
        <v>692</v>
      </c>
      <c r="Z78" s="139" t="s">
        <v>692</v>
      </c>
      <c r="AA78" s="139" t="s">
        <v>692</v>
      </c>
      <c r="AB78" s="139" t="s">
        <v>692</v>
      </c>
      <c r="AC78" s="139" t="s">
        <v>692</v>
      </c>
      <c r="AD78" s="139" t="s">
        <v>692</v>
      </c>
      <c r="AE78" s="139" t="s">
        <v>692</v>
      </c>
      <c r="AF78" s="139" t="s">
        <v>692</v>
      </c>
      <c r="AG78" s="139" t="s">
        <v>692</v>
      </c>
      <c r="AH78" s="139" t="s">
        <v>692</v>
      </c>
      <c r="AI78" s="139" t="s">
        <v>692</v>
      </c>
    </row>
    <row r="79" spans="1:35" ht="18.75" hidden="1" x14ac:dyDescent="0.25">
      <c r="A79" s="248"/>
      <c r="B79" s="97" t="s">
        <v>1287</v>
      </c>
      <c r="C79" s="97" t="s">
        <v>581</v>
      </c>
      <c r="D79" s="97">
        <v>3</v>
      </c>
      <c r="E79" s="98" t="s">
        <v>21</v>
      </c>
      <c r="F79" s="99" t="s">
        <v>611</v>
      </c>
      <c r="G79" s="98" t="s">
        <v>1266</v>
      </c>
      <c r="H79" s="98" t="s">
        <v>612</v>
      </c>
      <c r="I79" s="173">
        <v>27768</v>
      </c>
      <c r="J79" s="173"/>
      <c r="K79" s="173"/>
      <c r="L79" s="173"/>
      <c r="M79" s="173"/>
      <c r="N79" s="173"/>
      <c r="O79" s="173"/>
      <c r="P79" s="173"/>
      <c r="Q79" s="173"/>
      <c r="R79" s="213"/>
      <c r="S79" s="101"/>
      <c r="T79" s="101"/>
      <c r="U79" s="101"/>
      <c r="V79" s="101"/>
      <c r="W79" s="139"/>
      <c r="X79" s="139" t="s">
        <v>692</v>
      </c>
      <c r="Y79" s="139" t="s">
        <v>692</v>
      </c>
      <c r="Z79" s="139" t="s">
        <v>692</v>
      </c>
      <c r="AA79" s="139" t="s">
        <v>692</v>
      </c>
      <c r="AB79" s="139" t="s">
        <v>692</v>
      </c>
      <c r="AC79" s="139" t="s">
        <v>692</v>
      </c>
      <c r="AD79" s="139" t="s">
        <v>692</v>
      </c>
      <c r="AE79" s="139" t="s">
        <v>692</v>
      </c>
      <c r="AF79" s="139" t="s">
        <v>692</v>
      </c>
      <c r="AG79" s="139" t="s">
        <v>692</v>
      </c>
      <c r="AH79" s="139" t="s">
        <v>692</v>
      </c>
      <c r="AI79" s="139" t="s">
        <v>692</v>
      </c>
    </row>
    <row r="80" spans="1:35" ht="18.75" hidden="1" x14ac:dyDescent="0.25">
      <c r="A80" s="248"/>
      <c r="B80" s="97" t="s">
        <v>401</v>
      </c>
      <c r="C80" s="97" t="s">
        <v>614</v>
      </c>
      <c r="D80" s="97">
        <v>3</v>
      </c>
      <c r="E80" s="98" t="s">
        <v>21</v>
      </c>
      <c r="F80" s="99" t="s">
        <v>618</v>
      </c>
      <c r="G80" s="99" t="s">
        <v>617</v>
      </c>
      <c r="H80" s="99" t="s">
        <v>861</v>
      </c>
      <c r="I80" s="173">
        <v>766764</v>
      </c>
      <c r="J80" s="173"/>
      <c r="K80" s="173"/>
      <c r="L80" s="173"/>
      <c r="M80" s="173"/>
      <c r="N80" s="173"/>
      <c r="O80" s="173"/>
      <c r="P80" s="173"/>
      <c r="Q80" s="173"/>
      <c r="R80" s="213"/>
      <c r="S80" s="101"/>
      <c r="T80" s="101"/>
      <c r="U80" s="101"/>
      <c r="V80" s="101"/>
      <c r="W80" s="139"/>
      <c r="X80" s="139" t="s">
        <v>692</v>
      </c>
      <c r="Y80" s="139" t="s">
        <v>692</v>
      </c>
      <c r="Z80" s="139" t="s">
        <v>692</v>
      </c>
      <c r="AA80" s="139" t="s">
        <v>692</v>
      </c>
      <c r="AB80" s="139" t="s">
        <v>692</v>
      </c>
      <c r="AC80" s="139" t="s">
        <v>692</v>
      </c>
      <c r="AD80" s="139" t="s">
        <v>692</v>
      </c>
      <c r="AE80" s="139" t="s">
        <v>692</v>
      </c>
      <c r="AF80" s="139" t="s">
        <v>692</v>
      </c>
      <c r="AG80" s="139" t="s">
        <v>692</v>
      </c>
      <c r="AH80" s="139" t="s">
        <v>692</v>
      </c>
      <c r="AI80" s="139" t="s">
        <v>692</v>
      </c>
    </row>
    <row r="81" spans="1:35" ht="18.75" hidden="1" x14ac:dyDescent="0.25">
      <c r="A81" s="248"/>
      <c r="B81" s="97" t="s">
        <v>410</v>
      </c>
      <c r="C81" s="94" t="s">
        <v>614</v>
      </c>
      <c r="D81" s="94">
        <v>3</v>
      </c>
      <c r="E81" s="96" t="s">
        <v>21</v>
      </c>
      <c r="F81" s="172" t="s">
        <v>618</v>
      </c>
      <c r="G81" s="172" t="s">
        <v>1269</v>
      </c>
      <c r="H81" s="96"/>
      <c r="I81" s="173"/>
      <c r="J81" s="173"/>
      <c r="K81" s="173"/>
      <c r="L81" s="173"/>
      <c r="M81" s="173"/>
      <c r="N81" s="173"/>
      <c r="O81" s="173"/>
      <c r="P81" s="173"/>
      <c r="Q81" s="173"/>
      <c r="R81" s="213"/>
      <c r="S81" s="101"/>
      <c r="T81" s="101"/>
      <c r="U81" s="101"/>
      <c r="V81" s="101"/>
      <c r="W81" s="139"/>
      <c r="X81" s="139" t="s">
        <v>692</v>
      </c>
      <c r="Y81" s="139" t="s">
        <v>692</v>
      </c>
      <c r="Z81" s="139" t="s">
        <v>692</v>
      </c>
      <c r="AA81" s="139" t="s">
        <v>692</v>
      </c>
      <c r="AB81" s="139" t="s">
        <v>692</v>
      </c>
      <c r="AC81" s="139" t="s">
        <v>692</v>
      </c>
      <c r="AD81" s="139" t="s">
        <v>692</v>
      </c>
      <c r="AE81" s="139" t="s">
        <v>692</v>
      </c>
      <c r="AF81" s="139" t="s">
        <v>692</v>
      </c>
      <c r="AG81" s="139" t="s">
        <v>692</v>
      </c>
      <c r="AH81" s="139" t="s">
        <v>692</v>
      </c>
      <c r="AI81" s="139" t="s">
        <v>692</v>
      </c>
    </row>
    <row r="82" spans="1:35" ht="18.75" hidden="1" customHeight="1" x14ac:dyDescent="0.25">
      <c r="A82" s="248"/>
      <c r="B82" s="97" t="s">
        <v>406</v>
      </c>
      <c r="C82" s="97" t="s">
        <v>614</v>
      </c>
      <c r="D82" s="97">
        <v>3</v>
      </c>
      <c r="E82" s="177" t="s">
        <v>21</v>
      </c>
      <c r="F82" s="177" t="s">
        <v>618</v>
      </c>
      <c r="G82" s="99" t="s">
        <v>624</v>
      </c>
      <c r="H82" s="178" t="s">
        <v>1506</v>
      </c>
      <c r="I82" s="173"/>
      <c r="J82" s="173"/>
      <c r="K82" s="173"/>
      <c r="L82" s="173"/>
      <c r="M82" s="173"/>
      <c r="N82" s="173"/>
      <c r="O82" s="173"/>
      <c r="P82" s="173"/>
      <c r="Q82" s="173"/>
      <c r="R82" s="213"/>
      <c r="S82" s="101"/>
      <c r="T82" s="101"/>
      <c r="U82" s="101"/>
      <c r="V82" s="101"/>
      <c r="W82" s="139"/>
      <c r="X82" s="139" t="s">
        <v>692</v>
      </c>
      <c r="Y82" s="139" t="s">
        <v>692</v>
      </c>
      <c r="Z82" s="139" t="s">
        <v>692</v>
      </c>
      <c r="AA82" s="139" t="s">
        <v>692</v>
      </c>
      <c r="AB82" s="139" t="s">
        <v>692</v>
      </c>
      <c r="AC82" s="139" t="s">
        <v>692</v>
      </c>
      <c r="AD82" s="139" t="s">
        <v>692</v>
      </c>
      <c r="AE82" s="139" t="s">
        <v>692</v>
      </c>
      <c r="AF82" s="139" t="s">
        <v>692</v>
      </c>
      <c r="AG82" s="139" t="s">
        <v>692</v>
      </c>
      <c r="AH82" s="139" t="s">
        <v>692</v>
      </c>
      <c r="AI82" s="139" t="s">
        <v>692</v>
      </c>
    </row>
    <row r="83" spans="1:35" ht="18.75" hidden="1" customHeight="1" x14ac:dyDescent="0.25">
      <c r="A83" s="248"/>
      <c r="B83" s="190" t="s">
        <v>406</v>
      </c>
      <c r="C83" s="55" t="s">
        <v>614</v>
      </c>
      <c r="D83" s="55">
        <v>3</v>
      </c>
      <c r="E83" s="177" t="s">
        <v>21</v>
      </c>
      <c r="F83" s="177" t="s">
        <v>618</v>
      </c>
      <c r="G83" s="178" t="s">
        <v>624</v>
      </c>
      <c r="H83" s="179" t="s">
        <v>1507</v>
      </c>
      <c r="I83" s="179">
        <v>16679.400000000001</v>
      </c>
      <c r="J83" s="179"/>
      <c r="K83" s="179"/>
      <c r="L83" s="179"/>
      <c r="M83" s="173"/>
      <c r="N83" s="173"/>
      <c r="O83" s="173"/>
      <c r="P83" s="173"/>
      <c r="Q83" s="173"/>
      <c r="R83" s="213"/>
      <c r="S83" s="101"/>
      <c r="T83" s="101"/>
      <c r="U83" s="101"/>
      <c r="V83" s="101"/>
      <c r="W83" s="139"/>
      <c r="X83" s="139" t="s">
        <v>692</v>
      </c>
      <c r="Y83" s="139" t="s">
        <v>692</v>
      </c>
      <c r="Z83" s="139" t="s">
        <v>692</v>
      </c>
      <c r="AA83" s="139" t="s">
        <v>692</v>
      </c>
      <c r="AB83" s="139" t="s">
        <v>692</v>
      </c>
      <c r="AC83" s="139" t="s">
        <v>692</v>
      </c>
      <c r="AD83" s="139" t="s">
        <v>692</v>
      </c>
      <c r="AE83" s="139" t="s">
        <v>692</v>
      </c>
      <c r="AF83" s="139" t="s">
        <v>692</v>
      </c>
      <c r="AG83" s="139" t="s">
        <v>692</v>
      </c>
      <c r="AH83" s="139" t="s">
        <v>692</v>
      </c>
      <c r="AI83" s="139" t="s">
        <v>692</v>
      </c>
    </row>
    <row r="84" spans="1:35" ht="18.75" hidden="1" customHeight="1" x14ac:dyDescent="0.25">
      <c r="A84" s="248"/>
      <c r="B84" s="190" t="s">
        <v>407</v>
      </c>
      <c r="C84" s="55" t="s">
        <v>614</v>
      </c>
      <c r="D84" s="55">
        <v>3</v>
      </c>
      <c r="E84" s="177" t="s">
        <v>21</v>
      </c>
      <c r="F84" s="177" t="s">
        <v>618</v>
      </c>
      <c r="G84" s="178" t="s">
        <v>625</v>
      </c>
      <c r="H84" s="179"/>
      <c r="I84" s="179">
        <v>602.5</v>
      </c>
      <c r="J84" s="179"/>
      <c r="K84" s="179"/>
      <c r="L84" s="179"/>
      <c r="M84" s="173"/>
      <c r="N84" s="173"/>
      <c r="O84" s="173"/>
      <c r="P84" s="173"/>
      <c r="Q84" s="173"/>
      <c r="R84" s="213"/>
      <c r="S84" s="101"/>
      <c r="T84" s="101"/>
      <c r="U84" s="101"/>
      <c r="V84" s="101"/>
      <c r="W84" s="139"/>
      <c r="X84" s="139" t="s">
        <v>692</v>
      </c>
      <c r="Y84" s="139" t="s">
        <v>692</v>
      </c>
      <c r="Z84" s="139" t="s">
        <v>692</v>
      </c>
      <c r="AA84" s="139" t="s">
        <v>692</v>
      </c>
      <c r="AB84" s="139" t="s">
        <v>692</v>
      </c>
      <c r="AC84" s="139" t="s">
        <v>692</v>
      </c>
      <c r="AD84" s="139" t="s">
        <v>692</v>
      </c>
      <c r="AE84" s="139" t="s">
        <v>692</v>
      </c>
      <c r="AF84" s="139" t="s">
        <v>692</v>
      </c>
      <c r="AG84" s="139" t="s">
        <v>692</v>
      </c>
      <c r="AH84" s="139" t="s">
        <v>692</v>
      </c>
      <c r="AI84" s="139" t="s">
        <v>692</v>
      </c>
    </row>
    <row r="85" spans="1:35" ht="18.75" hidden="1" customHeight="1" x14ac:dyDescent="0.3">
      <c r="A85" s="248"/>
      <c r="B85" s="244" t="s">
        <v>408</v>
      </c>
      <c r="C85" s="181" t="s">
        <v>614</v>
      </c>
      <c r="D85" s="181">
        <v>3</v>
      </c>
      <c r="E85" s="182" t="s">
        <v>21</v>
      </c>
      <c r="F85" s="175" t="s">
        <v>618</v>
      </c>
      <c r="G85" s="99" t="s">
        <v>626</v>
      </c>
      <c r="H85" s="175" t="s">
        <v>627</v>
      </c>
      <c r="I85" s="173">
        <v>121933.9</v>
      </c>
      <c r="J85" s="173"/>
      <c r="K85" s="173"/>
      <c r="L85" s="173"/>
      <c r="M85" s="179"/>
      <c r="N85" s="179"/>
      <c r="O85" s="179"/>
      <c r="P85" s="179"/>
      <c r="Q85" s="179"/>
      <c r="R85" s="213"/>
      <c r="S85" s="101"/>
      <c r="T85" s="101"/>
      <c r="U85" s="101"/>
      <c r="V85" s="101"/>
      <c r="W85" s="139"/>
      <c r="X85" s="139" t="s">
        <v>692</v>
      </c>
      <c r="Y85" s="139" t="s">
        <v>692</v>
      </c>
      <c r="Z85" s="139" t="s">
        <v>692</v>
      </c>
      <c r="AA85" s="139" t="s">
        <v>692</v>
      </c>
      <c r="AB85" s="139" t="s">
        <v>692</v>
      </c>
      <c r="AC85" s="139" t="s">
        <v>692</v>
      </c>
      <c r="AD85" s="139" t="s">
        <v>692</v>
      </c>
      <c r="AE85" s="139" t="s">
        <v>692</v>
      </c>
      <c r="AF85" s="139" t="s">
        <v>692</v>
      </c>
      <c r="AG85" s="139" t="s">
        <v>692</v>
      </c>
      <c r="AH85" s="139" t="s">
        <v>692</v>
      </c>
      <c r="AI85" s="139" t="s">
        <v>692</v>
      </c>
    </row>
    <row r="86" spans="1:35" ht="18.75" hidden="1" customHeight="1" x14ac:dyDescent="0.3">
      <c r="A86" s="248"/>
      <c r="B86" s="245">
        <v>30574059</v>
      </c>
      <c r="C86" s="88" t="s">
        <v>632</v>
      </c>
      <c r="D86" s="88">
        <v>3</v>
      </c>
      <c r="E86" s="183" t="s">
        <v>21</v>
      </c>
      <c r="F86" s="184" t="s">
        <v>641</v>
      </c>
      <c r="G86" s="185" t="s">
        <v>640</v>
      </c>
      <c r="H86" s="184" t="s">
        <v>642</v>
      </c>
      <c r="I86" s="173">
        <v>218183.5</v>
      </c>
      <c r="J86" s="173"/>
      <c r="K86" s="173"/>
      <c r="L86" s="173"/>
      <c r="M86" s="139"/>
      <c r="N86" s="139"/>
      <c r="O86" s="139"/>
      <c r="P86" s="139"/>
      <c r="Q86" s="139"/>
      <c r="R86" s="213"/>
      <c r="S86" s="101"/>
      <c r="T86" s="101"/>
      <c r="U86" s="101"/>
      <c r="V86" s="101"/>
      <c r="W86" s="139"/>
      <c r="X86" s="139" t="s">
        <v>692</v>
      </c>
      <c r="Y86" s="139" t="s">
        <v>692</v>
      </c>
      <c r="Z86" s="139" t="s">
        <v>692</v>
      </c>
      <c r="AA86" s="139" t="s">
        <v>692</v>
      </c>
      <c r="AB86" s="139" t="s">
        <v>692</v>
      </c>
      <c r="AC86" s="139" t="s">
        <v>692</v>
      </c>
      <c r="AD86" s="139" t="s">
        <v>692</v>
      </c>
      <c r="AE86" s="139" t="s">
        <v>692</v>
      </c>
      <c r="AF86" s="139" t="s">
        <v>692</v>
      </c>
      <c r="AG86" s="139" t="s">
        <v>692</v>
      </c>
      <c r="AH86" s="139" t="s">
        <v>692</v>
      </c>
      <c r="AI86" s="139" t="s">
        <v>692</v>
      </c>
    </row>
    <row r="87" spans="1:35" ht="18.75" hidden="1" customHeight="1" x14ac:dyDescent="0.3">
      <c r="A87" s="248"/>
      <c r="B87" s="246" t="s">
        <v>411</v>
      </c>
      <c r="C87" s="187" t="s">
        <v>632</v>
      </c>
      <c r="D87" s="187">
        <v>3</v>
      </c>
      <c r="E87" s="183" t="s">
        <v>639</v>
      </c>
      <c r="F87" s="184" t="s">
        <v>638</v>
      </c>
      <c r="G87" s="188" t="s">
        <v>1275</v>
      </c>
      <c r="H87" s="247"/>
      <c r="I87" s="173">
        <v>716846.6</v>
      </c>
      <c r="J87" s="173"/>
      <c r="K87" s="173"/>
      <c r="L87" s="173"/>
      <c r="M87" s="173"/>
      <c r="N87" s="173"/>
      <c r="O87" s="173"/>
      <c r="P87" s="173"/>
      <c r="Q87" s="173"/>
      <c r="R87" s="213"/>
      <c r="S87" s="101"/>
      <c r="T87" s="101"/>
      <c r="U87" s="101"/>
      <c r="V87" s="101"/>
      <c r="W87" s="139"/>
      <c r="X87" s="139" t="s">
        <v>692</v>
      </c>
      <c r="Y87" s="139" t="s">
        <v>692</v>
      </c>
      <c r="Z87" s="139" t="s">
        <v>692</v>
      </c>
      <c r="AA87" s="139" t="s">
        <v>692</v>
      </c>
      <c r="AB87" s="139" t="s">
        <v>692</v>
      </c>
      <c r="AC87" s="139" t="s">
        <v>692</v>
      </c>
      <c r="AD87" s="139" t="s">
        <v>692</v>
      </c>
      <c r="AE87" s="139" t="s">
        <v>692</v>
      </c>
      <c r="AF87" s="139" t="s">
        <v>692</v>
      </c>
      <c r="AG87" s="139" t="s">
        <v>692</v>
      </c>
      <c r="AH87" s="139" t="s">
        <v>692</v>
      </c>
      <c r="AI87" s="139" t="s">
        <v>692</v>
      </c>
    </row>
    <row r="88" spans="1:35" ht="18.75" hidden="1" x14ac:dyDescent="0.25">
      <c r="A88" s="248"/>
      <c r="B88" s="97">
        <v>50767753</v>
      </c>
      <c r="C88" s="97" t="s">
        <v>643</v>
      </c>
      <c r="D88" s="97">
        <v>3</v>
      </c>
      <c r="E88" s="98" t="s">
        <v>21</v>
      </c>
      <c r="F88" s="99" t="s">
        <v>1276</v>
      </c>
      <c r="G88" s="99" t="s">
        <v>1277</v>
      </c>
      <c r="H88" s="99"/>
      <c r="I88" s="173">
        <v>3101</v>
      </c>
      <c r="J88" s="173"/>
      <c r="K88" s="173"/>
      <c r="L88" s="173"/>
      <c r="M88" s="173"/>
      <c r="N88" s="173"/>
      <c r="O88" s="173"/>
      <c r="P88" s="173"/>
      <c r="Q88" s="173"/>
      <c r="R88" s="213"/>
      <c r="S88" s="101"/>
      <c r="T88" s="101"/>
      <c r="U88" s="101"/>
      <c r="V88" s="101"/>
      <c r="W88" s="139"/>
      <c r="X88" s="139" t="s">
        <v>692</v>
      </c>
      <c r="Y88" s="139" t="s">
        <v>692</v>
      </c>
      <c r="Z88" s="139" t="s">
        <v>692</v>
      </c>
      <c r="AA88" s="139" t="s">
        <v>692</v>
      </c>
      <c r="AB88" s="139" t="s">
        <v>692</v>
      </c>
      <c r="AC88" s="139" t="s">
        <v>692</v>
      </c>
      <c r="AD88" s="139" t="s">
        <v>692</v>
      </c>
      <c r="AE88" s="139" t="s">
        <v>692</v>
      </c>
      <c r="AF88" s="139" t="s">
        <v>692</v>
      </c>
      <c r="AG88" s="139" t="s">
        <v>692</v>
      </c>
      <c r="AH88" s="139" t="s">
        <v>692</v>
      </c>
      <c r="AI88" s="139" t="s">
        <v>692</v>
      </c>
    </row>
    <row r="89" spans="1:35" ht="18.75" hidden="1" x14ac:dyDescent="0.25">
      <c r="A89" s="248"/>
      <c r="B89" s="190">
        <v>50767755</v>
      </c>
      <c r="C89" s="55" t="s">
        <v>643</v>
      </c>
      <c r="D89" s="55">
        <v>3</v>
      </c>
      <c r="E89" s="177" t="s">
        <v>21</v>
      </c>
      <c r="F89" s="177" t="s">
        <v>1276</v>
      </c>
      <c r="G89" s="178" t="s">
        <v>1278</v>
      </c>
      <c r="H89" s="177"/>
      <c r="I89" s="179">
        <v>9711</v>
      </c>
      <c r="J89" s="179"/>
      <c r="K89" s="179"/>
      <c r="L89" s="179"/>
      <c r="M89" s="179"/>
      <c r="N89" s="179"/>
      <c r="O89" s="179"/>
      <c r="P89" s="179"/>
      <c r="Q89" s="179"/>
      <c r="R89" s="213"/>
      <c r="S89" s="101"/>
      <c r="T89" s="101"/>
      <c r="U89" s="101"/>
      <c r="V89" s="101"/>
      <c r="W89" s="139"/>
      <c r="X89" s="139" t="s">
        <v>692</v>
      </c>
      <c r="Y89" s="139" t="s">
        <v>692</v>
      </c>
      <c r="Z89" s="139" t="s">
        <v>692</v>
      </c>
      <c r="AA89" s="139" t="s">
        <v>692</v>
      </c>
      <c r="AB89" s="139" t="s">
        <v>692</v>
      </c>
      <c r="AC89" s="139" t="s">
        <v>692</v>
      </c>
      <c r="AD89" s="139" t="s">
        <v>692</v>
      </c>
      <c r="AE89" s="139" t="s">
        <v>692</v>
      </c>
      <c r="AF89" s="139" t="s">
        <v>692</v>
      </c>
      <c r="AG89" s="139" t="s">
        <v>692</v>
      </c>
      <c r="AH89" s="139" t="s">
        <v>692</v>
      </c>
      <c r="AI89" s="139" t="s">
        <v>692</v>
      </c>
    </row>
    <row r="90" spans="1:35" ht="18.75" hidden="1" x14ac:dyDescent="0.25">
      <c r="A90" s="248"/>
      <c r="B90" s="97" t="s">
        <v>1104</v>
      </c>
      <c r="C90" s="94" t="s">
        <v>318</v>
      </c>
      <c r="D90" s="94">
        <v>110</v>
      </c>
      <c r="E90" s="174" t="s">
        <v>1093</v>
      </c>
      <c r="F90" s="175" t="s">
        <v>1514</v>
      </c>
      <c r="G90" s="99" t="s">
        <v>326</v>
      </c>
      <c r="H90" s="175"/>
      <c r="I90" s="173">
        <v>2700558</v>
      </c>
      <c r="J90" s="173"/>
      <c r="K90" s="173"/>
      <c r="L90" s="173"/>
      <c r="M90" s="173"/>
      <c r="N90" s="173"/>
      <c r="O90" s="173"/>
      <c r="P90" s="173"/>
      <c r="Q90" s="173"/>
      <c r="R90" s="213"/>
      <c r="S90" s="101"/>
      <c r="T90" s="101"/>
      <c r="U90" s="101"/>
      <c r="V90" s="101"/>
      <c r="W90" s="139"/>
      <c r="X90" s="139" t="s">
        <v>692</v>
      </c>
      <c r="Y90" s="139" t="s">
        <v>692</v>
      </c>
      <c r="Z90" s="139" t="s">
        <v>692</v>
      </c>
      <c r="AA90" s="139" t="s">
        <v>692</v>
      </c>
      <c r="AB90" s="139" t="s">
        <v>692</v>
      </c>
      <c r="AC90" s="139" t="s">
        <v>692</v>
      </c>
      <c r="AD90" s="139" t="s">
        <v>692</v>
      </c>
      <c r="AE90" s="139" t="s">
        <v>692</v>
      </c>
      <c r="AF90" s="139" t="s">
        <v>692</v>
      </c>
      <c r="AG90" s="139" t="s">
        <v>692</v>
      </c>
      <c r="AH90" s="139" t="s">
        <v>692</v>
      </c>
      <c r="AI90" s="139" t="s">
        <v>692</v>
      </c>
    </row>
    <row r="91" spans="1:35" ht="18.75" hidden="1" x14ac:dyDescent="0.25">
      <c r="A91" s="248"/>
      <c r="B91" s="97" t="s">
        <v>1197</v>
      </c>
      <c r="C91" s="97" t="s">
        <v>318</v>
      </c>
      <c r="D91" s="97">
        <v>110</v>
      </c>
      <c r="E91" s="172" t="s">
        <v>1097</v>
      </c>
      <c r="F91" s="172" t="s">
        <v>1588</v>
      </c>
      <c r="G91" s="172" t="s">
        <v>326</v>
      </c>
      <c r="H91" s="172"/>
      <c r="I91" s="172">
        <v>4298530</v>
      </c>
      <c r="J91" s="172"/>
      <c r="K91" s="172"/>
      <c r="L91" s="172"/>
      <c r="M91" s="172"/>
      <c r="N91" s="172"/>
      <c r="O91" s="172"/>
      <c r="P91" s="172"/>
      <c r="Q91" s="172"/>
      <c r="R91" s="101"/>
      <c r="S91" s="101"/>
      <c r="T91" s="101"/>
      <c r="U91" s="101"/>
      <c r="V91" s="101"/>
      <c r="W91" s="139"/>
      <c r="X91" s="139" t="s">
        <v>692</v>
      </c>
      <c r="Y91" s="139" t="s">
        <v>692</v>
      </c>
      <c r="Z91" s="139" t="s">
        <v>692</v>
      </c>
      <c r="AA91" s="139" t="s">
        <v>692</v>
      </c>
      <c r="AB91" s="139" t="s">
        <v>692</v>
      </c>
      <c r="AC91" s="139" t="s">
        <v>692</v>
      </c>
      <c r="AD91" s="139" t="s">
        <v>692</v>
      </c>
      <c r="AE91" s="139" t="s">
        <v>692</v>
      </c>
      <c r="AF91" s="139" t="s">
        <v>692</v>
      </c>
      <c r="AG91" s="139" t="s">
        <v>692</v>
      </c>
      <c r="AH91" s="139" t="s">
        <v>692</v>
      </c>
      <c r="AI91" s="139" t="s">
        <v>692</v>
      </c>
    </row>
    <row r="92" spans="1:35" ht="18.75" hidden="1" x14ac:dyDescent="0.25">
      <c r="A92" s="248"/>
      <c r="B92" s="97" t="s">
        <v>1196</v>
      </c>
      <c r="C92" s="97" t="s">
        <v>318</v>
      </c>
      <c r="D92" s="97">
        <v>110</v>
      </c>
      <c r="E92" s="172" t="s">
        <v>1096</v>
      </c>
      <c r="F92" s="172" t="s">
        <v>1590</v>
      </c>
      <c r="G92" s="172" t="s">
        <v>804</v>
      </c>
      <c r="H92" s="172"/>
      <c r="I92" s="172">
        <v>1229420</v>
      </c>
      <c r="J92" s="172"/>
      <c r="K92" s="172"/>
      <c r="L92" s="172"/>
      <c r="M92" s="172"/>
      <c r="N92" s="172"/>
      <c r="O92" s="172"/>
      <c r="P92" s="172"/>
      <c r="Q92" s="172"/>
      <c r="R92" s="101"/>
      <c r="S92" s="101"/>
      <c r="T92" s="101"/>
      <c r="U92" s="101"/>
      <c r="V92" s="101"/>
      <c r="W92" s="139"/>
      <c r="X92" s="139" t="s">
        <v>692</v>
      </c>
      <c r="Y92" s="139" t="s">
        <v>692</v>
      </c>
      <c r="Z92" s="139" t="s">
        <v>692</v>
      </c>
      <c r="AA92" s="139" t="s">
        <v>692</v>
      </c>
      <c r="AB92" s="139" t="s">
        <v>692</v>
      </c>
      <c r="AC92" s="139" t="s">
        <v>692</v>
      </c>
      <c r="AD92" s="139" t="s">
        <v>692</v>
      </c>
      <c r="AE92" s="139" t="s">
        <v>692</v>
      </c>
      <c r="AF92" s="139" t="s">
        <v>692</v>
      </c>
      <c r="AG92" s="139" t="s">
        <v>692</v>
      </c>
      <c r="AH92" s="139" t="s">
        <v>692</v>
      </c>
      <c r="AI92" s="139" t="s">
        <v>692</v>
      </c>
    </row>
    <row r="93" spans="1:35" ht="18.75" hidden="1" x14ac:dyDescent="0.25">
      <c r="A93" s="248"/>
      <c r="B93" s="97" t="s">
        <v>1103</v>
      </c>
      <c r="C93" s="97" t="s">
        <v>318</v>
      </c>
      <c r="D93" s="97">
        <v>110</v>
      </c>
      <c r="E93" s="172" t="s">
        <v>1092</v>
      </c>
      <c r="F93" s="172" t="s">
        <v>1591</v>
      </c>
      <c r="G93" s="172" t="s">
        <v>324</v>
      </c>
      <c r="H93" s="172"/>
      <c r="I93" s="172">
        <v>2004008</v>
      </c>
      <c r="J93" s="172"/>
      <c r="K93" s="172"/>
      <c r="L93" s="172"/>
      <c r="M93" s="172"/>
      <c r="N93" s="172"/>
      <c r="O93" s="172"/>
      <c r="P93" s="172"/>
      <c r="Q93" s="172"/>
      <c r="R93" s="101"/>
      <c r="S93" s="101"/>
      <c r="T93" s="101"/>
      <c r="U93" s="101"/>
      <c r="V93" s="101"/>
      <c r="W93" s="139"/>
      <c r="X93" s="139" t="s">
        <v>692</v>
      </c>
      <c r="Y93" s="139" t="s">
        <v>692</v>
      </c>
      <c r="Z93" s="139" t="s">
        <v>692</v>
      </c>
      <c r="AA93" s="139" t="s">
        <v>692</v>
      </c>
      <c r="AB93" s="139" t="s">
        <v>692</v>
      </c>
      <c r="AC93" s="139" t="s">
        <v>692</v>
      </c>
      <c r="AD93" s="139" t="s">
        <v>692</v>
      </c>
      <c r="AE93" s="139" t="s">
        <v>692</v>
      </c>
      <c r="AF93" s="139" t="s">
        <v>692</v>
      </c>
      <c r="AG93" s="139" t="s">
        <v>692</v>
      </c>
      <c r="AH93" s="139" t="s">
        <v>692</v>
      </c>
      <c r="AI93" s="139" t="s">
        <v>692</v>
      </c>
    </row>
    <row r="94" spans="1:35" ht="18.75" hidden="1" x14ac:dyDescent="0.25">
      <c r="A94" s="248"/>
      <c r="B94" s="97" t="s">
        <v>1101</v>
      </c>
      <c r="C94" s="97" t="s">
        <v>318</v>
      </c>
      <c r="D94" s="97">
        <v>110</v>
      </c>
      <c r="E94" s="172" t="s">
        <v>1095</v>
      </c>
      <c r="F94" s="172" t="s">
        <v>1515</v>
      </c>
      <c r="G94" s="172" t="s">
        <v>327</v>
      </c>
      <c r="H94" s="172"/>
      <c r="I94" s="172">
        <v>585138</v>
      </c>
      <c r="J94" s="172"/>
      <c r="K94" s="172"/>
      <c r="L94" s="172"/>
      <c r="M94" s="172"/>
      <c r="N94" s="172"/>
      <c r="O94" s="172"/>
      <c r="P94" s="172"/>
      <c r="Q94" s="172"/>
      <c r="R94" s="101"/>
      <c r="S94" s="101"/>
      <c r="T94" s="101"/>
      <c r="U94" s="101"/>
      <c r="V94" s="101"/>
      <c r="W94" s="139"/>
      <c r="X94" s="139" t="s">
        <v>692</v>
      </c>
      <c r="Y94" s="139" t="s">
        <v>692</v>
      </c>
      <c r="Z94" s="139" t="s">
        <v>692</v>
      </c>
      <c r="AA94" s="139" t="s">
        <v>692</v>
      </c>
      <c r="AB94" s="139" t="s">
        <v>692</v>
      </c>
      <c r="AC94" s="139" t="s">
        <v>692</v>
      </c>
      <c r="AD94" s="139" t="s">
        <v>692</v>
      </c>
      <c r="AE94" s="139" t="s">
        <v>692</v>
      </c>
      <c r="AF94" s="139" t="s">
        <v>692</v>
      </c>
      <c r="AG94" s="139" t="s">
        <v>692</v>
      </c>
      <c r="AH94" s="139" t="s">
        <v>692</v>
      </c>
      <c r="AI94" s="139" t="s">
        <v>692</v>
      </c>
    </row>
    <row r="95" spans="1:35" ht="18.75" hidden="1" x14ac:dyDescent="0.25">
      <c r="A95" s="248"/>
      <c r="B95" s="97" t="s">
        <v>1198</v>
      </c>
      <c r="C95" s="97" t="s">
        <v>318</v>
      </c>
      <c r="D95" s="97">
        <v>110</v>
      </c>
      <c r="E95" s="172" t="s">
        <v>1098</v>
      </c>
      <c r="F95" s="172" t="s">
        <v>1594</v>
      </c>
      <c r="G95" s="172" t="s">
        <v>327</v>
      </c>
      <c r="H95" s="172"/>
      <c r="I95" s="172">
        <v>947351</v>
      </c>
      <c r="J95" s="172"/>
      <c r="K95" s="172"/>
      <c r="L95" s="172"/>
      <c r="M95" s="172"/>
      <c r="N95" s="172"/>
      <c r="O95" s="172"/>
      <c r="P95" s="172"/>
      <c r="Q95" s="172"/>
      <c r="R95" s="101"/>
      <c r="S95" s="101"/>
      <c r="T95" s="101"/>
      <c r="U95" s="101"/>
      <c r="V95" s="101"/>
      <c r="W95" s="139"/>
      <c r="X95" s="139" t="s">
        <v>692</v>
      </c>
      <c r="Y95" s="139" t="s">
        <v>692</v>
      </c>
      <c r="Z95" s="139" t="s">
        <v>692</v>
      </c>
      <c r="AA95" s="139" t="s">
        <v>692</v>
      </c>
      <c r="AB95" s="139" t="s">
        <v>692</v>
      </c>
      <c r="AC95" s="139" t="s">
        <v>692</v>
      </c>
      <c r="AD95" s="139" t="s">
        <v>692</v>
      </c>
      <c r="AE95" s="139" t="s">
        <v>692</v>
      </c>
      <c r="AF95" s="139" t="s">
        <v>692</v>
      </c>
      <c r="AG95" s="139" t="s">
        <v>692</v>
      </c>
      <c r="AH95" s="139" t="s">
        <v>692</v>
      </c>
      <c r="AI95" s="139" t="s">
        <v>692</v>
      </c>
    </row>
    <row r="96" spans="1:35" ht="18.75" hidden="1" x14ac:dyDescent="0.25">
      <c r="A96" s="248"/>
      <c r="B96" s="97" t="s">
        <v>1100</v>
      </c>
      <c r="C96" s="97" t="s">
        <v>318</v>
      </c>
      <c r="D96" s="97">
        <v>110</v>
      </c>
      <c r="E96" s="172" t="s">
        <v>1094</v>
      </c>
      <c r="F96" s="172" t="s">
        <v>1517</v>
      </c>
      <c r="G96" s="172" t="s">
        <v>324</v>
      </c>
      <c r="H96" s="172"/>
      <c r="I96" s="172">
        <v>437029</v>
      </c>
      <c r="J96" s="172"/>
      <c r="K96" s="172"/>
      <c r="L96" s="172"/>
      <c r="M96" s="172"/>
      <c r="N96" s="172"/>
      <c r="O96" s="172"/>
      <c r="P96" s="172"/>
      <c r="Q96" s="172"/>
      <c r="R96" s="101"/>
      <c r="S96" s="101"/>
      <c r="T96" s="101"/>
      <c r="U96" s="101"/>
      <c r="V96" s="101"/>
      <c r="W96" s="139"/>
      <c r="X96" s="139" t="s">
        <v>692</v>
      </c>
      <c r="Y96" s="139" t="s">
        <v>692</v>
      </c>
      <c r="Z96" s="139" t="s">
        <v>692</v>
      </c>
      <c r="AA96" s="139" t="s">
        <v>692</v>
      </c>
      <c r="AB96" s="139" t="s">
        <v>692</v>
      </c>
      <c r="AC96" s="139" t="s">
        <v>692</v>
      </c>
      <c r="AD96" s="139" t="s">
        <v>692</v>
      </c>
      <c r="AE96" s="139" t="s">
        <v>692</v>
      </c>
      <c r="AF96" s="139" t="s">
        <v>692</v>
      </c>
      <c r="AG96" s="139" t="s">
        <v>692</v>
      </c>
      <c r="AH96" s="139" t="s">
        <v>692</v>
      </c>
      <c r="AI96" s="139" t="s">
        <v>692</v>
      </c>
    </row>
    <row r="97" spans="1:35" ht="18.75" hidden="1" x14ac:dyDescent="0.25">
      <c r="A97" s="248"/>
      <c r="B97" s="97" t="s">
        <v>1194</v>
      </c>
      <c r="C97" s="97" t="s">
        <v>318</v>
      </c>
      <c r="D97" s="97">
        <v>121</v>
      </c>
      <c r="E97" s="172" t="s">
        <v>319</v>
      </c>
      <c r="F97" s="172" t="s">
        <v>320</v>
      </c>
      <c r="G97" s="172" t="s">
        <v>321</v>
      </c>
      <c r="H97" s="172"/>
      <c r="I97" s="172">
        <v>12645462</v>
      </c>
      <c r="J97" s="172"/>
      <c r="K97" s="172"/>
      <c r="L97" s="172"/>
      <c r="M97" s="172"/>
      <c r="N97" s="172"/>
      <c r="O97" s="172"/>
      <c r="P97" s="172"/>
      <c r="Q97" s="172"/>
      <c r="R97" s="101"/>
      <c r="S97" s="101"/>
      <c r="T97" s="101"/>
      <c r="U97" s="101"/>
      <c r="V97" s="101"/>
      <c r="W97" s="139"/>
      <c r="X97" s="139" t="s">
        <v>692</v>
      </c>
      <c r="Y97" s="139" t="s">
        <v>692</v>
      </c>
      <c r="Z97" s="139" t="s">
        <v>692</v>
      </c>
      <c r="AA97" s="139" t="s">
        <v>692</v>
      </c>
      <c r="AB97" s="139" t="s">
        <v>692</v>
      </c>
      <c r="AC97" s="139" t="s">
        <v>692</v>
      </c>
      <c r="AD97" s="139" t="s">
        <v>692</v>
      </c>
      <c r="AE97" s="139" t="s">
        <v>692</v>
      </c>
      <c r="AF97" s="139" t="s">
        <v>692</v>
      </c>
      <c r="AG97" s="139" t="s">
        <v>692</v>
      </c>
      <c r="AH97" s="139" t="s">
        <v>692</v>
      </c>
      <c r="AI97" s="139" t="s">
        <v>692</v>
      </c>
    </row>
    <row r="98" spans="1:35" ht="18.75" hidden="1" x14ac:dyDescent="0.25">
      <c r="A98" s="248"/>
      <c r="B98" s="97" t="s">
        <v>128</v>
      </c>
      <c r="C98" s="97" t="s">
        <v>120</v>
      </c>
      <c r="D98" s="97">
        <v>122</v>
      </c>
      <c r="E98" s="172" t="s">
        <v>129</v>
      </c>
      <c r="F98" s="172" t="s">
        <v>38</v>
      </c>
      <c r="G98" s="172" t="s">
        <v>129</v>
      </c>
      <c r="H98" s="172"/>
      <c r="I98" s="172">
        <v>612109</v>
      </c>
      <c r="J98" s="172"/>
      <c r="K98" s="172"/>
      <c r="L98" s="172"/>
      <c r="M98" s="172"/>
      <c r="N98" s="172"/>
      <c r="O98" s="172"/>
      <c r="P98" s="172"/>
      <c r="Q98" s="172"/>
      <c r="R98" s="101"/>
      <c r="S98" s="101"/>
      <c r="T98" s="101"/>
      <c r="U98" s="101"/>
      <c r="V98" s="101"/>
      <c r="W98" s="139"/>
      <c r="X98" s="139" t="s">
        <v>692</v>
      </c>
      <c r="Y98" s="139" t="s">
        <v>692</v>
      </c>
      <c r="Z98" s="139" t="s">
        <v>692</v>
      </c>
      <c r="AA98" s="139" t="s">
        <v>692</v>
      </c>
      <c r="AB98" s="139" t="s">
        <v>692</v>
      </c>
      <c r="AC98" s="139" t="s">
        <v>692</v>
      </c>
      <c r="AD98" s="139" t="s">
        <v>692</v>
      </c>
      <c r="AE98" s="139" t="s">
        <v>692</v>
      </c>
      <c r="AF98" s="139" t="s">
        <v>692</v>
      </c>
      <c r="AG98" s="139" t="s">
        <v>692</v>
      </c>
      <c r="AH98" s="139" t="s">
        <v>692</v>
      </c>
      <c r="AI98" s="139" t="s">
        <v>692</v>
      </c>
    </row>
    <row r="99" spans="1:35" ht="18.75" hidden="1" x14ac:dyDescent="0.25">
      <c r="A99" s="248"/>
      <c r="B99" s="97" t="s">
        <v>1698</v>
      </c>
      <c r="C99" s="97" t="s">
        <v>46</v>
      </c>
      <c r="D99" s="97">
        <v>131</v>
      </c>
      <c r="E99" s="172" t="s">
        <v>440</v>
      </c>
      <c r="F99" s="172" t="s">
        <v>47</v>
      </c>
      <c r="G99" s="172" t="s">
        <v>1699</v>
      </c>
      <c r="H99" s="172"/>
      <c r="I99" s="172">
        <v>0</v>
      </c>
      <c r="J99" s="172"/>
      <c r="K99" s="172"/>
      <c r="L99" s="172"/>
      <c r="M99" s="172"/>
      <c r="N99" s="172"/>
      <c r="O99" s="172"/>
      <c r="P99" s="172"/>
      <c r="Q99" s="172"/>
      <c r="R99" s="101"/>
      <c r="S99" s="101"/>
      <c r="T99" s="101"/>
      <c r="U99" s="101"/>
      <c r="V99" s="101"/>
      <c r="W99" s="139"/>
      <c r="X99" s="139" t="s">
        <v>692</v>
      </c>
      <c r="Y99" s="139" t="s">
        <v>692</v>
      </c>
      <c r="Z99" s="139" t="s">
        <v>692</v>
      </c>
      <c r="AA99" s="139" t="s">
        <v>692</v>
      </c>
      <c r="AB99" s="139" t="s">
        <v>692</v>
      </c>
      <c r="AC99" s="139" t="s">
        <v>692</v>
      </c>
      <c r="AD99" s="139" t="s">
        <v>692</v>
      </c>
      <c r="AE99" s="139" t="s">
        <v>692</v>
      </c>
      <c r="AF99" s="139" t="s">
        <v>692</v>
      </c>
      <c r="AG99" s="139" t="s">
        <v>692</v>
      </c>
      <c r="AH99" s="139" t="s">
        <v>692</v>
      </c>
      <c r="AI99" s="139" t="s">
        <v>692</v>
      </c>
    </row>
    <row r="100" spans="1:35" ht="18.75" hidden="1" x14ac:dyDescent="0.25">
      <c r="A100" s="248"/>
      <c r="B100" s="97" t="s">
        <v>1133</v>
      </c>
      <c r="C100" s="97" t="s">
        <v>46</v>
      </c>
      <c r="D100" s="97">
        <v>131</v>
      </c>
      <c r="E100" s="172" t="s">
        <v>440</v>
      </c>
      <c r="F100" s="172" t="s">
        <v>47</v>
      </c>
      <c r="G100" s="172" t="s">
        <v>1697</v>
      </c>
      <c r="H100" s="172"/>
      <c r="I100" s="172">
        <v>399652</v>
      </c>
      <c r="J100" s="172"/>
      <c r="K100" s="172"/>
      <c r="L100" s="172"/>
      <c r="M100" s="172"/>
      <c r="N100" s="172"/>
      <c r="O100" s="172"/>
      <c r="P100" s="172"/>
      <c r="Q100" s="172"/>
      <c r="R100" s="101"/>
      <c r="S100" s="101"/>
      <c r="T100" s="101"/>
      <c r="U100" s="101"/>
      <c r="V100" s="101"/>
      <c r="W100" s="139"/>
      <c r="X100" s="139" t="s">
        <v>692</v>
      </c>
      <c r="Y100" s="139" t="s">
        <v>692</v>
      </c>
      <c r="Z100" s="139" t="s">
        <v>692</v>
      </c>
      <c r="AA100" s="139" t="s">
        <v>692</v>
      </c>
      <c r="AB100" s="139" t="s">
        <v>692</v>
      </c>
      <c r="AC100" s="139" t="s">
        <v>692</v>
      </c>
      <c r="AD100" s="139" t="s">
        <v>692</v>
      </c>
      <c r="AE100" s="139" t="s">
        <v>692</v>
      </c>
      <c r="AF100" s="139" t="s">
        <v>692</v>
      </c>
      <c r="AG100" s="139" t="s">
        <v>692</v>
      </c>
      <c r="AH100" s="139" t="s">
        <v>692</v>
      </c>
      <c r="AI100" s="139" t="s">
        <v>692</v>
      </c>
    </row>
    <row r="101" spans="1:35" ht="18.75" hidden="1" x14ac:dyDescent="0.25">
      <c r="A101" s="248"/>
      <c r="B101" s="97">
        <v>717083063</v>
      </c>
      <c r="C101" s="97" t="s">
        <v>55</v>
      </c>
      <c r="D101" s="97">
        <v>131</v>
      </c>
      <c r="E101" s="172" t="s">
        <v>856</v>
      </c>
      <c r="F101" s="172" t="s">
        <v>931</v>
      </c>
      <c r="G101" s="172"/>
      <c r="H101" s="172" t="s">
        <v>859</v>
      </c>
      <c r="I101" s="172">
        <v>35993</v>
      </c>
      <c r="J101" s="172"/>
      <c r="K101" s="172"/>
      <c r="L101" s="172"/>
      <c r="M101" s="172"/>
      <c r="N101" s="172"/>
      <c r="O101" s="172"/>
      <c r="P101" s="172"/>
      <c r="Q101" s="172"/>
      <c r="R101" s="101"/>
      <c r="S101" s="101"/>
      <c r="T101" s="101"/>
      <c r="U101" s="101"/>
      <c r="V101" s="101"/>
      <c r="W101" s="139"/>
      <c r="X101" s="139" t="s">
        <v>692</v>
      </c>
      <c r="Y101" s="139" t="s">
        <v>692</v>
      </c>
      <c r="Z101" s="139" t="s">
        <v>692</v>
      </c>
      <c r="AA101" s="139" t="s">
        <v>692</v>
      </c>
      <c r="AB101" s="139" t="s">
        <v>692</v>
      </c>
      <c r="AC101" s="139" t="s">
        <v>692</v>
      </c>
      <c r="AD101" s="139" t="s">
        <v>692</v>
      </c>
      <c r="AE101" s="139" t="s">
        <v>692</v>
      </c>
      <c r="AF101" s="139" t="s">
        <v>692</v>
      </c>
      <c r="AG101" s="139" t="s">
        <v>692</v>
      </c>
      <c r="AH101" s="139" t="s">
        <v>692</v>
      </c>
      <c r="AI101" s="139" t="s">
        <v>692</v>
      </c>
    </row>
    <row r="102" spans="1:35" ht="18.75" hidden="1" x14ac:dyDescent="0.25">
      <c r="A102" s="248"/>
      <c r="B102" s="97" t="s">
        <v>1115</v>
      </c>
      <c r="C102" s="97" t="s">
        <v>90</v>
      </c>
      <c r="D102" s="97">
        <v>131</v>
      </c>
      <c r="E102" s="172" t="s">
        <v>965</v>
      </c>
      <c r="F102" s="172" t="s">
        <v>909</v>
      </c>
      <c r="G102" s="172"/>
      <c r="H102" s="172"/>
      <c r="I102" s="172">
        <v>319553</v>
      </c>
      <c r="J102" s="172"/>
      <c r="K102" s="172"/>
      <c r="L102" s="172"/>
      <c r="M102" s="172"/>
      <c r="N102" s="172"/>
      <c r="O102" s="172"/>
      <c r="P102" s="172"/>
      <c r="Q102" s="172"/>
      <c r="R102" s="101"/>
      <c r="S102" s="101"/>
      <c r="T102" s="101"/>
      <c r="U102" s="101"/>
      <c r="V102" s="101"/>
      <c r="W102" s="139"/>
      <c r="X102" s="139" t="s">
        <v>692</v>
      </c>
      <c r="Y102" s="139" t="s">
        <v>692</v>
      </c>
      <c r="Z102" s="139" t="s">
        <v>692</v>
      </c>
      <c r="AA102" s="139" t="s">
        <v>692</v>
      </c>
      <c r="AB102" s="139" t="s">
        <v>692</v>
      </c>
      <c r="AC102" s="139" t="s">
        <v>692</v>
      </c>
      <c r="AD102" s="139" t="s">
        <v>692</v>
      </c>
      <c r="AE102" s="139" t="s">
        <v>692</v>
      </c>
      <c r="AF102" s="139" t="s">
        <v>692</v>
      </c>
      <c r="AG102" s="139" t="s">
        <v>692</v>
      </c>
      <c r="AH102" s="139" t="s">
        <v>692</v>
      </c>
      <c r="AI102" s="139" t="s">
        <v>692</v>
      </c>
    </row>
    <row r="103" spans="1:35" ht="18.75" hidden="1" x14ac:dyDescent="0.25">
      <c r="A103" s="248"/>
      <c r="B103" s="190" t="s">
        <v>160</v>
      </c>
      <c r="C103" s="55" t="s">
        <v>151</v>
      </c>
      <c r="D103" s="55">
        <v>131</v>
      </c>
      <c r="E103" s="177" t="s">
        <v>440</v>
      </c>
      <c r="F103" s="177" t="s">
        <v>938</v>
      </c>
      <c r="G103" s="178"/>
      <c r="H103" s="177"/>
      <c r="I103" s="179">
        <v>392624</v>
      </c>
      <c r="J103" s="179"/>
      <c r="K103" s="179"/>
      <c r="L103" s="179"/>
      <c r="M103" s="179"/>
      <c r="N103" s="179"/>
      <c r="O103" s="179"/>
      <c r="P103" s="179"/>
      <c r="Q103" s="179"/>
      <c r="R103" s="213"/>
      <c r="S103" s="101"/>
      <c r="T103" s="101"/>
      <c r="U103" s="101"/>
      <c r="V103" s="101"/>
      <c r="W103" s="139"/>
      <c r="X103" s="139" t="s">
        <v>692</v>
      </c>
      <c r="Y103" s="139" t="s">
        <v>692</v>
      </c>
      <c r="Z103" s="139" t="s">
        <v>692</v>
      </c>
      <c r="AA103" s="139" t="s">
        <v>692</v>
      </c>
      <c r="AB103" s="139" t="s">
        <v>692</v>
      </c>
      <c r="AC103" s="139" t="s">
        <v>692</v>
      </c>
      <c r="AD103" s="139" t="s">
        <v>692</v>
      </c>
      <c r="AE103" s="139" t="s">
        <v>692</v>
      </c>
      <c r="AF103" s="139" t="s">
        <v>692</v>
      </c>
      <c r="AG103" s="139" t="s">
        <v>692</v>
      </c>
      <c r="AH103" s="139" t="s">
        <v>692</v>
      </c>
      <c r="AI103" s="139" t="s">
        <v>692</v>
      </c>
    </row>
    <row r="104" spans="1:35" ht="18.75" hidden="1" x14ac:dyDescent="0.25">
      <c r="A104" s="248"/>
      <c r="B104" s="97" t="s">
        <v>1120</v>
      </c>
      <c r="C104" s="97" t="s">
        <v>174</v>
      </c>
      <c r="D104" s="97">
        <v>131</v>
      </c>
      <c r="E104" s="172" t="s">
        <v>440</v>
      </c>
      <c r="F104" s="172" t="s">
        <v>432</v>
      </c>
      <c r="G104" s="172"/>
      <c r="H104" s="172"/>
      <c r="I104" s="172">
        <v>309277</v>
      </c>
      <c r="J104" s="172"/>
      <c r="K104" s="172"/>
      <c r="L104" s="172"/>
      <c r="M104" s="172"/>
      <c r="N104" s="172"/>
      <c r="O104" s="172"/>
      <c r="P104" s="172"/>
      <c r="Q104" s="172"/>
      <c r="R104" s="101"/>
      <c r="S104" s="101"/>
      <c r="T104" s="101"/>
      <c r="U104" s="101"/>
      <c r="V104" s="101"/>
      <c r="W104" s="139"/>
      <c r="X104" s="139" t="s">
        <v>692</v>
      </c>
      <c r="Y104" s="139" t="s">
        <v>692</v>
      </c>
      <c r="Z104" s="139" t="s">
        <v>692</v>
      </c>
      <c r="AA104" s="139" t="s">
        <v>692</v>
      </c>
      <c r="AB104" s="139" t="s">
        <v>692</v>
      </c>
      <c r="AC104" s="139" t="s">
        <v>692</v>
      </c>
      <c r="AD104" s="139" t="s">
        <v>692</v>
      </c>
      <c r="AE104" s="139" t="s">
        <v>692</v>
      </c>
      <c r="AF104" s="139" t="s">
        <v>692</v>
      </c>
      <c r="AG104" s="139" t="s">
        <v>692</v>
      </c>
      <c r="AH104" s="139" t="s">
        <v>692</v>
      </c>
      <c r="AI104" s="139" t="s">
        <v>692</v>
      </c>
    </row>
    <row r="105" spans="1:35" ht="18.75" hidden="1" x14ac:dyDescent="0.25">
      <c r="A105" s="248"/>
      <c r="B105" s="97" t="s">
        <v>1188</v>
      </c>
      <c r="C105" s="97" t="s">
        <v>180</v>
      </c>
      <c r="D105" s="97">
        <v>131</v>
      </c>
      <c r="E105" s="172" t="s">
        <v>440</v>
      </c>
      <c r="F105" s="172" t="s">
        <v>432</v>
      </c>
      <c r="G105" s="172"/>
      <c r="H105" s="172"/>
      <c r="I105" s="172">
        <v>954311</v>
      </c>
      <c r="J105" s="172"/>
      <c r="K105" s="172"/>
      <c r="L105" s="172"/>
      <c r="M105" s="172"/>
      <c r="N105" s="172"/>
      <c r="O105" s="172"/>
      <c r="P105" s="172"/>
      <c r="Q105" s="172"/>
      <c r="R105" s="101"/>
      <c r="S105" s="101"/>
      <c r="T105" s="101"/>
      <c r="U105" s="101"/>
      <c r="V105" s="101"/>
      <c r="W105" s="139"/>
      <c r="X105" s="139" t="s">
        <v>692</v>
      </c>
      <c r="Y105" s="139" t="s">
        <v>692</v>
      </c>
      <c r="Z105" s="139" t="s">
        <v>692</v>
      </c>
      <c r="AA105" s="139" t="s">
        <v>692</v>
      </c>
      <c r="AB105" s="139" t="s">
        <v>692</v>
      </c>
      <c r="AC105" s="139" t="s">
        <v>692</v>
      </c>
      <c r="AD105" s="139" t="s">
        <v>692</v>
      </c>
      <c r="AE105" s="139" t="s">
        <v>692</v>
      </c>
      <c r="AF105" s="139" t="s">
        <v>692</v>
      </c>
      <c r="AG105" s="139" t="s">
        <v>692</v>
      </c>
      <c r="AH105" s="139" t="s">
        <v>692</v>
      </c>
      <c r="AI105" s="139" t="s">
        <v>692</v>
      </c>
    </row>
    <row r="106" spans="1:35" ht="18.75" hidden="1" x14ac:dyDescent="0.25">
      <c r="A106" s="248"/>
      <c r="B106" s="97" t="s">
        <v>1218</v>
      </c>
      <c r="C106" s="97" t="s">
        <v>187</v>
      </c>
      <c r="D106" s="97">
        <v>131</v>
      </c>
      <c r="E106" s="172" t="s">
        <v>440</v>
      </c>
      <c r="F106" s="172" t="s">
        <v>47</v>
      </c>
      <c r="G106" s="172"/>
      <c r="H106" s="172"/>
      <c r="I106" s="172">
        <v>846408</v>
      </c>
      <c r="J106" s="172"/>
      <c r="K106" s="172"/>
      <c r="L106" s="172"/>
      <c r="M106" s="172"/>
      <c r="N106" s="172"/>
      <c r="O106" s="172"/>
      <c r="P106" s="172"/>
      <c r="Q106" s="172"/>
      <c r="R106" s="101"/>
      <c r="S106" s="101"/>
      <c r="T106" s="101"/>
      <c r="U106" s="101"/>
      <c r="V106" s="101"/>
      <c r="W106" s="139"/>
      <c r="X106" s="139" t="s">
        <v>692</v>
      </c>
      <c r="Y106" s="139" t="s">
        <v>692</v>
      </c>
      <c r="Z106" s="139" t="s">
        <v>692</v>
      </c>
      <c r="AA106" s="139" t="s">
        <v>692</v>
      </c>
      <c r="AB106" s="139" t="s">
        <v>692</v>
      </c>
      <c r="AC106" s="139" t="s">
        <v>692</v>
      </c>
      <c r="AD106" s="139" t="s">
        <v>692</v>
      </c>
      <c r="AE106" s="139" t="s">
        <v>692</v>
      </c>
      <c r="AF106" s="139" t="s">
        <v>692</v>
      </c>
      <c r="AG106" s="139" t="s">
        <v>692</v>
      </c>
      <c r="AH106" s="139" t="s">
        <v>692</v>
      </c>
      <c r="AI106" s="139" t="s">
        <v>692</v>
      </c>
    </row>
    <row r="107" spans="1:35" ht="18.75" hidden="1" x14ac:dyDescent="0.25">
      <c r="A107" s="248"/>
      <c r="B107" s="97">
        <v>46699950</v>
      </c>
      <c r="C107" s="97" t="s">
        <v>197</v>
      </c>
      <c r="D107" s="97">
        <v>131</v>
      </c>
      <c r="E107" s="172" t="s">
        <v>440</v>
      </c>
      <c r="F107" s="172" t="s">
        <v>47</v>
      </c>
      <c r="G107" s="172" t="s">
        <v>1670</v>
      </c>
      <c r="H107" s="172"/>
      <c r="I107" s="172">
        <v>11159</v>
      </c>
      <c r="J107" s="172"/>
      <c r="K107" s="172"/>
      <c r="L107" s="172"/>
      <c r="M107" s="172"/>
      <c r="N107" s="172"/>
      <c r="O107" s="172"/>
      <c r="P107" s="172"/>
      <c r="Q107" s="172"/>
      <c r="R107" s="101"/>
      <c r="S107" s="101"/>
      <c r="T107" s="101"/>
      <c r="U107" s="101"/>
      <c r="V107" s="101"/>
      <c r="W107" s="139"/>
      <c r="X107" s="139" t="s">
        <v>692</v>
      </c>
      <c r="Y107" s="139" t="s">
        <v>692</v>
      </c>
      <c r="Z107" s="139" t="s">
        <v>692</v>
      </c>
      <c r="AA107" s="139" t="s">
        <v>692</v>
      </c>
      <c r="AB107" s="139" t="s">
        <v>692</v>
      </c>
      <c r="AC107" s="139" t="s">
        <v>692</v>
      </c>
      <c r="AD107" s="139" t="s">
        <v>692</v>
      </c>
      <c r="AE107" s="139" t="s">
        <v>692</v>
      </c>
      <c r="AF107" s="139" t="s">
        <v>692</v>
      </c>
      <c r="AG107" s="139" t="s">
        <v>692</v>
      </c>
      <c r="AH107" s="139" t="s">
        <v>692</v>
      </c>
      <c r="AI107" s="139" t="s">
        <v>692</v>
      </c>
    </row>
    <row r="108" spans="1:35" ht="18.75" hidden="1" x14ac:dyDescent="0.25">
      <c r="A108" s="248"/>
      <c r="B108" s="97" t="s">
        <v>1121</v>
      </c>
      <c r="C108" s="97" t="s">
        <v>197</v>
      </c>
      <c r="D108" s="97">
        <v>131</v>
      </c>
      <c r="E108" s="172" t="s">
        <v>440</v>
      </c>
      <c r="F108" s="172" t="s">
        <v>47</v>
      </c>
      <c r="G108" s="172"/>
      <c r="H108" s="172"/>
      <c r="I108" s="172"/>
      <c r="J108" s="172"/>
      <c r="K108" s="172"/>
      <c r="L108" s="172"/>
      <c r="M108" s="172"/>
      <c r="N108" s="172"/>
      <c r="O108" s="172"/>
      <c r="P108" s="172"/>
      <c r="Q108" s="172"/>
      <c r="R108" s="101"/>
      <c r="S108" s="101"/>
      <c r="T108" s="101"/>
      <c r="U108" s="101"/>
      <c r="V108" s="101"/>
      <c r="W108" s="139"/>
      <c r="X108" s="139" t="s">
        <v>692</v>
      </c>
      <c r="Y108" s="139" t="s">
        <v>692</v>
      </c>
      <c r="Z108" s="139" t="s">
        <v>692</v>
      </c>
      <c r="AA108" s="139" t="s">
        <v>692</v>
      </c>
      <c r="AB108" s="139" t="s">
        <v>692</v>
      </c>
      <c r="AC108" s="139" t="s">
        <v>692</v>
      </c>
      <c r="AD108" s="139" t="s">
        <v>692</v>
      </c>
      <c r="AE108" s="139" t="s">
        <v>692</v>
      </c>
      <c r="AF108" s="139" t="s">
        <v>692</v>
      </c>
      <c r="AG108" s="139" t="s">
        <v>692</v>
      </c>
      <c r="AH108" s="139" t="s">
        <v>692</v>
      </c>
      <c r="AI108" s="139" t="s">
        <v>692</v>
      </c>
    </row>
    <row r="109" spans="1:35" ht="18.75" hidden="1" x14ac:dyDescent="0.25">
      <c r="A109" s="248"/>
      <c r="B109" s="97" t="s">
        <v>1189</v>
      </c>
      <c r="C109" s="97" t="s">
        <v>217</v>
      </c>
      <c r="D109" s="97">
        <v>131</v>
      </c>
      <c r="E109" s="172" t="s">
        <v>440</v>
      </c>
      <c r="F109" s="172" t="s">
        <v>288</v>
      </c>
      <c r="G109" s="172" t="s">
        <v>161</v>
      </c>
      <c r="H109" s="172"/>
      <c r="I109" s="172">
        <v>514464</v>
      </c>
      <c r="J109" s="172"/>
      <c r="K109" s="172"/>
      <c r="L109" s="172"/>
      <c r="M109" s="172"/>
      <c r="N109" s="172"/>
      <c r="O109" s="172"/>
      <c r="P109" s="172"/>
      <c r="Q109" s="172"/>
      <c r="R109" s="101"/>
      <c r="S109" s="101"/>
      <c r="T109" s="101"/>
      <c r="U109" s="101"/>
      <c r="V109" s="101"/>
      <c r="W109" s="139"/>
      <c r="X109" s="139" t="s">
        <v>692</v>
      </c>
      <c r="Y109" s="139" t="s">
        <v>692</v>
      </c>
      <c r="Z109" s="139" t="s">
        <v>692</v>
      </c>
      <c r="AA109" s="139" t="s">
        <v>692</v>
      </c>
      <c r="AB109" s="139" t="s">
        <v>692</v>
      </c>
      <c r="AC109" s="139" t="s">
        <v>692</v>
      </c>
      <c r="AD109" s="139" t="s">
        <v>692</v>
      </c>
      <c r="AE109" s="139" t="s">
        <v>692</v>
      </c>
      <c r="AF109" s="139" t="s">
        <v>692</v>
      </c>
      <c r="AG109" s="139" t="s">
        <v>692</v>
      </c>
      <c r="AH109" s="139" t="s">
        <v>692</v>
      </c>
      <c r="AI109" s="139" t="s">
        <v>692</v>
      </c>
    </row>
    <row r="110" spans="1:35" ht="18.75" hidden="1" x14ac:dyDescent="0.25">
      <c r="A110" s="248"/>
      <c r="B110" s="97" t="s">
        <v>1192</v>
      </c>
      <c r="C110" s="97" t="s">
        <v>223</v>
      </c>
      <c r="D110" s="97">
        <v>131</v>
      </c>
      <c r="E110" s="172" t="s">
        <v>440</v>
      </c>
      <c r="F110" s="172" t="s">
        <v>47</v>
      </c>
      <c r="G110" s="172"/>
      <c r="H110" s="172"/>
      <c r="I110" s="172">
        <v>302872</v>
      </c>
      <c r="J110" s="172"/>
      <c r="K110" s="172"/>
      <c r="L110" s="172"/>
      <c r="M110" s="172"/>
      <c r="N110" s="172"/>
      <c r="O110" s="172"/>
      <c r="P110" s="172"/>
      <c r="Q110" s="172"/>
      <c r="R110" s="101"/>
      <c r="S110" s="101"/>
      <c r="T110" s="101"/>
      <c r="U110" s="101"/>
      <c r="V110" s="101"/>
      <c r="W110" s="139"/>
      <c r="X110" s="139" t="s">
        <v>692</v>
      </c>
      <c r="Y110" s="139" t="s">
        <v>692</v>
      </c>
      <c r="Z110" s="139" t="s">
        <v>692</v>
      </c>
      <c r="AA110" s="139" t="s">
        <v>692</v>
      </c>
      <c r="AB110" s="139" t="s">
        <v>692</v>
      </c>
      <c r="AC110" s="139" t="s">
        <v>692</v>
      </c>
      <c r="AD110" s="139" t="s">
        <v>692</v>
      </c>
      <c r="AE110" s="139" t="s">
        <v>692</v>
      </c>
      <c r="AF110" s="139" t="s">
        <v>692</v>
      </c>
      <c r="AG110" s="139" t="s">
        <v>692</v>
      </c>
      <c r="AH110" s="139" t="s">
        <v>692</v>
      </c>
      <c r="AI110" s="139" t="s">
        <v>692</v>
      </c>
    </row>
    <row r="111" spans="1:35" ht="18.75" hidden="1" x14ac:dyDescent="0.25">
      <c r="A111" s="248"/>
      <c r="B111" s="97" t="s">
        <v>1546</v>
      </c>
      <c r="C111" s="97" t="s">
        <v>234</v>
      </c>
      <c r="D111" s="97">
        <v>131</v>
      </c>
      <c r="E111" s="172" t="s">
        <v>440</v>
      </c>
      <c r="F111" s="172" t="s">
        <v>47</v>
      </c>
      <c r="G111" s="172" t="s">
        <v>1545</v>
      </c>
      <c r="H111" s="172"/>
      <c r="I111" s="172">
        <v>208297</v>
      </c>
      <c r="J111" s="172"/>
      <c r="K111" s="172"/>
      <c r="L111" s="172"/>
      <c r="M111" s="172"/>
      <c r="N111" s="172"/>
      <c r="O111" s="172"/>
      <c r="P111" s="172"/>
      <c r="Q111" s="172"/>
      <c r="R111" s="101"/>
      <c r="S111" s="101"/>
      <c r="T111" s="101"/>
      <c r="U111" s="101"/>
      <c r="V111" s="101"/>
      <c r="W111" s="139"/>
      <c r="X111" s="139" t="s">
        <v>692</v>
      </c>
      <c r="Y111" s="139" t="s">
        <v>692</v>
      </c>
      <c r="Z111" s="139" t="s">
        <v>692</v>
      </c>
      <c r="AA111" s="139" t="s">
        <v>692</v>
      </c>
      <c r="AB111" s="139" t="s">
        <v>692</v>
      </c>
      <c r="AC111" s="139" t="s">
        <v>692</v>
      </c>
      <c r="AD111" s="139" t="s">
        <v>692</v>
      </c>
      <c r="AE111" s="139" t="s">
        <v>692</v>
      </c>
      <c r="AF111" s="139" t="s">
        <v>692</v>
      </c>
      <c r="AG111" s="139" t="s">
        <v>692</v>
      </c>
      <c r="AH111" s="139" t="s">
        <v>692</v>
      </c>
      <c r="AI111" s="139" t="s">
        <v>692</v>
      </c>
    </row>
    <row r="112" spans="1:35" ht="18.75" hidden="1" x14ac:dyDescent="0.25">
      <c r="A112" s="248"/>
      <c r="B112" s="97" t="s">
        <v>1217</v>
      </c>
      <c r="C112" s="94" t="s">
        <v>234</v>
      </c>
      <c r="D112" s="94">
        <v>131</v>
      </c>
      <c r="E112" s="174" t="s">
        <v>440</v>
      </c>
      <c r="F112" s="174" t="s">
        <v>47</v>
      </c>
      <c r="G112" s="99" t="s">
        <v>1345</v>
      </c>
      <c r="H112" s="175" t="s">
        <v>1544</v>
      </c>
      <c r="I112" s="173"/>
      <c r="J112" s="173"/>
      <c r="K112" s="173"/>
      <c r="L112" s="173"/>
      <c r="M112" s="173"/>
      <c r="N112" s="173"/>
      <c r="O112" s="173"/>
      <c r="P112" s="173"/>
      <c r="Q112" s="173"/>
      <c r="R112" s="213"/>
      <c r="S112" s="101"/>
      <c r="T112" s="101"/>
      <c r="U112" s="101"/>
      <c r="V112" s="101"/>
      <c r="W112" s="139"/>
      <c r="X112" s="139" t="s">
        <v>692</v>
      </c>
      <c r="Y112" s="139" t="s">
        <v>692</v>
      </c>
      <c r="Z112" s="139" t="s">
        <v>692</v>
      </c>
      <c r="AA112" s="139" t="s">
        <v>692</v>
      </c>
      <c r="AB112" s="139" t="s">
        <v>692</v>
      </c>
      <c r="AC112" s="139" t="s">
        <v>692</v>
      </c>
      <c r="AD112" s="139" t="s">
        <v>692</v>
      </c>
      <c r="AE112" s="139" t="s">
        <v>692</v>
      </c>
      <c r="AF112" s="139" t="s">
        <v>692</v>
      </c>
      <c r="AG112" s="139" t="s">
        <v>692</v>
      </c>
      <c r="AH112" s="139" t="s">
        <v>692</v>
      </c>
      <c r="AI112" s="139" t="s">
        <v>692</v>
      </c>
    </row>
    <row r="113" spans="1:35" ht="18.75" hidden="1" x14ac:dyDescent="0.25">
      <c r="A113" s="248"/>
      <c r="B113" s="97" t="s">
        <v>1139</v>
      </c>
      <c r="C113" s="97" t="s">
        <v>283</v>
      </c>
      <c r="D113" s="97">
        <v>131</v>
      </c>
      <c r="E113" s="172" t="s">
        <v>440</v>
      </c>
      <c r="F113" s="172" t="s">
        <v>47</v>
      </c>
      <c r="G113" s="172"/>
      <c r="H113" s="172" t="s">
        <v>978</v>
      </c>
      <c r="I113" s="172">
        <v>689356</v>
      </c>
      <c r="J113" s="172"/>
      <c r="K113" s="172"/>
      <c r="L113" s="172"/>
      <c r="M113" s="172"/>
      <c r="N113" s="172"/>
      <c r="O113" s="172"/>
      <c r="P113" s="172"/>
      <c r="Q113" s="172"/>
      <c r="R113" s="213"/>
      <c r="S113" s="101"/>
      <c r="T113" s="101"/>
      <c r="U113" s="101"/>
      <c r="V113" s="101"/>
      <c r="W113" s="139"/>
      <c r="X113" s="139" t="s">
        <v>692</v>
      </c>
      <c r="Y113" s="139" t="s">
        <v>692</v>
      </c>
      <c r="Z113" s="139" t="s">
        <v>692</v>
      </c>
      <c r="AA113" s="139" t="s">
        <v>692</v>
      </c>
      <c r="AB113" s="139" t="s">
        <v>692</v>
      </c>
      <c r="AC113" s="139" t="s">
        <v>692</v>
      </c>
      <c r="AD113" s="139" t="s">
        <v>692</v>
      </c>
      <c r="AE113" s="139" t="s">
        <v>692</v>
      </c>
      <c r="AF113" s="139" t="s">
        <v>692</v>
      </c>
      <c r="AG113" s="139" t="s">
        <v>692</v>
      </c>
      <c r="AH113" s="139" t="s">
        <v>692</v>
      </c>
      <c r="AI113" s="139" t="s">
        <v>692</v>
      </c>
    </row>
    <row r="114" spans="1:35" ht="18.75" hidden="1" x14ac:dyDescent="0.25">
      <c r="A114" s="248"/>
      <c r="B114" s="190" t="s">
        <v>1124</v>
      </c>
      <c r="C114" s="55" t="s">
        <v>291</v>
      </c>
      <c r="D114" s="55">
        <v>131</v>
      </c>
      <c r="E114" s="177" t="s">
        <v>440</v>
      </c>
      <c r="F114" s="177" t="s">
        <v>47</v>
      </c>
      <c r="G114" s="178"/>
      <c r="H114" s="177"/>
      <c r="I114" s="179">
        <v>538324</v>
      </c>
      <c r="J114" s="179"/>
      <c r="K114" s="179"/>
      <c r="L114" s="179"/>
      <c r="M114" s="179"/>
      <c r="N114" s="179"/>
      <c r="O114" s="179"/>
      <c r="P114" s="179"/>
      <c r="Q114" s="179"/>
      <c r="R114" s="213"/>
      <c r="S114" s="101"/>
      <c r="T114" s="101"/>
      <c r="U114" s="101"/>
      <c r="V114" s="101"/>
      <c r="W114" s="139"/>
      <c r="X114" s="139" t="s">
        <v>692</v>
      </c>
      <c r="Y114" s="139" t="s">
        <v>692</v>
      </c>
      <c r="Z114" s="139" t="s">
        <v>692</v>
      </c>
      <c r="AA114" s="139" t="s">
        <v>692</v>
      </c>
      <c r="AB114" s="139" t="s">
        <v>692</v>
      </c>
      <c r="AC114" s="139" t="s">
        <v>692</v>
      </c>
      <c r="AD114" s="139" t="s">
        <v>692</v>
      </c>
      <c r="AE114" s="139" t="s">
        <v>692</v>
      </c>
      <c r="AF114" s="139" t="s">
        <v>692</v>
      </c>
      <c r="AG114" s="139" t="s">
        <v>692</v>
      </c>
      <c r="AH114" s="139" t="s">
        <v>692</v>
      </c>
      <c r="AI114" s="139" t="s">
        <v>692</v>
      </c>
    </row>
    <row r="115" spans="1:35" ht="18.75" hidden="1" x14ac:dyDescent="0.25">
      <c r="A115" s="248"/>
      <c r="B115" s="190" t="s">
        <v>1183</v>
      </c>
      <c r="C115" s="55" t="s">
        <v>293</v>
      </c>
      <c r="D115" s="55">
        <v>131</v>
      </c>
      <c r="E115" s="177" t="s">
        <v>440</v>
      </c>
      <c r="F115" s="177" t="s">
        <v>47</v>
      </c>
      <c r="G115" s="178"/>
      <c r="H115" s="178"/>
      <c r="I115" s="179">
        <v>172659</v>
      </c>
      <c r="J115" s="179"/>
      <c r="K115" s="179"/>
      <c r="L115" s="179"/>
      <c r="M115" s="179"/>
      <c r="N115" s="179"/>
      <c r="O115" s="179"/>
      <c r="P115" s="179"/>
      <c r="Q115" s="179"/>
      <c r="R115" s="213"/>
      <c r="S115" s="101"/>
      <c r="T115" s="101"/>
      <c r="U115" s="101"/>
      <c r="V115" s="101"/>
      <c r="W115" s="139"/>
      <c r="X115" s="139" t="s">
        <v>692</v>
      </c>
      <c r="Y115" s="139" t="s">
        <v>692</v>
      </c>
      <c r="Z115" s="139" t="s">
        <v>692</v>
      </c>
      <c r="AA115" s="139" t="s">
        <v>692</v>
      </c>
      <c r="AB115" s="139" t="s">
        <v>692</v>
      </c>
      <c r="AC115" s="139" t="s">
        <v>692</v>
      </c>
      <c r="AD115" s="139" t="s">
        <v>692</v>
      </c>
      <c r="AE115" s="139" t="s">
        <v>692</v>
      </c>
      <c r="AF115" s="139" t="s">
        <v>692</v>
      </c>
      <c r="AG115" s="139" t="s">
        <v>692</v>
      </c>
      <c r="AH115" s="139" t="s">
        <v>692</v>
      </c>
      <c r="AI115" s="139" t="s">
        <v>692</v>
      </c>
    </row>
    <row r="116" spans="1:35" ht="18.75" hidden="1" x14ac:dyDescent="0.25">
      <c r="A116" s="248"/>
      <c r="B116" s="97" t="s">
        <v>1128</v>
      </c>
      <c r="C116" s="97" t="s">
        <v>301</v>
      </c>
      <c r="D116" s="97">
        <v>131</v>
      </c>
      <c r="E116" s="172" t="s">
        <v>440</v>
      </c>
      <c r="F116" s="172" t="s">
        <v>47</v>
      </c>
      <c r="G116" s="172"/>
      <c r="H116" s="172"/>
      <c r="I116" s="172">
        <v>92639</v>
      </c>
      <c r="J116" s="172"/>
      <c r="K116" s="172"/>
      <c r="L116" s="172"/>
      <c r="M116" s="172"/>
      <c r="N116" s="172"/>
      <c r="O116" s="172"/>
      <c r="P116" s="172"/>
      <c r="Q116" s="172"/>
      <c r="R116" s="101"/>
      <c r="S116" s="101"/>
      <c r="T116" s="101"/>
      <c r="U116" s="101"/>
      <c r="V116" s="101"/>
      <c r="W116" s="139"/>
      <c r="X116" s="139" t="s">
        <v>692</v>
      </c>
      <c r="Y116" s="139" t="s">
        <v>692</v>
      </c>
      <c r="Z116" s="139" t="s">
        <v>692</v>
      </c>
      <c r="AA116" s="139" t="s">
        <v>692</v>
      </c>
      <c r="AB116" s="139" t="s">
        <v>692</v>
      </c>
      <c r="AC116" s="139" t="s">
        <v>692</v>
      </c>
      <c r="AD116" s="139" t="s">
        <v>692</v>
      </c>
      <c r="AE116" s="139" t="s">
        <v>692</v>
      </c>
      <c r="AF116" s="139" t="s">
        <v>692</v>
      </c>
      <c r="AG116" s="139" t="s">
        <v>692</v>
      </c>
      <c r="AH116" s="139" t="s">
        <v>692</v>
      </c>
      <c r="AI116" s="139" t="s">
        <v>692</v>
      </c>
    </row>
    <row r="117" spans="1:35" ht="18.75" hidden="1" x14ac:dyDescent="0.25">
      <c r="A117" s="248"/>
      <c r="B117" s="97" t="s">
        <v>1129</v>
      </c>
      <c r="C117" s="97" t="s">
        <v>441</v>
      </c>
      <c r="D117" s="97">
        <v>131</v>
      </c>
      <c r="E117" s="172" t="s">
        <v>440</v>
      </c>
      <c r="F117" s="172" t="s">
        <v>47</v>
      </c>
      <c r="G117" s="172"/>
      <c r="H117" s="172"/>
      <c r="I117" s="172">
        <v>88883</v>
      </c>
      <c r="J117" s="172"/>
      <c r="K117" s="172"/>
      <c r="L117" s="172"/>
      <c r="M117" s="172"/>
      <c r="N117" s="172"/>
      <c r="O117" s="172"/>
      <c r="P117" s="172"/>
      <c r="Q117" s="172"/>
      <c r="R117" s="101"/>
      <c r="S117" s="101"/>
      <c r="T117" s="101"/>
      <c r="U117" s="101"/>
      <c r="V117" s="101"/>
      <c r="W117" s="139"/>
      <c r="X117" s="139" t="s">
        <v>692</v>
      </c>
      <c r="Y117" s="139" t="s">
        <v>692</v>
      </c>
      <c r="Z117" s="139" t="s">
        <v>692</v>
      </c>
      <c r="AA117" s="139" t="s">
        <v>692</v>
      </c>
      <c r="AB117" s="139" t="s">
        <v>692</v>
      </c>
      <c r="AC117" s="139" t="s">
        <v>692</v>
      </c>
      <c r="AD117" s="139" t="s">
        <v>692</v>
      </c>
      <c r="AE117" s="139" t="s">
        <v>692</v>
      </c>
      <c r="AF117" s="139" t="s">
        <v>692</v>
      </c>
      <c r="AG117" s="139" t="s">
        <v>692</v>
      </c>
      <c r="AH117" s="139" t="s">
        <v>692</v>
      </c>
      <c r="AI117" s="139" t="s">
        <v>692</v>
      </c>
    </row>
    <row r="118" spans="1:35" ht="18.75" hidden="1" x14ac:dyDescent="0.25">
      <c r="A118" s="248"/>
      <c r="B118" s="97" t="s">
        <v>1091</v>
      </c>
      <c r="C118" s="97" t="s">
        <v>443</v>
      </c>
      <c r="D118" s="97">
        <v>131</v>
      </c>
      <c r="E118" s="172" t="s">
        <v>440</v>
      </c>
      <c r="F118" s="172" t="s">
        <v>47</v>
      </c>
      <c r="G118" s="172" t="s">
        <v>161</v>
      </c>
      <c r="H118" s="172"/>
      <c r="I118" s="172">
        <v>32342</v>
      </c>
      <c r="J118" s="172"/>
      <c r="K118" s="172"/>
      <c r="L118" s="172"/>
      <c r="M118" s="172"/>
      <c r="N118" s="172"/>
      <c r="O118" s="172"/>
      <c r="P118" s="172"/>
      <c r="Q118" s="172"/>
      <c r="R118" s="101"/>
      <c r="S118" s="101"/>
      <c r="T118" s="101"/>
      <c r="U118" s="101"/>
      <c r="V118" s="101"/>
      <c r="W118" s="139"/>
      <c r="X118" s="139" t="s">
        <v>692</v>
      </c>
      <c r="Y118" s="139" t="s">
        <v>692</v>
      </c>
      <c r="Z118" s="139" t="s">
        <v>692</v>
      </c>
      <c r="AA118" s="139" t="s">
        <v>692</v>
      </c>
      <c r="AB118" s="139" t="s">
        <v>692</v>
      </c>
      <c r="AC118" s="139" t="s">
        <v>692</v>
      </c>
      <c r="AD118" s="139" t="s">
        <v>692</v>
      </c>
      <c r="AE118" s="139" t="s">
        <v>692</v>
      </c>
      <c r="AF118" s="139" t="s">
        <v>692</v>
      </c>
      <c r="AG118" s="139" t="s">
        <v>692</v>
      </c>
      <c r="AH118" s="139" t="s">
        <v>692</v>
      </c>
      <c r="AI118" s="139" t="s">
        <v>692</v>
      </c>
    </row>
    <row r="119" spans="1:35" ht="18.75" hidden="1" x14ac:dyDescent="0.25">
      <c r="A119" s="248"/>
      <c r="B119" s="97" t="s">
        <v>1355</v>
      </c>
      <c r="C119" s="97" t="s">
        <v>36</v>
      </c>
      <c r="D119" s="97">
        <v>132</v>
      </c>
      <c r="E119" s="172" t="s">
        <v>829</v>
      </c>
      <c r="F119" s="172" t="s">
        <v>38</v>
      </c>
      <c r="G119" s="172" t="s">
        <v>1356</v>
      </c>
      <c r="H119" s="172" t="s">
        <v>1357</v>
      </c>
      <c r="I119" s="172">
        <v>52587</v>
      </c>
      <c r="J119" s="172"/>
      <c r="K119" s="172"/>
      <c r="L119" s="172"/>
      <c r="M119" s="172"/>
      <c r="N119" s="172"/>
      <c r="O119" s="172"/>
      <c r="P119" s="172"/>
      <c r="Q119" s="172"/>
      <c r="R119" s="101"/>
      <c r="S119" s="101"/>
      <c r="T119" s="101"/>
      <c r="U119" s="101"/>
      <c r="V119" s="101"/>
      <c r="W119" s="139"/>
      <c r="X119" s="139" t="s">
        <v>692</v>
      </c>
      <c r="Y119" s="139" t="s">
        <v>692</v>
      </c>
      <c r="Z119" s="139" t="s">
        <v>692</v>
      </c>
      <c r="AA119" s="139" t="s">
        <v>692</v>
      </c>
      <c r="AB119" s="139" t="s">
        <v>692</v>
      </c>
      <c r="AC119" s="139" t="s">
        <v>692</v>
      </c>
      <c r="AD119" s="139" t="s">
        <v>692</v>
      </c>
      <c r="AE119" s="139" t="s">
        <v>692</v>
      </c>
      <c r="AF119" s="139" t="s">
        <v>692</v>
      </c>
      <c r="AG119" s="139" t="s">
        <v>692</v>
      </c>
      <c r="AH119" s="139" t="s">
        <v>692</v>
      </c>
      <c r="AI119" s="139" t="s">
        <v>692</v>
      </c>
    </row>
    <row r="120" spans="1:35" ht="18.75" hidden="1" x14ac:dyDescent="0.25">
      <c r="A120" s="248"/>
      <c r="B120" s="97" t="s">
        <v>43</v>
      </c>
      <c r="C120" s="97" t="s">
        <v>36</v>
      </c>
      <c r="D120" s="97">
        <v>132</v>
      </c>
      <c r="E120" s="172" t="s">
        <v>829</v>
      </c>
      <c r="F120" s="172" t="s">
        <v>38</v>
      </c>
      <c r="G120" s="172" t="s">
        <v>44</v>
      </c>
      <c r="H120" s="172"/>
      <c r="I120" s="172"/>
      <c r="J120" s="172"/>
      <c r="K120" s="172"/>
      <c r="L120" s="172"/>
      <c r="M120" s="172"/>
      <c r="N120" s="172"/>
      <c r="O120" s="172"/>
      <c r="P120" s="172"/>
      <c r="Q120" s="172"/>
      <c r="R120" s="101"/>
      <c r="S120" s="101"/>
      <c r="T120" s="101"/>
      <c r="U120" s="101"/>
      <c r="V120" s="101"/>
      <c r="W120" s="139"/>
      <c r="X120" s="139" t="s">
        <v>692</v>
      </c>
      <c r="Y120" s="139" t="s">
        <v>692</v>
      </c>
      <c r="Z120" s="139" t="s">
        <v>692</v>
      </c>
      <c r="AA120" s="139" t="s">
        <v>692</v>
      </c>
      <c r="AB120" s="139" t="s">
        <v>692</v>
      </c>
      <c r="AC120" s="139" t="s">
        <v>692</v>
      </c>
      <c r="AD120" s="139" t="s">
        <v>692</v>
      </c>
      <c r="AE120" s="139" t="s">
        <v>692</v>
      </c>
      <c r="AF120" s="139" t="s">
        <v>692</v>
      </c>
      <c r="AG120" s="139" t="s">
        <v>692</v>
      </c>
      <c r="AH120" s="139" t="s">
        <v>692</v>
      </c>
      <c r="AI120" s="139" t="s">
        <v>692</v>
      </c>
    </row>
    <row r="121" spans="1:35" ht="18.75" hidden="1" x14ac:dyDescent="0.25">
      <c r="A121" s="248"/>
      <c r="B121" s="97" t="s">
        <v>706</v>
      </c>
      <c r="C121" s="97" t="s">
        <v>86</v>
      </c>
      <c r="D121" s="97">
        <v>132</v>
      </c>
      <c r="E121" s="172" t="s">
        <v>1186</v>
      </c>
      <c r="F121" s="172" t="s">
        <v>832</v>
      </c>
      <c r="G121" s="172" t="s">
        <v>1460</v>
      </c>
      <c r="H121" s="172" t="s">
        <v>1461</v>
      </c>
      <c r="I121" s="172"/>
      <c r="J121" s="172"/>
      <c r="K121" s="172"/>
      <c r="L121" s="172"/>
      <c r="M121" s="172"/>
      <c r="N121" s="172"/>
      <c r="O121" s="172"/>
      <c r="P121" s="172"/>
      <c r="Q121" s="172"/>
      <c r="R121" s="101"/>
      <c r="S121" s="101"/>
      <c r="T121" s="101"/>
      <c r="U121" s="101"/>
      <c r="V121" s="101"/>
      <c r="W121" s="139"/>
      <c r="X121" s="139" t="s">
        <v>692</v>
      </c>
      <c r="Y121" s="139" t="s">
        <v>692</v>
      </c>
      <c r="Z121" s="139" t="s">
        <v>692</v>
      </c>
      <c r="AA121" s="139" t="s">
        <v>692</v>
      </c>
      <c r="AB121" s="139" t="s">
        <v>692</v>
      </c>
      <c r="AC121" s="139" t="s">
        <v>692</v>
      </c>
      <c r="AD121" s="139" t="s">
        <v>692</v>
      </c>
      <c r="AE121" s="139" t="s">
        <v>692</v>
      </c>
      <c r="AF121" s="139" t="s">
        <v>692</v>
      </c>
      <c r="AG121" s="139" t="s">
        <v>692</v>
      </c>
      <c r="AH121" s="139" t="s">
        <v>692</v>
      </c>
      <c r="AI121" s="139" t="s">
        <v>692</v>
      </c>
    </row>
    <row r="122" spans="1:35" ht="18.75" hidden="1" x14ac:dyDescent="0.25">
      <c r="A122" s="248"/>
      <c r="B122" s="97" t="s">
        <v>115</v>
      </c>
      <c r="C122" s="97" t="s">
        <v>106</v>
      </c>
      <c r="D122" s="97">
        <v>132</v>
      </c>
      <c r="E122" s="172" t="s">
        <v>830</v>
      </c>
      <c r="F122" s="172" t="s">
        <v>905</v>
      </c>
      <c r="G122" s="172" t="s">
        <v>116</v>
      </c>
      <c r="H122" s="172"/>
      <c r="I122" s="172">
        <v>299193</v>
      </c>
      <c r="J122" s="172"/>
      <c r="K122" s="172"/>
      <c r="L122" s="172"/>
      <c r="M122" s="172"/>
      <c r="N122" s="172"/>
      <c r="O122" s="172"/>
      <c r="P122" s="172"/>
      <c r="Q122" s="172"/>
      <c r="R122" s="101"/>
      <c r="S122" s="101"/>
      <c r="T122" s="101"/>
      <c r="U122" s="101"/>
      <c r="V122" s="101"/>
      <c r="W122" s="139"/>
      <c r="X122" s="139" t="s">
        <v>692</v>
      </c>
      <c r="Y122" s="139" t="s">
        <v>692</v>
      </c>
      <c r="Z122" s="139" t="s">
        <v>692</v>
      </c>
      <c r="AA122" s="139" t="s">
        <v>692</v>
      </c>
      <c r="AB122" s="139" t="s">
        <v>692</v>
      </c>
      <c r="AC122" s="139" t="s">
        <v>692</v>
      </c>
      <c r="AD122" s="139" t="s">
        <v>692</v>
      </c>
      <c r="AE122" s="139" t="s">
        <v>692</v>
      </c>
      <c r="AF122" s="139" t="s">
        <v>692</v>
      </c>
      <c r="AG122" s="139" t="s">
        <v>692</v>
      </c>
      <c r="AH122" s="139" t="s">
        <v>692</v>
      </c>
      <c r="AI122" s="139" t="s">
        <v>692</v>
      </c>
    </row>
    <row r="123" spans="1:35" ht="18.75" hidden="1" x14ac:dyDescent="0.25">
      <c r="A123" s="248"/>
      <c r="B123" s="97" t="s">
        <v>1118</v>
      </c>
      <c r="C123" s="97" t="s">
        <v>135</v>
      </c>
      <c r="D123" s="97">
        <v>132</v>
      </c>
      <c r="E123" s="172" t="s">
        <v>831</v>
      </c>
      <c r="F123" s="172" t="s">
        <v>686</v>
      </c>
      <c r="G123" s="172" t="s">
        <v>687</v>
      </c>
      <c r="H123" s="172" t="s">
        <v>688</v>
      </c>
      <c r="I123" s="172">
        <v>1531835</v>
      </c>
      <c r="J123" s="172"/>
      <c r="K123" s="172"/>
      <c r="L123" s="172"/>
      <c r="M123" s="172"/>
      <c r="N123" s="172"/>
      <c r="O123" s="172"/>
      <c r="P123" s="172"/>
      <c r="Q123" s="172"/>
      <c r="R123" s="101"/>
      <c r="S123" s="101"/>
      <c r="T123" s="101"/>
      <c r="U123" s="101"/>
      <c r="V123" s="101"/>
      <c r="W123" s="139"/>
      <c r="X123" s="139" t="s">
        <v>692</v>
      </c>
      <c r="Y123" s="139" t="s">
        <v>692</v>
      </c>
      <c r="Z123" s="139" t="s">
        <v>692</v>
      </c>
      <c r="AA123" s="139" t="s">
        <v>692</v>
      </c>
      <c r="AB123" s="139" t="s">
        <v>692</v>
      </c>
      <c r="AC123" s="139" t="s">
        <v>692</v>
      </c>
      <c r="AD123" s="139" t="s">
        <v>692</v>
      </c>
      <c r="AE123" s="139" t="s">
        <v>692</v>
      </c>
      <c r="AF123" s="139" t="s">
        <v>692</v>
      </c>
      <c r="AG123" s="139" t="s">
        <v>692</v>
      </c>
      <c r="AH123" s="139" t="s">
        <v>692</v>
      </c>
      <c r="AI123" s="139" t="s">
        <v>692</v>
      </c>
    </row>
    <row r="124" spans="1:35" ht="18.75" hidden="1" x14ac:dyDescent="0.25">
      <c r="A124" s="248"/>
      <c r="B124" s="97" t="s">
        <v>1210</v>
      </c>
      <c r="C124" s="97" t="s">
        <v>142</v>
      </c>
      <c r="D124" s="97">
        <v>132</v>
      </c>
      <c r="E124" s="172" t="s">
        <v>1318</v>
      </c>
      <c r="F124" s="172" t="s">
        <v>1239</v>
      </c>
      <c r="G124" s="172"/>
      <c r="H124" s="172"/>
      <c r="I124" s="172">
        <v>103000</v>
      </c>
      <c r="J124" s="172"/>
      <c r="K124" s="172"/>
      <c r="L124" s="172"/>
      <c r="M124" s="172"/>
      <c r="N124" s="172"/>
      <c r="O124" s="172"/>
      <c r="P124" s="172"/>
      <c r="Q124" s="172"/>
      <c r="R124" s="101"/>
      <c r="S124" s="101"/>
      <c r="T124" s="101"/>
      <c r="U124" s="101"/>
      <c r="V124" s="101"/>
      <c r="W124" s="139"/>
      <c r="X124" s="139" t="s">
        <v>692</v>
      </c>
      <c r="Y124" s="139" t="s">
        <v>692</v>
      </c>
      <c r="Z124" s="139" t="s">
        <v>692</v>
      </c>
      <c r="AA124" s="139" t="s">
        <v>692</v>
      </c>
      <c r="AB124" s="139" t="s">
        <v>692</v>
      </c>
      <c r="AC124" s="139" t="s">
        <v>692</v>
      </c>
      <c r="AD124" s="139" t="s">
        <v>692</v>
      </c>
      <c r="AE124" s="139" t="s">
        <v>692</v>
      </c>
      <c r="AF124" s="139" t="s">
        <v>692</v>
      </c>
      <c r="AG124" s="139" t="s">
        <v>692</v>
      </c>
      <c r="AH124" s="139" t="s">
        <v>692</v>
      </c>
      <c r="AI124" s="139" t="s">
        <v>692</v>
      </c>
    </row>
    <row r="125" spans="1:35" ht="18.75" hidden="1" x14ac:dyDescent="0.25">
      <c r="A125" s="248"/>
      <c r="B125" s="97" t="s">
        <v>1211</v>
      </c>
      <c r="C125" s="97" t="s">
        <v>147</v>
      </c>
      <c r="D125" s="97">
        <v>132</v>
      </c>
      <c r="E125" s="172" t="s">
        <v>1318</v>
      </c>
      <c r="F125" s="172" t="s">
        <v>1239</v>
      </c>
      <c r="G125" s="172"/>
      <c r="H125" s="172"/>
      <c r="I125" s="172">
        <v>99100</v>
      </c>
      <c r="J125" s="172"/>
      <c r="K125" s="172"/>
      <c r="L125" s="172"/>
      <c r="M125" s="172"/>
      <c r="N125" s="172"/>
      <c r="O125" s="172"/>
      <c r="P125" s="172"/>
      <c r="Q125" s="172"/>
      <c r="R125" s="101"/>
      <c r="S125" s="101"/>
      <c r="T125" s="101"/>
      <c r="U125" s="101"/>
      <c r="V125" s="101"/>
      <c r="W125" s="139"/>
      <c r="X125" s="139" t="s">
        <v>692</v>
      </c>
      <c r="Y125" s="139" t="s">
        <v>692</v>
      </c>
      <c r="Z125" s="139" t="s">
        <v>692</v>
      </c>
      <c r="AA125" s="139" t="s">
        <v>692</v>
      </c>
      <c r="AB125" s="139" t="s">
        <v>692</v>
      </c>
      <c r="AC125" s="139" t="s">
        <v>692</v>
      </c>
      <c r="AD125" s="139" t="s">
        <v>692</v>
      </c>
      <c r="AE125" s="139" t="s">
        <v>692</v>
      </c>
      <c r="AF125" s="139" t="s">
        <v>692</v>
      </c>
      <c r="AG125" s="139" t="s">
        <v>692</v>
      </c>
      <c r="AH125" s="139" t="s">
        <v>692</v>
      </c>
      <c r="AI125" s="139" t="s">
        <v>692</v>
      </c>
    </row>
    <row r="126" spans="1:35" ht="18.75" hidden="1" x14ac:dyDescent="0.25">
      <c r="A126" s="248"/>
      <c r="B126" s="97" t="s">
        <v>158</v>
      </c>
      <c r="C126" s="97" t="s">
        <v>151</v>
      </c>
      <c r="D126" s="97">
        <v>132</v>
      </c>
      <c r="E126" s="172" t="s">
        <v>159</v>
      </c>
      <c r="F126" s="172" t="s">
        <v>937</v>
      </c>
      <c r="G126" s="172" t="s">
        <v>1019</v>
      </c>
      <c r="H126" s="172" t="s">
        <v>1585</v>
      </c>
      <c r="I126" s="172"/>
      <c r="J126" s="172"/>
      <c r="K126" s="172"/>
      <c r="L126" s="172"/>
      <c r="M126" s="172"/>
      <c r="N126" s="172"/>
      <c r="O126" s="172"/>
      <c r="P126" s="172"/>
      <c r="Q126" s="172"/>
      <c r="R126" s="101"/>
      <c r="S126" s="101"/>
      <c r="T126" s="101"/>
      <c r="U126" s="101"/>
      <c r="V126" s="101"/>
      <c r="W126" s="139"/>
      <c r="X126" s="139" t="s">
        <v>692</v>
      </c>
      <c r="Y126" s="139" t="s">
        <v>692</v>
      </c>
      <c r="Z126" s="139" t="s">
        <v>692</v>
      </c>
      <c r="AA126" s="139" t="s">
        <v>692</v>
      </c>
      <c r="AB126" s="139" t="s">
        <v>692</v>
      </c>
      <c r="AC126" s="139" t="s">
        <v>692</v>
      </c>
      <c r="AD126" s="139" t="s">
        <v>692</v>
      </c>
      <c r="AE126" s="139" t="s">
        <v>692</v>
      </c>
      <c r="AF126" s="139" t="s">
        <v>692</v>
      </c>
      <c r="AG126" s="139" t="s">
        <v>692</v>
      </c>
      <c r="AH126" s="139" t="s">
        <v>692</v>
      </c>
      <c r="AI126" s="139" t="s">
        <v>692</v>
      </c>
    </row>
    <row r="127" spans="1:35" ht="18.75" hidden="1" x14ac:dyDescent="0.25">
      <c r="A127" s="248"/>
      <c r="B127" s="97" t="s">
        <v>1586</v>
      </c>
      <c r="C127" s="97" t="s">
        <v>151</v>
      </c>
      <c r="D127" s="97">
        <v>132</v>
      </c>
      <c r="E127" s="172" t="s">
        <v>159</v>
      </c>
      <c r="F127" s="172" t="s">
        <v>937</v>
      </c>
      <c r="G127" s="172" t="s">
        <v>1019</v>
      </c>
      <c r="H127" s="172" t="s">
        <v>1587</v>
      </c>
      <c r="I127" s="172">
        <v>21873</v>
      </c>
      <c r="J127" s="172"/>
      <c r="K127" s="172"/>
      <c r="L127" s="172"/>
      <c r="M127" s="172"/>
      <c r="N127" s="172"/>
      <c r="O127" s="172"/>
      <c r="P127" s="172"/>
      <c r="Q127" s="172"/>
      <c r="R127" s="101"/>
      <c r="S127" s="101"/>
      <c r="T127" s="101"/>
      <c r="U127" s="101"/>
      <c r="V127" s="101"/>
      <c r="W127" s="139"/>
      <c r="X127" s="139" t="s">
        <v>692</v>
      </c>
      <c r="Y127" s="139" t="s">
        <v>692</v>
      </c>
      <c r="Z127" s="139" t="s">
        <v>692</v>
      </c>
      <c r="AA127" s="139" t="s">
        <v>692</v>
      </c>
      <c r="AB127" s="139" t="s">
        <v>692</v>
      </c>
      <c r="AC127" s="139" t="s">
        <v>692</v>
      </c>
      <c r="AD127" s="139" t="s">
        <v>692</v>
      </c>
      <c r="AE127" s="139" t="s">
        <v>692</v>
      </c>
      <c r="AF127" s="139" t="s">
        <v>692</v>
      </c>
      <c r="AG127" s="139" t="s">
        <v>692</v>
      </c>
      <c r="AH127" s="139" t="s">
        <v>692</v>
      </c>
      <c r="AI127" s="139" t="s">
        <v>692</v>
      </c>
    </row>
    <row r="128" spans="1:35" ht="18.75" hidden="1" x14ac:dyDescent="0.25">
      <c r="A128" s="248"/>
      <c r="B128" s="97" t="s">
        <v>1346</v>
      </c>
      <c r="C128" s="97" t="s">
        <v>252</v>
      </c>
      <c r="D128" s="97">
        <v>132</v>
      </c>
      <c r="E128" s="172" t="s">
        <v>1348</v>
      </c>
      <c r="F128" s="172" t="s">
        <v>1621</v>
      </c>
      <c r="G128" s="172"/>
      <c r="H128" s="172"/>
      <c r="I128" s="172">
        <v>130560</v>
      </c>
      <c r="J128" s="172"/>
      <c r="K128" s="172"/>
      <c r="L128" s="172"/>
      <c r="M128" s="172"/>
      <c r="N128" s="172"/>
      <c r="O128" s="172"/>
      <c r="P128" s="172"/>
      <c r="Q128" s="172"/>
      <c r="R128" s="101"/>
      <c r="S128" s="101"/>
      <c r="T128" s="101"/>
      <c r="U128" s="101"/>
      <c r="V128" s="101"/>
      <c r="W128" s="139"/>
      <c r="X128" s="139" t="s">
        <v>692</v>
      </c>
      <c r="Y128" s="139" t="s">
        <v>692</v>
      </c>
      <c r="Z128" s="139" t="s">
        <v>692</v>
      </c>
      <c r="AA128" s="139" t="s">
        <v>692</v>
      </c>
      <c r="AB128" s="139" t="s">
        <v>692</v>
      </c>
      <c r="AC128" s="139" t="s">
        <v>692</v>
      </c>
      <c r="AD128" s="139" t="s">
        <v>692</v>
      </c>
      <c r="AE128" s="139" t="s">
        <v>692</v>
      </c>
      <c r="AF128" s="139" t="s">
        <v>692</v>
      </c>
      <c r="AG128" s="139" t="s">
        <v>692</v>
      </c>
      <c r="AH128" s="139" t="s">
        <v>692</v>
      </c>
      <c r="AI128" s="139" t="s">
        <v>692</v>
      </c>
    </row>
    <row r="129" spans="1:35" ht="18.75" hidden="1" x14ac:dyDescent="0.25">
      <c r="A129" s="248"/>
      <c r="B129" s="97" t="s">
        <v>1125</v>
      </c>
      <c r="C129" s="97" t="s">
        <v>291</v>
      </c>
      <c r="D129" s="97">
        <v>132</v>
      </c>
      <c r="E129" s="172" t="s">
        <v>695</v>
      </c>
      <c r="F129" s="172" t="s">
        <v>47</v>
      </c>
      <c r="G129" s="172"/>
      <c r="H129" s="172" t="s">
        <v>696</v>
      </c>
      <c r="I129" s="172">
        <v>12534</v>
      </c>
      <c r="J129" s="172"/>
      <c r="K129" s="172"/>
      <c r="L129" s="172"/>
      <c r="M129" s="172"/>
      <c r="N129" s="172"/>
      <c r="O129" s="172"/>
      <c r="P129" s="172"/>
      <c r="Q129" s="172"/>
      <c r="R129" s="101"/>
      <c r="S129" s="101"/>
      <c r="T129" s="101"/>
      <c r="U129" s="101"/>
      <c r="V129" s="101"/>
      <c r="W129" s="139"/>
      <c r="X129" s="139" t="s">
        <v>692</v>
      </c>
      <c r="Y129" s="139" t="s">
        <v>692</v>
      </c>
      <c r="Z129" s="139" t="s">
        <v>692</v>
      </c>
      <c r="AA129" s="139" t="s">
        <v>692</v>
      </c>
      <c r="AB129" s="139" t="s">
        <v>692</v>
      </c>
      <c r="AC129" s="139" t="s">
        <v>692</v>
      </c>
      <c r="AD129" s="139" t="s">
        <v>692</v>
      </c>
      <c r="AE129" s="139" t="s">
        <v>692</v>
      </c>
      <c r="AF129" s="139" t="s">
        <v>692</v>
      </c>
      <c r="AG129" s="139" t="s">
        <v>692</v>
      </c>
      <c r="AH129" s="139" t="s">
        <v>692</v>
      </c>
      <c r="AI129" s="139" t="s">
        <v>692</v>
      </c>
    </row>
    <row r="130" spans="1:35" ht="18.75" hidden="1" x14ac:dyDescent="0.25">
      <c r="A130" s="248"/>
      <c r="B130" s="97">
        <v>114481072</v>
      </c>
      <c r="C130" s="97" t="s">
        <v>293</v>
      </c>
      <c r="D130" s="97">
        <v>132</v>
      </c>
      <c r="E130" s="172" t="s">
        <v>300</v>
      </c>
      <c r="F130" s="172" t="s">
        <v>47</v>
      </c>
      <c r="G130" s="172" t="s">
        <v>300</v>
      </c>
      <c r="H130" s="172"/>
      <c r="I130" s="172">
        <v>152083</v>
      </c>
      <c r="J130" s="172"/>
      <c r="K130" s="172"/>
      <c r="L130" s="172"/>
      <c r="M130" s="172"/>
      <c r="N130" s="172"/>
      <c r="O130" s="172"/>
      <c r="P130" s="172"/>
      <c r="Q130" s="172"/>
      <c r="R130" s="101"/>
      <c r="S130" s="101"/>
      <c r="T130" s="101"/>
      <c r="U130" s="101"/>
      <c r="V130" s="101"/>
      <c r="W130" s="139"/>
      <c r="X130" s="139" t="s">
        <v>692</v>
      </c>
      <c r="Y130" s="139" t="s">
        <v>692</v>
      </c>
      <c r="Z130" s="139" t="s">
        <v>692</v>
      </c>
      <c r="AA130" s="139" t="s">
        <v>692</v>
      </c>
      <c r="AB130" s="139" t="s">
        <v>692</v>
      </c>
      <c r="AC130" s="139" t="s">
        <v>692</v>
      </c>
      <c r="AD130" s="139" t="s">
        <v>692</v>
      </c>
      <c r="AE130" s="139" t="s">
        <v>692</v>
      </c>
      <c r="AF130" s="139" t="s">
        <v>692</v>
      </c>
      <c r="AG130" s="139" t="s">
        <v>692</v>
      </c>
      <c r="AH130" s="139" t="s">
        <v>692</v>
      </c>
      <c r="AI130" s="139" t="s">
        <v>692</v>
      </c>
    </row>
    <row r="131" spans="1:35" ht="18.75" hidden="1" x14ac:dyDescent="0.25">
      <c r="A131" s="248"/>
      <c r="B131" s="97" t="s">
        <v>1184</v>
      </c>
      <c r="C131" s="97" t="s">
        <v>293</v>
      </c>
      <c r="D131" s="97">
        <v>132</v>
      </c>
      <c r="E131" s="172" t="s">
        <v>442</v>
      </c>
      <c r="F131" s="172" t="s">
        <v>47</v>
      </c>
      <c r="G131" s="172"/>
      <c r="H131" s="172" t="s">
        <v>1185</v>
      </c>
      <c r="I131" s="172">
        <v>592827</v>
      </c>
      <c r="J131" s="172"/>
      <c r="K131" s="172"/>
      <c r="L131" s="172"/>
      <c r="M131" s="172"/>
      <c r="N131" s="172"/>
      <c r="O131" s="172"/>
      <c r="P131" s="172"/>
      <c r="Q131" s="172"/>
      <c r="R131" s="101"/>
      <c r="S131" s="101"/>
      <c r="T131" s="101"/>
      <c r="U131" s="101"/>
      <c r="V131" s="101"/>
      <c r="W131" s="139"/>
      <c r="X131" s="139" t="s">
        <v>692</v>
      </c>
      <c r="Y131" s="139" t="s">
        <v>692</v>
      </c>
      <c r="Z131" s="139" t="s">
        <v>692</v>
      </c>
      <c r="AA131" s="139" t="s">
        <v>692</v>
      </c>
      <c r="AB131" s="139" t="s">
        <v>692</v>
      </c>
      <c r="AC131" s="139" t="s">
        <v>692</v>
      </c>
      <c r="AD131" s="139" t="s">
        <v>692</v>
      </c>
      <c r="AE131" s="139" t="s">
        <v>692</v>
      </c>
      <c r="AF131" s="139" t="s">
        <v>692</v>
      </c>
      <c r="AG131" s="139" t="s">
        <v>692</v>
      </c>
      <c r="AH131" s="139" t="s">
        <v>692</v>
      </c>
      <c r="AI131" s="139" t="s">
        <v>692</v>
      </c>
    </row>
    <row r="132" spans="1:35" ht="18.75" hidden="1" x14ac:dyDescent="0.25">
      <c r="A132" s="248"/>
      <c r="B132" s="97" t="s">
        <v>1127</v>
      </c>
      <c r="C132" s="97" t="s">
        <v>301</v>
      </c>
      <c r="D132" s="97">
        <v>132</v>
      </c>
      <c r="E132" s="172" t="s">
        <v>442</v>
      </c>
      <c r="F132" s="172" t="s">
        <v>47</v>
      </c>
      <c r="G132" s="172"/>
      <c r="H132" s="172"/>
      <c r="I132" s="172">
        <v>699434</v>
      </c>
      <c r="J132" s="172"/>
      <c r="K132" s="172"/>
      <c r="L132" s="172"/>
      <c r="M132" s="172"/>
      <c r="N132" s="172"/>
      <c r="O132" s="172"/>
      <c r="P132" s="172"/>
      <c r="Q132" s="172"/>
      <c r="R132" s="101"/>
      <c r="S132" s="101"/>
      <c r="T132" s="101"/>
      <c r="U132" s="101"/>
      <c r="V132" s="101"/>
      <c r="W132" s="139"/>
      <c r="X132" s="139" t="s">
        <v>692</v>
      </c>
      <c r="Y132" s="139" t="s">
        <v>692</v>
      </c>
      <c r="Z132" s="139" t="s">
        <v>692</v>
      </c>
      <c r="AA132" s="139" t="s">
        <v>692</v>
      </c>
      <c r="AB132" s="139" t="s">
        <v>692</v>
      </c>
      <c r="AC132" s="139" t="s">
        <v>692</v>
      </c>
      <c r="AD132" s="139" t="s">
        <v>692</v>
      </c>
      <c r="AE132" s="139" t="s">
        <v>692</v>
      </c>
      <c r="AF132" s="139" t="s">
        <v>692</v>
      </c>
      <c r="AG132" s="139" t="s">
        <v>692</v>
      </c>
      <c r="AH132" s="139" t="s">
        <v>692</v>
      </c>
      <c r="AI132" s="139" t="s">
        <v>692</v>
      </c>
    </row>
    <row r="133" spans="1:35" ht="18.75" hidden="1" x14ac:dyDescent="0.25">
      <c r="A133" s="248"/>
      <c r="B133" s="97" t="s">
        <v>1130</v>
      </c>
      <c r="C133" s="97" t="s">
        <v>441</v>
      </c>
      <c r="D133" s="97">
        <v>132</v>
      </c>
      <c r="E133" s="172" t="s">
        <v>442</v>
      </c>
      <c r="F133" s="172" t="s">
        <v>47</v>
      </c>
      <c r="G133" s="172"/>
      <c r="H133" s="172"/>
      <c r="I133" s="172">
        <v>112289</v>
      </c>
      <c r="J133" s="172"/>
      <c r="K133" s="172"/>
      <c r="L133" s="172"/>
      <c r="M133" s="172"/>
      <c r="N133" s="172"/>
      <c r="O133" s="172"/>
      <c r="P133" s="172"/>
      <c r="Q133" s="172"/>
      <c r="R133" s="101"/>
      <c r="S133" s="101"/>
      <c r="T133" s="101"/>
      <c r="U133" s="101"/>
      <c r="V133" s="101"/>
      <c r="W133" s="139"/>
      <c r="X133" s="139" t="s">
        <v>692</v>
      </c>
      <c r="Y133" s="139" t="s">
        <v>692</v>
      </c>
      <c r="Z133" s="139" t="s">
        <v>692</v>
      </c>
      <c r="AA133" s="139" t="s">
        <v>692</v>
      </c>
      <c r="AB133" s="139" t="s">
        <v>692</v>
      </c>
      <c r="AC133" s="139" t="s">
        <v>692</v>
      </c>
      <c r="AD133" s="139" t="s">
        <v>692</v>
      </c>
      <c r="AE133" s="139" t="s">
        <v>692</v>
      </c>
      <c r="AF133" s="139" t="s">
        <v>692</v>
      </c>
      <c r="AG133" s="139" t="s">
        <v>692</v>
      </c>
      <c r="AH133" s="139" t="s">
        <v>692</v>
      </c>
      <c r="AI133" s="139" t="s">
        <v>692</v>
      </c>
    </row>
    <row r="134" spans="1:35" ht="18.75" hidden="1" x14ac:dyDescent="0.25">
      <c r="A134" s="248"/>
      <c r="B134" s="97" t="s">
        <v>112</v>
      </c>
      <c r="C134" s="97" t="s">
        <v>318</v>
      </c>
      <c r="D134" s="97">
        <v>140</v>
      </c>
      <c r="E134" s="172" t="s">
        <v>1539</v>
      </c>
      <c r="F134" s="172" t="s">
        <v>1600</v>
      </c>
      <c r="G134" s="172" t="s">
        <v>1538</v>
      </c>
      <c r="H134" s="172" t="s">
        <v>1540</v>
      </c>
      <c r="I134" s="172">
        <v>49267</v>
      </c>
      <c r="J134" s="172"/>
      <c r="K134" s="172"/>
      <c r="L134" s="172"/>
      <c r="M134" s="172"/>
      <c r="N134" s="172"/>
      <c r="O134" s="172"/>
      <c r="P134" s="172"/>
      <c r="Q134" s="172"/>
      <c r="R134" s="101"/>
      <c r="S134" s="101"/>
      <c r="T134" s="101"/>
      <c r="U134" s="101"/>
      <c r="V134" s="101"/>
      <c r="W134" s="139"/>
      <c r="X134" s="139" t="s">
        <v>692</v>
      </c>
      <c r="Y134" s="139" t="s">
        <v>692</v>
      </c>
      <c r="Z134" s="139" t="s">
        <v>692</v>
      </c>
      <c r="AA134" s="139" t="s">
        <v>692</v>
      </c>
      <c r="AB134" s="139" t="s">
        <v>692</v>
      </c>
      <c r="AC134" s="139" t="s">
        <v>692</v>
      </c>
      <c r="AD134" s="139" t="s">
        <v>692</v>
      </c>
      <c r="AE134" s="139" t="s">
        <v>692</v>
      </c>
      <c r="AF134" s="139" t="s">
        <v>692</v>
      </c>
      <c r="AG134" s="139" t="s">
        <v>692</v>
      </c>
      <c r="AH134" s="139" t="s">
        <v>692</v>
      </c>
      <c r="AI134" s="139" t="s">
        <v>692</v>
      </c>
    </row>
    <row r="135" spans="1:35" ht="18.75" hidden="1" x14ac:dyDescent="0.25">
      <c r="A135" s="248"/>
      <c r="B135" s="97" t="s">
        <v>1088</v>
      </c>
      <c r="C135" s="97" t="s">
        <v>318</v>
      </c>
      <c r="D135" s="97">
        <v>140</v>
      </c>
      <c r="E135" s="172" t="s">
        <v>1181</v>
      </c>
      <c r="F135" s="172" t="s">
        <v>322</v>
      </c>
      <c r="G135" s="172"/>
      <c r="H135" s="172"/>
      <c r="I135" s="172"/>
      <c r="J135" s="172"/>
      <c r="K135" s="172"/>
      <c r="L135" s="172"/>
      <c r="M135" s="172"/>
      <c r="N135" s="172"/>
      <c r="O135" s="172"/>
      <c r="P135" s="172"/>
      <c r="Q135" s="172"/>
      <c r="R135" s="101"/>
      <c r="S135" s="101"/>
      <c r="T135" s="101"/>
      <c r="U135" s="101"/>
      <c r="V135" s="101"/>
      <c r="W135" s="139"/>
      <c r="X135" s="139" t="s">
        <v>692</v>
      </c>
      <c r="Y135" s="139" t="s">
        <v>692</v>
      </c>
      <c r="Z135" s="139" t="s">
        <v>692</v>
      </c>
      <c r="AA135" s="139" t="s">
        <v>692</v>
      </c>
      <c r="AB135" s="139" t="s">
        <v>692</v>
      </c>
      <c r="AC135" s="139" t="s">
        <v>692</v>
      </c>
      <c r="AD135" s="139" t="s">
        <v>692</v>
      </c>
      <c r="AE135" s="139" t="s">
        <v>692</v>
      </c>
      <c r="AF135" s="139" t="s">
        <v>692</v>
      </c>
      <c r="AG135" s="139" t="s">
        <v>692</v>
      </c>
      <c r="AH135" s="139" t="s">
        <v>692</v>
      </c>
      <c r="AI135" s="139" t="s">
        <v>692</v>
      </c>
    </row>
    <row r="136" spans="1:35" ht="18.75" hidden="1" x14ac:dyDescent="0.25">
      <c r="A136" s="248"/>
      <c r="B136" s="97" t="s">
        <v>1087</v>
      </c>
      <c r="C136" s="97" t="s">
        <v>318</v>
      </c>
      <c r="D136" s="97">
        <v>140</v>
      </c>
      <c r="E136" s="172" t="s">
        <v>1085</v>
      </c>
      <c r="F136" s="172" t="s">
        <v>1589</v>
      </c>
      <c r="G136" s="172"/>
      <c r="H136" s="172"/>
      <c r="I136" s="172">
        <v>483903</v>
      </c>
      <c r="J136" s="172"/>
      <c r="K136" s="172"/>
      <c r="L136" s="172"/>
      <c r="M136" s="172"/>
      <c r="N136" s="172"/>
      <c r="O136" s="172"/>
      <c r="P136" s="172"/>
      <c r="Q136" s="172"/>
      <c r="R136" s="101"/>
      <c r="S136" s="101"/>
      <c r="T136" s="101"/>
      <c r="U136" s="101"/>
      <c r="V136" s="101"/>
      <c r="W136" s="139"/>
      <c r="X136" s="139" t="s">
        <v>692</v>
      </c>
      <c r="Y136" s="139" t="s">
        <v>692</v>
      </c>
      <c r="Z136" s="139" t="s">
        <v>692</v>
      </c>
      <c r="AA136" s="139" t="s">
        <v>692</v>
      </c>
      <c r="AB136" s="139" t="s">
        <v>692</v>
      </c>
      <c r="AC136" s="139" t="s">
        <v>692</v>
      </c>
      <c r="AD136" s="139" t="s">
        <v>692</v>
      </c>
      <c r="AE136" s="139" t="s">
        <v>692</v>
      </c>
      <c r="AF136" s="139" t="s">
        <v>692</v>
      </c>
      <c r="AG136" s="139" t="s">
        <v>692</v>
      </c>
      <c r="AH136" s="139" t="s">
        <v>692</v>
      </c>
      <c r="AI136" s="139" t="s">
        <v>692</v>
      </c>
    </row>
    <row r="137" spans="1:35" ht="18.75" hidden="1" x14ac:dyDescent="0.25">
      <c r="A137" s="248"/>
      <c r="B137" s="97" t="s">
        <v>1086</v>
      </c>
      <c r="C137" s="97" t="s">
        <v>318</v>
      </c>
      <c r="D137" s="97">
        <v>140</v>
      </c>
      <c r="E137" s="98" t="s">
        <v>1084</v>
      </c>
      <c r="F137" s="172" t="s">
        <v>1595</v>
      </c>
      <c r="G137" s="99"/>
      <c r="H137" s="99"/>
      <c r="I137" s="173">
        <v>157572</v>
      </c>
      <c r="J137" s="173"/>
      <c r="K137" s="173"/>
      <c r="L137" s="173"/>
      <c r="M137" s="173"/>
      <c r="N137" s="173"/>
      <c r="O137" s="173"/>
      <c r="P137" s="173"/>
      <c r="Q137" s="173"/>
      <c r="R137" s="213"/>
      <c r="S137" s="101"/>
      <c r="T137" s="101"/>
      <c r="U137" s="101"/>
      <c r="V137" s="101"/>
      <c r="W137" s="139"/>
      <c r="X137" s="139" t="s">
        <v>692</v>
      </c>
      <c r="Y137" s="139" t="s">
        <v>692</v>
      </c>
      <c r="Z137" s="139" t="s">
        <v>692</v>
      </c>
      <c r="AA137" s="139" t="s">
        <v>692</v>
      </c>
      <c r="AB137" s="139" t="s">
        <v>692</v>
      </c>
      <c r="AC137" s="139" t="s">
        <v>692</v>
      </c>
      <c r="AD137" s="139" t="s">
        <v>692</v>
      </c>
      <c r="AE137" s="139" t="s">
        <v>692</v>
      </c>
      <c r="AF137" s="139" t="s">
        <v>692</v>
      </c>
      <c r="AG137" s="139" t="s">
        <v>692</v>
      </c>
      <c r="AH137" s="139" t="s">
        <v>692</v>
      </c>
      <c r="AI137" s="139" t="s">
        <v>692</v>
      </c>
    </row>
    <row r="138" spans="1:35" ht="18.75" hidden="1" x14ac:dyDescent="0.25">
      <c r="A138" s="248"/>
      <c r="B138" s="97" t="s">
        <v>1316</v>
      </c>
      <c r="C138" s="97" t="s">
        <v>318</v>
      </c>
      <c r="D138" s="97">
        <v>140</v>
      </c>
      <c r="E138" s="172" t="s">
        <v>1181</v>
      </c>
      <c r="F138" s="172" t="s">
        <v>1518</v>
      </c>
      <c r="G138" s="172"/>
      <c r="H138" s="172"/>
      <c r="I138" s="172">
        <v>64115</v>
      </c>
      <c r="J138" s="172"/>
      <c r="K138" s="172"/>
      <c r="L138" s="172"/>
      <c r="M138" s="172"/>
      <c r="N138" s="172"/>
      <c r="O138" s="172"/>
      <c r="P138" s="172"/>
      <c r="Q138" s="172"/>
      <c r="R138" s="101"/>
      <c r="S138" s="101"/>
      <c r="T138" s="101"/>
      <c r="U138" s="101"/>
      <c r="V138" s="101"/>
      <c r="W138" s="139"/>
      <c r="X138" s="139" t="s">
        <v>692</v>
      </c>
      <c r="Y138" s="139" t="s">
        <v>692</v>
      </c>
      <c r="Z138" s="139" t="s">
        <v>692</v>
      </c>
      <c r="AA138" s="139" t="s">
        <v>692</v>
      </c>
      <c r="AB138" s="139" t="s">
        <v>692</v>
      </c>
      <c r="AC138" s="139" t="s">
        <v>692</v>
      </c>
      <c r="AD138" s="139" t="s">
        <v>692</v>
      </c>
      <c r="AE138" s="139" t="s">
        <v>692</v>
      </c>
      <c r="AF138" s="139" t="s">
        <v>692</v>
      </c>
      <c r="AG138" s="139" t="s">
        <v>692</v>
      </c>
      <c r="AH138" s="139" t="s">
        <v>692</v>
      </c>
      <c r="AI138" s="139" t="s">
        <v>692</v>
      </c>
    </row>
    <row r="139" spans="1:35" ht="18.75" hidden="1" x14ac:dyDescent="0.25">
      <c r="A139" s="248"/>
      <c r="B139" s="97" t="s">
        <v>1331</v>
      </c>
      <c r="C139" s="97" t="s">
        <v>318</v>
      </c>
      <c r="D139" s="97">
        <v>140</v>
      </c>
      <c r="E139" s="172" t="s">
        <v>332</v>
      </c>
      <c r="F139" s="172" t="s">
        <v>1022</v>
      </c>
      <c r="G139" s="172" t="s">
        <v>333</v>
      </c>
      <c r="H139" s="172"/>
      <c r="I139" s="172">
        <v>4228</v>
      </c>
      <c r="J139" s="172"/>
      <c r="K139" s="172"/>
      <c r="L139" s="172"/>
      <c r="M139" s="172"/>
      <c r="N139" s="172"/>
      <c r="O139" s="172"/>
      <c r="P139" s="172"/>
      <c r="Q139" s="172"/>
      <c r="R139" s="101"/>
      <c r="S139" s="101"/>
      <c r="T139" s="101"/>
      <c r="U139" s="101"/>
      <c r="V139" s="101"/>
      <c r="W139" s="139"/>
      <c r="X139" s="139" t="s">
        <v>692</v>
      </c>
      <c r="Y139" s="139" t="s">
        <v>692</v>
      </c>
      <c r="Z139" s="139" t="s">
        <v>692</v>
      </c>
      <c r="AA139" s="139" t="s">
        <v>692</v>
      </c>
      <c r="AB139" s="139" t="s">
        <v>692</v>
      </c>
      <c r="AC139" s="139" t="s">
        <v>692</v>
      </c>
      <c r="AD139" s="139" t="s">
        <v>692</v>
      </c>
      <c r="AE139" s="139" t="s">
        <v>692</v>
      </c>
      <c r="AF139" s="139" t="s">
        <v>692</v>
      </c>
      <c r="AG139" s="139" t="s">
        <v>692</v>
      </c>
      <c r="AH139" s="139" t="s">
        <v>692</v>
      </c>
      <c r="AI139" s="139" t="s">
        <v>692</v>
      </c>
    </row>
    <row r="140" spans="1:35" ht="18.75" hidden="1" x14ac:dyDescent="0.25">
      <c r="A140" s="248"/>
      <c r="B140" s="97" t="s">
        <v>1132</v>
      </c>
      <c r="C140" s="97" t="s">
        <v>419</v>
      </c>
      <c r="D140" s="97">
        <v>140</v>
      </c>
      <c r="E140" s="172" t="s">
        <v>770</v>
      </c>
      <c r="F140" s="172" t="s">
        <v>420</v>
      </c>
      <c r="G140" s="172"/>
      <c r="H140" s="172"/>
      <c r="I140" s="172">
        <v>5053077</v>
      </c>
      <c r="J140" s="172"/>
      <c r="K140" s="172"/>
      <c r="L140" s="172"/>
      <c r="M140" s="172"/>
      <c r="N140" s="172"/>
      <c r="O140" s="172"/>
      <c r="P140" s="172"/>
      <c r="Q140" s="172"/>
      <c r="R140" s="101"/>
      <c r="S140" s="101"/>
      <c r="T140" s="101"/>
      <c r="U140" s="101"/>
      <c r="V140" s="101"/>
      <c r="W140" s="139"/>
      <c r="X140" s="139" t="s">
        <v>692</v>
      </c>
      <c r="Y140" s="139" t="s">
        <v>692</v>
      </c>
      <c r="Z140" s="139" t="s">
        <v>692</v>
      </c>
      <c r="AA140" s="139" t="s">
        <v>692</v>
      </c>
      <c r="AB140" s="139" t="s">
        <v>692</v>
      </c>
      <c r="AC140" s="139" t="s">
        <v>692</v>
      </c>
      <c r="AD140" s="139" t="s">
        <v>692</v>
      </c>
      <c r="AE140" s="139" t="s">
        <v>692</v>
      </c>
      <c r="AF140" s="139" t="s">
        <v>692</v>
      </c>
      <c r="AG140" s="139" t="s">
        <v>692</v>
      </c>
      <c r="AH140" s="139" t="s">
        <v>692</v>
      </c>
      <c r="AI140" s="139" t="s">
        <v>692</v>
      </c>
    </row>
    <row r="141" spans="1:35" ht="18.75" hidden="1" x14ac:dyDescent="0.25">
      <c r="A141" s="248"/>
      <c r="B141" s="97">
        <v>717083052</v>
      </c>
      <c r="C141" s="97" t="s">
        <v>55</v>
      </c>
      <c r="D141" s="97">
        <v>140</v>
      </c>
      <c r="E141" s="172" t="s">
        <v>858</v>
      </c>
      <c r="F141" s="172" t="s">
        <v>930</v>
      </c>
      <c r="G141" s="172"/>
      <c r="H141" s="172" t="s">
        <v>859</v>
      </c>
      <c r="I141" s="172">
        <v>39441</v>
      </c>
      <c r="J141" s="172"/>
      <c r="K141" s="172"/>
      <c r="L141" s="172"/>
      <c r="M141" s="172"/>
      <c r="N141" s="172"/>
      <c r="O141" s="172"/>
      <c r="P141" s="172"/>
      <c r="Q141" s="172"/>
      <c r="R141" s="101"/>
      <c r="S141" s="101"/>
      <c r="T141" s="101"/>
      <c r="U141" s="101"/>
      <c r="V141" s="101"/>
      <c r="W141" s="139"/>
      <c r="X141" s="139" t="s">
        <v>692</v>
      </c>
      <c r="Y141" s="139" t="s">
        <v>692</v>
      </c>
      <c r="Z141" s="139" t="s">
        <v>692</v>
      </c>
      <c r="AA141" s="139" t="s">
        <v>692</v>
      </c>
      <c r="AB141" s="139" t="s">
        <v>692</v>
      </c>
      <c r="AC141" s="139" t="s">
        <v>692</v>
      </c>
      <c r="AD141" s="139" t="s">
        <v>692</v>
      </c>
      <c r="AE141" s="139" t="s">
        <v>692</v>
      </c>
      <c r="AF141" s="139" t="s">
        <v>692</v>
      </c>
      <c r="AG141" s="139" t="s">
        <v>692</v>
      </c>
      <c r="AH141" s="139" t="s">
        <v>692</v>
      </c>
      <c r="AI141" s="139" t="s">
        <v>692</v>
      </c>
    </row>
    <row r="142" spans="1:35" ht="18.75" hidden="1" x14ac:dyDescent="0.25">
      <c r="A142" s="248"/>
      <c r="B142" s="97">
        <v>717084017</v>
      </c>
      <c r="C142" s="97" t="s">
        <v>55</v>
      </c>
      <c r="D142" s="97">
        <v>140</v>
      </c>
      <c r="E142" s="172" t="s">
        <v>924</v>
      </c>
      <c r="F142" s="172" t="s">
        <v>925</v>
      </c>
      <c r="G142" s="172" t="s">
        <v>855</v>
      </c>
      <c r="H142" s="172" t="s">
        <v>942</v>
      </c>
      <c r="I142" s="172">
        <v>311111</v>
      </c>
      <c r="J142" s="172"/>
      <c r="K142" s="172"/>
      <c r="L142" s="172"/>
      <c r="M142" s="172"/>
      <c r="N142" s="172"/>
      <c r="O142" s="172"/>
      <c r="P142" s="172"/>
      <c r="Q142" s="172"/>
      <c r="R142" s="101"/>
      <c r="S142" s="101"/>
      <c r="T142" s="101"/>
      <c r="U142" s="101"/>
      <c r="V142" s="101"/>
      <c r="W142" s="139"/>
      <c r="X142" s="139" t="s">
        <v>692</v>
      </c>
      <c r="Y142" s="139" t="s">
        <v>692</v>
      </c>
      <c r="Z142" s="139" t="s">
        <v>692</v>
      </c>
      <c r="AA142" s="139" t="s">
        <v>692</v>
      </c>
      <c r="AB142" s="139" t="s">
        <v>692</v>
      </c>
      <c r="AC142" s="139" t="s">
        <v>692</v>
      </c>
      <c r="AD142" s="139" t="s">
        <v>692</v>
      </c>
      <c r="AE142" s="139" t="s">
        <v>692</v>
      </c>
      <c r="AF142" s="139" t="s">
        <v>692</v>
      </c>
      <c r="AG142" s="139" t="s">
        <v>692</v>
      </c>
      <c r="AH142" s="139" t="s">
        <v>692</v>
      </c>
      <c r="AI142" s="139" t="s">
        <v>692</v>
      </c>
    </row>
    <row r="143" spans="1:35" ht="18.75" hidden="1" x14ac:dyDescent="0.25">
      <c r="A143" s="248"/>
      <c r="B143" s="97">
        <v>717084039</v>
      </c>
      <c r="C143" s="97" t="s">
        <v>55</v>
      </c>
      <c r="D143" s="97">
        <v>140</v>
      </c>
      <c r="E143" s="172" t="s">
        <v>857</v>
      </c>
      <c r="F143" s="172" t="s">
        <v>932</v>
      </c>
      <c r="G143" s="172"/>
      <c r="H143" s="172" t="s">
        <v>860</v>
      </c>
      <c r="I143" s="172">
        <v>72763</v>
      </c>
      <c r="J143" s="172"/>
      <c r="K143" s="172"/>
      <c r="L143" s="172"/>
      <c r="M143" s="172"/>
      <c r="N143" s="172"/>
      <c r="O143" s="172"/>
      <c r="P143" s="172"/>
      <c r="Q143" s="172"/>
      <c r="R143" s="101"/>
      <c r="S143" s="101"/>
      <c r="T143" s="101"/>
      <c r="U143" s="101"/>
      <c r="V143" s="101"/>
      <c r="W143" s="139"/>
      <c r="X143" s="139" t="s">
        <v>692</v>
      </c>
      <c r="Y143" s="139" t="s">
        <v>692</v>
      </c>
      <c r="Z143" s="139" t="s">
        <v>692</v>
      </c>
      <c r="AA143" s="139" t="s">
        <v>692</v>
      </c>
      <c r="AB143" s="139" t="s">
        <v>692</v>
      </c>
      <c r="AC143" s="139" t="s">
        <v>692</v>
      </c>
      <c r="AD143" s="139" t="s">
        <v>692</v>
      </c>
      <c r="AE143" s="139" t="s">
        <v>692</v>
      </c>
      <c r="AF143" s="139" t="s">
        <v>692</v>
      </c>
      <c r="AG143" s="139" t="s">
        <v>692</v>
      </c>
      <c r="AH143" s="139" t="s">
        <v>692</v>
      </c>
      <c r="AI143" s="139" t="s">
        <v>692</v>
      </c>
    </row>
    <row r="144" spans="1:35" ht="18.75" hidden="1" x14ac:dyDescent="0.25">
      <c r="A144" s="248"/>
      <c r="B144" s="97">
        <v>717093061</v>
      </c>
      <c r="C144" s="97" t="s">
        <v>55</v>
      </c>
      <c r="D144" s="97">
        <v>140</v>
      </c>
      <c r="E144" s="172" t="s">
        <v>422</v>
      </c>
      <c r="F144" s="172" t="s">
        <v>926</v>
      </c>
      <c r="G144" s="172" t="s">
        <v>943</v>
      </c>
      <c r="H144" s="172" t="s">
        <v>942</v>
      </c>
      <c r="I144" s="172">
        <v>226425</v>
      </c>
      <c r="J144" s="172"/>
      <c r="K144" s="172"/>
      <c r="L144" s="172"/>
      <c r="M144" s="172"/>
      <c r="N144" s="172"/>
      <c r="O144" s="172"/>
      <c r="P144" s="172"/>
      <c r="Q144" s="172"/>
      <c r="R144" s="101"/>
      <c r="S144" s="101"/>
      <c r="T144" s="101"/>
      <c r="U144" s="101"/>
      <c r="V144" s="101"/>
      <c r="W144" s="139"/>
      <c r="X144" s="139" t="s">
        <v>692</v>
      </c>
      <c r="Y144" s="139" t="s">
        <v>692</v>
      </c>
      <c r="Z144" s="139" t="s">
        <v>692</v>
      </c>
      <c r="AA144" s="139" t="s">
        <v>692</v>
      </c>
      <c r="AB144" s="139" t="s">
        <v>692</v>
      </c>
      <c r="AC144" s="139" t="s">
        <v>692</v>
      </c>
      <c r="AD144" s="139" t="s">
        <v>692</v>
      </c>
      <c r="AE144" s="139" t="s">
        <v>692</v>
      </c>
      <c r="AF144" s="139" t="s">
        <v>692</v>
      </c>
      <c r="AG144" s="139" t="s">
        <v>692</v>
      </c>
      <c r="AH144" s="139" t="s">
        <v>692</v>
      </c>
      <c r="AI144" s="139" t="s">
        <v>692</v>
      </c>
    </row>
    <row r="145" spans="1:35" ht="18.75" hidden="1" x14ac:dyDescent="0.25">
      <c r="A145" s="248"/>
      <c r="B145" s="97" t="s">
        <v>1658</v>
      </c>
      <c r="C145" s="97" t="s">
        <v>55</v>
      </c>
      <c r="D145" s="97">
        <v>140</v>
      </c>
      <c r="E145" s="172" t="s">
        <v>1659</v>
      </c>
      <c r="F145" s="172" t="s">
        <v>1660</v>
      </c>
      <c r="G145" s="172" t="s">
        <v>1661</v>
      </c>
      <c r="H145" s="172"/>
      <c r="I145" s="172">
        <v>349</v>
      </c>
      <c r="J145" s="172"/>
      <c r="K145" s="172"/>
      <c r="L145" s="172"/>
      <c r="M145" s="172"/>
      <c r="N145" s="172"/>
      <c r="O145" s="172"/>
      <c r="P145" s="172"/>
      <c r="Q145" s="172"/>
      <c r="R145" s="101"/>
      <c r="S145" s="101"/>
      <c r="T145" s="101"/>
      <c r="U145" s="101"/>
      <c r="V145" s="101"/>
      <c r="W145" s="139"/>
      <c r="X145" s="139" t="s">
        <v>692</v>
      </c>
      <c r="Y145" s="139" t="s">
        <v>692</v>
      </c>
      <c r="Z145" s="139" t="s">
        <v>692</v>
      </c>
      <c r="AA145" s="139" t="s">
        <v>692</v>
      </c>
      <c r="AB145" s="139" t="s">
        <v>692</v>
      </c>
      <c r="AC145" s="139" t="s">
        <v>692</v>
      </c>
      <c r="AD145" s="139" t="s">
        <v>692</v>
      </c>
      <c r="AE145" s="139" t="s">
        <v>692</v>
      </c>
      <c r="AF145" s="139" t="s">
        <v>692</v>
      </c>
      <c r="AG145" s="139" t="s">
        <v>692</v>
      </c>
      <c r="AH145" s="139" t="s">
        <v>692</v>
      </c>
      <c r="AI145" s="139" t="s">
        <v>692</v>
      </c>
    </row>
    <row r="146" spans="1:35" ht="18.75" hidden="1" x14ac:dyDescent="0.25">
      <c r="A146" s="248"/>
      <c r="B146" s="97" t="s">
        <v>64</v>
      </c>
      <c r="C146" s="97" t="s">
        <v>55</v>
      </c>
      <c r="D146" s="97">
        <v>140</v>
      </c>
      <c r="E146" s="172" t="s">
        <v>833</v>
      </c>
      <c r="F146" s="172" t="s">
        <v>929</v>
      </c>
      <c r="G146" s="172" t="s">
        <v>65</v>
      </c>
      <c r="H146" s="172"/>
      <c r="I146" s="172">
        <v>1243850</v>
      </c>
      <c r="J146" s="172"/>
      <c r="K146" s="172"/>
      <c r="L146" s="172"/>
      <c r="M146" s="172"/>
      <c r="N146" s="172"/>
      <c r="O146" s="172"/>
      <c r="P146" s="172"/>
      <c r="Q146" s="172"/>
      <c r="R146" s="101"/>
      <c r="S146" s="101"/>
      <c r="T146" s="101"/>
      <c r="U146" s="101"/>
      <c r="V146" s="101"/>
      <c r="W146" s="139"/>
      <c r="X146" s="139" t="s">
        <v>692</v>
      </c>
      <c r="Y146" s="139" t="s">
        <v>692</v>
      </c>
      <c r="Z146" s="139" t="s">
        <v>692</v>
      </c>
      <c r="AA146" s="139" t="s">
        <v>692</v>
      </c>
      <c r="AB146" s="139" t="s">
        <v>692</v>
      </c>
      <c r="AC146" s="139" t="s">
        <v>692</v>
      </c>
      <c r="AD146" s="139" t="s">
        <v>692</v>
      </c>
      <c r="AE146" s="139" t="s">
        <v>692</v>
      </c>
      <c r="AF146" s="139" t="s">
        <v>692</v>
      </c>
      <c r="AG146" s="139" t="s">
        <v>692</v>
      </c>
      <c r="AH146" s="139" t="s">
        <v>692</v>
      </c>
      <c r="AI146" s="139" t="s">
        <v>692</v>
      </c>
    </row>
    <row r="147" spans="1:35" ht="18.75" hidden="1" x14ac:dyDescent="0.25">
      <c r="A147" s="248"/>
      <c r="B147" s="97" t="s">
        <v>1332</v>
      </c>
      <c r="C147" s="97" t="s">
        <v>55</v>
      </c>
      <c r="D147" s="97">
        <v>140</v>
      </c>
      <c r="E147" s="177" t="s">
        <v>834</v>
      </c>
      <c r="F147" s="177" t="s">
        <v>70</v>
      </c>
      <c r="G147" s="99" t="s">
        <v>71</v>
      </c>
      <c r="H147" s="178"/>
      <c r="I147" s="173">
        <v>20642</v>
      </c>
      <c r="J147" s="173"/>
      <c r="K147" s="173"/>
      <c r="L147" s="173"/>
      <c r="M147" s="173"/>
      <c r="N147" s="173"/>
      <c r="O147" s="173"/>
      <c r="P147" s="173"/>
      <c r="Q147" s="173"/>
      <c r="R147" s="213"/>
      <c r="S147" s="101"/>
      <c r="T147" s="101"/>
      <c r="U147" s="101"/>
      <c r="V147" s="101"/>
      <c r="W147" s="139"/>
      <c r="X147" s="139" t="s">
        <v>692</v>
      </c>
      <c r="Y147" s="139" t="s">
        <v>692</v>
      </c>
      <c r="Z147" s="139" t="s">
        <v>692</v>
      </c>
      <c r="AA147" s="139" t="s">
        <v>692</v>
      </c>
      <c r="AB147" s="139" t="s">
        <v>692</v>
      </c>
      <c r="AC147" s="139" t="s">
        <v>692</v>
      </c>
      <c r="AD147" s="139" t="s">
        <v>692</v>
      </c>
      <c r="AE147" s="139" t="s">
        <v>692</v>
      </c>
      <c r="AF147" s="139" t="s">
        <v>692</v>
      </c>
      <c r="AG147" s="139" t="s">
        <v>692</v>
      </c>
      <c r="AH147" s="139" t="s">
        <v>692</v>
      </c>
      <c r="AI147" s="139" t="s">
        <v>692</v>
      </c>
    </row>
    <row r="148" spans="1:35" ht="18.75" hidden="1" x14ac:dyDescent="0.25">
      <c r="A148" s="248"/>
      <c r="B148" s="97" t="s">
        <v>79</v>
      </c>
      <c r="C148" s="97" t="s">
        <v>682</v>
      </c>
      <c r="D148" s="97">
        <v>140</v>
      </c>
      <c r="E148" s="172" t="s">
        <v>837</v>
      </c>
      <c r="F148" s="172"/>
      <c r="G148" s="172" t="s">
        <v>649</v>
      </c>
      <c r="H148" s="172" t="s">
        <v>768</v>
      </c>
      <c r="I148" s="172">
        <v>-9254626</v>
      </c>
      <c r="J148" s="172"/>
      <c r="K148" s="172"/>
      <c r="L148" s="172"/>
      <c r="M148" s="172"/>
      <c r="N148" s="172"/>
      <c r="O148" s="172"/>
      <c r="P148" s="172"/>
      <c r="Q148" s="172"/>
      <c r="R148" s="101"/>
      <c r="S148" s="101"/>
      <c r="T148" s="101"/>
      <c r="U148" s="101"/>
      <c r="V148" s="101">
        <v>0</v>
      </c>
      <c r="W148" s="139"/>
      <c r="X148" s="139" t="s">
        <v>692</v>
      </c>
      <c r="Y148" s="139" t="s">
        <v>692</v>
      </c>
      <c r="Z148" s="139" t="s">
        <v>692</v>
      </c>
      <c r="AA148" s="139" t="s">
        <v>692</v>
      </c>
      <c r="AB148" s="139" t="s">
        <v>692</v>
      </c>
      <c r="AC148" s="139" t="s">
        <v>692</v>
      </c>
      <c r="AD148" s="139" t="s">
        <v>692</v>
      </c>
      <c r="AE148" s="139" t="s">
        <v>692</v>
      </c>
      <c r="AF148" s="139" t="s">
        <v>692</v>
      </c>
      <c r="AG148" s="139" t="s">
        <v>692</v>
      </c>
      <c r="AH148" s="139" t="s">
        <v>692</v>
      </c>
      <c r="AI148" s="139" t="s">
        <v>692</v>
      </c>
    </row>
    <row r="149" spans="1:35" ht="18.75" hidden="1" x14ac:dyDescent="0.25">
      <c r="A149" s="248"/>
      <c r="B149" s="97" t="s">
        <v>1112</v>
      </c>
      <c r="C149" s="97" t="s">
        <v>90</v>
      </c>
      <c r="D149" s="97">
        <v>140</v>
      </c>
      <c r="E149" s="172" t="s">
        <v>836</v>
      </c>
      <c r="F149" s="172" t="s">
        <v>907</v>
      </c>
      <c r="G149" s="172" t="s">
        <v>99</v>
      </c>
      <c r="H149" s="172"/>
      <c r="I149" s="172">
        <v>1564</v>
      </c>
      <c r="J149" s="172"/>
      <c r="K149" s="172"/>
      <c r="L149" s="172"/>
      <c r="M149" s="172"/>
      <c r="N149" s="172"/>
      <c r="O149" s="172"/>
      <c r="P149" s="172"/>
      <c r="Q149" s="172"/>
      <c r="R149" s="101"/>
      <c r="S149" s="101"/>
      <c r="T149" s="101"/>
      <c r="U149" s="101"/>
      <c r="V149" s="101"/>
      <c r="W149" s="139"/>
      <c r="X149" s="139" t="s">
        <v>692</v>
      </c>
      <c r="Y149" s="139" t="s">
        <v>692</v>
      </c>
      <c r="Z149" s="139" t="s">
        <v>692</v>
      </c>
      <c r="AA149" s="139" t="s">
        <v>692</v>
      </c>
      <c r="AB149" s="139" t="s">
        <v>692</v>
      </c>
      <c r="AC149" s="139" t="s">
        <v>692</v>
      </c>
      <c r="AD149" s="139" t="s">
        <v>692</v>
      </c>
      <c r="AE149" s="139" t="s">
        <v>692</v>
      </c>
      <c r="AF149" s="139" t="s">
        <v>692</v>
      </c>
      <c r="AG149" s="139" t="s">
        <v>692</v>
      </c>
      <c r="AH149" s="139" t="s">
        <v>692</v>
      </c>
      <c r="AI149" s="139" t="s">
        <v>692</v>
      </c>
    </row>
    <row r="150" spans="1:35" ht="18.75" hidden="1" x14ac:dyDescent="0.25">
      <c r="A150" s="248"/>
      <c r="B150" s="97" t="s">
        <v>1119</v>
      </c>
      <c r="C150" s="97" t="s">
        <v>90</v>
      </c>
      <c r="D150" s="97">
        <v>140</v>
      </c>
      <c r="E150" s="172" t="s">
        <v>653</v>
      </c>
      <c r="F150" s="172" t="s">
        <v>913</v>
      </c>
      <c r="G150" s="172"/>
      <c r="H150" s="172"/>
      <c r="I150" s="172">
        <v>17370</v>
      </c>
      <c r="J150" s="172"/>
      <c r="K150" s="172"/>
      <c r="L150" s="172"/>
      <c r="M150" s="172"/>
      <c r="N150" s="172"/>
      <c r="O150" s="172"/>
      <c r="P150" s="172"/>
      <c r="Q150" s="172"/>
      <c r="R150" s="101"/>
      <c r="S150" s="101"/>
      <c r="T150" s="101"/>
      <c r="U150" s="101"/>
      <c r="V150" s="101"/>
      <c r="W150" s="139"/>
      <c r="X150" s="139" t="s">
        <v>692</v>
      </c>
      <c r="Y150" s="139" t="s">
        <v>692</v>
      </c>
      <c r="Z150" s="139" t="s">
        <v>692</v>
      </c>
      <c r="AA150" s="139" t="s">
        <v>692</v>
      </c>
      <c r="AB150" s="139" t="s">
        <v>692</v>
      </c>
      <c r="AC150" s="139" t="s">
        <v>692</v>
      </c>
      <c r="AD150" s="139" t="s">
        <v>692</v>
      </c>
      <c r="AE150" s="139" t="s">
        <v>692</v>
      </c>
      <c r="AF150" s="139" t="s">
        <v>692</v>
      </c>
      <c r="AG150" s="139" t="s">
        <v>692</v>
      </c>
      <c r="AH150" s="139" t="s">
        <v>692</v>
      </c>
      <c r="AI150" s="139" t="s">
        <v>692</v>
      </c>
    </row>
    <row r="151" spans="1:35" ht="18.75" hidden="1" x14ac:dyDescent="0.25">
      <c r="A151" s="248"/>
      <c r="B151" s="97" t="s">
        <v>110</v>
      </c>
      <c r="C151" s="97" t="s">
        <v>106</v>
      </c>
      <c r="D151" s="97">
        <v>140</v>
      </c>
      <c r="E151" s="172" t="s">
        <v>1583</v>
      </c>
      <c r="F151" s="172" t="s">
        <v>903</v>
      </c>
      <c r="G151" s="172" t="s">
        <v>1584</v>
      </c>
      <c r="H151" s="172"/>
      <c r="I151" s="172">
        <v>30728</v>
      </c>
      <c r="J151" s="172"/>
      <c r="K151" s="172"/>
      <c r="L151" s="172"/>
      <c r="M151" s="172"/>
      <c r="N151" s="172"/>
      <c r="O151" s="172"/>
      <c r="P151" s="172"/>
      <c r="Q151" s="172"/>
      <c r="R151" s="101"/>
      <c r="S151" s="101"/>
      <c r="T151" s="101"/>
      <c r="U151" s="101"/>
      <c r="V151" s="101"/>
      <c r="W151" s="139"/>
      <c r="X151" s="139" t="s">
        <v>692</v>
      </c>
      <c r="Y151" s="139" t="s">
        <v>692</v>
      </c>
      <c r="Z151" s="139" t="s">
        <v>692</v>
      </c>
      <c r="AA151" s="139" t="s">
        <v>692</v>
      </c>
      <c r="AB151" s="139" t="s">
        <v>692</v>
      </c>
      <c r="AC151" s="139" t="s">
        <v>692</v>
      </c>
      <c r="AD151" s="139" t="s">
        <v>692</v>
      </c>
      <c r="AE151" s="139" t="s">
        <v>692</v>
      </c>
      <c r="AF151" s="139" t="s">
        <v>692</v>
      </c>
      <c r="AG151" s="139" t="s">
        <v>692</v>
      </c>
      <c r="AH151" s="139" t="s">
        <v>692</v>
      </c>
      <c r="AI151" s="139" t="s">
        <v>692</v>
      </c>
    </row>
    <row r="152" spans="1:35" ht="18.75" hidden="1" x14ac:dyDescent="0.25">
      <c r="A152" s="248"/>
      <c r="B152" s="97" t="s">
        <v>1359</v>
      </c>
      <c r="C152" s="97" t="s">
        <v>892</v>
      </c>
      <c r="D152" s="97">
        <v>140</v>
      </c>
      <c r="E152" s="172" t="s">
        <v>893</v>
      </c>
      <c r="F152" s="172" t="s">
        <v>63</v>
      </c>
      <c r="G152" s="172" t="s">
        <v>1360</v>
      </c>
      <c r="H152" s="172"/>
      <c r="I152" s="172">
        <v>75788</v>
      </c>
      <c r="J152" s="172"/>
      <c r="K152" s="172"/>
      <c r="L152" s="172"/>
      <c r="M152" s="172"/>
      <c r="N152" s="172"/>
      <c r="O152" s="172"/>
      <c r="P152" s="172"/>
      <c r="Q152" s="172"/>
      <c r="R152" s="101"/>
      <c r="S152" s="101"/>
      <c r="T152" s="101"/>
      <c r="U152" s="101"/>
      <c r="V152" s="101"/>
      <c r="W152" s="139"/>
      <c r="X152" s="139" t="s">
        <v>692</v>
      </c>
      <c r="Y152" s="139" t="s">
        <v>692</v>
      </c>
      <c r="Z152" s="139" t="s">
        <v>692</v>
      </c>
      <c r="AA152" s="139" t="s">
        <v>692</v>
      </c>
      <c r="AB152" s="139" t="s">
        <v>692</v>
      </c>
      <c r="AC152" s="139" t="s">
        <v>692</v>
      </c>
      <c r="AD152" s="139" t="s">
        <v>692</v>
      </c>
      <c r="AE152" s="139" t="s">
        <v>692</v>
      </c>
      <c r="AF152" s="139" t="s">
        <v>692</v>
      </c>
      <c r="AG152" s="139" t="s">
        <v>692</v>
      </c>
      <c r="AH152" s="139" t="s">
        <v>692</v>
      </c>
      <c r="AI152" s="139" t="s">
        <v>692</v>
      </c>
    </row>
    <row r="153" spans="1:35" ht="18.75" hidden="1" x14ac:dyDescent="0.25">
      <c r="A153" s="248"/>
      <c r="B153" s="190" t="s">
        <v>1179</v>
      </c>
      <c r="C153" s="55" t="s">
        <v>892</v>
      </c>
      <c r="D153" s="55">
        <v>140</v>
      </c>
      <c r="E153" s="177" t="s">
        <v>893</v>
      </c>
      <c r="F153" s="177" t="s">
        <v>63</v>
      </c>
      <c r="G153" s="178"/>
      <c r="H153" s="177">
        <v>504907</v>
      </c>
      <c r="I153" s="179"/>
      <c r="J153" s="179"/>
      <c r="K153" s="179"/>
      <c r="L153" s="179"/>
      <c r="M153" s="179"/>
      <c r="N153" s="179"/>
      <c r="O153" s="179"/>
      <c r="P153" s="179"/>
      <c r="Q153" s="179"/>
      <c r="R153" s="213"/>
      <c r="S153" s="101"/>
      <c r="T153" s="101"/>
      <c r="U153" s="101"/>
      <c r="V153" s="101"/>
      <c r="W153" s="139"/>
      <c r="X153" s="139" t="s">
        <v>692</v>
      </c>
      <c r="Y153" s="139" t="s">
        <v>692</v>
      </c>
      <c r="Z153" s="139" t="s">
        <v>692</v>
      </c>
      <c r="AA153" s="139" t="s">
        <v>692</v>
      </c>
      <c r="AB153" s="139" t="s">
        <v>692</v>
      </c>
      <c r="AC153" s="139" t="s">
        <v>692</v>
      </c>
      <c r="AD153" s="139" t="s">
        <v>692</v>
      </c>
      <c r="AE153" s="139" t="s">
        <v>692</v>
      </c>
      <c r="AF153" s="139" t="s">
        <v>692</v>
      </c>
      <c r="AG153" s="139" t="s">
        <v>692</v>
      </c>
      <c r="AH153" s="139" t="s">
        <v>692</v>
      </c>
      <c r="AI153" s="139" t="s">
        <v>692</v>
      </c>
    </row>
    <row r="154" spans="1:35" ht="18.75" hidden="1" x14ac:dyDescent="0.25">
      <c r="A154" s="248"/>
      <c r="B154" s="97" t="s">
        <v>153</v>
      </c>
      <c r="C154" s="97" t="s">
        <v>151</v>
      </c>
      <c r="D154" s="97">
        <v>140</v>
      </c>
      <c r="E154" s="172" t="s">
        <v>154</v>
      </c>
      <c r="F154" s="172" t="s">
        <v>934</v>
      </c>
      <c r="G154" s="172"/>
      <c r="H154" s="172"/>
      <c r="I154" s="172">
        <v>13373</v>
      </c>
      <c r="J154" s="172"/>
      <c r="K154" s="172"/>
      <c r="L154" s="172"/>
      <c r="M154" s="172"/>
      <c r="N154" s="172"/>
      <c r="O154" s="172"/>
      <c r="P154" s="172"/>
      <c r="Q154" s="172"/>
      <c r="R154" s="101"/>
      <c r="S154" s="101"/>
      <c r="T154" s="101"/>
      <c r="U154" s="101"/>
      <c r="V154" s="101"/>
      <c r="W154" s="139"/>
      <c r="X154" s="139" t="s">
        <v>692</v>
      </c>
      <c r="Y154" s="139" t="s">
        <v>692</v>
      </c>
      <c r="Z154" s="139" t="s">
        <v>692</v>
      </c>
      <c r="AA154" s="139" t="s">
        <v>692</v>
      </c>
      <c r="AB154" s="139" t="s">
        <v>692</v>
      </c>
      <c r="AC154" s="139" t="s">
        <v>692</v>
      </c>
      <c r="AD154" s="139" t="s">
        <v>692</v>
      </c>
      <c r="AE154" s="139" t="s">
        <v>692</v>
      </c>
      <c r="AF154" s="139" t="s">
        <v>692</v>
      </c>
      <c r="AG154" s="139" t="s">
        <v>692</v>
      </c>
      <c r="AH154" s="139" t="s">
        <v>692</v>
      </c>
      <c r="AI154" s="139" t="s">
        <v>692</v>
      </c>
    </row>
    <row r="155" spans="1:35" ht="18.75" hidden="1" x14ac:dyDescent="0.25">
      <c r="A155" s="248"/>
      <c r="B155" s="97" t="s">
        <v>157</v>
      </c>
      <c r="C155" s="97" t="s">
        <v>151</v>
      </c>
      <c r="D155" s="97">
        <v>140</v>
      </c>
      <c r="E155" s="172" t="s">
        <v>704</v>
      </c>
      <c r="F155" s="172" t="s">
        <v>936</v>
      </c>
      <c r="G155" s="172"/>
      <c r="H155" s="172"/>
      <c r="I155" s="172">
        <v>39002</v>
      </c>
      <c r="J155" s="172"/>
      <c r="K155" s="172"/>
      <c r="L155" s="172"/>
      <c r="M155" s="172"/>
      <c r="N155" s="172"/>
      <c r="O155" s="172"/>
      <c r="P155" s="172"/>
      <c r="Q155" s="172"/>
      <c r="R155" s="101"/>
      <c r="S155" s="101"/>
      <c r="T155" s="101"/>
      <c r="U155" s="101"/>
      <c r="V155" s="101"/>
      <c r="W155" s="139"/>
      <c r="X155" s="139" t="s">
        <v>692</v>
      </c>
      <c r="Y155" s="139" t="s">
        <v>692</v>
      </c>
      <c r="Z155" s="139" t="s">
        <v>692</v>
      </c>
      <c r="AA155" s="139" t="s">
        <v>692</v>
      </c>
      <c r="AB155" s="139" t="s">
        <v>692</v>
      </c>
      <c r="AC155" s="139" t="s">
        <v>692</v>
      </c>
      <c r="AD155" s="139" t="s">
        <v>692</v>
      </c>
      <c r="AE155" s="139" t="s">
        <v>692</v>
      </c>
      <c r="AF155" s="139" t="s">
        <v>692</v>
      </c>
      <c r="AG155" s="139" t="s">
        <v>692</v>
      </c>
      <c r="AH155" s="139" t="s">
        <v>692</v>
      </c>
      <c r="AI155" s="139" t="s">
        <v>692</v>
      </c>
    </row>
    <row r="156" spans="1:35" ht="18.75" hidden="1" x14ac:dyDescent="0.25">
      <c r="A156" s="248"/>
      <c r="B156" s="97" t="s">
        <v>155</v>
      </c>
      <c r="C156" s="97" t="s">
        <v>151</v>
      </c>
      <c r="D156" s="97">
        <v>140</v>
      </c>
      <c r="E156" s="172" t="s">
        <v>156</v>
      </c>
      <c r="F156" s="172" t="s">
        <v>935</v>
      </c>
      <c r="G156" s="172"/>
      <c r="H156" s="172"/>
      <c r="I156" s="172">
        <v>6179</v>
      </c>
      <c r="J156" s="172"/>
      <c r="K156" s="172"/>
      <c r="L156" s="172"/>
      <c r="M156" s="172"/>
      <c r="N156" s="172"/>
      <c r="O156" s="172"/>
      <c r="P156" s="172"/>
      <c r="Q156" s="172"/>
      <c r="R156" s="101"/>
      <c r="S156" s="101"/>
      <c r="T156" s="101"/>
      <c r="U156" s="101"/>
      <c r="V156" s="101"/>
      <c r="W156" s="139"/>
      <c r="X156" s="139" t="s">
        <v>692</v>
      </c>
      <c r="Y156" s="139" t="s">
        <v>692</v>
      </c>
      <c r="Z156" s="139" t="s">
        <v>692</v>
      </c>
      <c r="AA156" s="139" t="s">
        <v>692</v>
      </c>
      <c r="AB156" s="139" t="s">
        <v>692</v>
      </c>
      <c r="AC156" s="139" t="s">
        <v>692</v>
      </c>
      <c r="AD156" s="139" t="s">
        <v>692</v>
      </c>
      <c r="AE156" s="139" t="s">
        <v>692</v>
      </c>
      <c r="AF156" s="139" t="s">
        <v>692</v>
      </c>
      <c r="AG156" s="139" t="s">
        <v>692</v>
      </c>
      <c r="AH156" s="139" t="s">
        <v>692</v>
      </c>
      <c r="AI156" s="139" t="s">
        <v>692</v>
      </c>
    </row>
    <row r="157" spans="1:35" ht="18.75" hidden="1" x14ac:dyDescent="0.25">
      <c r="A157" s="248"/>
      <c r="B157" s="97" t="s">
        <v>178</v>
      </c>
      <c r="C157" s="97" t="s">
        <v>174</v>
      </c>
      <c r="D157" s="97">
        <v>140</v>
      </c>
      <c r="E157" s="172" t="s">
        <v>714</v>
      </c>
      <c r="F157" s="172" t="s">
        <v>179</v>
      </c>
      <c r="G157" s="172"/>
      <c r="H157" s="172"/>
      <c r="I157" s="172">
        <v>277972</v>
      </c>
      <c r="J157" s="172"/>
      <c r="K157" s="172"/>
      <c r="L157" s="172"/>
      <c r="M157" s="172"/>
      <c r="N157" s="172"/>
      <c r="O157" s="172"/>
      <c r="P157" s="172"/>
      <c r="Q157" s="172"/>
      <c r="R157" s="101"/>
      <c r="S157" s="101"/>
      <c r="T157" s="101"/>
      <c r="U157" s="101"/>
      <c r="V157" s="101"/>
      <c r="W157" s="139"/>
      <c r="X157" s="139" t="s">
        <v>692</v>
      </c>
      <c r="Y157" s="139" t="s">
        <v>692</v>
      </c>
      <c r="Z157" s="139" t="s">
        <v>692</v>
      </c>
      <c r="AA157" s="139" t="s">
        <v>692</v>
      </c>
      <c r="AB157" s="139" t="s">
        <v>692</v>
      </c>
      <c r="AC157" s="139" t="s">
        <v>692</v>
      </c>
      <c r="AD157" s="139" t="s">
        <v>692</v>
      </c>
      <c r="AE157" s="139" t="s">
        <v>692</v>
      </c>
      <c r="AF157" s="139" t="s">
        <v>692</v>
      </c>
      <c r="AG157" s="139" t="s">
        <v>692</v>
      </c>
      <c r="AH157" s="139" t="s">
        <v>692</v>
      </c>
      <c r="AI157" s="139" t="s">
        <v>692</v>
      </c>
    </row>
    <row r="158" spans="1:35" ht="18.75" hidden="1" x14ac:dyDescent="0.25">
      <c r="A158" s="248"/>
      <c r="B158" s="97" t="s">
        <v>824</v>
      </c>
      <c r="C158" s="97" t="s">
        <v>187</v>
      </c>
      <c r="D158" s="97">
        <v>140</v>
      </c>
      <c r="E158" s="172" t="s">
        <v>825</v>
      </c>
      <c r="F158" s="172" t="s">
        <v>906</v>
      </c>
      <c r="G158" s="172" t="s">
        <v>1361</v>
      </c>
      <c r="H158" s="172"/>
      <c r="I158" s="172"/>
      <c r="J158" s="172"/>
      <c r="K158" s="172"/>
      <c r="L158" s="172"/>
      <c r="M158" s="172"/>
      <c r="N158" s="172"/>
      <c r="O158" s="172"/>
      <c r="P158" s="172"/>
      <c r="Q158" s="172"/>
      <c r="R158" s="101"/>
      <c r="S158" s="101"/>
      <c r="T158" s="101"/>
      <c r="U158" s="101"/>
      <c r="V158" s="101"/>
      <c r="W158" s="139"/>
      <c r="X158" s="139" t="s">
        <v>692</v>
      </c>
      <c r="Y158" s="139" t="s">
        <v>692</v>
      </c>
      <c r="Z158" s="139" t="s">
        <v>692</v>
      </c>
      <c r="AA158" s="139" t="s">
        <v>692</v>
      </c>
      <c r="AB158" s="139" t="s">
        <v>692</v>
      </c>
      <c r="AC158" s="139" t="s">
        <v>692</v>
      </c>
      <c r="AD158" s="139" t="s">
        <v>692</v>
      </c>
      <c r="AE158" s="139" t="s">
        <v>692</v>
      </c>
      <c r="AF158" s="139" t="s">
        <v>692</v>
      </c>
      <c r="AG158" s="139" t="s">
        <v>692</v>
      </c>
      <c r="AH158" s="139" t="s">
        <v>692</v>
      </c>
      <c r="AI158" s="139" t="s">
        <v>692</v>
      </c>
    </row>
    <row r="159" spans="1:35" ht="18.75" hidden="1" x14ac:dyDescent="0.25">
      <c r="A159" s="248"/>
      <c r="B159" s="97" t="s">
        <v>1136</v>
      </c>
      <c r="C159" s="97" t="s">
        <v>197</v>
      </c>
      <c r="D159" s="97">
        <v>140</v>
      </c>
      <c r="E159" s="172" t="s">
        <v>843</v>
      </c>
      <c r="F159" s="172" t="s">
        <v>435</v>
      </c>
      <c r="G159" s="172" t="s">
        <v>436</v>
      </c>
      <c r="H159" s="172"/>
      <c r="I159" s="172">
        <v>460377</v>
      </c>
      <c r="J159" s="172"/>
      <c r="K159" s="172"/>
      <c r="L159" s="172"/>
      <c r="M159" s="172"/>
      <c r="N159" s="172"/>
      <c r="O159" s="172"/>
      <c r="P159" s="172"/>
      <c r="Q159" s="172"/>
      <c r="R159" s="101"/>
      <c r="S159" s="101"/>
      <c r="T159" s="101"/>
      <c r="U159" s="101"/>
      <c r="V159" s="101"/>
      <c r="W159" s="139"/>
      <c r="X159" s="139" t="s">
        <v>692</v>
      </c>
      <c r="Y159" s="139" t="s">
        <v>692</v>
      </c>
      <c r="Z159" s="139" t="s">
        <v>692</v>
      </c>
      <c r="AA159" s="139" t="s">
        <v>692</v>
      </c>
      <c r="AB159" s="139" t="s">
        <v>692</v>
      </c>
      <c r="AC159" s="139" t="s">
        <v>692</v>
      </c>
      <c r="AD159" s="139" t="s">
        <v>692</v>
      </c>
      <c r="AE159" s="139" t="s">
        <v>692</v>
      </c>
      <c r="AF159" s="139" t="s">
        <v>692</v>
      </c>
      <c r="AG159" s="139" t="s">
        <v>692</v>
      </c>
      <c r="AH159" s="139" t="s">
        <v>692</v>
      </c>
      <c r="AI159" s="139" t="s">
        <v>692</v>
      </c>
    </row>
    <row r="160" spans="1:35" ht="18.75" hidden="1" x14ac:dyDescent="0.25">
      <c r="A160" s="248"/>
      <c r="B160" s="190" t="s">
        <v>1137</v>
      </c>
      <c r="C160" s="55" t="s">
        <v>197</v>
      </c>
      <c r="D160" s="55">
        <v>140</v>
      </c>
      <c r="E160" s="177" t="s">
        <v>844</v>
      </c>
      <c r="F160" s="96" t="s">
        <v>435</v>
      </c>
      <c r="G160" s="178" t="s">
        <v>436</v>
      </c>
      <c r="H160" s="177"/>
      <c r="I160" s="179">
        <v>1280799</v>
      </c>
      <c r="J160" s="179"/>
      <c r="K160" s="179"/>
      <c r="L160" s="179"/>
      <c r="M160" s="179"/>
      <c r="N160" s="179"/>
      <c r="O160" s="179"/>
      <c r="P160" s="179"/>
      <c r="Q160" s="179"/>
      <c r="R160" s="213"/>
      <c r="S160" s="101"/>
      <c r="T160" s="101"/>
      <c r="U160" s="101"/>
      <c r="V160" s="101"/>
      <c r="W160" s="139"/>
      <c r="X160" s="139" t="s">
        <v>692</v>
      </c>
      <c r="Y160" s="139" t="s">
        <v>692</v>
      </c>
      <c r="Z160" s="139" t="s">
        <v>692</v>
      </c>
      <c r="AA160" s="139" t="s">
        <v>692</v>
      </c>
      <c r="AB160" s="139" t="s">
        <v>692</v>
      </c>
      <c r="AC160" s="139" t="s">
        <v>692</v>
      </c>
      <c r="AD160" s="139" t="s">
        <v>692</v>
      </c>
      <c r="AE160" s="139" t="s">
        <v>692</v>
      </c>
      <c r="AF160" s="139" t="s">
        <v>692</v>
      </c>
      <c r="AG160" s="139" t="s">
        <v>692</v>
      </c>
      <c r="AH160" s="139" t="s">
        <v>692</v>
      </c>
      <c r="AI160" s="139" t="s">
        <v>692</v>
      </c>
    </row>
    <row r="161" spans="1:35" ht="18.75" hidden="1" x14ac:dyDescent="0.25">
      <c r="A161" s="248"/>
      <c r="B161" s="97" t="s">
        <v>232</v>
      </c>
      <c r="C161" s="97" t="s">
        <v>223</v>
      </c>
      <c r="D161" s="97">
        <v>140</v>
      </c>
      <c r="E161" s="172" t="s">
        <v>839</v>
      </c>
      <c r="F161" s="172" t="s">
        <v>226</v>
      </c>
      <c r="G161" s="172" t="s">
        <v>233</v>
      </c>
      <c r="H161" s="172"/>
      <c r="I161" s="172">
        <v>92121</v>
      </c>
      <c r="J161" s="172"/>
      <c r="K161" s="172"/>
      <c r="L161" s="172"/>
      <c r="M161" s="172"/>
      <c r="N161" s="172"/>
      <c r="O161" s="172"/>
      <c r="P161" s="172"/>
      <c r="Q161" s="172"/>
      <c r="R161" s="101"/>
      <c r="S161" s="101"/>
      <c r="T161" s="101"/>
      <c r="U161" s="101"/>
      <c r="V161" s="101"/>
      <c r="W161" s="139"/>
      <c r="X161" s="139" t="s">
        <v>692</v>
      </c>
      <c r="Y161" s="139" t="s">
        <v>692</v>
      </c>
      <c r="Z161" s="139" t="s">
        <v>692</v>
      </c>
      <c r="AA161" s="139" t="s">
        <v>692</v>
      </c>
      <c r="AB161" s="139" t="s">
        <v>692</v>
      </c>
      <c r="AC161" s="139" t="s">
        <v>692</v>
      </c>
      <c r="AD161" s="139" t="s">
        <v>692</v>
      </c>
      <c r="AE161" s="139" t="s">
        <v>692</v>
      </c>
      <c r="AF161" s="139" t="s">
        <v>692</v>
      </c>
      <c r="AG161" s="139" t="s">
        <v>692</v>
      </c>
      <c r="AH161" s="139" t="s">
        <v>692</v>
      </c>
      <c r="AI161" s="139" t="s">
        <v>692</v>
      </c>
    </row>
    <row r="162" spans="1:35" ht="18.75" hidden="1" x14ac:dyDescent="0.25">
      <c r="A162" s="248"/>
      <c r="B162" s="97" t="s">
        <v>228</v>
      </c>
      <c r="C162" s="97" t="s">
        <v>223</v>
      </c>
      <c r="D162" s="97">
        <v>140</v>
      </c>
      <c r="E162" s="172" t="s">
        <v>845</v>
      </c>
      <c r="F162" s="172" t="s">
        <v>229</v>
      </c>
      <c r="G162" s="172"/>
      <c r="H162" s="172"/>
      <c r="I162" s="172">
        <v>767550</v>
      </c>
      <c r="J162" s="172"/>
      <c r="K162" s="172"/>
      <c r="L162" s="172"/>
      <c r="M162" s="172"/>
      <c r="N162" s="172"/>
      <c r="O162" s="172"/>
      <c r="P162" s="172"/>
      <c r="Q162" s="172"/>
      <c r="R162" s="101"/>
      <c r="S162" s="101"/>
      <c r="T162" s="101"/>
      <c r="U162" s="101"/>
      <c r="V162" s="101"/>
      <c r="W162" s="139"/>
      <c r="X162" s="139" t="s">
        <v>692</v>
      </c>
      <c r="Y162" s="139" t="s">
        <v>692</v>
      </c>
      <c r="Z162" s="139" t="s">
        <v>692</v>
      </c>
      <c r="AA162" s="139" t="s">
        <v>692</v>
      </c>
      <c r="AB162" s="139" t="s">
        <v>692</v>
      </c>
      <c r="AC162" s="139" t="s">
        <v>692</v>
      </c>
      <c r="AD162" s="139" t="s">
        <v>692</v>
      </c>
      <c r="AE162" s="139" t="s">
        <v>692</v>
      </c>
      <c r="AF162" s="139" t="s">
        <v>692</v>
      </c>
      <c r="AG162" s="139" t="s">
        <v>692</v>
      </c>
      <c r="AH162" s="139" t="s">
        <v>692</v>
      </c>
      <c r="AI162" s="139" t="s">
        <v>692</v>
      </c>
    </row>
    <row r="163" spans="1:35" ht="18.75" hidden="1" x14ac:dyDescent="0.25">
      <c r="A163" s="248"/>
      <c r="B163" s="97" t="s">
        <v>659</v>
      </c>
      <c r="C163" s="97" t="s">
        <v>283</v>
      </c>
      <c r="D163" s="97">
        <v>140</v>
      </c>
      <c r="E163" s="172" t="s">
        <v>21</v>
      </c>
      <c r="F163" s="172" t="s">
        <v>904</v>
      </c>
      <c r="G163" s="172" t="s">
        <v>660</v>
      </c>
      <c r="H163" s="172" t="s">
        <v>1344</v>
      </c>
      <c r="I163" s="172"/>
      <c r="J163" s="172"/>
      <c r="K163" s="172"/>
      <c r="L163" s="172"/>
      <c r="M163" s="172"/>
      <c r="N163" s="172"/>
      <c r="O163" s="172"/>
      <c r="P163" s="172"/>
      <c r="Q163" s="172"/>
      <c r="R163" s="101"/>
      <c r="S163" s="101"/>
      <c r="T163" s="101"/>
      <c r="U163" s="101"/>
      <c r="V163" s="101"/>
      <c r="W163" s="139"/>
      <c r="X163" s="139" t="s">
        <v>692</v>
      </c>
      <c r="Y163" s="139" t="s">
        <v>692</v>
      </c>
      <c r="Z163" s="139" t="s">
        <v>692</v>
      </c>
      <c r="AA163" s="139" t="s">
        <v>692</v>
      </c>
      <c r="AB163" s="139" t="s">
        <v>692</v>
      </c>
      <c r="AC163" s="139" t="s">
        <v>692</v>
      </c>
      <c r="AD163" s="139" t="s">
        <v>692</v>
      </c>
      <c r="AE163" s="139" t="s">
        <v>692</v>
      </c>
      <c r="AF163" s="139" t="s">
        <v>692</v>
      </c>
      <c r="AG163" s="139" t="s">
        <v>692</v>
      </c>
      <c r="AH163" s="139" t="s">
        <v>692</v>
      </c>
      <c r="AI163" s="139" t="s">
        <v>692</v>
      </c>
    </row>
    <row r="164" spans="1:35" ht="18.75" hidden="1" x14ac:dyDescent="0.25">
      <c r="A164" s="248"/>
      <c r="B164" s="97" t="s">
        <v>658</v>
      </c>
      <c r="C164" s="97" t="s">
        <v>283</v>
      </c>
      <c r="D164" s="97">
        <v>140</v>
      </c>
      <c r="E164" s="172" t="s">
        <v>704</v>
      </c>
      <c r="F164" s="172" t="s">
        <v>908</v>
      </c>
      <c r="G164" s="172"/>
      <c r="H164" s="172"/>
      <c r="I164" s="172">
        <v>102118</v>
      </c>
      <c r="J164" s="172"/>
      <c r="K164" s="172"/>
      <c r="L164" s="172"/>
      <c r="M164" s="172"/>
      <c r="N164" s="172"/>
      <c r="O164" s="172"/>
      <c r="P164" s="172"/>
      <c r="Q164" s="172"/>
      <c r="R164" s="101"/>
      <c r="S164" s="101"/>
      <c r="T164" s="101"/>
      <c r="U164" s="101"/>
      <c r="V164" s="101"/>
      <c r="W164" s="139"/>
      <c r="X164" s="139" t="s">
        <v>692</v>
      </c>
      <c r="Y164" s="139" t="s">
        <v>692</v>
      </c>
      <c r="Z164" s="139" t="s">
        <v>692</v>
      </c>
      <c r="AA164" s="139" t="s">
        <v>692</v>
      </c>
      <c r="AB164" s="139" t="s">
        <v>692</v>
      </c>
      <c r="AC164" s="139" t="s">
        <v>692</v>
      </c>
      <c r="AD164" s="139" t="s">
        <v>692</v>
      </c>
      <c r="AE164" s="139" t="s">
        <v>692</v>
      </c>
      <c r="AF164" s="139" t="s">
        <v>692</v>
      </c>
      <c r="AG164" s="139" t="s">
        <v>692</v>
      </c>
      <c r="AH164" s="139" t="s">
        <v>692</v>
      </c>
      <c r="AI164" s="139" t="s">
        <v>692</v>
      </c>
    </row>
    <row r="165" spans="1:35" ht="18.75" hidden="1" x14ac:dyDescent="0.25">
      <c r="A165" s="248"/>
      <c r="B165" s="97" t="s">
        <v>889</v>
      </c>
      <c r="C165" s="97" t="s">
        <v>283</v>
      </c>
      <c r="D165" s="97">
        <v>140</v>
      </c>
      <c r="E165" s="172" t="s">
        <v>890</v>
      </c>
      <c r="F165" s="172" t="s">
        <v>905</v>
      </c>
      <c r="G165" s="172" t="s">
        <v>891</v>
      </c>
      <c r="H165" s="172"/>
      <c r="I165" s="172">
        <v>255139</v>
      </c>
      <c r="J165" s="172"/>
      <c r="K165" s="172"/>
      <c r="L165" s="172"/>
      <c r="M165" s="172"/>
      <c r="N165" s="172"/>
      <c r="O165" s="172"/>
      <c r="P165" s="172"/>
      <c r="Q165" s="172"/>
      <c r="R165" s="101"/>
      <c r="S165" s="101"/>
      <c r="T165" s="101"/>
      <c r="U165" s="101"/>
      <c r="V165" s="101"/>
      <c r="W165" s="139"/>
      <c r="X165" s="139" t="s">
        <v>692</v>
      </c>
      <c r="Y165" s="139" t="s">
        <v>692</v>
      </c>
      <c r="Z165" s="139" t="s">
        <v>692</v>
      </c>
      <c r="AA165" s="139" t="s">
        <v>692</v>
      </c>
      <c r="AB165" s="139" t="s">
        <v>692</v>
      </c>
      <c r="AC165" s="139" t="s">
        <v>692</v>
      </c>
      <c r="AD165" s="139" t="s">
        <v>692</v>
      </c>
      <c r="AE165" s="139" t="s">
        <v>692</v>
      </c>
      <c r="AF165" s="139" t="s">
        <v>692</v>
      </c>
      <c r="AG165" s="139" t="s">
        <v>692</v>
      </c>
      <c r="AH165" s="139" t="s">
        <v>692</v>
      </c>
      <c r="AI165" s="139" t="s">
        <v>692</v>
      </c>
    </row>
    <row r="166" spans="1:35" ht="18.75" hidden="1" x14ac:dyDescent="0.25">
      <c r="A166" s="248"/>
      <c r="B166" s="97" t="s">
        <v>1091</v>
      </c>
      <c r="C166" s="97" t="s">
        <v>443</v>
      </c>
      <c r="D166" s="97">
        <v>140</v>
      </c>
      <c r="E166" s="172" t="s">
        <v>714</v>
      </c>
      <c r="F166" s="172" t="s">
        <v>47</v>
      </c>
      <c r="G166" s="172" t="s">
        <v>444</v>
      </c>
      <c r="H166" s="172"/>
      <c r="I166" s="172"/>
      <c r="J166" s="172"/>
      <c r="K166" s="172"/>
      <c r="L166" s="172"/>
      <c r="M166" s="172"/>
      <c r="N166" s="172"/>
      <c r="O166" s="172"/>
      <c r="P166" s="172"/>
      <c r="Q166" s="172"/>
      <c r="R166" s="101"/>
      <c r="S166" s="101"/>
      <c r="T166" s="101"/>
      <c r="U166" s="101"/>
      <c r="V166" s="101"/>
      <c r="W166" s="139"/>
      <c r="X166" s="139" t="s">
        <v>692</v>
      </c>
      <c r="Y166" s="139" t="s">
        <v>692</v>
      </c>
      <c r="Z166" s="139" t="s">
        <v>692</v>
      </c>
      <c r="AA166" s="139" t="s">
        <v>692</v>
      </c>
      <c r="AB166" s="139" t="s">
        <v>692</v>
      </c>
      <c r="AC166" s="139" t="s">
        <v>692</v>
      </c>
      <c r="AD166" s="139" t="s">
        <v>692</v>
      </c>
      <c r="AE166" s="139" t="s">
        <v>692</v>
      </c>
      <c r="AF166" s="139" t="s">
        <v>692</v>
      </c>
      <c r="AG166" s="139" t="s">
        <v>692</v>
      </c>
      <c r="AH166" s="139" t="s">
        <v>692</v>
      </c>
      <c r="AI166" s="139" t="s">
        <v>692</v>
      </c>
    </row>
    <row r="167" spans="1:35" ht="18.75" hidden="1" x14ac:dyDescent="0.25">
      <c r="A167" s="248"/>
      <c r="B167" s="97">
        <v>717084013</v>
      </c>
      <c r="C167" s="97" t="s">
        <v>46</v>
      </c>
      <c r="D167" s="97">
        <v>141</v>
      </c>
      <c r="E167" s="172" t="s">
        <v>887</v>
      </c>
      <c r="F167" s="172" t="s">
        <v>47</v>
      </c>
      <c r="G167" s="172"/>
      <c r="H167" s="172">
        <v>42948</v>
      </c>
      <c r="I167" s="172">
        <v>132296</v>
      </c>
      <c r="J167" s="172"/>
      <c r="K167" s="172"/>
      <c r="L167" s="172"/>
      <c r="M167" s="172"/>
      <c r="N167" s="172"/>
      <c r="O167" s="172"/>
      <c r="P167" s="172"/>
      <c r="Q167" s="172"/>
      <c r="R167" s="101"/>
      <c r="S167" s="101"/>
      <c r="T167" s="101"/>
      <c r="U167" s="101"/>
      <c r="V167" s="101"/>
      <c r="W167" s="139"/>
      <c r="X167" s="139" t="s">
        <v>692</v>
      </c>
      <c r="Y167" s="139" t="s">
        <v>692</v>
      </c>
      <c r="Z167" s="139" t="s">
        <v>692</v>
      </c>
      <c r="AA167" s="139" t="s">
        <v>692</v>
      </c>
      <c r="AB167" s="139" t="s">
        <v>692</v>
      </c>
      <c r="AC167" s="139" t="s">
        <v>692</v>
      </c>
      <c r="AD167" s="139" t="s">
        <v>692</v>
      </c>
      <c r="AE167" s="139" t="s">
        <v>692</v>
      </c>
      <c r="AF167" s="139" t="s">
        <v>692</v>
      </c>
      <c r="AG167" s="139" t="s">
        <v>692</v>
      </c>
      <c r="AH167" s="139" t="s">
        <v>692</v>
      </c>
      <c r="AI167" s="139" t="s">
        <v>692</v>
      </c>
    </row>
    <row r="168" spans="1:35" ht="18.75" hidden="1" x14ac:dyDescent="0.25">
      <c r="A168" s="248"/>
      <c r="B168" s="97" t="s">
        <v>1187</v>
      </c>
      <c r="C168" s="97" t="s">
        <v>106</v>
      </c>
      <c r="D168" s="97">
        <v>141</v>
      </c>
      <c r="E168" s="172" t="s">
        <v>762</v>
      </c>
      <c r="F168" s="172" t="s">
        <v>763</v>
      </c>
      <c r="G168" s="172"/>
      <c r="H168" s="172"/>
      <c r="I168" s="172">
        <v>10509</v>
      </c>
      <c r="J168" s="172"/>
      <c r="K168" s="172"/>
      <c r="L168" s="172"/>
      <c r="M168" s="172"/>
      <c r="N168" s="172"/>
      <c r="O168" s="172"/>
      <c r="P168" s="172"/>
      <c r="Q168" s="172"/>
      <c r="R168" s="101"/>
      <c r="S168" s="101"/>
      <c r="T168" s="101"/>
      <c r="U168" s="101"/>
      <c r="V168" s="101"/>
      <c r="W168" s="139"/>
      <c r="X168" s="139" t="s">
        <v>692</v>
      </c>
      <c r="Y168" s="139" t="s">
        <v>692</v>
      </c>
      <c r="Z168" s="139" t="s">
        <v>692</v>
      </c>
      <c r="AA168" s="139" t="s">
        <v>692</v>
      </c>
      <c r="AB168" s="139" t="s">
        <v>692</v>
      </c>
      <c r="AC168" s="139" t="s">
        <v>692</v>
      </c>
      <c r="AD168" s="139" t="s">
        <v>692</v>
      </c>
      <c r="AE168" s="139" t="s">
        <v>692</v>
      </c>
      <c r="AF168" s="139" t="s">
        <v>692</v>
      </c>
      <c r="AG168" s="139" t="s">
        <v>692</v>
      </c>
      <c r="AH168" s="139" t="s">
        <v>692</v>
      </c>
      <c r="AI168" s="139" t="s">
        <v>692</v>
      </c>
    </row>
    <row r="169" spans="1:35" ht="18.75" hidden="1" x14ac:dyDescent="0.25">
      <c r="A169" s="248"/>
      <c r="B169" s="97" t="s">
        <v>1134</v>
      </c>
      <c r="C169" s="97" t="s">
        <v>142</v>
      </c>
      <c r="D169" s="97">
        <v>141</v>
      </c>
      <c r="E169" s="172" t="s">
        <v>756</v>
      </c>
      <c r="F169" s="172" t="s">
        <v>757</v>
      </c>
      <c r="G169" s="172"/>
      <c r="H169" s="172"/>
      <c r="I169" s="172">
        <v>11685</v>
      </c>
      <c r="J169" s="172"/>
      <c r="K169" s="172"/>
      <c r="L169" s="172"/>
      <c r="M169" s="172"/>
      <c r="N169" s="172"/>
      <c r="O169" s="172"/>
      <c r="P169" s="172"/>
      <c r="Q169" s="172"/>
      <c r="R169" s="101"/>
      <c r="S169" s="101"/>
      <c r="T169" s="101"/>
      <c r="U169" s="101"/>
      <c r="V169" s="101"/>
      <c r="W169" s="139"/>
      <c r="X169" s="139" t="s">
        <v>692</v>
      </c>
      <c r="Y169" s="139" t="s">
        <v>692</v>
      </c>
      <c r="Z169" s="139" t="s">
        <v>692</v>
      </c>
      <c r="AA169" s="139" t="s">
        <v>692</v>
      </c>
      <c r="AB169" s="139" t="s">
        <v>692</v>
      </c>
      <c r="AC169" s="139" t="s">
        <v>692</v>
      </c>
      <c r="AD169" s="139" t="s">
        <v>692</v>
      </c>
      <c r="AE169" s="139" t="s">
        <v>692</v>
      </c>
      <c r="AF169" s="139" t="s">
        <v>692</v>
      </c>
      <c r="AG169" s="139" t="s">
        <v>692</v>
      </c>
      <c r="AH169" s="139" t="s">
        <v>692</v>
      </c>
      <c r="AI169" s="139" t="s">
        <v>692</v>
      </c>
    </row>
    <row r="170" spans="1:35" ht="18.75" hidden="1" x14ac:dyDescent="0.25">
      <c r="A170" s="248"/>
      <c r="B170" s="97" t="s">
        <v>1138</v>
      </c>
      <c r="C170" s="97" t="s">
        <v>293</v>
      </c>
      <c r="D170" s="97">
        <v>141</v>
      </c>
      <c r="E170" s="172" t="s">
        <v>759</v>
      </c>
      <c r="F170" s="172" t="s">
        <v>760</v>
      </c>
      <c r="G170" s="172"/>
      <c r="H170" s="172"/>
      <c r="I170" s="172">
        <v>22980</v>
      </c>
      <c r="J170" s="172"/>
      <c r="K170" s="172"/>
      <c r="L170" s="172"/>
      <c r="M170" s="172"/>
      <c r="N170" s="172"/>
      <c r="O170" s="172"/>
      <c r="P170" s="172"/>
      <c r="Q170" s="172"/>
      <c r="R170" s="101"/>
      <c r="S170" s="101"/>
      <c r="T170" s="101"/>
      <c r="U170" s="101"/>
      <c r="V170" s="101"/>
      <c r="W170" s="139"/>
      <c r="X170" s="139" t="s">
        <v>692</v>
      </c>
      <c r="Y170" s="139" t="s">
        <v>692</v>
      </c>
      <c r="Z170" s="139" t="s">
        <v>692</v>
      </c>
      <c r="AA170" s="139" t="s">
        <v>692</v>
      </c>
      <c r="AB170" s="139" t="s">
        <v>692</v>
      </c>
      <c r="AC170" s="139" t="s">
        <v>692</v>
      </c>
      <c r="AD170" s="139" t="s">
        <v>692</v>
      </c>
      <c r="AE170" s="139" t="s">
        <v>692</v>
      </c>
      <c r="AF170" s="139" t="s">
        <v>692</v>
      </c>
      <c r="AG170" s="139" t="s">
        <v>692</v>
      </c>
      <c r="AH170" s="139" t="s">
        <v>692</v>
      </c>
      <c r="AI170" s="139" t="s">
        <v>692</v>
      </c>
    </row>
    <row r="171" spans="1:35" ht="18.75" hidden="1" x14ac:dyDescent="0.25">
      <c r="A171" s="248"/>
      <c r="B171" s="294" t="s">
        <v>1701</v>
      </c>
      <c r="C171" s="295" t="s">
        <v>46</v>
      </c>
      <c r="D171" s="295">
        <v>142</v>
      </c>
      <c r="E171" s="296" t="s">
        <v>778</v>
      </c>
      <c r="F171" s="296" t="s">
        <v>1329</v>
      </c>
      <c r="G171" s="297" t="s">
        <v>1699</v>
      </c>
      <c r="H171" s="296" t="s">
        <v>774</v>
      </c>
      <c r="I171" s="298"/>
      <c r="J171" s="298"/>
      <c r="K171" s="298"/>
      <c r="L171" s="298"/>
      <c r="M171" s="298"/>
      <c r="N171" s="298"/>
      <c r="O171" s="298"/>
      <c r="P171" s="298"/>
      <c r="Q171" s="298"/>
      <c r="R171" s="288"/>
      <c r="S171" s="289"/>
      <c r="T171" s="289"/>
      <c r="U171" s="289"/>
      <c r="V171" s="289"/>
      <c r="W171" s="287"/>
      <c r="X171" s="287" t="s">
        <v>692</v>
      </c>
      <c r="Y171" s="287" t="s">
        <v>692</v>
      </c>
      <c r="Z171" s="287" t="s">
        <v>692</v>
      </c>
      <c r="AA171" s="287" t="s">
        <v>692</v>
      </c>
      <c r="AB171" s="287" t="s">
        <v>692</v>
      </c>
      <c r="AC171" s="287" t="s">
        <v>692</v>
      </c>
      <c r="AD171" s="287" t="s">
        <v>692</v>
      </c>
      <c r="AE171" s="287" t="s">
        <v>692</v>
      </c>
      <c r="AF171" s="287" t="s">
        <v>692</v>
      </c>
      <c r="AG171" s="287" t="s">
        <v>692</v>
      </c>
      <c r="AH171" s="287" t="s">
        <v>692</v>
      </c>
      <c r="AI171" s="287" t="s">
        <v>692</v>
      </c>
    </row>
    <row r="172" spans="1:35" ht="18.75" hidden="1" x14ac:dyDescent="0.25">
      <c r="A172" s="248"/>
      <c r="B172" s="97" t="s">
        <v>1193</v>
      </c>
      <c r="C172" s="97" t="s">
        <v>46</v>
      </c>
      <c r="D172" s="97">
        <v>142</v>
      </c>
      <c r="E172" s="172" t="s">
        <v>778</v>
      </c>
      <c r="F172" s="172" t="s">
        <v>1329</v>
      </c>
      <c r="G172" s="172" t="s">
        <v>1700</v>
      </c>
      <c r="H172" s="172" t="s">
        <v>774</v>
      </c>
      <c r="I172" s="172">
        <v>1198320</v>
      </c>
      <c r="J172" s="172"/>
      <c r="K172" s="172"/>
      <c r="L172" s="172"/>
      <c r="M172" s="172"/>
      <c r="N172" s="172"/>
      <c r="O172" s="172"/>
      <c r="P172" s="172"/>
      <c r="Q172" s="172"/>
      <c r="R172" s="101"/>
      <c r="S172" s="101"/>
      <c r="T172" s="101"/>
      <c r="U172" s="101"/>
      <c r="V172" s="101"/>
      <c r="W172" s="139"/>
      <c r="X172" s="139" t="s">
        <v>692</v>
      </c>
      <c r="Y172" s="139" t="s">
        <v>692</v>
      </c>
      <c r="Z172" s="139" t="s">
        <v>692</v>
      </c>
      <c r="AA172" s="139" t="s">
        <v>692</v>
      </c>
      <c r="AB172" s="139" t="s">
        <v>692</v>
      </c>
      <c r="AC172" s="139" t="s">
        <v>692</v>
      </c>
      <c r="AD172" s="139" t="s">
        <v>692</v>
      </c>
      <c r="AE172" s="139" t="s">
        <v>692</v>
      </c>
      <c r="AF172" s="139" t="s">
        <v>692</v>
      </c>
      <c r="AG172" s="139" t="s">
        <v>692</v>
      </c>
      <c r="AH172" s="139" t="s">
        <v>692</v>
      </c>
      <c r="AI172" s="139" t="s">
        <v>692</v>
      </c>
    </row>
    <row r="173" spans="1:35" ht="18.75" hidden="1" x14ac:dyDescent="0.25">
      <c r="A173" s="248"/>
      <c r="B173" s="97" t="s">
        <v>162</v>
      </c>
      <c r="C173" s="97" t="s">
        <v>151</v>
      </c>
      <c r="D173" s="97">
        <v>142</v>
      </c>
      <c r="E173" s="172" t="s">
        <v>838</v>
      </c>
      <c r="F173" s="172" t="s">
        <v>939</v>
      </c>
      <c r="G173" s="172"/>
      <c r="H173" s="172"/>
      <c r="I173" s="172">
        <v>131319</v>
      </c>
      <c r="J173" s="172"/>
      <c r="K173" s="172"/>
      <c r="L173" s="172"/>
      <c r="M173" s="172"/>
      <c r="N173" s="172"/>
      <c r="O173" s="172"/>
      <c r="P173" s="172"/>
      <c r="Q173" s="172"/>
      <c r="R173" s="101"/>
      <c r="S173" s="101"/>
      <c r="T173" s="101"/>
      <c r="U173" s="101"/>
      <c r="V173" s="101"/>
      <c r="W173" s="139"/>
      <c r="X173" s="139" t="s">
        <v>692</v>
      </c>
      <c r="Y173" s="139" t="s">
        <v>692</v>
      </c>
      <c r="Z173" s="139" t="s">
        <v>692</v>
      </c>
      <c r="AA173" s="139" t="s">
        <v>692</v>
      </c>
      <c r="AB173" s="139" t="s">
        <v>692</v>
      </c>
      <c r="AC173" s="139" t="s">
        <v>692</v>
      </c>
      <c r="AD173" s="139" t="s">
        <v>692</v>
      </c>
      <c r="AE173" s="139" t="s">
        <v>692</v>
      </c>
      <c r="AF173" s="139" t="s">
        <v>692</v>
      </c>
      <c r="AG173" s="139" t="s">
        <v>692</v>
      </c>
      <c r="AH173" s="139" t="s">
        <v>692</v>
      </c>
      <c r="AI173" s="139" t="s">
        <v>692</v>
      </c>
    </row>
    <row r="174" spans="1:35" ht="18.75" hidden="1" x14ac:dyDescent="0.25">
      <c r="A174" s="248"/>
      <c r="B174" s="440" t="s">
        <v>1191</v>
      </c>
      <c r="C174" s="440" t="s">
        <v>180</v>
      </c>
      <c r="D174" s="440">
        <v>142</v>
      </c>
      <c r="E174" s="441" t="s">
        <v>776</v>
      </c>
      <c r="F174" s="441" t="s">
        <v>815</v>
      </c>
      <c r="G174" s="441" t="s">
        <v>777</v>
      </c>
      <c r="H174" s="441" t="s">
        <v>774</v>
      </c>
      <c r="I174" s="441">
        <v>86641</v>
      </c>
      <c r="J174" s="441"/>
      <c r="K174" s="441"/>
      <c r="L174" s="441"/>
      <c r="M174" s="441"/>
      <c r="N174" s="441"/>
      <c r="O174" s="441"/>
      <c r="P174" s="441"/>
      <c r="Q174" s="441"/>
      <c r="R174" s="101"/>
      <c r="S174" s="101"/>
      <c r="T174" s="101"/>
      <c r="U174" s="101"/>
      <c r="V174" s="101"/>
      <c r="W174" s="139"/>
      <c r="X174" s="139" t="s">
        <v>692</v>
      </c>
      <c r="Y174" s="139" t="s">
        <v>692</v>
      </c>
      <c r="Z174" s="139" t="s">
        <v>692</v>
      </c>
      <c r="AA174" s="139" t="s">
        <v>692</v>
      </c>
      <c r="AB174" s="139" t="s">
        <v>692</v>
      </c>
      <c r="AC174" s="139" t="s">
        <v>692</v>
      </c>
      <c r="AD174" s="139" t="s">
        <v>692</v>
      </c>
      <c r="AE174" s="139" t="s">
        <v>692</v>
      </c>
      <c r="AF174" s="139" t="s">
        <v>692</v>
      </c>
      <c r="AG174" s="139" t="s">
        <v>692</v>
      </c>
      <c r="AH174" s="139" t="s">
        <v>692</v>
      </c>
      <c r="AI174" s="139" t="s">
        <v>692</v>
      </c>
    </row>
    <row r="175" spans="1:35" ht="18.75" hidden="1" x14ac:dyDescent="0.25">
      <c r="A175" s="248"/>
      <c r="B175" s="97" t="s">
        <v>771</v>
      </c>
      <c r="C175" s="97" t="s">
        <v>223</v>
      </c>
      <c r="D175" s="97">
        <v>142</v>
      </c>
      <c r="E175" s="172" t="s">
        <v>775</v>
      </c>
      <c r="F175" s="172" t="s">
        <v>1212</v>
      </c>
      <c r="G175" s="172" t="s">
        <v>773</v>
      </c>
      <c r="H175" s="172" t="s">
        <v>774</v>
      </c>
      <c r="I175" s="172">
        <v>6415</v>
      </c>
      <c r="J175" s="172"/>
      <c r="K175" s="172"/>
      <c r="L175" s="172"/>
      <c r="M175" s="172"/>
      <c r="N175" s="172"/>
      <c r="O175" s="172"/>
      <c r="P175" s="172"/>
      <c r="Q175" s="172"/>
      <c r="R175" s="101"/>
      <c r="S175" s="101"/>
      <c r="T175" s="101"/>
      <c r="U175" s="101"/>
      <c r="V175" s="101"/>
      <c r="W175" s="139"/>
      <c r="X175" s="139" t="s">
        <v>692</v>
      </c>
      <c r="Y175" s="139" t="s">
        <v>692</v>
      </c>
      <c r="Z175" s="139" t="s">
        <v>692</v>
      </c>
      <c r="AA175" s="139" t="s">
        <v>692</v>
      </c>
      <c r="AB175" s="139" t="s">
        <v>692</v>
      </c>
      <c r="AC175" s="139" t="s">
        <v>692</v>
      </c>
      <c r="AD175" s="139" t="s">
        <v>692</v>
      </c>
      <c r="AE175" s="139" t="s">
        <v>692</v>
      </c>
      <c r="AF175" s="139" t="s">
        <v>692</v>
      </c>
      <c r="AG175" s="139" t="s">
        <v>692</v>
      </c>
      <c r="AH175" s="139" t="s">
        <v>692</v>
      </c>
      <c r="AI175" s="139" t="s">
        <v>692</v>
      </c>
    </row>
    <row r="176" spans="1:35" ht="18.75" x14ac:dyDescent="0.25">
      <c r="A176" s="248"/>
      <c r="B176" s="97" t="s">
        <v>1396</v>
      </c>
      <c r="C176" s="97" t="s">
        <v>310</v>
      </c>
      <c r="D176" s="97">
        <v>150</v>
      </c>
      <c r="E176" s="172" t="s">
        <v>312</v>
      </c>
      <c r="F176" s="172" t="s">
        <v>313</v>
      </c>
      <c r="G176" s="172"/>
      <c r="H176" s="172" t="s">
        <v>1398</v>
      </c>
      <c r="I176" s="172">
        <v>36193</v>
      </c>
      <c r="J176" s="172"/>
      <c r="K176" s="172"/>
      <c r="L176" s="172"/>
      <c r="M176" s="172"/>
      <c r="N176" s="172"/>
      <c r="O176" s="172"/>
      <c r="P176" s="172"/>
      <c r="Q176" s="172"/>
      <c r="R176" s="101"/>
      <c r="S176" s="101"/>
      <c r="T176" s="101"/>
      <c r="U176" s="101"/>
      <c r="V176" s="101"/>
      <c r="W176" s="139"/>
      <c r="X176" s="139" t="s">
        <v>692</v>
      </c>
      <c r="Y176" s="139" t="s">
        <v>692</v>
      </c>
      <c r="Z176" s="139" t="s">
        <v>692</v>
      </c>
      <c r="AA176" s="139" t="s">
        <v>692</v>
      </c>
      <c r="AB176" s="139" t="s">
        <v>692</v>
      </c>
      <c r="AC176" s="139" t="s">
        <v>692</v>
      </c>
      <c r="AD176" s="139" t="s">
        <v>692</v>
      </c>
      <c r="AE176" s="139" t="s">
        <v>692</v>
      </c>
      <c r="AF176" s="139" t="s">
        <v>692</v>
      </c>
      <c r="AG176" s="139" t="s">
        <v>692</v>
      </c>
      <c r="AH176" s="139" t="s">
        <v>692</v>
      </c>
      <c r="AI176" s="139" t="s">
        <v>692</v>
      </c>
    </row>
    <row r="177" spans="1:35" ht="18.75" x14ac:dyDescent="0.25">
      <c r="A177" s="248"/>
      <c r="B177" s="97" t="s">
        <v>311</v>
      </c>
      <c r="C177" s="97" t="s">
        <v>310</v>
      </c>
      <c r="D177" s="97">
        <v>150</v>
      </c>
      <c r="E177" s="172" t="s">
        <v>312</v>
      </c>
      <c r="F177" s="172" t="s">
        <v>313</v>
      </c>
      <c r="G177" s="172" t="s">
        <v>1021</v>
      </c>
      <c r="H177" s="172" t="s">
        <v>1397</v>
      </c>
      <c r="I177" s="172"/>
      <c r="J177" s="172"/>
      <c r="K177" s="172"/>
      <c r="L177" s="172"/>
      <c r="M177" s="172"/>
      <c r="N177" s="172"/>
      <c r="O177" s="172"/>
      <c r="P177" s="172"/>
      <c r="Q177" s="172"/>
      <c r="R177" s="101"/>
      <c r="S177" s="101"/>
      <c r="T177" s="101"/>
      <c r="U177" s="101"/>
      <c r="V177" s="101"/>
      <c r="W177" s="139"/>
      <c r="X177" s="139" t="s">
        <v>692</v>
      </c>
      <c r="Y177" s="139" t="s">
        <v>692</v>
      </c>
      <c r="Z177" s="139" t="s">
        <v>692</v>
      </c>
      <c r="AA177" s="139" t="s">
        <v>692</v>
      </c>
      <c r="AB177" s="139" t="s">
        <v>692</v>
      </c>
      <c r="AC177" s="139" t="s">
        <v>692</v>
      </c>
      <c r="AD177" s="139" t="s">
        <v>692</v>
      </c>
      <c r="AE177" s="139" t="s">
        <v>692</v>
      </c>
      <c r="AF177" s="139" t="s">
        <v>692</v>
      </c>
      <c r="AG177" s="139" t="s">
        <v>692</v>
      </c>
      <c r="AH177" s="139" t="s">
        <v>692</v>
      </c>
      <c r="AI177" s="139" t="s">
        <v>692</v>
      </c>
    </row>
    <row r="178" spans="1:35" ht="18.75" x14ac:dyDescent="0.25">
      <c r="A178" s="248"/>
      <c r="B178" s="97" t="s">
        <v>309</v>
      </c>
      <c r="C178" s="97" t="s">
        <v>306</v>
      </c>
      <c r="D178" s="97">
        <v>150</v>
      </c>
      <c r="E178" s="172" t="s">
        <v>21</v>
      </c>
      <c r="F178" s="172" t="s">
        <v>308</v>
      </c>
      <c r="G178" s="172" t="s">
        <v>310</v>
      </c>
      <c r="H178" s="172" t="s">
        <v>1413</v>
      </c>
      <c r="I178" s="172"/>
      <c r="J178" s="172"/>
      <c r="K178" s="172"/>
      <c r="L178" s="172"/>
      <c r="M178" s="172"/>
      <c r="N178" s="172"/>
      <c r="O178" s="172"/>
      <c r="P178" s="172"/>
      <c r="Q178" s="172"/>
      <c r="R178" s="101"/>
      <c r="S178" s="101"/>
      <c r="T178" s="101"/>
      <c r="U178" s="101"/>
      <c r="V178" s="101"/>
      <c r="W178" s="139"/>
      <c r="X178" s="139" t="s">
        <v>692</v>
      </c>
      <c r="Y178" s="139" t="s">
        <v>692</v>
      </c>
      <c r="Z178" s="139" t="s">
        <v>692</v>
      </c>
      <c r="AA178" s="139" t="s">
        <v>692</v>
      </c>
      <c r="AB178" s="139" t="s">
        <v>692</v>
      </c>
      <c r="AC178" s="139" t="s">
        <v>692</v>
      </c>
      <c r="AD178" s="139" t="s">
        <v>692</v>
      </c>
      <c r="AE178" s="139" t="s">
        <v>692</v>
      </c>
      <c r="AF178" s="139" t="s">
        <v>692</v>
      </c>
      <c r="AG178" s="139" t="s">
        <v>692</v>
      </c>
      <c r="AH178" s="139" t="s">
        <v>692</v>
      </c>
      <c r="AI178" s="139" t="s">
        <v>692</v>
      </c>
    </row>
    <row r="179" spans="1:35" ht="18.75" x14ac:dyDescent="0.25">
      <c r="B179" s="463" t="s">
        <v>1148</v>
      </c>
      <c r="C179" s="463" t="s">
        <v>680</v>
      </c>
      <c r="D179" s="463">
        <v>150</v>
      </c>
      <c r="E179" s="464" t="s">
        <v>21</v>
      </c>
      <c r="F179" s="464" t="s">
        <v>20</v>
      </c>
      <c r="G179" s="464"/>
      <c r="H179" s="464" t="s">
        <v>747</v>
      </c>
      <c r="I179" s="464">
        <v>21959</v>
      </c>
      <c r="J179" s="464"/>
      <c r="K179" s="464"/>
      <c r="L179" s="464"/>
      <c r="M179" s="464"/>
      <c r="N179" s="464"/>
      <c r="O179" s="464"/>
      <c r="P179" s="464"/>
      <c r="Q179" s="464"/>
      <c r="R179" s="101"/>
      <c r="S179" s="101"/>
      <c r="T179" s="101"/>
      <c r="U179" s="101"/>
      <c r="V179" s="101"/>
      <c r="W179" s="139"/>
      <c r="X179" s="139" t="s">
        <v>692</v>
      </c>
      <c r="Y179" s="139" t="s">
        <v>692</v>
      </c>
      <c r="Z179" s="139" t="s">
        <v>692</v>
      </c>
      <c r="AA179" s="139" t="s">
        <v>692</v>
      </c>
      <c r="AB179" s="139" t="s">
        <v>692</v>
      </c>
      <c r="AC179" s="139" t="s">
        <v>692</v>
      </c>
      <c r="AD179" s="139" t="s">
        <v>692</v>
      </c>
      <c r="AE179" s="139" t="s">
        <v>692</v>
      </c>
      <c r="AF179" s="139" t="s">
        <v>692</v>
      </c>
      <c r="AG179" s="139" t="s">
        <v>692</v>
      </c>
      <c r="AH179" s="139" t="s">
        <v>692</v>
      </c>
      <c r="AI179" s="139" t="s">
        <v>692</v>
      </c>
    </row>
    <row r="180" spans="1:35" ht="18.75" x14ac:dyDescent="0.25">
      <c r="B180" s="463">
        <v>5130043</v>
      </c>
      <c r="C180" s="463" t="s">
        <v>46</v>
      </c>
      <c r="D180" s="463">
        <v>150</v>
      </c>
      <c r="E180" s="464" t="s">
        <v>48</v>
      </c>
      <c r="F180" s="464" t="s">
        <v>49</v>
      </c>
      <c r="G180" s="464" t="s">
        <v>50</v>
      </c>
      <c r="H180" s="464" t="s">
        <v>752</v>
      </c>
      <c r="I180" s="464">
        <v>0</v>
      </c>
      <c r="J180" s="464"/>
      <c r="K180" s="464"/>
      <c r="L180" s="464"/>
      <c r="M180" s="464"/>
      <c r="N180" s="464"/>
      <c r="O180" s="464"/>
      <c r="P180" s="464"/>
      <c r="Q180" s="464"/>
      <c r="R180" s="101"/>
      <c r="S180" s="101"/>
      <c r="T180" s="101"/>
      <c r="U180" s="101"/>
      <c r="V180" s="101"/>
      <c r="W180" s="139"/>
      <c r="X180" s="139" t="s">
        <v>692</v>
      </c>
      <c r="Y180" s="139" t="s">
        <v>692</v>
      </c>
      <c r="Z180" s="139" t="s">
        <v>692</v>
      </c>
      <c r="AA180" s="139" t="s">
        <v>692</v>
      </c>
      <c r="AB180" s="139" t="s">
        <v>692</v>
      </c>
      <c r="AC180" s="139" t="s">
        <v>692</v>
      </c>
      <c r="AD180" s="139" t="s">
        <v>692</v>
      </c>
      <c r="AE180" s="139" t="s">
        <v>692</v>
      </c>
      <c r="AF180" s="139" t="s">
        <v>692</v>
      </c>
      <c r="AG180" s="139" t="s">
        <v>692</v>
      </c>
      <c r="AH180" s="139" t="s">
        <v>692</v>
      </c>
      <c r="AI180" s="139" t="s">
        <v>692</v>
      </c>
    </row>
    <row r="181" spans="1:35" ht="18.75" x14ac:dyDescent="0.25">
      <c r="B181" s="97" t="s">
        <v>66</v>
      </c>
      <c r="C181" s="97" t="s">
        <v>55</v>
      </c>
      <c r="D181" s="97">
        <v>150</v>
      </c>
      <c r="E181" s="172" t="s">
        <v>769</v>
      </c>
      <c r="F181" s="172" t="s">
        <v>927</v>
      </c>
      <c r="G181" s="172" t="s">
        <v>67</v>
      </c>
      <c r="H181" s="172"/>
      <c r="I181" s="172">
        <v>591029</v>
      </c>
      <c r="J181" s="172"/>
      <c r="K181" s="172"/>
      <c r="L181" s="172"/>
      <c r="M181" s="172"/>
      <c r="N181" s="172"/>
      <c r="O181" s="172"/>
      <c r="P181" s="172"/>
      <c r="Q181" s="172"/>
      <c r="R181" s="101"/>
      <c r="S181" s="101"/>
      <c r="T181" s="101"/>
      <c r="U181" s="101"/>
      <c r="V181" s="101"/>
      <c r="W181" s="139"/>
      <c r="X181" s="139" t="s">
        <v>692</v>
      </c>
      <c r="Y181" s="139" t="s">
        <v>692</v>
      </c>
      <c r="Z181" s="139" t="s">
        <v>692</v>
      </c>
      <c r="AA181" s="139" t="s">
        <v>692</v>
      </c>
      <c r="AB181" s="139" t="s">
        <v>692</v>
      </c>
      <c r="AC181" s="139" t="s">
        <v>692</v>
      </c>
      <c r="AD181" s="139" t="s">
        <v>692</v>
      </c>
      <c r="AE181" s="139" t="s">
        <v>692</v>
      </c>
      <c r="AF181" s="139" t="s">
        <v>692</v>
      </c>
      <c r="AG181" s="139" t="s">
        <v>692</v>
      </c>
      <c r="AH181" s="139" t="s">
        <v>692</v>
      </c>
      <c r="AI181" s="139" t="s">
        <v>692</v>
      </c>
    </row>
    <row r="182" spans="1:35" ht="18.75" x14ac:dyDescent="0.25">
      <c r="B182" s="97" t="s">
        <v>124</v>
      </c>
      <c r="C182" s="97" t="s">
        <v>120</v>
      </c>
      <c r="D182" s="97">
        <v>150</v>
      </c>
      <c r="E182" s="172" t="s">
        <v>21</v>
      </c>
      <c r="F182" s="172" t="s">
        <v>915</v>
      </c>
      <c r="G182" s="172" t="s">
        <v>125</v>
      </c>
      <c r="H182" s="172"/>
      <c r="I182" s="172">
        <v>509227</v>
      </c>
      <c r="J182" s="172"/>
      <c r="K182" s="172"/>
      <c r="L182" s="172"/>
      <c r="M182" s="172"/>
      <c r="N182" s="172"/>
      <c r="O182" s="172"/>
      <c r="P182" s="172"/>
      <c r="Q182" s="172"/>
      <c r="R182" s="101"/>
      <c r="S182" s="101"/>
      <c r="T182" s="101"/>
      <c r="U182" s="101"/>
      <c r="V182" s="101"/>
      <c r="W182" s="139"/>
      <c r="X182" s="139" t="s">
        <v>692</v>
      </c>
      <c r="Y182" s="139" t="s">
        <v>692</v>
      </c>
      <c r="Z182" s="139" t="s">
        <v>692</v>
      </c>
      <c r="AA182" s="139" t="s">
        <v>692</v>
      </c>
      <c r="AB182" s="139" t="s">
        <v>692</v>
      </c>
      <c r="AC182" s="139" t="s">
        <v>692</v>
      </c>
      <c r="AD182" s="139" t="s">
        <v>692</v>
      </c>
      <c r="AE182" s="139" t="s">
        <v>692</v>
      </c>
      <c r="AF182" s="139" t="s">
        <v>692</v>
      </c>
      <c r="AG182" s="139" t="s">
        <v>692</v>
      </c>
      <c r="AH182" s="139" t="s">
        <v>692</v>
      </c>
      <c r="AI182" s="139" t="s">
        <v>692</v>
      </c>
    </row>
    <row r="183" spans="1:35" ht="18.75" x14ac:dyDescent="0.25">
      <c r="B183" s="509" t="s">
        <v>141</v>
      </c>
      <c r="C183" s="509" t="s">
        <v>135</v>
      </c>
      <c r="D183" s="509">
        <v>150</v>
      </c>
      <c r="E183" s="510" t="s">
        <v>21</v>
      </c>
      <c r="F183" s="510" t="s">
        <v>683</v>
      </c>
      <c r="G183" s="510" t="s">
        <v>684</v>
      </c>
      <c r="H183" s="510"/>
      <c r="I183" s="510">
        <v>51115</v>
      </c>
      <c r="J183" s="510"/>
      <c r="K183" s="510"/>
      <c r="L183" s="510"/>
      <c r="M183" s="510"/>
      <c r="N183" s="510"/>
      <c r="O183" s="510"/>
      <c r="P183" s="510"/>
      <c r="Q183" s="510"/>
      <c r="R183" s="101"/>
      <c r="S183" s="101"/>
      <c r="T183" s="101"/>
      <c r="U183" s="101"/>
      <c r="V183" s="101"/>
      <c r="W183" s="139"/>
      <c r="X183" s="139" t="s">
        <v>692</v>
      </c>
      <c r="Y183" s="139" t="s">
        <v>692</v>
      </c>
      <c r="Z183" s="139" t="s">
        <v>692</v>
      </c>
      <c r="AA183" s="139" t="s">
        <v>692</v>
      </c>
      <c r="AB183" s="139" t="s">
        <v>692</v>
      </c>
      <c r="AC183" s="139" t="s">
        <v>692</v>
      </c>
      <c r="AD183" s="139" t="s">
        <v>692</v>
      </c>
      <c r="AE183" s="139" t="s">
        <v>692</v>
      </c>
      <c r="AF183" s="139" t="s">
        <v>692</v>
      </c>
      <c r="AG183" s="139" t="s">
        <v>692</v>
      </c>
      <c r="AH183" s="139" t="s">
        <v>692</v>
      </c>
      <c r="AI183" s="139" t="s">
        <v>692</v>
      </c>
    </row>
    <row r="184" spans="1:35" ht="18.75" x14ac:dyDescent="0.25">
      <c r="B184" s="512" t="s">
        <v>184</v>
      </c>
      <c r="C184" s="512" t="s">
        <v>180</v>
      </c>
      <c r="D184" s="512">
        <v>150</v>
      </c>
      <c r="E184" s="513" t="s">
        <v>842</v>
      </c>
      <c r="F184" s="513" t="s">
        <v>101</v>
      </c>
      <c r="G184" s="513" t="s">
        <v>693</v>
      </c>
      <c r="H184" s="513"/>
      <c r="I184" s="513">
        <v>7153438</v>
      </c>
      <c r="J184" s="513"/>
      <c r="K184" s="513"/>
      <c r="L184" s="513"/>
      <c r="M184" s="513"/>
      <c r="N184" s="513"/>
      <c r="O184" s="513"/>
      <c r="P184" s="513"/>
      <c r="Q184" s="513"/>
      <c r="R184" s="101"/>
      <c r="S184" s="101"/>
      <c r="T184" s="101"/>
      <c r="U184" s="101"/>
      <c r="V184" s="101"/>
      <c r="W184" s="139"/>
      <c r="X184" s="139" t="s">
        <v>692</v>
      </c>
      <c r="Y184" s="139" t="s">
        <v>692</v>
      </c>
      <c r="Z184" s="139" t="s">
        <v>692</v>
      </c>
      <c r="AA184" s="139" t="s">
        <v>692</v>
      </c>
      <c r="AB184" s="139" t="s">
        <v>692</v>
      </c>
      <c r="AC184" s="139" t="s">
        <v>692</v>
      </c>
      <c r="AD184" s="139" t="s">
        <v>692</v>
      </c>
      <c r="AE184" s="139" t="s">
        <v>692</v>
      </c>
      <c r="AF184" s="139" t="s">
        <v>692</v>
      </c>
      <c r="AG184" s="139" t="s">
        <v>692</v>
      </c>
      <c r="AH184" s="139" t="s">
        <v>692</v>
      </c>
      <c r="AI184" s="139" t="s">
        <v>692</v>
      </c>
    </row>
    <row r="185" spans="1:35" ht="18.75" x14ac:dyDescent="0.25">
      <c r="B185" s="514" t="s">
        <v>43</v>
      </c>
      <c r="C185" s="514" t="s">
        <v>187</v>
      </c>
      <c r="D185" s="514">
        <v>150</v>
      </c>
      <c r="E185" s="515" t="s">
        <v>1371</v>
      </c>
      <c r="F185" s="515" t="s">
        <v>101</v>
      </c>
      <c r="G185" s="515" t="s">
        <v>1369</v>
      </c>
      <c r="H185" s="515" t="s">
        <v>1372</v>
      </c>
      <c r="I185" s="515">
        <v>620597</v>
      </c>
      <c r="J185" s="515"/>
      <c r="K185" s="515"/>
      <c r="L185" s="515"/>
      <c r="M185" s="515"/>
      <c r="N185" s="515"/>
      <c r="O185" s="515"/>
      <c r="P185" s="515"/>
      <c r="Q185" s="515"/>
      <c r="R185" s="101"/>
      <c r="S185" s="101"/>
      <c r="T185" s="101"/>
      <c r="U185" s="101"/>
      <c r="V185" s="101"/>
      <c r="W185" s="139"/>
      <c r="X185" s="139" t="s">
        <v>692</v>
      </c>
      <c r="Y185" s="139" t="s">
        <v>692</v>
      </c>
      <c r="Z185" s="139" t="s">
        <v>692</v>
      </c>
      <c r="AA185" s="139" t="s">
        <v>692</v>
      </c>
      <c r="AB185" s="139" t="s">
        <v>692</v>
      </c>
      <c r="AC185" s="139" t="s">
        <v>692</v>
      </c>
      <c r="AD185" s="139" t="s">
        <v>692</v>
      </c>
      <c r="AE185" s="139" t="s">
        <v>692</v>
      </c>
      <c r="AF185" s="139" t="s">
        <v>692</v>
      </c>
      <c r="AG185" s="139" t="s">
        <v>692</v>
      </c>
      <c r="AH185" s="139" t="s">
        <v>692</v>
      </c>
      <c r="AI185" s="139" t="s">
        <v>692</v>
      </c>
    </row>
    <row r="186" spans="1:35" ht="18.75" x14ac:dyDescent="0.25">
      <c r="B186" s="514" t="s">
        <v>214</v>
      </c>
      <c r="C186" s="514" t="s">
        <v>197</v>
      </c>
      <c r="D186" s="514">
        <v>150</v>
      </c>
      <c r="E186" s="515" t="s">
        <v>840</v>
      </c>
      <c r="F186" s="515" t="s">
        <v>215</v>
      </c>
      <c r="G186" s="515" t="s">
        <v>216</v>
      </c>
      <c r="H186" s="515"/>
      <c r="I186" s="515">
        <v>28015</v>
      </c>
      <c r="J186" s="515"/>
      <c r="K186" s="515"/>
      <c r="L186" s="515"/>
      <c r="M186" s="515"/>
      <c r="N186" s="515"/>
      <c r="O186" s="515"/>
      <c r="P186" s="515"/>
      <c r="Q186" s="515"/>
      <c r="R186" s="101"/>
      <c r="S186" s="101"/>
      <c r="T186" s="101"/>
      <c r="U186" s="101"/>
      <c r="V186" s="101"/>
      <c r="W186" s="139"/>
      <c r="X186" s="139" t="s">
        <v>692</v>
      </c>
      <c r="Y186" s="139" t="s">
        <v>692</v>
      </c>
      <c r="Z186" s="139" t="s">
        <v>692</v>
      </c>
      <c r="AA186" s="139" t="s">
        <v>692</v>
      </c>
      <c r="AB186" s="139" t="s">
        <v>692</v>
      </c>
      <c r="AC186" s="139" t="s">
        <v>692</v>
      </c>
      <c r="AD186" s="139" t="s">
        <v>692</v>
      </c>
      <c r="AE186" s="139" t="s">
        <v>692</v>
      </c>
      <c r="AF186" s="139" t="s">
        <v>692</v>
      </c>
      <c r="AG186" s="139" t="s">
        <v>692</v>
      </c>
      <c r="AH186" s="139" t="s">
        <v>692</v>
      </c>
      <c r="AI186" s="139" t="s">
        <v>692</v>
      </c>
    </row>
  </sheetData>
  <conditionalFormatting sqref="B3:AI186">
    <cfRule type="expression" dxfId="121" priority="79">
      <formula>$D3=350</formula>
    </cfRule>
    <cfRule type="expression" dxfId="120" priority="80">
      <formula>$D3=122</formula>
    </cfRule>
    <cfRule type="expression" dxfId="119" priority="81">
      <formula>$D3=132</formula>
    </cfRule>
    <cfRule type="expression" dxfId="118" priority="82">
      <formula>$D3=150</formula>
    </cfRule>
    <cfRule type="expression" dxfId="117" priority="83">
      <formula>$D3=140</formula>
    </cfRule>
    <cfRule type="expression" dxfId="116" priority="84">
      <formula>$D3=131</formula>
    </cfRule>
    <cfRule type="expression" dxfId="115" priority="85">
      <formula>$D3=121</formula>
    </cfRule>
    <cfRule type="expression" dxfId="114" priority="86">
      <formula>$D3=120</formula>
    </cfRule>
    <cfRule type="expression" dxfId="113" priority="87">
      <formula>$D3=110</formula>
    </cfRule>
    <cfRule type="expression" dxfId="112" priority="88">
      <formula>$D3=100</formula>
    </cfRule>
    <cfRule type="expression" dxfId="111" priority="89">
      <formula>$D3=3</formula>
    </cfRule>
    <cfRule type="expression" dxfId="110" priority="90">
      <formula>$D3=2</formula>
    </cfRule>
    <cfRule type="expression" dxfId="109" priority="91">
      <formula>$D3=1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6">
    <pageSetUpPr fitToPage="1"/>
  </sheetPr>
  <dimension ref="A1:AK416"/>
  <sheetViews>
    <sheetView zoomScale="70" zoomScaleNormal="70" workbookViewId="0">
      <selection activeCell="A2" sqref="A2"/>
    </sheetView>
  </sheetViews>
  <sheetFormatPr baseColWidth="10" defaultColWidth="11.42578125" defaultRowHeight="12.75" x14ac:dyDescent="0.2"/>
  <cols>
    <col min="1" max="1" width="41.7109375" style="18" bestFit="1" customWidth="1"/>
    <col min="2" max="2" width="23.5703125" style="29" customWidth="1"/>
    <col min="3" max="3" width="11.7109375" style="29" customWidth="1"/>
    <col min="4" max="4" width="5.5703125" style="29" bestFit="1" customWidth="1"/>
    <col min="5" max="5" width="42" style="29" customWidth="1"/>
    <col min="6" max="6" width="26.5703125" style="29" customWidth="1"/>
    <col min="7" max="16" width="14" style="29" hidden="1" customWidth="1"/>
    <col min="17" max="22" width="13.7109375" style="29" hidden="1" customWidth="1"/>
    <col min="23" max="23" width="11.140625" style="149" hidden="1" customWidth="1"/>
    <col min="24" max="26" width="12.28515625" style="149" bestFit="1" customWidth="1"/>
    <col min="27" max="27" width="14.28515625" style="149" bestFit="1" customWidth="1"/>
    <col min="28" max="28" width="12.28515625" style="149" bestFit="1" customWidth="1"/>
    <col min="29" max="29" width="12.42578125" style="149" bestFit="1" customWidth="1"/>
    <col min="30" max="31" width="12.28515625" style="149" bestFit="1" customWidth="1"/>
    <col min="32" max="32" width="14.42578125" style="149" bestFit="1" customWidth="1"/>
    <col min="33" max="33" width="12.85546875" style="149" bestFit="1" customWidth="1"/>
    <col min="34" max="34" width="13.7109375" style="149" bestFit="1" customWidth="1"/>
    <col min="35" max="35" width="16.140625" style="39" bestFit="1" customWidth="1"/>
    <col min="36" max="36" width="14.42578125" style="18" bestFit="1" customWidth="1"/>
    <col min="37" max="37" width="12.5703125" style="18" bestFit="1" customWidth="1"/>
    <col min="38" max="16384" width="11.42578125" style="18"/>
  </cols>
  <sheetData>
    <row r="1" spans="1:37" ht="21" x14ac:dyDescent="0.35">
      <c r="A1" s="217" t="s">
        <v>1714</v>
      </c>
      <c r="B1" s="217"/>
      <c r="C1" s="217"/>
      <c r="D1" s="217"/>
      <c r="F1" s="34"/>
      <c r="G1" s="37"/>
    </row>
    <row r="2" spans="1:37" ht="21" x14ac:dyDescent="0.35">
      <c r="A2" s="345"/>
      <c r="B2" s="345"/>
      <c r="C2" s="345"/>
      <c r="D2" s="345"/>
    </row>
    <row r="3" spans="1:37" s="22" customFormat="1" ht="18.75" customHeight="1" x14ac:dyDescent="0.2">
      <c r="A3" s="216" t="s">
        <v>479</v>
      </c>
      <c r="B3" s="216"/>
      <c r="C3" s="216"/>
      <c r="D3" s="216"/>
      <c r="E3" s="209" t="s">
        <v>667</v>
      </c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  <c r="AH3" s="150"/>
      <c r="AI3" s="40"/>
    </row>
    <row r="4" spans="1:37" ht="13.5" customHeight="1" x14ac:dyDescent="0.25">
      <c r="A4" s="24" t="s">
        <v>670</v>
      </c>
      <c r="B4" s="165" t="s">
        <v>18</v>
      </c>
      <c r="C4" s="165" t="s">
        <v>0</v>
      </c>
      <c r="D4" s="165" t="s">
        <v>671</v>
      </c>
      <c r="E4" s="210" t="s">
        <v>1</v>
      </c>
      <c r="F4" s="31" t="s">
        <v>2</v>
      </c>
      <c r="G4" s="18" t="s">
        <v>3</v>
      </c>
      <c r="H4" s="18" t="s">
        <v>4</v>
      </c>
      <c r="I4" s="18" t="s">
        <v>999</v>
      </c>
      <c r="J4" s="18" t="s">
        <v>970</v>
      </c>
      <c r="K4" s="31" t="s">
        <v>1000</v>
      </c>
      <c r="L4" s="31" t="s">
        <v>1001</v>
      </c>
      <c r="M4" s="31" t="s">
        <v>1002</v>
      </c>
      <c r="N4" s="31" t="s">
        <v>1003</v>
      </c>
      <c r="O4" s="31" t="s">
        <v>1004</v>
      </c>
      <c r="P4" s="31" t="s">
        <v>1005</v>
      </c>
      <c r="Q4" s="18" t="s">
        <v>1006</v>
      </c>
      <c r="R4" s="31" t="s">
        <v>1007</v>
      </c>
      <c r="S4" s="31" t="s">
        <v>1008</v>
      </c>
      <c r="T4" s="31" t="s">
        <v>1009</v>
      </c>
      <c r="U4" s="31" t="s">
        <v>1010</v>
      </c>
      <c r="V4" s="31" t="s">
        <v>1011</v>
      </c>
      <c r="W4" s="151" t="s">
        <v>711</v>
      </c>
      <c r="X4" s="151" t="s">
        <v>463</v>
      </c>
      <c r="Y4" s="151" t="s">
        <v>464</v>
      </c>
      <c r="Z4" s="151" t="s">
        <v>465</v>
      </c>
      <c r="AA4" s="151" t="s">
        <v>466</v>
      </c>
      <c r="AB4" s="151" t="s">
        <v>467</v>
      </c>
      <c r="AC4" s="151" t="s">
        <v>468</v>
      </c>
      <c r="AD4" s="151" t="s">
        <v>469</v>
      </c>
      <c r="AE4" s="151" t="s">
        <v>470</v>
      </c>
      <c r="AF4" s="151" t="s">
        <v>471</v>
      </c>
      <c r="AG4" s="151" t="s">
        <v>472</v>
      </c>
      <c r="AH4" s="151" t="s">
        <v>473</v>
      </c>
      <c r="AI4" s="41" t="s">
        <v>474</v>
      </c>
      <c r="AJ4" s="41" t="s">
        <v>647</v>
      </c>
    </row>
    <row r="5" spans="1:37" x14ac:dyDescent="0.2">
      <c r="A5" s="20"/>
      <c r="B5" s="34" t="s">
        <v>1104</v>
      </c>
      <c r="C5" s="34" t="s">
        <v>318</v>
      </c>
      <c r="D5" s="34">
        <v>110</v>
      </c>
      <c r="E5" s="34" t="s">
        <v>1093</v>
      </c>
      <c r="F5" s="34" t="s">
        <v>1514</v>
      </c>
      <c r="G5" s="34" t="s">
        <v>326</v>
      </c>
      <c r="H5" s="34"/>
      <c r="I5" s="34">
        <v>2700558</v>
      </c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 t="s">
        <v>692</v>
      </c>
      <c r="Y5" s="34" t="s">
        <v>692</v>
      </c>
      <c r="Z5" s="34" t="s">
        <v>692</v>
      </c>
      <c r="AA5" s="34" t="s">
        <v>692</v>
      </c>
      <c r="AB5" s="34" t="s">
        <v>692</v>
      </c>
      <c r="AC5" s="34" t="s">
        <v>692</v>
      </c>
      <c r="AD5" s="34" t="s">
        <v>692</v>
      </c>
      <c r="AE5" s="34" t="s">
        <v>692</v>
      </c>
      <c r="AF5" s="34" t="s">
        <v>692</v>
      </c>
      <c r="AG5" s="34" t="s">
        <v>692</v>
      </c>
      <c r="AH5" s="34" t="s">
        <v>692</v>
      </c>
      <c r="AI5" s="34" t="s">
        <v>692</v>
      </c>
      <c r="AJ5" s="43">
        <f>SUM(X5:AI5)</f>
        <v>0</v>
      </c>
      <c r="AK5" s="249"/>
    </row>
    <row r="6" spans="1:37" x14ac:dyDescent="0.2">
      <c r="A6" s="20"/>
      <c r="B6" s="34" t="s">
        <v>1197</v>
      </c>
      <c r="C6" s="34" t="s">
        <v>318</v>
      </c>
      <c r="D6" s="34">
        <v>110</v>
      </c>
      <c r="E6" s="34" t="s">
        <v>1097</v>
      </c>
      <c r="F6" s="34" t="s">
        <v>1588</v>
      </c>
      <c r="G6" s="34" t="s">
        <v>326</v>
      </c>
      <c r="H6" s="34"/>
      <c r="I6" s="34">
        <v>4298530</v>
      </c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 t="s">
        <v>692</v>
      </c>
      <c r="Y6" s="34" t="s">
        <v>692</v>
      </c>
      <c r="Z6" s="34" t="s">
        <v>692</v>
      </c>
      <c r="AA6" s="34" t="s">
        <v>692</v>
      </c>
      <c r="AB6" s="34" t="s">
        <v>692</v>
      </c>
      <c r="AC6" s="34" t="s">
        <v>692</v>
      </c>
      <c r="AD6" s="34" t="s">
        <v>692</v>
      </c>
      <c r="AE6" s="34" t="s">
        <v>692</v>
      </c>
      <c r="AF6" s="34" t="s">
        <v>692</v>
      </c>
      <c r="AG6" s="34" t="s">
        <v>692</v>
      </c>
      <c r="AH6" s="34" t="s">
        <v>692</v>
      </c>
      <c r="AI6" s="34" t="s">
        <v>692</v>
      </c>
      <c r="AJ6" s="43">
        <f t="shared" ref="AJ6:AJ51" si="0">SUM(X6:AI6)</f>
        <v>0</v>
      </c>
      <c r="AK6" s="249"/>
    </row>
    <row r="7" spans="1:37" x14ac:dyDescent="0.2">
      <c r="A7" s="20"/>
      <c r="B7" s="34" t="s">
        <v>1196</v>
      </c>
      <c r="C7" s="34" t="s">
        <v>318</v>
      </c>
      <c r="D7" s="34">
        <v>110</v>
      </c>
      <c r="E7" s="34" t="s">
        <v>1096</v>
      </c>
      <c r="F7" s="34" t="s">
        <v>1590</v>
      </c>
      <c r="G7" s="34" t="s">
        <v>804</v>
      </c>
      <c r="H7" s="34"/>
      <c r="I7" s="34">
        <v>1229420</v>
      </c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 t="s">
        <v>692</v>
      </c>
      <c r="Y7" s="34" t="s">
        <v>692</v>
      </c>
      <c r="Z7" s="34" t="s">
        <v>692</v>
      </c>
      <c r="AA7" s="34" t="s">
        <v>692</v>
      </c>
      <c r="AB7" s="34" t="s">
        <v>692</v>
      </c>
      <c r="AC7" s="34" t="s">
        <v>692</v>
      </c>
      <c r="AD7" s="34" t="s">
        <v>692</v>
      </c>
      <c r="AE7" s="34" t="s">
        <v>692</v>
      </c>
      <c r="AF7" s="34" t="s">
        <v>692</v>
      </c>
      <c r="AG7" s="34" t="s">
        <v>692</v>
      </c>
      <c r="AH7" s="34" t="s">
        <v>692</v>
      </c>
      <c r="AI7" s="34" t="s">
        <v>692</v>
      </c>
      <c r="AJ7" s="43">
        <f t="shared" si="0"/>
        <v>0</v>
      </c>
      <c r="AK7" s="249"/>
    </row>
    <row r="8" spans="1:37" x14ac:dyDescent="0.2">
      <c r="A8" s="20"/>
      <c r="B8" s="34" t="s">
        <v>1103</v>
      </c>
      <c r="C8" s="34" t="s">
        <v>318</v>
      </c>
      <c r="D8" s="34">
        <v>110</v>
      </c>
      <c r="E8" s="34" t="s">
        <v>1092</v>
      </c>
      <c r="F8" s="34" t="s">
        <v>1591</v>
      </c>
      <c r="G8" s="34" t="s">
        <v>324</v>
      </c>
      <c r="H8" s="34"/>
      <c r="I8" s="34">
        <v>2004008</v>
      </c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 t="s">
        <v>692</v>
      </c>
      <c r="Y8" s="34" t="s">
        <v>692</v>
      </c>
      <c r="Z8" s="34" t="s">
        <v>692</v>
      </c>
      <c r="AA8" s="34" t="s">
        <v>692</v>
      </c>
      <c r="AB8" s="34" t="s">
        <v>692</v>
      </c>
      <c r="AC8" s="34" t="s">
        <v>692</v>
      </c>
      <c r="AD8" s="34" t="s">
        <v>692</v>
      </c>
      <c r="AE8" s="34" t="s">
        <v>692</v>
      </c>
      <c r="AF8" s="34" t="s">
        <v>692</v>
      </c>
      <c r="AG8" s="34" t="s">
        <v>692</v>
      </c>
      <c r="AH8" s="34" t="s">
        <v>692</v>
      </c>
      <c r="AI8" s="34" t="s">
        <v>692</v>
      </c>
      <c r="AJ8" s="43">
        <f t="shared" si="0"/>
        <v>0</v>
      </c>
      <c r="AK8" s="249"/>
    </row>
    <row r="9" spans="1:37" x14ac:dyDescent="0.2">
      <c r="A9" s="20"/>
      <c r="B9" s="34" t="s">
        <v>1101</v>
      </c>
      <c r="C9" s="34" t="s">
        <v>318</v>
      </c>
      <c r="D9" s="34">
        <v>110</v>
      </c>
      <c r="E9" s="34" t="s">
        <v>1095</v>
      </c>
      <c r="F9" s="34" t="s">
        <v>1515</v>
      </c>
      <c r="G9" s="34" t="s">
        <v>327</v>
      </c>
      <c r="H9" s="34"/>
      <c r="I9" s="34">
        <v>585138</v>
      </c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 t="s">
        <v>692</v>
      </c>
      <c r="Y9" s="34" t="s">
        <v>692</v>
      </c>
      <c r="Z9" s="34" t="s">
        <v>692</v>
      </c>
      <c r="AA9" s="34" t="s">
        <v>692</v>
      </c>
      <c r="AB9" s="34" t="s">
        <v>692</v>
      </c>
      <c r="AC9" s="34" t="s">
        <v>692</v>
      </c>
      <c r="AD9" s="34" t="s">
        <v>692</v>
      </c>
      <c r="AE9" s="34" t="s">
        <v>692</v>
      </c>
      <c r="AF9" s="34" t="s">
        <v>692</v>
      </c>
      <c r="AG9" s="34" t="s">
        <v>692</v>
      </c>
      <c r="AH9" s="34" t="s">
        <v>692</v>
      </c>
      <c r="AI9" s="34" t="s">
        <v>692</v>
      </c>
      <c r="AJ9" s="43">
        <f t="shared" si="0"/>
        <v>0</v>
      </c>
      <c r="AK9" s="249"/>
    </row>
    <row r="10" spans="1:37" x14ac:dyDescent="0.2">
      <c r="A10" s="20"/>
      <c r="B10" s="34" t="s">
        <v>1198</v>
      </c>
      <c r="C10" s="34" t="s">
        <v>318</v>
      </c>
      <c r="D10" s="34">
        <v>110</v>
      </c>
      <c r="E10" s="34" t="s">
        <v>1098</v>
      </c>
      <c r="F10" s="34" t="s">
        <v>1594</v>
      </c>
      <c r="G10" s="34" t="s">
        <v>327</v>
      </c>
      <c r="H10" s="34"/>
      <c r="I10" s="34">
        <v>947351</v>
      </c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 t="s">
        <v>692</v>
      </c>
      <c r="Y10" s="34" t="s">
        <v>692</v>
      </c>
      <c r="Z10" s="34" t="s">
        <v>692</v>
      </c>
      <c r="AA10" s="34" t="s">
        <v>692</v>
      </c>
      <c r="AB10" s="34" t="s">
        <v>692</v>
      </c>
      <c r="AC10" s="34" t="s">
        <v>692</v>
      </c>
      <c r="AD10" s="34" t="s">
        <v>692</v>
      </c>
      <c r="AE10" s="34" t="s">
        <v>692</v>
      </c>
      <c r="AF10" s="34" t="s">
        <v>692</v>
      </c>
      <c r="AG10" s="34" t="s">
        <v>692</v>
      </c>
      <c r="AH10" s="34" t="s">
        <v>692</v>
      </c>
      <c r="AI10" s="34" t="s">
        <v>692</v>
      </c>
      <c r="AJ10" s="43">
        <f t="shared" si="0"/>
        <v>0</v>
      </c>
      <c r="AK10" s="249"/>
    </row>
    <row r="11" spans="1:37" x14ac:dyDescent="0.2">
      <c r="A11" s="20"/>
      <c r="B11" s="34" t="s">
        <v>1100</v>
      </c>
      <c r="C11" s="34" t="s">
        <v>318</v>
      </c>
      <c r="D11" s="34">
        <v>110</v>
      </c>
      <c r="E11" s="34" t="s">
        <v>1094</v>
      </c>
      <c r="F11" s="34" t="s">
        <v>1517</v>
      </c>
      <c r="G11" s="34" t="s">
        <v>324</v>
      </c>
      <c r="H11" s="34"/>
      <c r="I11" s="34">
        <v>437029</v>
      </c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 t="s">
        <v>692</v>
      </c>
      <c r="Y11" s="34" t="s">
        <v>692</v>
      </c>
      <c r="Z11" s="34" t="s">
        <v>692</v>
      </c>
      <c r="AA11" s="34" t="s">
        <v>692</v>
      </c>
      <c r="AB11" s="34" t="s">
        <v>692</v>
      </c>
      <c r="AC11" s="34" t="s">
        <v>692</v>
      </c>
      <c r="AD11" s="34" t="s">
        <v>692</v>
      </c>
      <c r="AE11" s="34" t="s">
        <v>692</v>
      </c>
      <c r="AF11" s="34" t="s">
        <v>692</v>
      </c>
      <c r="AG11" s="34" t="s">
        <v>692</v>
      </c>
      <c r="AH11" s="34" t="s">
        <v>692</v>
      </c>
      <c r="AI11" s="34" t="s">
        <v>692</v>
      </c>
      <c r="AJ11" s="43">
        <f t="shared" si="0"/>
        <v>0</v>
      </c>
      <c r="AK11" s="249"/>
    </row>
    <row r="12" spans="1:37" x14ac:dyDescent="0.2">
      <c r="A12" s="20"/>
      <c r="B12" s="34" t="s">
        <v>1194</v>
      </c>
      <c r="C12" s="34" t="s">
        <v>318</v>
      </c>
      <c r="D12" s="34">
        <v>121</v>
      </c>
      <c r="E12" s="34" t="s">
        <v>319</v>
      </c>
      <c r="F12" s="34" t="s">
        <v>320</v>
      </c>
      <c r="G12" s="34" t="s">
        <v>321</v>
      </c>
      <c r="H12" s="34"/>
      <c r="I12" s="34">
        <v>12645462</v>
      </c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 t="s">
        <v>692</v>
      </c>
      <c r="Y12" s="34" t="s">
        <v>692</v>
      </c>
      <c r="Z12" s="34" t="s">
        <v>692</v>
      </c>
      <c r="AA12" s="34" t="s">
        <v>692</v>
      </c>
      <c r="AB12" s="34" t="s">
        <v>692</v>
      </c>
      <c r="AC12" s="34" t="s">
        <v>692</v>
      </c>
      <c r="AD12" s="34" t="s">
        <v>692</v>
      </c>
      <c r="AE12" s="34" t="s">
        <v>692</v>
      </c>
      <c r="AF12" s="34" t="s">
        <v>692</v>
      </c>
      <c r="AG12" s="34" t="s">
        <v>692</v>
      </c>
      <c r="AH12" s="34" t="s">
        <v>692</v>
      </c>
      <c r="AI12" s="34" t="s">
        <v>692</v>
      </c>
      <c r="AJ12" s="43">
        <f t="shared" si="0"/>
        <v>0</v>
      </c>
      <c r="AK12" s="249"/>
    </row>
    <row r="13" spans="1:37" x14ac:dyDescent="0.2">
      <c r="A13" s="20"/>
      <c r="B13" s="34" t="s">
        <v>128</v>
      </c>
      <c r="C13" s="34" t="s">
        <v>120</v>
      </c>
      <c r="D13" s="34">
        <v>122</v>
      </c>
      <c r="E13" s="34" t="s">
        <v>129</v>
      </c>
      <c r="F13" s="34" t="s">
        <v>38</v>
      </c>
      <c r="G13" s="34" t="s">
        <v>129</v>
      </c>
      <c r="H13" s="34"/>
      <c r="I13" s="34">
        <v>612109</v>
      </c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 t="s">
        <v>692</v>
      </c>
      <c r="Y13" s="34" t="s">
        <v>692</v>
      </c>
      <c r="Z13" s="34" t="s">
        <v>692</v>
      </c>
      <c r="AA13" s="34" t="s">
        <v>692</v>
      </c>
      <c r="AB13" s="34" t="s">
        <v>692</v>
      </c>
      <c r="AC13" s="34" t="s">
        <v>692</v>
      </c>
      <c r="AD13" s="34" t="s">
        <v>692</v>
      </c>
      <c r="AE13" s="34" t="s">
        <v>692</v>
      </c>
      <c r="AF13" s="34" t="s">
        <v>692</v>
      </c>
      <c r="AG13" s="34" t="s">
        <v>692</v>
      </c>
      <c r="AH13" s="34" t="s">
        <v>692</v>
      </c>
      <c r="AI13" s="34" t="s">
        <v>692</v>
      </c>
      <c r="AJ13" s="43">
        <f t="shared" si="0"/>
        <v>0</v>
      </c>
      <c r="AK13" s="249"/>
    </row>
    <row r="14" spans="1:37" x14ac:dyDescent="0.2">
      <c r="A14" s="20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43">
        <f t="shared" si="0"/>
        <v>0</v>
      </c>
      <c r="AK14" s="249"/>
    </row>
    <row r="15" spans="1:37" x14ac:dyDescent="0.2">
      <c r="A15" s="20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43">
        <f t="shared" si="0"/>
        <v>0</v>
      </c>
      <c r="AK15" s="249"/>
    </row>
    <row r="16" spans="1:37" x14ac:dyDescent="0.2">
      <c r="A16" s="20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43">
        <f t="shared" si="0"/>
        <v>0</v>
      </c>
      <c r="AK16" s="249"/>
    </row>
    <row r="17" spans="1:37" x14ac:dyDescent="0.2">
      <c r="A17" s="20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43">
        <f t="shared" si="0"/>
        <v>0</v>
      </c>
      <c r="AK17" s="249"/>
    </row>
    <row r="18" spans="1:37" x14ac:dyDescent="0.2">
      <c r="A18" s="20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43">
        <f t="shared" si="0"/>
        <v>0</v>
      </c>
      <c r="AK18" s="249"/>
    </row>
    <row r="19" spans="1:37" x14ac:dyDescent="0.2">
      <c r="A19" s="20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43">
        <f t="shared" si="0"/>
        <v>0</v>
      </c>
      <c r="AK19" s="249"/>
    </row>
    <row r="20" spans="1:37" x14ac:dyDescent="0.2">
      <c r="A20" s="20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43">
        <f t="shared" si="0"/>
        <v>0</v>
      </c>
      <c r="AK20" s="249"/>
    </row>
    <row r="21" spans="1:37" x14ac:dyDescent="0.2">
      <c r="A21" s="20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43">
        <f t="shared" si="0"/>
        <v>0</v>
      </c>
      <c r="AK21" s="249"/>
    </row>
    <row r="22" spans="1:37" x14ac:dyDescent="0.2">
      <c r="A22" s="20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43">
        <f t="shared" si="0"/>
        <v>0</v>
      </c>
      <c r="AK22" s="249"/>
    </row>
    <row r="23" spans="1:37" x14ac:dyDescent="0.2">
      <c r="A23" s="20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43">
        <f t="shared" si="0"/>
        <v>0</v>
      </c>
      <c r="AK23" s="249"/>
    </row>
    <row r="24" spans="1:37" x14ac:dyDescent="0.2">
      <c r="A24" s="20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43">
        <f t="shared" si="0"/>
        <v>0</v>
      </c>
      <c r="AK24" s="249"/>
    </row>
    <row r="25" spans="1:37" x14ac:dyDescent="0.2">
      <c r="A25" s="20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43">
        <f t="shared" si="0"/>
        <v>0</v>
      </c>
      <c r="AK25" s="249"/>
    </row>
    <row r="26" spans="1:37" x14ac:dyDescent="0.2">
      <c r="A26" s="20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43">
        <f t="shared" si="0"/>
        <v>0</v>
      </c>
      <c r="AK26" s="249"/>
    </row>
    <row r="27" spans="1:37" x14ac:dyDescent="0.2">
      <c r="A27" s="20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43">
        <f t="shared" si="0"/>
        <v>0</v>
      </c>
      <c r="AK27" s="249"/>
    </row>
    <row r="28" spans="1:37" x14ac:dyDescent="0.2">
      <c r="A28" s="20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43">
        <f t="shared" si="0"/>
        <v>0</v>
      </c>
      <c r="AK28" s="249"/>
    </row>
    <row r="29" spans="1:37" x14ac:dyDescent="0.2">
      <c r="A29" s="20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43">
        <f t="shared" si="0"/>
        <v>0</v>
      </c>
      <c r="AK29" s="249"/>
    </row>
    <row r="30" spans="1:37" x14ac:dyDescent="0.2">
      <c r="A30" s="20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43">
        <f t="shared" si="0"/>
        <v>0</v>
      </c>
      <c r="AK30" s="249"/>
    </row>
    <row r="31" spans="1:37" x14ac:dyDescent="0.2">
      <c r="A31" s="20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43">
        <f t="shared" si="0"/>
        <v>0</v>
      </c>
      <c r="AK31" s="249"/>
    </row>
    <row r="32" spans="1:37" x14ac:dyDescent="0.2">
      <c r="A32" s="20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43">
        <f t="shared" si="0"/>
        <v>0</v>
      </c>
      <c r="AK32" s="249"/>
    </row>
    <row r="33" spans="1:37" x14ac:dyDescent="0.2">
      <c r="A33" s="20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43">
        <f t="shared" si="0"/>
        <v>0</v>
      </c>
      <c r="AK33" s="249"/>
    </row>
    <row r="34" spans="1:37" x14ac:dyDescent="0.2">
      <c r="A34" s="20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43">
        <f t="shared" si="0"/>
        <v>0</v>
      </c>
      <c r="AK34" s="249"/>
    </row>
    <row r="35" spans="1:37" x14ac:dyDescent="0.2">
      <c r="A35" s="20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43">
        <f t="shared" si="0"/>
        <v>0</v>
      </c>
      <c r="AK35" s="249"/>
    </row>
    <row r="36" spans="1:37" x14ac:dyDescent="0.2">
      <c r="A36" s="20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43">
        <f t="shared" si="0"/>
        <v>0</v>
      </c>
      <c r="AK36" s="249"/>
    </row>
    <row r="37" spans="1:37" x14ac:dyDescent="0.2">
      <c r="A37" s="20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43">
        <f t="shared" si="0"/>
        <v>0</v>
      </c>
      <c r="AK37" s="249"/>
    </row>
    <row r="38" spans="1:37" x14ac:dyDescent="0.2">
      <c r="A38" s="20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43">
        <f t="shared" si="0"/>
        <v>0</v>
      </c>
      <c r="AK38" s="249"/>
    </row>
    <row r="39" spans="1:37" x14ac:dyDescent="0.2">
      <c r="A39" s="25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43">
        <f t="shared" si="0"/>
        <v>0</v>
      </c>
      <c r="AK39" s="249"/>
    </row>
    <row r="40" spans="1:37" x14ac:dyDescent="0.2">
      <c r="A40" s="20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43">
        <f t="shared" si="0"/>
        <v>0</v>
      </c>
      <c r="AK40" s="249"/>
    </row>
    <row r="41" spans="1:37" x14ac:dyDescent="0.2">
      <c r="A41" s="20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43">
        <f t="shared" si="0"/>
        <v>0</v>
      </c>
      <c r="AK41" s="249"/>
    </row>
    <row r="42" spans="1:37" x14ac:dyDescent="0.2">
      <c r="A42" s="20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43">
        <f t="shared" si="0"/>
        <v>0</v>
      </c>
      <c r="AK42" s="249"/>
    </row>
    <row r="43" spans="1:37" x14ac:dyDescent="0.2">
      <c r="A43" s="20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43">
        <f t="shared" si="0"/>
        <v>0</v>
      </c>
      <c r="AK43" s="249"/>
    </row>
    <row r="44" spans="1:37" x14ac:dyDescent="0.2">
      <c r="A44" s="20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43">
        <f t="shared" si="0"/>
        <v>0</v>
      </c>
      <c r="AK44" s="249"/>
    </row>
    <row r="45" spans="1:37" x14ac:dyDescent="0.2">
      <c r="A45" s="20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43">
        <f t="shared" si="0"/>
        <v>0</v>
      </c>
      <c r="AK45" s="249"/>
    </row>
    <row r="46" spans="1:37" x14ac:dyDescent="0.2">
      <c r="A46" s="20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43">
        <f t="shared" si="0"/>
        <v>0</v>
      </c>
      <c r="AK46" s="249"/>
    </row>
    <row r="47" spans="1:37" x14ac:dyDescent="0.2">
      <c r="A47" s="20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43">
        <f t="shared" si="0"/>
        <v>0</v>
      </c>
      <c r="AK47" s="249"/>
    </row>
    <row r="48" spans="1:37" x14ac:dyDescent="0.2">
      <c r="A48" s="20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43">
        <f t="shared" si="0"/>
        <v>0</v>
      </c>
      <c r="AK48" s="249"/>
    </row>
    <row r="49" spans="1:36" x14ac:dyDescent="0.2"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43">
        <f t="shared" si="0"/>
        <v>0</v>
      </c>
    </row>
    <row r="50" spans="1:36" x14ac:dyDescent="0.2">
      <c r="B50" s="34"/>
      <c r="C50" s="34"/>
      <c r="D50" s="34"/>
      <c r="E50" s="34"/>
      <c r="F50" s="34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152"/>
      <c r="X50" s="155"/>
      <c r="Y50" s="155"/>
      <c r="Z50" s="155"/>
      <c r="AA50" s="155"/>
      <c r="AB50" s="155"/>
      <c r="AC50" s="155"/>
      <c r="AD50" s="155"/>
      <c r="AE50" s="155"/>
      <c r="AF50" s="155"/>
      <c r="AG50" s="155"/>
      <c r="AH50" s="155"/>
      <c r="AI50" s="155"/>
      <c r="AJ50" s="43">
        <f t="shared" si="0"/>
        <v>0</v>
      </c>
    </row>
    <row r="51" spans="1:36" x14ac:dyDescent="0.2">
      <c r="A51" s="20"/>
      <c r="B51" s="34"/>
      <c r="C51" s="34"/>
      <c r="D51" s="34"/>
      <c r="E51" s="34"/>
      <c r="F51" s="34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152"/>
      <c r="X51" s="155"/>
      <c r="Y51" s="155"/>
      <c r="Z51" s="155"/>
      <c r="AA51" s="155"/>
      <c r="AB51" s="155"/>
      <c r="AC51" s="155"/>
      <c r="AD51" s="155"/>
      <c r="AE51" s="155"/>
      <c r="AF51" s="155"/>
      <c r="AG51" s="155"/>
      <c r="AH51" s="155"/>
      <c r="AI51" s="155"/>
      <c r="AJ51" s="43">
        <f t="shared" si="0"/>
        <v>0</v>
      </c>
    </row>
    <row r="52" spans="1:36" s="27" customFormat="1" x14ac:dyDescent="0.2">
      <c r="A52" s="531"/>
      <c r="B52" s="531"/>
      <c r="C52" s="531"/>
      <c r="D52" s="531"/>
      <c r="E52" s="211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153">
        <f t="shared" ref="W52:AJ52" si="1">SUMIFS(W5:W51,W5:W51,"&gt;0",W5:W51,"&lt;1999999")</f>
        <v>0</v>
      </c>
      <c r="X52" s="153">
        <f t="shared" si="1"/>
        <v>0</v>
      </c>
      <c r="Y52" s="153">
        <f t="shared" si="1"/>
        <v>0</v>
      </c>
      <c r="Z52" s="153">
        <f t="shared" si="1"/>
        <v>0</v>
      </c>
      <c r="AA52" s="153">
        <f t="shared" si="1"/>
        <v>0</v>
      </c>
      <c r="AB52" s="153">
        <f t="shared" si="1"/>
        <v>0</v>
      </c>
      <c r="AC52" s="153">
        <f t="shared" si="1"/>
        <v>0</v>
      </c>
      <c r="AD52" s="153">
        <f>SUMIFS(AD5:AD51,AD5:AD51,"&gt;0",AD5:AD51,"&lt;1999999")</f>
        <v>0</v>
      </c>
      <c r="AE52" s="153">
        <f t="shared" si="1"/>
        <v>0</v>
      </c>
      <c r="AF52" s="153">
        <f t="shared" si="1"/>
        <v>0</v>
      </c>
      <c r="AG52" s="153">
        <f t="shared" si="1"/>
        <v>0</v>
      </c>
      <c r="AH52" s="153">
        <f t="shared" si="1"/>
        <v>0</v>
      </c>
      <c r="AI52" s="153">
        <f t="shared" si="1"/>
        <v>0</v>
      </c>
      <c r="AJ52" s="153">
        <f t="shared" si="1"/>
        <v>0</v>
      </c>
    </row>
    <row r="53" spans="1:36" s="21" customFormat="1" x14ac:dyDescent="0.2">
      <c r="B53" s="37"/>
      <c r="C53" s="37"/>
      <c r="D53" s="37"/>
      <c r="E53" s="37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154"/>
      <c r="X53" s="154"/>
      <c r="Y53" s="154"/>
      <c r="Z53" s="154"/>
      <c r="AA53" s="154"/>
      <c r="AB53" s="154"/>
      <c r="AC53" s="154"/>
      <c r="AD53" s="154"/>
      <c r="AE53" s="154"/>
      <c r="AF53" s="154"/>
      <c r="AG53" s="154"/>
      <c r="AH53" s="154"/>
      <c r="AI53" s="39"/>
    </row>
    <row r="54" spans="1:36" x14ac:dyDescent="0.2">
      <c r="A54" s="19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155"/>
      <c r="X54" s="155"/>
      <c r="Y54" s="155"/>
      <c r="Z54" s="155"/>
      <c r="AA54" s="155"/>
      <c r="AB54" s="155"/>
      <c r="AC54" s="155"/>
      <c r="AD54" s="155"/>
      <c r="AE54" s="155"/>
      <c r="AF54" s="155"/>
      <c r="AG54" s="155"/>
      <c r="AH54" s="155"/>
    </row>
    <row r="55" spans="1:36" s="22" customFormat="1" ht="18.75" customHeight="1" x14ac:dyDescent="0.2">
      <c r="A55" s="216" t="s">
        <v>161</v>
      </c>
      <c r="B55" s="216"/>
      <c r="C55" s="216"/>
      <c r="D55" s="216"/>
      <c r="E55" s="209">
        <v>131</v>
      </c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150"/>
      <c r="X55" s="150"/>
      <c r="Y55" s="150"/>
      <c r="Z55" s="150"/>
      <c r="AA55" s="150"/>
      <c r="AB55" s="150"/>
      <c r="AC55" s="150"/>
      <c r="AD55" s="150"/>
      <c r="AE55" s="150"/>
      <c r="AF55" s="150"/>
      <c r="AG55" s="150"/>
      <c r="AH55" s="150"/>
      <c r="AI55" s="40"/>
    </row>
    <row r="56" spans="1:36" ht="13.5" customHeight="1" x14ac:dyDescent="0.25">
      <c r="A56" s="24" t="s">
        <v>670</v>
      </c>
      <c r="B56" s="165" t="s">
        <v>18</v>
      </c>
      <c r="C56" s="165" t="s">
        <v>0</v>
      </c>
      <c r="D56" s="165" t="s">
        <v>671</v>
      </c>
      <c r="E56" s="210" t="s">
        <v>1</v>
      </c>
      <c r="F56" s="31" t="s">
        <v>2</v>
      </c>
      <c r="G56" s="31" t="s">
        <v>3</v>
      </c>
      <c r="H56" s="31" t="s">
        <v>4</v>
      </c>
      <c r="I56" s="31" t="s">
        <v>999</v>
      </c>
      <c r="J56" s="31" t="s">
        <v>970</v>
      </c>
      <c r="K56" s="31" t="s">
        <v>1000</v>
      </c>
      <c r="L56" s="31" t="s">
        <v>1001</v>
      </c>
      <c r="M56" s="31" t="s">
        <v>1002</v>
      </c>
      <c r="N56" s="31" t="s">
        <v>1003</v>
      </c>
      <c r="O56" s="31" t="s">
        <v>1004</v>
      </c>
      <c r="P56" s="31" t="s">
        <v>1005</v>
      </c>
      <c r="Q56" s="31" t="s">
        <v>1006</v>
      </c>
      <c r="R56" s="31" t="s">
        <v>1007</v>
      </c>
      <c r="S56" s="31" t="s">
        <v>1008</v>
      </c>
      <c r="T56" s="31" t="s">
        <v>1009</v>
      </c>
      <c r="U56" s="31" t="s">
        <v>1010</v>
      </c>
      <c r="V56" s="31" t="s">
        <v>1011</v>
      </c>
      <c r="W56" s="151" t="s">
        <v>711</v>
      </c>
      <c r="X56" s="151" t="s">
        <v>463</v>
      </c>
      <c r="Y56" s="151" t="s">
        <v>464</v>
      </c>
      <c r="Z56" s="151" t="s">
        <v>465</v>
      </c>
      <c r="AA56" s="151" t="s">
        <v>466</v>
      </c>
      <c r="AB56" s="151" t="s">
        <v>467</v>
      </c>
      <c r="AC56" s="151" t="s">
        <v>468</v>
      </c>
      <c r="AD56" s="151" t="s">
        <v>469</v>
      </c>
      <c r="AE56" s="151" t="s">
        <v>470</v>
      </c>
      <c r="AF56" s="151" t="s">
        <v>471</v>
      </c>
      <c r="AG56" s="151" t="s">
        <v>472</v>
      </c>
      <c r="AH56" s="151" t="s">
        <v>473</v>
      </c>
      <c r="AI56" s="41" t="s">
        <v>474</v>
      </c>
      <c r="AJ56" s="41" t="s">
        <v>647</v>
      </c>
    </row>
    <row r="57" spans="1:36" x14ac:dyDescent="0.2">
      <c r="A57" s="25"/>
      <c r="B57" s="34" t="s">
        <v>1698</v>
      </c>
      <c r="C57" s="241" t="s">
        <v>46</v>
      </c>
      <c r="D57" s="34">
        <v>131</v>
      </c>
      <c r="E57" s="34" t="s">
        <v>440</v>
      </c>
      <c r="F57" s="34" t="s">
        <v>47</v>
      </c>
      <c r="G57" s="34" t="s">
        <v>1699</v>
      </c>
      <c r="H57" s="34"/>
      <c r="I57" s="34">
        <v>0</v>
      </c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 t="s">
        <v>692</v>
      </c>
      <c r="Y57" s="34" t="s">
        <v>692</v>
      </c>
      <c r="Z57" s="34" t="s">
        <v>692</v>
      </c>
      <c r="AA57" s="34" t="s">
        <v>692</v>
      </c>
      <c r="AB57" s="34" t="s">
        <v>692</v>
      </c>
      <c r="AC57" s="34" t="s">
        <v>692</v>
      </c>
      <c r="AD57" s="34" t="s">
        <v>692</v>
      </c>
      <c r="AE57" s="34" t="s">
        <v>692</v>
      </c>
      <c r="AF57" s="34" t="s">
        <v>692</v>
      </c>
      <c r="AG57" s="34" t="s">
        <v>692</v>
      </c>
      <c r="AH57" s="34" t="s">
        <v>692</v>
      </c>
      <c r="AI57" s="34" t="s">
        <v>692</v>
      </c>
      <c r="AJ57" s="43">
        <f>SUM(X57:AI57)</f>
        <v>0</v>
      </c>
    </row>
    <row r="58" spans="1:36" x14ac:dyDescent="0.2">
      <c r="A58" s="25"/>
      <c r="B58" s="34" t="s">
        <v>1133</v>
      </c>
      <c r="C58" s="241" t="s">
        <v>46</v>
      </c>
      <c r="D58" s="34">
        <v>131</v>
      </c>
      <c r="E58" s="34" t="s">
        <v>440</v>
      </c>
      <c r="F58" s="34" t="s">
        <v>47</v>
      </c>
      <c r="G58" s="34" t="s">
        <v>1697</v>
      </c>
      <c r="H58" s="34"/>
      <c r="I58" s="34">
        <v>399652</v>
      </c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 t="s">
        <v>692</v>
      </c>
      <c r="Y58" s="34" t="s">
        <v>692</v>
      </c>
      <c r="Z58" s="34" t="s">
        <v>692</v>
      </c>
      <c r="AA58" s="34" t="s">
        <v>692</v>
      </c>
      <c r="AB58" s="34" t="s">
        <v>692</v>
      </c>
      <c r="AC58" s="34" t="s">
        <v>692</v>
      </c>
      <c r="AD58" s="34" t="s">
        <v>692</v>
      </c>
      <c r="AE58" s="34" t="s">
        <v>692</v>
      </c>
      <c r="AF58" s="34" t="s">
        <v>692</v>
      </c>
      <c r="AG58" s="34" t="s">
        <v>692</v>
      </c>
      <c r="AH58" s="34" t="s">
        <v>692</v>
      </c>
      <c r="AI58" s="34" t="s">
        <v>692</v>
      </c>
      <c r="AJ58" s="43">
        <f t="shared" ref="AJ58:AJ104" si="2">SUM(X58:AI58)</f>
        <v>0</v>
      </c>
    </row>
    <row r="59" spans="1:36" x14ac:dyDescent="0.2">
      <c r="A59" s="25"/>
      <c r="B59" s="34">
        <v>717083063</v>
      </c>
      <c r="C59" s="241" t="s">
        <v>55</v>
      </c>
      <c r="D59" s="34">
        <v>131</v>
      </c>
      <c r="E59" s="34" t="s">
        <v>856</v>
      </c>
      <c r="F59" s="34" t="s">
        <v>931</v>
      </c>
      <c r="G59" s="34"/>
      <c r="H59" s="34" t="s">
        <v>859</v>
      </c>
      <c r="I59" s="34">
        <v>35993</v>
      </c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 t="s">
        <v>692</v>
      </c>
      <c r="Y59" s="34" t="s">
        <v>692</v>
      </c>
      <c r="Z59" s="34" t="s">
        <v>692</v>
      </c>
      <c r="AA59" s="34" t="s">
        <v>692</v>
      </c>
      <c r="AB59" s="34" t="s">
        <v>692</v>
      </c>
      <c r="AC59" s="34" t="s">
        <v>692</v>
      </c>
      <c r="AD59" s="34" t="s">
        <v>692</v>
      </c>
      <c r="AE59" s="34" t="s">
        <v>692</v>
      </c>
      <c r="AF59" s="34" t="s">
        <v>692</v>
      </c>
      <c r="AG59" s="34" t="s">
        <v>692</v>
      </c>
      <c r="AH59" s="34" t="s">
        <v>692</v>
      </c>
      <c r="AI59" s="34" t="s">
        <v>692</v>
      </c>
      <c r="AJ59" s="43">
        <f t="shared" si="2"/>
        <v>0</v>
      </c>
    </row>
    <row r="60" spans="1:36" x14ac:dyDescent="0.2">
      <c r="A60" s="25"/>
      <c r="B60" s="34" t="s">
        <v>1115</v>
      </c>
      <c r="C60" s="241" t="s">
        <v>90</v>
      </c>
      <c r="D60" s="34">
        <v>131</v>
      </c>
      <c r="E60" s="34" t="s">
        <v>965</v>
      </c>
      <c r="F60" s="34" t="s">
        <v>909</v>
      </c>
      <c r="G60" s="34"/>
      <c r="H60" s="34"/>
      <c r="I60" s="34">
        <v>319553</v>
      </c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 t="s">
        <v>692</v>
      </c>
      <c r="Y60" s="34" t="s">
        <v>692</v>
      </c>
      <c r="Z60" s="34" t="s">
        <v>692</v>
      </c>
      <c r="AA60" s="34" t="s">
        <v>692</v>
      </c>
      <c r="AB60" s="34" t="s">
        <v>692</v>
      </c>
      <c r="AC60" s="34" t="s">
        <v>692</v>
      </c>
      <c r="AD60" s="34" t="s">
        <v>692</v>
      </c>
      <c r="AE60" s="34" t="s">
        <v>692</v>
      </c>
      <c r="AF60" s="34" t="s">
        <v>692</v>
      </c>
      <c r="AG60" s="34" t="s">
        <v>692</v>
      </c>
      <c r="AH60" s="34" t="s">
        <v>692</v>
      </c>
      <c r="AI60" s="34" t="s">
        <v>692</v>
      </c>
      <c r="AJ60" s="43">
        <f t="shared" si="2"/>
        <v>0</v>
      </c>
    </row>
    <row r="61" spans="1:36" x14ac:dyDescent="0.2">
      <c r="A61" s="25"/>
      <c r="B61" s="34" t="s">
        <v>160</v>
      </c>
      <c r="C61" s="241" t="s">
        <v>151</v>
      </c>
      <c r="D61" s="34">
        <v>131</v>
      </c>
      <c r="E61" s="34" t="s">
        <v>440</v>
      </c>
      <c r="F61" s="34" t="s">
        <v>938</v>
      </c>
      <c r="G61" s="34"/>
      <c r="H61" s="34"/>
      <c r="I61" s="34">
        <v>392624</v>
      </c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 t="s">
        <v>692</v>
      </c>
      <c r="Y61" s="34" t="s">
        <v>692</v>
      </c>
      <c r="Z61" s="34" t="s">
        <v>692</v>
      </c>
      <c r="AA61" s="34" t="s">
        <v>692</v>
      </c>
      <c r="AB61" s="34" t="s">
        <v>692</v>
      </c>
      <c r="AC61" s="34" t="s">
        <v>692</v>
      </c>
      <c r="AD61" s="34" t="s">
        <v>692</v>
      </c>
      <c r="AE61" s="34" t="s">
        <v>692</v>
      </c>
      <c r="AF61" s="34" t="s">
        <v>692</v>
      </c>
      <c r="AG61" s="34" t="s">
        <v>692</v>
      </c>
      <c r="AH61" s="34" t="s">
        <v>692</v>
      </c>
      <c r="AI61" s="34" t="s">
        <v>692</v>
      </c>
      <c r="AJ61" s="43">
        <f t="shared" si="2"/>
        <v>0</v>
      </c>
    </row>
    <row r="62" spans="1:36" x14ac:dyDescent="0.2">
      <c r="A62" s="25"/>
      <c r="B62" s="34" t="s">
        <v>1120</v>
      </c>
      <c r="C62" s="241" t="s">
        <v>174</v>
      </c>
      <c r="D62" s="34">
        <v>131</v>
      </c>
      <c r="E62" s="34" t="s">
        <v>440</v>
      </c>
      <c r="F62" s="34" t="s">
        <v>432</v>
      </c>
      <c r="G62" s="34"/>
      <c r="H62" s="34"/>
      <c r="I62" s="34">
        <v>309277</v>
      </c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 t="s">
        <v>692</v>
      </c>
      <c r="Y62" s="34" t="s">
        <v>692</v>
      </c>
      <c r="Z62" s="34" t="s">
        <v>692</v>
      </c>
      <c r="AA62" s="34" t="s">
        <v>692</v>
      </c>
      <c r="AB62" s="34" t="s">
        <v>692</v>
      </c>
      <c r="AC62" s="34" t="s">
        <v>692</v>
      </c>
      <c r="AD62" s="34" t="s">
        <v>692</v>
      </c>
      <c r="AE62" s="34" t="s">
        <v>692</v>
      </c>
      <c r="AF62" s="34" t="s">
        <v>692</v>
      </c>
      <c r="AG62" s="34" t="s">
        <v>692</v>
      </c>
      <c r="AH62" s="34" t="s">
        <v>692</v>
      </c>
      <c r="AI62" s="34" t="s">
        <v>692</v>
      </c>
      <c r="AJ62" s="43">
        <f t="shared" si="2"/>
        <v>0</v>
      </c>
    </row>
    <row r="63" spans="1:36" x14ac:dyDescent="0.2">
      <c r="A63" s="25"/>
      <c r="B63" s="34" t="s">
        <v>1188</v>
      </c>
      <c r="C63" s="241" t="s">
        <v>180</v>
      </c>
      <c r="D63" s="34">
        <v>131</v>
      </c>
      <c r="E63" s="34" t="s">
        <v>440</v>
      </c>
      <c r="F63" s="34" t="s">
        <v>432</v>
      </c>
      <c r="G63" s="34"/>
      <c r="H63" s="34"/>
      <c r="I63" s="34">
        <v>954311</v>
      </c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 t="s">
        <v>692</v>
      </c>
      <c r="Y63" s="34" t="s">
        <v>692</v>
      </c>
      <c r="Z63" s="34" t="s">
        <v>692</v>
      </c>
      <c r="AA63" s="34" t="s">
        <v>692</v>
      </c>
      <c r="AB63" s="34" t="s">
        <v>692</v>
      </c>
      <c r="AC63" s="34" t="s">
        <v>692</v>
      </c>
      <c r="AD63" s="34" t="s">
        <v>692</v>
      </c>
      <c r="AE63" s="34" t="s">
        <v>692</v>
      </c>
      <c r="AF63" s="34" t="s">
        <v>692</v>
      </c>
      <c r="AG63" s="34" t="s">
        <v>692</v>
      </c>
      <c r="AH63" s="34" t="s">
        <v>692</v>
      </c>
      <c r="AI63" s="34" t="s">
        <v>692</v>
      </c>
      <c r="AJ63" s="43">
        <f t="shared" si="2"/>
        <v>0</v>
      </c>
    </row>
    <row r="64" spans="1:36" x14ac:dyDescent="0.2">
      <c r="A64" s="25"/>
      <c r="B64" s="34" t="s">
        <v>1218</v>
      </c>
      <c r="C64" s="241" t="s">
        <v>187</v>
      </c>
      <c r="D64" s="34">
        <v>131</v>
      </c>
      <c r="E64" s="34" t="s">
        <v>440</v>
      </c>
      <c r="F64" s="34" t="s">
        <v>47</v>
      </c>
      <c r="G64" s="34"/>
      <c r="H64" s="34"/>
      <c r="I64" s="34">
        <v>846408</v>
      </c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 t="s">
        <v>692</v>
      </c>
      <c r="Y64" s="34" t="s">
        <v>692</v>
      </c>
      <c r="Z64" s="34" t="s">
        <v>692</v>
      </c>
      <c r="AA64" s="34" t="s">
        <v>692</v>
      </c>
      <c r="AB64" s="34" t="s">
        <v>692</v>
      </c>
      <c r="AC64" s="34" t="s">
        <v>692</v>
      </c>
      <c r="AD64" s="34" t="s">
        <v>692</v>
      </c>
      <c r="AE64" s="34" t="s">
        <v>692</v>
      </c>
      <c r="AF64" s="34" t="s">
        <v>692</v>
      </c>
      <c r="AG64" s="34" t="s">
        <v>692</v>
      </c>
      <c r="AH64" s="34" t="s">
        <v>692</v>
      </c>
      <c r="AI64" s="34" t="s">
        <v>692</v>
      </c>
      <c r="AJ64" s="43">
        <f t="shared" si="2"/>
        <v>0</v>
      </c>
    </row>
    <row r="65" spans="1:36" x14ac:dyDescent="0.2">
      <c r="A65" s="25"/>
      <c r="B65" s="34">
        <v>46699950</v>
      </c>
      <c r="C65" s="241" t="s">
        <v>197</v>
      </c>
      <c r="D65" s="34">
        <v>131</v>
      </c>
      <c r="E65" s="34" t="s">
        <v>440</v>
      </c>
      <c r="F65" s="34" t="s">
        <v>47</v>
      </c>
      <c r="G65" s="34" t="s">
        <v>1670</v>
      </c>
      <c r="H65" s="34"/>
      <c r="I65" s="34">
        <v>11159</v>
      </c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 t="s">
        <v>692</v>
      </c>
      <c r="Y65" s="34" t="s">
        <v>692</v>
      </c>
      <c r="Z65" s="34" t="s">
        <v>692</v>
      </c>
      <c r="AA65" s="34" t="s">
        <v>692</v>
      </c>
      <c r="AB65" s="34" t="s">
        <v>692</v>
      </c>
      <c r="AC65" s="34" t="s">
        <v>692</v>
      </c>
      <c r="AD65" s="34" t="s">
        <v>692</v>
      </c>
      <c r="AE65" s="34" t="s">
        <v>692</v>
      </c>
      <c r="AF65" s="34" t="s">
        <v>692</v>
      </c>
      <c r="AG65" s="34" t="s">
        <v>692</v>
      </c>
      <c r="AH65" s="34" t="s">
        <v>692</v>
      </c>
      <c r="AI65" s="34" t="s">
        <v>692</v>
      </c>
      <c r="AJ65" s="43">
        <f t="shared" si="2"/>
        <v>0</v>
      </c>
    </row>
    <row r="66" spans="1:36" x14ac:dyDescent="0.2">
      <c r="A66" s="25"/>
      <c r="B66" s="34" t="s">
        <v>1121</v>
      </c>
      <c r="C66" s="241" t="s">
        <v>197</v>
      </c>
      <c r="D66" s="34">
        <v>131</v>
      </c>
      <c r="E66" s="34" t="s">
        <v>440</v>
      </c>
      <c r="F66" s="34" t="s">
        <v>47</v>
      </c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 t="s">
        <v>692</v>
      </c>
      <c r="Y66" s="34" t="s">
        <v>692</v>
      </c>
      <c r="Z66" s="34" t="s">
        <v>692</v>
      </c>
      <c r="AA66" s="34" t="s">
        <v>692</v>
      </c>
      <c r="AB66" s="34" t="s">
        <v>692</v>
      </c>
      <c r="AC66" s="34" t="s">
        <v>692</v>
      </c>
      <c r="AD66" s="34" t="s">
        <v>692</v>
      </c>
      <c r="AE66" s="34" t="s">
        <v>692</v>
      </c>
      <c r="AF66" s="34" t="s">
        <v>692</v>
      </c>
      <c r="AG66" s="34" t="s">
        <v>692</v>
      </c>
      <c r="AH66" s="34" t="s">
        <v>692</v>
      </c>
      <c r="AI66" s="34" t="s">
        <v>692</v>
      </c>
      <c r="AJ66" s="43">
        <f t="shared" si="2"/>
        <v>0</v>
      </c>
    </row>
    <row r="67" spans="1:36" x14ac:dyDescent="0.2">
      <c r="A67" s="25"/>
      <c r="B67" s="34" t="s">
        <v>1189</v>
      </c>
      <c r="C67" s="241" t="s">
        <v>217</v>
      </c>
      <c r="D67" s="34">
        <v>131</v>
      </c>
      <c r="E67" s="34" t="s">
        <v>440</v>
      </c>
      <c r="F67" s="34" t="s">
        <v>288</v>
      </c>
      <c r="G67" s="34" t="s">
        <v>161</v>
      </c>
      <c r="H67" s="34"/>
      <c r="I67" s="34">
        <v>514464</v>
      </c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 t="s">
        <v>692</v>
      </c>
      <c r="Y67" s="34" t="s">
        <v>692</v>
      </c>
      <c r="Z67" s="34" t="s">
        <v>692</v>
      </c>
      <c r="AA67" s="34" t="s">
        <v>692</v>
      </c>
      <c r="AB67" s="34" t="s">
        <v>692</v>
      </c>
      <c r="AC67" s="34" t="s">
        <v>692</v>
      </c>
      <c r="AD67" s="34" t="s">
        <v>692</v>
      </c>
      <c r="AE67" s="34" t="s">
        <v>692</v>
      </c>
      <c r="AF67" s="34" t="s">
        <v>692</v>
      </c>
      <c r="AG67" s="34" t="s">
        <v>692</v>
      </c>
      <c r="AH67" s="34" t="s">
        <v>692</v>
      </c>
      <c r="AI67" s="34" t="s">
        <v>692</v>
      </c>
      <c r="AJ67" s="43">
        <f t="shared" si="2"/>
        <v>0</v>
      </c>
    </row>
    <row r="68" spans="1:36" x14ac:dyDescent="0.2">
      <c r="A68" s="25"/>
      <c r="B68" s="34" t="s">
        <v>1192</v>
      </c>
      <c r="C68" s="241" t="s">
        <v>223</v>
      </c>
      <c r="D68" s="34">
        <v>131</v>
      </c>
      <c r="E68" s="34" t="s">
        <v>440</v>
      </c>
      <c r="F68" s="34" t="s">
        <v>47</v>
      </c>
      <c r="G68" s="34"/>
      <c r="H68" s="34"/>
      <c r="I68" s="34">
        <v>302872</v>
      </c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 t="s">
        <v>692</v>
      </c>
      <c r="Y68" s="34" t="s">
        <v>692</v>
      </c>
      <c r="Z68" s="34" t="s">
        <v>692</v>
      </c>
      <c r="AA68" s="34" t="s">
        <v>692</v>
      </c>
      <c r="AB68" s="34" t="s">
        <v>692</v>
      </c>
      <c r="AC68" s="34" t="s">
        <v>692</v>
      </c>
      <c r="AD68" s="34" t="s">
        <v>692</v>
      </c>
      <c r="AE68" s="34" t="s">
        <v>692</v>
      </c>
      <c r="AF68" s="34" t="s">
        <v>692</v>
      </c>
      <c r="AG68" s="34" t="s">
        <v>692</v>
      </c>
      <c r="AH68" s="34" t="s">
        <v>692</v>
      </c>
      <c r="AI68" s="34" t="s">
        <v>692</v>
      </c>
      <c r="AJ68" s="43">
        <f t="shared" si="2"/>
        <v>0</v>
      </c>
    </row>
    <row r="69" spans="1:36" x14ac:dyDescent="0.2">
      <c r="A69" s="25"/>
      <c r="B69" s="34" t="s">
        <v>1546</v>
      </c>
      <c r="C69" s="241" t="s">
        <v>234</v>
      </c>
      <c r="D69" s="34">
        <v>131</v>
      </c>
      <c r="E69" s="34" t="s">
        <v>440</v>
      </c>
      <c r="F69" s="34" t="s">
        <v>47</v>
      </c>
      <c r="G69" s="34" t="s">
        <v>1545</v>
      </c>
      <c r="H69" s="34"/>
      <c r="I69" s="34">
        <v>208297</v>
      </c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 t="s">
        <v>692</v>
      </c>
      <c r="Y69" s="34" t="s">
        <v>692</v>
      </c>
      <c r="Z69" s="34" t="s">
        <v>692</v>
      </c>
      <c r="AA69" s="34" t="s">
        <v>692</v>
      </c>
      <c r="AB69" s="34" t="s">
        <v>692</v>
      </c>
      <c r="AC69" s="34" t="s">
        <v>692</v>
      </c>
      <c r="AD69" s="34" t="s">
        <v>692</v>
      </c>
      <c r="AE69" s="34" t="s">
        <v>692</v>
      </c>
      <c r="AF69" s="34" t="s">
        <v>692</v>
      </c>
      <c r="AG69" s="34" t="s">
        <v>692</v>
      </c>
      <c r="AH69" s="34" t="s">
        <v>692</v>
      </c>
      <c r="AI69" s="34" t="s">
        <v>692</v>
      </c>
      <c r="AJ69" s="43">
        <f t="shared" si="2"/>
        <v>0</v>
      </c>
    </row>
    <row r="70" spans="1:36" x14ac:dyDescent="0.2">
      <c r="A70" s="25"/>
      <c r="B70" s="34" t="s">
        <v>1217</v>
      </c>
      <c r="C70" s="241" t="s">
        <v>234</v>
      </c>
      <c r="D70" s="34">
        <v>131</v>
      </c>
      <c r="E70" s="34" t="s">
        <v>440</v>
      </c>
      <c r="F70" s="34" t="s">
        <v>47</v>
      </c>
      <c r="G70" s="34" t="s">
        <v>1345</v>
      </c>
      <c r="H70" s="34" t="s">
        <v>1544</v>
      </c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 t="s">
        <v>692</v>
      </c>
      <c r="Y70" s="34" t="s">
        <v>692</v>
      </c>
      <c r="Z70" s="34" t="s">
        <v>692</v>
      </c>
      <c r="AA70" s="34" t="s">
        <v>692</v>
      </c>
      <c r="AB70" s="34" t="s">
        <v>692</v>
      </c>
      <c r="AC70" s="34" t="s">
        <v>692</v>
      </c>
      <c r="AD70" s="34" t="s">
        <v>692</v>
      </c>
      <c r="AE70" s="34" t="s">
        <v>692</v>
      </c>
      <c r="AF70" s="34" t="s">
        <v>692</v>
      </c>
      <c r="AG70" s="34" t="s">
        <v>692</v>
      </c>
      <c r="AH70" s="34" t="s">
        <v>692</v>
      </c>
      <c r="AI70" s="34" t="s">
        <v>692</v>
      </c>
      <c r="AJ70" s="43">
        <f t="shared" si="2"/>
        <v>0</v>
      </c>
    </row>
    <row r="71" spans="1:36" x14ac:dyDescent="0.2">
      <c r="A71" s="25"/>
      <c r="B71" s="34" t="s">
        <v>1139</v>
      </c>
      <c r="C71" s="241" t="s">
        <v>283</v>
      </c>
      <c r="D71" s="34">
        <v>131</v>
      </c>
      <c r="E71" s="34" t="s">
        <v>440</v>
      </c>
      <c r="F71" s="34" t="s">
        <v>47</v>
      </c>
      <c r="G71" s="34"/>
      <c r="H71" s="34" t="s">
        <v>978</v>
      </c>
      <c r="I71" s="34">
        <v>689356</v>
      </c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 t="s">
        <v>692</v>
      </c>
      <c r="Y71" s="34" t="s">
        <v>692</v>
      </c>
      <c r="Z71" s="34" t="s">
        <v>692</v>
      </c>
      <c r="AA71" s="34" t="s">
        <v>692</v>
      </c>
      <c r="AB71" s="34" t="s">
        <v>692</v>
      </c>
      <c r="AC71" s="34" t="s">
        <v>692</v>
      </c>
      <c r="AD71" s="34" t="s">
        <v>692</v>
      </c>
      <c r="AE71" s="34" t="s">
        <v>692</v>
      </c>
      <c r="AF71" s="34" t="s">
        <v>692</v>
      </c>
      <c r="AG71" s="34" t="s">
        <v>692</v>
      </c>
      <c r="AH71" s="34" t="s">
        <v>692</v>
      </c>
      <c r="AI71" s="34" t="s">
        <v>692</v>
      </c>
      <c r="AJ71" s="43">
        <f t="shared" si="2"/>
        <v>0</v>
      </c>
    </row>
    <row r="72" spans="1:36" x14ac:dyDescent="0.2">
      <c r="A72" s="25"/>
      <c r="B72" s="34" t="s">
        <v>1124</v>
      </c>
      <c r="C72" s="241" t="s">
        <v>291</v>
      </c>
      <c r="D72" s="34">
        <v>131</v>
      </c>
      <c r="E72" s="34" t="s">
        <v>440</v>
      </c>
      <c r="F72" s="34" t="s">
        <v>47</v>
      </c>
      <c r="G72" s="34"/>
      <c r="H72" s="34"/>
      <c r="I72" s="34">
        <v>538324</v>
      </c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 t="s">
        <v>692</v>
      </c>
      <c r="Y72" s="34" t="s">
        <v>692</v>
      </c>
      <c r="Z72" s="34" t="s">
        <v>692</v>
      </c>
      <c r="AA72" s="34" t="s">
        <v>692</v>
      </c>
      <c r="AB72" s="34" t="s">
        <v>692</v>
      </c>
      <c r="AC72" s="34" t="s">
        <v>692</v>
      </c>
      <c r="AD72" s="34" t="s">
        <v>692</v>
      </c>
      <c r="AE72" s="34" t="s">
        <v>692</v>
      </c>
      <c r="AF72" s="34" t="s">
        <v>692</v>
      </c>
      <c r="AG72" s="34" t="s">
        <v>692</v>
      </c>
      <c r="AH72" s="34" t="s">
        <v>692</v>
      </c>
      <c r="AI72" s="34" t="s">
        <v>692</v>
      </c>
      <c r="AJ72" s="43">
        <f t="shared" si="2"/>
        <v>0</v>
      </c>
    </row>
    <row r="73" spans="1:36" x14ac:dyDescent="0.2">
      <c r="A73" s="25"/>
      <c r="B73" s="34" t="s">
        <v>1183</v>
      </c>
      <c r="C73" s="241" t="s">
        <v>293</v>
      </c>
      <c r="D73" s="34">
        <v>131</v>
      </c>
      <c r="E73" s="34" t="s">
        <v>440</v>
      </c>
      <c r="F73" s="34" t="s">
        <v>47</v>
      </c>
      <c r="G73" s="34"/>
      <c r="H73" s="34"/>
      <c r="I73" s="34">
        <v>172659</v>
      </c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 t="s">
        <v>692</v>
      </c>
      <c r="Y73" s="34" t="s">
        <v>692</v>
      </c>
      <c r="Z73" s="34" t="s">
        <v>692</v>
      </c>
      <c r="AA73" s="34" t="s">
        <v>692</v>
      </c>
      <c r="AB73" s="34" t="s">
        <v>692</v>
      </c>
      <c r="AC73" s="34" t="s">
        <v>692</v>
      </c>
      <c r="AD73" s="34" t="s">
        <v>692</v>
      </c>
      <c r="AE73" s="34" t="s">
        <v>692</v>
      </c>
      <c r="AF73" s="34" t="s">
        <v>692</v>
      </c>
      <c r="AG73" s="34" t="s">
        <v>692</v>
      </c>
      <c r="AH73" s="34" t="s">
        <v>692</v>
      </c>
      <c r="AI73" s="34" t="s">
        <v>692</v>
      </c>
      <c r="AJ73" s="43">
        <f t="shared" si="2"/>
        <v>0</v>
      </c>
    </row>
    <row r="74" spans="1:36" x14ac:dyDescent="0.2">
      <c r="A74" s="25"/>
      <c r="B74" s="34" t="s">
        <v>1128</v>
      </c>
      <c r="C74" s="241" t="s">
        <v>301</v>
      </c>
      <c r="D74" s="34">
        <v>131</v>
      </c>
      <c r="E74" s="34" t="s">
        <v>440</v>
      </c>
      <c r="F74" s="34" t="s">
        <v>47</v>
      </c>
      <c r="G74" s="34"/>
      <c r="H74" s="34"/>
      <c r="I74" s="34">
        <v>92639</v>
      </c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 t="s">
        <v>692</v>
      </c>
      <c r="Y74" s="34" t="s">
        <v>692</v>
      </c>
      <c r="Z74" s="34" t="s">
        <v>692</v>
      </c>
      <c r="AA74" s="34" t="s">
        <v>692</v>
      </c>
      <c r="AB74" s="34" t="s">
        <v>692</v>
      </c>
      <c r="AC74" s="34" t="s">
        <v>692</v>
      </c>
      <c r="AD74" s="34" t="s">
        <v>692</v>
      </c>
      <c r="AE74" s="34" t="s">
        <v>692</v>
      </c>
      <c r="AF74" s="34" t="s">
        <v>692</v>
      </c>
      <c r="AG74" s="34" t="s">
        <v>692</v>
      </c>
      <c r="AH74" s="34" t="s">
        <v>692</v>
      </c>
      <c r="AI74" s="34" t="s">
        <v>692</v>
      </c>
      <c r="AJ74" s="43">
        <f t="shared" si="2"/>
        <v>0</v>
      </c>
    </row>
    <row r="75" spans="1:36" x14ac:dyDescent="0.2">
      <c r="A75" s="25"/>
      <c r="B75" s="34" t="s">
        <v>1129</v>
      </c>
      <c r="C75" s="241" t="s">
        <v>441</v>
      </c>
      <c r="D75" s="34">
        <v>131</v>
      </c>
      <c r="E75" s="34" t="s">
        <v>440</v>
      </c>
      <c r="F75" s="34" t="s">
        <v>47</v>
      </c>
      <c r="G75" s="34"/>
      <c r="H75" s="34"/>
      <c r="I75" s="34">
        <v>88883</v>
      </c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 t="s">
        <v>692</v>
      </c>
      <c r="Y75" s="34" t="s">
        <v>692</v>
      </c>
      <c r="Z75" s="34" t="s">
        <v>692</v>
      </c>
      <c r="AA75" s="34" t="s">
        <v>692</v>
      </c>
      <c r="AB75" s="34" t="s">
        <v>692</v>
      </c>
      <c r="AC75" s="34" t="s">
        <v>692</v>
      </c>
      <c r="AD75" s="34" t="s">
        <v>692</v>
      </c>
      <c r="AE75" s="34" t="s">
        <v>692</v>
      </c>
      <c r="AF75" s="34" t="s">
        <v>692</v>
      </c>
      <c r="AG75" s="34" t="s">
        <v>692</v>
      </c>
      <c r="AH75" s="34" t="s">
        <v>692</v>
      </c>
      <c r="AI75" s="34" t="s">
        <v>692</v>
      </c>
      <c r="AJ75" s="43">
        <f t="shared" si="2"/>
        <v>0</v>
      </c>
    </row>
    <row r="76" spans="1:36" x14ac:dyDescent="0.2">
      <c r="A76" s="25"/>
      <c r="B76" s="34" t="s">
        <v>1091</v>
      </c>
      <c r="C76" s="241" t="s">
        <v>443</v>
      </c>
      <c r="D76" s="34">
        <v>131</v>
      </c>
      <c r="E76" s="34" t="s">
        <v>440</v>
      </c>
      <c r="F76" s="34" t="s">
        <v>47</v>
      </c>
      <c r="G76" s="34" t="s">
        <v>161</v>
      </c>
      <c r="H76" s="34"/>
      <c r="I76" s="34">
        <v>32342</v>
      </c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 t="s">
        <v>692</v>
      </c>
      <c r="Y76" s="34" t="s">
        <v>692</v>
      </c>
      <c r="Z76" s="34" t="s">
        <v>692</v>
      </c>
      <c r="AA76" s="34" t="s">
        <v>692</v>
      </c>
      <c r="AB76" s="34" t="s">
        <v>692</v>
      </c>
      <c r="AC76" s="34" t="s">
        <v>692</v>
      </c>
      <c r="AD76" s="34" t="s">
        <v>692</v>
      </c>
      <c r="AE76" s="34" t="s">
        <v>692</v>
      </c>
      <c r="AF76" s="34" t="s">
        <v>692</v>
      </c>
      <c r="AG76" s="34" t="s">
        <v>692</v>
      </c>
      <c r="AH76" s="34" t="s">
        <v>692</v>
      </c>
      <c r="AI76" s="34" t="s">
        <v>692</v>
      </c>
      <c r="AJ76" s="43">
        <f t="shared" si="2"/>
        <v>0</v>
      </c>
    </row>
    <row r="77" spans="1:36" x14ac:dyDescent="0.2">
      <c r="A77" s="25"/>
      <c r="B77" s="34"/>
      <c r="C77" s="241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43">
        <f t="shared" si="2"/>
        <v>0</v>
      </c>
    </row>
    <row r="78" spans="1:36" x14ac:dyDescent="0.2">
      <c r="A78" s="25"/>
      <c r="B78" s="34"/>
      <c r="C78" s="241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43">
        <f t="shared" si="2"/>
        <v>0</v>
      </c>
    </row>
    <row r="79" spans="1:36" x14ac:dyDescent="0.2">
      <c r="A79" s="25"/>
      <c r="B79" s="34"/>
      <c r="C79" s="241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43">
        <f t="shared" si="2"/>
        <v>0</v>
      </c>
    </row>
    <row r="80" spans="1:36" x14ac:dyDescent="0.2">
      <c r="A80" s="25"/>
      <c r="B80" s="34"/>
      <c r="C80" s="241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43">
        <f t="shared" si="2"/>
        <v>0</v>
      </c>
    </row>
    <row r="81" spans="1:36" x14ac:dyDescent="0.2">
      <c r="A81" s="25"/>
      <c r="B81" s="34"/>
      <c r="C81" s="241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43">
        <f t="shared" si="2"/>
        <v>0</v>
      </c>
    </row>
    <row r="82" spans="1:36" x14ac:dyDescent="0.2">
      <c r="A82" s="25"/>
      <c r="B82" s="34"/>
      <c r="C82" s="241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43">
        <f t="shared" si="2"/>
        <v>0</v>
      </c>
    </row>
    <row r="83" spans="1:36" x14ac:dyDescent="0.2">
      <c r="A83" s="25"/>
      <c r="B83" s="34"/>
      <c r="C83" s="241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43">
        <f t="shared" si="2"/>
        <v>0</v>
      </c>
    </row>
    <row r="84" spans="1:36" x14ac:dyDescent="0.2">
      <c r="A84" s="25"/>
      <c r="B84" s="34"/>
      <c r="C84" s="241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43">
        <f t="shared" si="2"/>
        <v>0</v>
      </c>
    </row>
    <row r="85" spans="1:36" x14ac:dyDescent="0.2">
      <c r="A85" s="25"/>
      <c r="B85" s="34"/>
      <c r="C85" s="241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43">
        <f t="shared" si="2"/>
        <v>0</v>
      </c>
    </row>
    <row r="86" spans="1:36" x14ac:dyDescent="0.2">
      <c r="A86" s="25"/>
      <c r="B86" s="34"/>
      <c r="C86" s="241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43">
        <f t="shared" si="2"/>
        <v>0</v>
      </c>
    </row>
    <row r="87" spans="1:36" x14ac:dyDescent="0.2">
      <c r="A87" s="25"/>
      <c r="B87" s="34"/>
      <c r="C87" s="241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43">
        <f t="shared" si="2"/>
        <v>0</v>
      </c>
    </row>
    <row r="88" spans="1:36" x14ac:dyDescent="0.2">
      <c r="A88" s="25"/>
      <c r="B88" s="34"/>
      <c r="C88" s="241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43">
        <f t="shared" si="2"/>
        <v>0</v>
      </c>
    </row>
    <row r="89" spans="1:36" x14ac:dyDescent="0.2">
      <c r="A89" s="25"/>
      <c r="B89" s="34"/>
      <c r="C89" s="241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43">
        <f t="shared" si="2"/>
        <v>0</v>
      </c>
    </row>
    <row r="90" spans="1:36" x14ac:dyDescent="0.2">
      <c r="A90" s="25"/>
      <c r="B90" s="34"/>
      <c r="C90" s="241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43">
        <f t="shared" si="2"/>
        <v>0</v>
      </c>
    </row>
    <row r="91" spans="1:36" x14ac:dyDescent="0.2">
      <c r="A91" s="25"/>
      <c r="B91" s="34"/>
      <c r="C91" s="241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43">
        <f t="shared" si="2"/>
        <v>0</v>
      </c>
    </row>
    <row r="92" spans="1:36" x14ac:dyDescent="0.2">
      <c r="A92" s="25"/>
      <c r="B92" s="34"/>
      <c r="C92" s="241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43">
        <f t="shared" si="2"/>
        <v>0</v>
      </c>
    </row>
    <row r="93" spans="1:36" x14ac:dyDescent="0.2">
      <c r="A93" s="25"/>
      <c r="B93" s="34"/>
      <c r="C93" s="241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43">
        <f t="shared" si="2"/>
        <v>0</v>
      </c>
    </row>
    <row r="94" spans="1:36" x14ac:dyDescent="0.2">
      <c r="A94" s="25"/>
      <c r="B94" s="34"/>
      <c r="C94" s="241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43">
        <f t="shared" si="2"/>
        <v>0</v>
      </c>
    </row>
    <row r="95" spans="1:36" x14ac:dyDescent="0.2">
      <c r="A95" s="25"/>
      <c r="B95" s="34"/>
      <c r="C95" s="241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43">
        <f t="shared" si="2"/>
        <v>0</v>
      </c>
    </row>
    <row r="96" spans="1:36" x14ac:dyDescent="0.2">
      <c r="A96" s="25"/>
      <c r="B96" s="34"/>
      <c r="C96" s="241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43">
        <f t="shared" si="2"/>
        <v>0</v>
      </c>
    </row>
    <row r="97" spans="1:36" x14ac:dyDescent="0.2">
      <c r="A97" s="25"/>
      <c r="B97" s="34"/>
      <c r="C97" s="241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43">
        <f t="shared" si="2"/>
        <v>0</v>
      </c>
    </row>
    <row r="98" spans="1:36" x14ac:dyDescent="0.2">
      <c r="A98" s="25"/>
      <c r="B98" s="34"/>
      <c r="C98" s="241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43">
        <f t="shared" si="2"/>
        <v>0</v>
      </c>
    </row>
    <row r="99" spans="1:36" x14ac:dyDescent="0.2">
      <c r="A99" s="25"/>
      <c r="B99" s="34"/>
      <c r="C99" s="241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43">
        <f t="shared" si="2"/>
        <v>0</v>
      </c>
    </row>
    <row r="100" spans="1:36" x14ac:dyDescent="0.2">
      <c r="A100" s="25"/>
      <c r="B100" s="34"/>
      <c r="C100" s="241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43">
        <f t="shared" si="2"/>
        <v>0</v>
      </c>
    </row>
    <row r="101" spans="1:36" x14ac:dyDescent="0.2">
      <c r="A101" s="25"/>
      <c r="B101" s="34"/>
      <c r="C101" s="241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C101" s="34"/>
      <c r="AD101" s="34"/>
      <c r="AE101" s="34"/>
      <c r="AF101" s="34"/>
      <c r="AG101" s="34"/>
      <c r="AH101" s="34"/>
      <c r="AI101" s="34"/>
      <c r="AJ101" s="43">
        <f t="shared" si="2"/>
        <v>0</v>
      </c>
    </row>
    <row r="102" spans="1:36" x14ac:dyDescent="0.2">
      <c r="A102" s="25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43">
        <f t="shared" si="2"/>
        <v>0</v>
      </c>
    </row>
    <row r="103" spans="1:36" x14ac:dyDescent="0.2">
      <c r="A103" s="25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43">
        <f t="shared" si="2"/>
        <v>0</v>
      </c>
    </row>
    <row r="104" spans="1:36" x14ac:dyDescent="0.2">
      <c r="B104" s="18"/>
      <c r="C104" s="18"/>
      <c r="D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34"/>
      <c r="AJ104" s="43">
        <f t="shared" si="2"/>
        <v>0</v>
      </c>
    </row>
    <row r="105" spans="1:36" s="27" customFormat="1" x14ac:dyDescent="0.2">
      <c r="A105" s="531" t="s">
        <v>482</v>
      </c>
      <c r="B105" s="531"/>
      <c r="C105" s="531"/>
      <c r="D105" s="531"/>
      <c r="E105" s="211"/>
      <c r="F105" s="32"/>
      <c r="G105" s="32">
        <f>SUMIFS(G57:G103,G57:G103,"&gt;0",G57:G103,"&lt;1999999")</f>
        <v>0</v>
      </c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153">
        <f t="shared" ref="W105:AJ105" si="3">SUMIFS(W57:W103,W57:W103,"&gt;0",W57:W103,"&lt;1999999")</f>
        <v>0</v>
      </c>
      <c r="X105" s="153">
        <f t="shared" si="3"/>
        <v>0</v>
      </c>
      <c r="Y105" s="153">
        <f t="shared" si="3"/>
        <v>0</v>
      </c>
      <c r="Z105" s="153">
        <f t="shared" si="3"/>
        <v>0</v>
      </c>
      <c r="AA105" s="153">
        <f t="shared" si="3"/>
        <v>0</v>
      </c>
      <c r="AB105" s="153">
        <f t="shared" si="3"/>
        <v>0</v>
      </c>
      <c r="AC105" s="153">
        <f t="shared" si="3"/>
        <v>0</v>
      </c>
      <c r="AD105" s="153">
        <f t="shared" si="3"/>
        <v>0</v>
      </c>
      <c r="AE105" s="153">
        <f t="shared" si="3"/>
        <v>0</v>
      </c>
      <c r="AF105" s="153">
        <f t="shared" si="3"/>
        <v>0</v>
      </c>
      <c r="AG105" s="153">
        <f t="shared" si="3"/>
        <v>0</v>
      </c>
      <c r="AH105" s="153">
        <f t="shared" si="3"/>
        <v>0</v>
      </c>
      <c r="AI105" s="153">
        <f t="shared" si="3"/>
        <v>0</v>
      </c>
      <c r="AJ105" s="153">
        <f t="shared" si="3"/>
        <v>0</v>
      </c>
    </row>
    <row r="106" spans="1:36" x14ac:dyDescent="0.2">
      <c r="A106" s="19"/>
      <c r="B106" s="34"/>
      <c r="C106" s="34"/>
      <c r="D106" s="34"/>
      <c r="E106" s="34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157"/>
      <c r="X106" s="157"/>
      <c r="Y106" s="157"/>
      <c r="Z106" s="157"/>
      <c r="AA106" s="157"/>
      <c r="AB106" s="157"/>
      <c r="AC106" s="157"/>
      <c r="AD106" s="157"/>
      <c r="AE106" s="157"/>
      <c r="AF106" s="157"/>
      <c r="AG106" s="157"/>
      <c r="AH106" s="157"/>
    </row>
    <row r="107" spans="1:36" x14ac:dyDescent="0.2">
      <c r="B107" s="34"/>
    </row>
    <row r="108" spans="1:36" s="22" customFormat="1" ht="18.75" customHeight="1" x14ac:dyDescent="0.2">
      <c r="A108" s="216" t="s">
        <v>480</v>
      </c>
      <c r="B108" s="216"/>
      <c r="C108" s="216"/>
      <c r="D108" s="216"/>
      <c r="E108" s="209">
        <v>132</v>
      </c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150"/>
      <c r="X108" s="150"/>
      <c r="Y108" s="150"/>
      <c r="Z108" s="150"/>
      <c r="AA108" s="150"/>
      <c r="AB108" s="150"/>
      <c r="AC108" s="150"/>
      <c r="AD108" s="150"/>
      <c r="AE108" s="150"/>
      <c r="AF108" s="150"/>
      <c r="AG108" s="150"/>
      <c r="AH108" s="150"/>
      <c r="AI108" s="40"/>
    </row>
    <row r="109" spans="1:36" ht="13.5" customHeight="1" x14ac:dyDescent="0.25">
      <c r="A109" s="24" t="s">
        <v>670</v>
      </c>
      <c r="B109" s="165" t="s">
        <v>18</v>
      </c>
      <c r="C109" s="165" t="s">
        <v>0</v>
      </c>
      <c r="D109" s="165" t="s">
        <v>671</v>
      </c>
      <c r="E109" s="210" t="s">
        <v>1</v>
      </c>
      <c r="F109" s="36" t="s">
        <v>2</v>
      </c>
      <c r="G109" s="36" t="s">
        <v>3</v>
      </c>
      <c r="H109" s="36" t="s">
        <v>4</v>
      </c>
      <c r="I109" s="36" t="s">
        <v>999</v>
      </c>
      <c r="J109" s="36" t="s">
        <v>970</v>
      </c>
      <c r="K109" s="36" t="s">
        <v>1000</v>
      </c>
      <c r="L109" s="36" t="s">
        <v>1001</v>
      </c>
      <c r="M109" s="36" t="s">
        <v>1002</v>
      </c>
      <c r="N109" s="36" t="s">
        <v>1003</v>
      </c>
      <c r="O109" s="36" t="s">
        <v>1004</v>
      </c>
      <c r="P109" s="36" t="s">
        <v>1005</v>
      </c>
      <c r="Q109" s="36" t="s">
        <v>1006</v>
      </c>
      <c r="R109" s="36" t="s">
        <v>1007</v>
      </c>
      <c r="S109" s="36" t="s">
        <v>1008</v>
      </c>
      <c r="T109" s="36" t="s">
        <v>1009</v>
      </c>
      <c r="U109" s="36" t="s">
        <v>1010</v>
      </c>
      <c r="V109" s="36" t="s">
        <v>1011</v>
      </c>
      <c r="W109" s="158" t="s">
        <v>711</v>
      </c>
      <c r="X109" s="151" t="s">
        <v>463</v>
      </c>
      <c r="Y109" s="151" t="s">
        <v>464</v>
      </c>
      <c r="Z109" s="151" t="s">
        <v>465</v>
      </c>
      <c r="AA109" s="151" t="s">
        <v>466</v>
      </c>
      <c r="AB109" s="151" t="s">
        <v>467</v>
      </c>
      <c r="AC109" s="151" t="s">
        <v>468</v>
      </c>
      <c r="AD109" s="151" t="s">
        <v>469</v>
      </c>
      <c r="AE109" s="151" t="s">
        <v>470</v>
      </c>
      <c r="AF109" s="151" t="s">
        <v>471</v>
      </c>
      <c r="AG109" s="151" t="s">
        <v>472</v>
      </c>
      <c r="AH109" s="151" t="s">
        <v>473</v>
      </c>
      <c r="AI109" s="41" t="s">
        <v>474</v>
      </c>
      <c r="AJ109" s="41" t="s">
        <v>647</v>
      </c>
    </row>
    <row r="110" spans="1:36" ht="13.5" customHeight="1" x14ac:dyDescent="0.25">
      <c r="A110" s="24"/>
      <c r="B110" s="155" t="s">
        <v>1355</v>
      </c>
      <c r="C110" s="155" t="s">
        <v>36</v>
      </c>
      <c r="D110" s="155">
        <v>132</v>
      </c>
      <c r="E110" s="356" t="s">
        <v>829</v>
      </c>
      <c r="F110" s="357" t="s">
        <v>38</v>
      </c>
      <c r="G110" s="357" t="s">
        <v>1356</v>
      </c>
      <c r="H110" s="357" t="s">
        <v>1357</v>
      </c>
      <c r="I110" s="357">
        <v>52587</v>
      </c>
      <c r="J110" s="357"/>
      <c r="K110" s="357"/>
      <c r="L110" s="357"/>
      <c r="M110" s="357"/>
      <c r="N110" s="357"/>
      <c r="O110" s="357"/>
      <c r="P110" s="357"/>
      <c r="Q110" s="357"/>
      <c r="R110" s="357"/>
      <c r="S110" s="357"/>
      <c r="T110" s="357"/>
      <c r="U110" s="357"/>
      <c r="V110" s="357"/>
      <c r="W110" s="358"/>
      <c r="X110" s="359" t="s">
        <v>692</v>
      </c>
      <c r="Y110" s="359" t="s">
        <v>692</v>
      </c>
      <c r="Z110" s="359" t="s">
        <v>692</v>
      </c>
      <c r="AA110" s="359" t="s">
        <v>692</v>
      </c>
      <c r="AB110" s="359" t="s">
        <v>692</v>
      </c>
      <c r="AC110" s="359" t="s">
        <v>692</v>
      </c>
      <c r="AD110" s="359" t="s">
        <v>692</v>
      </c>
      <c r="AE110" s="359" t="s">
        <v>692</v>
      </c>
      <c r="AF110" s="359" t="s">
        <v>692</v>
      </c>
      <c r="AG110" s="359" t="s">
        <v>692</v>
      </c>
      <c r="AH110" s="359" t="s">
        <v>692</v>
      </c>
      <c r="AI110" s="360" t="s">
        <v>692</v>
      </c>
      <c r="AJ110" s="41">
        <f>SUM(X110:AI110)</f>
        <v>0</v>
      </c>
    </row>
    <row r="111" spans="1:36" ht="13.5" customHeight="1" x14ac:dyDescent="0.25">
      <c r="A111" s="24"/>
      <c r="B111" s="155" t="s">
        <v>43</v>
      </c>
      <c r="C111" s="155" t="s">
        <v>36</v>
      </c>
      <c r="D111" s="155">
        <v>132</v>
      </c>
      <c r="E111" s="356" t="s">
        <v>829</v>
      </c>
      <c r="F111" s="357" t="s">
        <v>38</v>
      </c>
      <c r="G111" s="357" t="s">
        <v>44</v>
      </c>
      <c r="H111" s="357"/>
      <c r="I111" s="357"/>
      <c r="J111" s="357"/>
      <c r="K111" s="357"/>
      <c r="L111" s="357"/>
      <c r="M111" s="357"/>
      <c r="N111" s="357"/>
      <c r="O111" s="357"/>
      <c r="P111" s="357"/>
      <c r="Q111" s="357"/>
      <c r="R111" s="357"/>
      <c r="S111" s="357"/>
      <c r="T111" s="357"/>
      <c r="U111" s="357"/>
      <c r="V111" s="357"/>
      <c r="W111" s="358"/>
      <c r="X111" s="359" t="s">
        <v>692</v>
      </c>
      <c r="Y111" s="359" t="s">
        <v>692</v>
      </c>
      <c r="Z111" s="359" t="s">
        <v>692</v>
      </c>
      <c r="AA111" s="359" t="s">
        <v>692</v>
      </c>
      <c r="AB111" s="359" t="s">
        <v>692</v>
      </c>
      <c r="AC111" s="359" t="s">
        <v>692</v>
      </c>
      <c r="AD111" s="359" t="s">
        <v>692</v>
      </c>
      <c r="AE111" s="359" t="s">
        <v>692</v>
      </c>
      <c r="AF111" s="359" t="s">
        <v>692</v>
      </c>
      <c r="AG111" s="359" t="s">
        <v>692</v>
      </c>
      <c r="AH111" s="359" t="s">
        <v>692</v>
      </c>
      <c r="AI111" s="360" t="s">
        <v>692</v>
      </c>
      <c r="AJ111" s="41">
        <f t="shared" ref="AJ111:AJ139" si="4">SUM(X111:AI111)</f>
        <v>0</v>
      </c>
    </row>
    <row r="112" spans="1:36" ht="13.5" customHeight="1" x14ac:dyDescent="0.25">
      <c r="A112" s="24"/>
      <c r="B112" s="155" t="s">
        <v>706</v>
      </c>
      <c r="C112" s="155" t="s">
        <v>86</v>
      </c>
      <c r="D112" s="155">
        <v>132</v>
      </c>
      <c r="E112" s="356" t="s">
        <v>1186</v>
      </c>
      <c r="F112" s="357" t="s">
        <v>832</v>
      </c>
      <c r="G112" s="357" t="s">
        <v>1460</v>
      </c>
      <c r="H112" s="357" t="s">
        <v>1461</v>
      </c>
      <c r="I112" s="357"/>
      <c r="J112" s="357"/>
      <c r="K112" s="357"/>
      <c r="L112" s="357"/>
      <c r="M112" s="357"/>
      <c r="N112" s="357"/>
      <c r="O112" s="357"/>
      <c r="P112" s="357"/>
      <c r="Q112" s="357"/>
      <c r="R112" s="357"/>
      <c r="S112" s="357"/>
      <c r="T112" s="357"/>
      <c r="U112" s="357"/>
      <c r="V112" s="357"/>
      <c r="W112" s="358"/>
      <c r="X112" s="359" t="s">
        <v>692</v>
      </c>
      <c r="Y112" s="359" t="s">
        <v>692</v>
      </c>
      <c r="Z112" s="359" t="s">
        <v>692</v>
      </c>
      <c r="AA112" s="359" t="s">
        <v>692</v>
      </c>
      <c r="AB112" s="359" t="s">
        <v>692</v>
      </c>
      <c r="AC112" s="359" t="s">
        <v>692</v>
      </c>
      <c r="AD112" s="359" t="s">
        <v>692</v>
      </c>
      <c r="AE112" s="359" t="s">
        <v>692</v>
      </c>
      <c r="AF112" s="359" t="s">
        <v>692</v>
      </c>
      <c r="AG112" s="359" t="s">
        <v>692</v>
      </c>
      <c r="AH112" s="359" t="s">
        <v>692</v>
      </c>
      <c r="AI112" s="360" t="s">
        <v>692</v>
      </c>
      <c r="AJ112" s="41">
        <f t="shared" si="4"/>
        <v>0</v>
      </c>
    </row>
    <row r="113" spans="1:36" ht="13.5" customHeight="1" x14ac:dyDescent="0.25">
      <c r="A113" s="24"/>
      <c r="B113" s="155" t="s">
        <v>115</v>
      </c>
      <c r="C113" s="155" t="s">
        <v>106</v>
      </c>
      <c r="D113" s="155">
        <v>132</v>
      </c>
      <c r="E113" s="356" t="s">
        <v>830</v>
      </c>
      <c r="F113" s="357" t="s">
        <v>905</v>
      </c>
      <c r="G113" s="357" t="s">
        <v>116</v>
      </c>
      <c r="H113" s="357"/>
      <c r="I113" s="357">
        <v>299193</v>
      </c>
      <c r="J113" s="357"/>
      <c r="K113" s="357"/>
      <c r="L113" s="357"/>
      <c r="M113" s="357"/>
      <c r="N113" s="357"/>
      <c r="O113" s="357"/>
      <c r="P113" s="357"/>
      <c r="Q113" s="357"/>
      <c r="R113" s="357"/>
      <c r="S113" s="357"/>
      <c r="T113" s="357"/>
      <c r="U113" s="357"/>
      <c r="V113" s="357"/>
      <c r="W113" s="358"/>
      <c r="X113" s="359" t="s">
        <v>692</v>
      </c>
      <c r="Y113" s="359" t="s">
        <v>692</v>
      </c>
      <c r="Z113" s="359" t="s">
        <v>692</v>
      </c>
      <c r="AA113" s="359" t="s">
        <v>692</v>
      </c>
      <c r="AB113" s="359" t="s">
        <v>692</v>
      </c>
      <c r="AC113" s="359" t="s">
        <v>692</v>
      </c>
      <c r="AD113" s="359" t="s">
        <v>692</v>
      </c>
      <c r="AE113" s="359" t="s">
        <v>692</v>
      </c>
      <c r="AF113" s="359" t="s">
        <v>692</v>
      </c>
      <c r="AG113" s="359" t="s">
        <v>692</v>
      </c>
      <c r="AH113" s="359" t="s">
        <v>692</v>
      </c>
      <c r="AI113" s="360" t="s">
        <v>692</v>
      </c>
      <c r="AJ113" s="41">
        <f t="shared" si="4"/>
        <v>0</v>
      </c>
    </row>
    <row r="114" spans="1:36" ht="13.5" customHeight="1" x14ac:dyDescent="0.25">
      <c r="A114" s="24"/>
      <c r="B114" s="155" t="s">
        <v>1118</v>
      </c>
      <c r="C114" s="155" t="s">
        <v>135</v>
      </c>
      <c r="D114" s="155">
        <v>132</v>
      </c>
      <c r="E114" s="356" t="s">
        <v>831</v>
      </c>
      <c r="F114" s="357" t="s">
        <v>686</v>
      </c>
      <c r="G114" s="357" t="s">
        <v>687</v>
      </c>
      <c r="H114" s="357" t="s">
        <v>688</v>
      </c>
      <c r="I114" s="357">
        <v>1531835</v>
      </c>
      <c r="J114" s="357"/>
      <c r="K114" s="357"/>
      <c r="L114" s="357"/>
      <c r="M114" s="357"/>
      <c r="N114" s="357"/>
      <c r="O114" s="357"/>
      <c r="P114" s="357"/>
      <c r="Q114" s="357"/>
      <c r="R114" s="357"/>
      <c r="S114" s="357"/>
      <c r="T114" s="357"/>
      <c r="U114" s="357"/>
      <c r="V114" s="357"/>
      <c r="W114" s="358"/>
      <c r="X114" s="359" t="s">
        <v>692</v>
      </c>
      <c r="Y114" s="359" t="s">
        <v>692</v>
      </c>
      <c r="Z114" s="359" t="s">
        <v>692</v>
      </c>
      <c r="AA114" s="359" t="s">
        <v>692</v>
      </c>
      <c r="AB114" s="359" t="s">
        <v>692</v>
      </c>
      <c r="AC114" s="359" t="s">
        <v>692</v>
      </c>
      <c r="AD114" s="359" t="s">
        <v>692</v>
      </c>
      <c r="AE114" s="359" t="s">
        <v>692</v>
      </c>
      <c r="AF114" s="359" t="s">
        <v>692</v>
      </c>
      <c r="AG114" s="359" t="s">
        <v>692</v>
      </c>
      <c r="AH114" s="359" t="s">
        <v>692</v>
      </c>
      <c r="AI114" s="360" t="s">
        <v>692</v>
      </c>
      <c r="AJ114" s="41">
        <f t="shared" si="4"/>
        <v>0</v>
      </c>
    </row>
    <row r="115" spans="1:36" ht="13.5" customHeight="1" x14ac:dyDescent="0.25">
      <c r="A115" s="24"/>
      <c r="B115" s="155" t="s">
        <v>1210</v>
      </c>
      <c r="C115" s="155" t="s">
        <v>142</v>
      </c>
      <c r="D115" s="155">
        <v>132</v>
      </c>
      <c r="E115" s="356" t="s">
        <v>1318</v>
      </c>
      <c r="F115" s="357" t="s">
        <v>1239</v>
      </c>
      <c r="G115" s="357"/>
      <c r="H115" s="357"/>
      <c r="I115" s="357">
        <v>103000</v>
      </c>
      <c r="J115" s="357"/>
      <c r="K115" s="357"/>
      <c r="L115" s="357"/>
      <c r="M115" s="357"/>
      <c r="N115" s="357"/>
      <c r="O115" s="357"/>
      <c r="P115" s="357"/>
      <c r="Q115" s="357"/>
      <c r="R115" s="357"/>
      <c r="S115" s="357"/>
      <c r="T115" s="357"/>
      <c r="U115" s="357"/>
      <c r="V115" s="357"/>
      <c r="W115" s="358"/>
      <c r="X115" s="359" t="s">
        <v>692</v>
      </c>
      <c r="Y115" s="359" t="s">
        <v>692</v>
      </c>
      <c r="Z115" s="359" t="s">
        <v>692</v>
      </c>
      <c r="AA115" s="359" t="s">
        <v>692</v>
      </c>
      <c r="AB115" s="359" t="s">
        <v>692</v>
      </c>
      <c r="AC115" s="359" t="s">
        <v>692</v>
      </c>
      <c r="AD115" s="359" t="s">
        <v>692</v>
      </c>
      <c r="AE115" s="359" t="s">
        <v>692</v>
      </c>
      <c r="AF115" s="359" t="s">
        <v>692</v>
      </c>
      <c r="AG115" s="359" t="s">
        <v>692</v>
      </c>
      <c r="AH115" s="359" t="s">
        <v>692</v>
      </c>
      <c r="AI115" s="360" t="s">
        <v>692</v>
      </c>
      <c r="AJ115" s="41">
        <f t="shared" si="4"/>
        <v>0</v>
      </c>
    </row>
    <row r="116" spans="1:36" ht="13.5" customHeight="1" x14ac:dyDescent="0.25">
      <c r="A116" s="24"/>
      <c r="B116" s="155" t="s">
        <v>1211</v>
      </c>
      <c r="C116" s="155" t="s">
        <v>147</v>
      </c>
      <c r="D116" s="155">
        <v>132</v>
      </c>
      <c r="E116" s="356" t="s">
        <v>1318</v>
      </c>
      <c r="F116" s="357" t="s">
        <v>1239</v>
      </c>
      <c r="G116" s="357"/>
      <c r="H116" s="357"/>
      <c r="I116" s="357">
        <v>99100</v>
      </c>
      <c r="J116" s="357"/>
      <c r="K116" s="357"/>
      <c r="L116" s="357"/>
      <c r="M116" s="357"/>
      <c r="N116" s="357"/>
      <c r="O116" s="357"/>
      <c r="P116" s="357"/>
      <c r="Q116" s="357"/>
      <c r="R116" s="357"/>
      <c r="S116" s="357"/>
      <c r="T116" s="357"/>
      <c r="U116" s="357"/>
      <c r="V116" s="357"/>
      <c r="W116" s="358"/>
      <c r="X116" s="359" t="s">
        <v>692</v>
      </c>
      <c r="Y116" s="359" t="s">
        <v>692</v>
      </c>
      <c r="Z116" s="359" t="s">
        <v>692</v>
      </c>
      <c r="AA116" s="359" t="s">
        <v>692</v>
      </c>
      <c r="AB116" s="359" t="s">
        <v>692</v>
      </c>
      <c r="AC116" s="359" t="s">
        <v>692</v>
      </c>
      <c r="AD116" s="359" t="s">
        <v>692</v>
      </c>
      <c r="AE116" s="359" t="s">
        <v>692</v>
      </c>
      <c r="AF116" s="359" t="s">
        <v>692</v>
      </c>
      <c r="AG116" s="359" t="s">
        <v>692</v>
      </c>
      <c r="AH116" s="359" t="s">
        <v>692</v>
      </c>
      <c r="AI116" s="360" t="s">
        <v>692</v>
      </c>
      <c r="AJ116" s="41">
        <f t="shared" si="4"/>
        <v>0</v>
      </c>
    </row>
    <row r="117" spans="1:36" ht="13.5" customHeight="1" x14ac:dyDescent="0.25">
      <c r="A117" s="24"/>
      <c r="B117" s="155" t="s">
        <v>158</v>
      </c>
      <c r="C117" s="155" t="s">
        <v>151</v>
      </c>
      <c r="D117" s="155">
        <v>132</v>
      </c>
      <c r="E117" s="356" t="s">
        <v>159</v>
      </c>
      <c r="F117" s="357" t="s">
        <v>937</v>
      </c>
      <c r="G117" s="357" t="s">
        <v>1019</v>
      </c>
      <c r="H117" s="357" t="s">
        <v>1585</v>
      </c>
      <c r="I117" s="357"/>
      <c r="J117" s="357"/>
      <c r="K117" s="357"/>
      <c r="L117" s="357"/>
      <c r="M117" s="357"/>
      <c r="N117" s="357"/>
      <c r="O117" s="357"/>
      <c r="P117" s="357"/>
      <c r="Q117" s="357"/>
      <c r="R117" s="357"/>
      <c r="S117" s="357"/>
      <c r="T117" s="357"/>
      <c r="U117" s="357"/>
      <c r="V117" s="357"/>
      <c r="W117" s="358"/>
      <c r="X117" s="359" t="s">
        <v>692</v>
      </c>
      <c r="Y117" s="359" t="s">
        <v>692</v>
      </c>
      <c r="Z117" s="359" t="s">
        <v>692</v>
      </c>
      <c r="AA117" s="359" t="s">
        <v>692</v>
      </c>
      <c r="AB117" s="359" t="s">
        <v>692</v>
      </c>
      <c r="AC117" s="359" t="s">
        <v>692</v>
      </c>
      <c r="AD117" s="359" t="s">
        <v>692</v>
      </c>
      <c r="AE117" s="359" t="s">
        <v>692</v>
      </c>
      <c r="AF117" s="359" t="s">
        <v>692</v>
      </c>
      <c r="AG117" s="359" t="s">
        <v>692</v>
      </c>
      <c r="AH117" s="359" t="s">
        <v>692</v>
      </c>
      <c r="AI117" s="360" t="s">
        <v>692</v>
      </c>
      <c r="AJ117" s="41">
        <f t="shared" si="4"/>
        <v>0</v>
      </c>
    </row>
    <row r="118" spans="1:36" ht="13.5" customHeight="1" x14ac:dyDescent="0.25">
      <c r="A118" s="24"/>
      <c r="B118" s="155" t="s">
        <v>1586</v>
      </c>
      <c r="C118" s="155" t="s">
        <v>151</v>
      </c>
      <c r="D118" s="155">
        <v>132</v>
      </c>
      <c r="E118" s="356" t="s">
        <v>159</v>
      </c>
      <c r="F118" s="357" t="s">
        <v>937</v>
      </c>
      <c r="G118" s="357" t="s">
        <v>1019</v>
      </c>
      <c r="H118" s="357" t="s">
        <v>1587</v>
      </c>
      <c r="I118" s="357">
        <v>21873</v>
      </c>
      <c r="J118" s="357"/>
      <c r="K118" s="357"/>
      <c r="L118" s="357"/>
      <c r="M118" s="357"/>
      <c r="N118" s="357"/>
      <c r="O118" s="357"/>
      <c r="P118" s="357"/>
      <c r="Q118" s="357"/>
      <c r="R118" s="357"/>
      <c r="S118" s="357"/>
      <c r="T118" s="357"/>
      <c r="U118" s="357"/>
      <c r="V118" s="357"/>
      <c r="W118" s="358"/>
      <c r="X118" s="359" t="s">
        <v>692</v>
      </c>
      <c r="Y118" s="359" t="s">
        <v>692</v>
      </c>
      <c r="Z118" s="359" t="s">
        <v>692</v>
      </c>
      <c r="AA118" s="359" t="s">
        <v>692</v>
      </c>
      <c r="AB118" s="359" t="s">
        <v>692</v>
      </c>
      <c r="AC118" s="359" t="s">
        <v>692</v>
      </c>
      <c r="AD118" s="359" t="s">
        <v>692</v>
      </c>
      <c r="AE118" s="359" t="s">
        <v>692</v>
      </c>
      <c r="AF118" s="359" t="s">
        <v>692</v>
      </c>
      <c r="AG118" s="359" t="s">
        <v>692</v>
      </c>
      <c r="AH118" s="359" t="s">
        <v>692</v>
      </c>
      <c r="AI118" s="360" t="s">
        <v>692</v>
      </c>
      <c r="AJ118" s="41">
        <f t="shared" si="4"/>
        <v>0</v>
      </c>
    </row>
    <row r="119" spans="1:36" ht="13.5" customHeight="1" x14ac:dyDescent="0.25">
      <c r="A119" s="24"/>
      <c r="B119" s="155" t="s">
        <v>1346</v>
      </c>
      <c r="C119" s="155" t="s">
        <v>252</v>
      </c>
      <c r="D119" s="155">
        <v>132</v>
      </c>
      <c r="E119" s="356" t="s">
        <v>1348</v>
      </c>
      <c r="F119" s="357" t="s">
        <v>1621</v>
      </c>
      <c r="G119" s="357"/>
      <c r="H119" s="357"/>
      <c r="I119" s="357">
        <v>130560</v>
      </c>
      <c r="J119" s="357"/>
      <c r="K119" s="357"/>
      <c r="L119" s="357"/>
      <c r="M119" s="357"/>
      <c r="N119" s="357"/>
      <c r="O119" s="357"/>
      <c r="P119" s="357"/>
      <c r="Q119" s="357"/>
      <c r="R119" s="357"/>
      <c r="S119" s="357"/>
      <c r="T119" s="357"/>
      <c r="U119" s="357"/>
      <c r="V119" s="357"/>
      <c r="W119" s="358"/>
      <c r="X119" s="359" t="s">
        <v>692</v>
      </c>
      <c r="Y119" s="359" t="s">
        <v>692</v>
      </c>
      <c r="Z119" s="359" t="s">
        <v>692</v>
      </c>
      <c r="AA119" s="359" t="s">
        <v>692</v>
      </c>
      <c r="AB119" s="359" t="s">
        <v>692</v>
      </c>
      <c r="AC119" s="359" t="s">
        <v>692</v>
      </c>
      <c r="AD119" s="359" t="s">
        <v>692</v>
      </c>
      <c r="AE119" s="359" t="s">
        <v>692</v>
      </c>
      <c r="AF119" s="359" t="s">
        <v>692</v>
      </c>
      <c r="AG119" s="359" t="s">
        <v>692</v>
      </c>
      <c r="AH119" s="359" t="s">
        <v>692</v>
      </c>
      <c r="AI119" s="360" t="s">
        <v>692</v>
      </c>
      <c r="AJ119" s="41">
        <f t="shared" si="4"/>
        <v>0</v>
      </c>
    </row>
    <row r="120" spans="1:36" ht="13.5" customHeight="1" x14ac:dyDescent="0.25">
      <c r="A120" s="24"/>
      <c r="B120" s="155" t="s">
        <v>1125</v>
      </c>
      <c r="C120" s="155" t="s">
        <v>291</v>
      </c>
      <c r="D120" s="155">
        <v>132</v>
      </c>
      <c r="E120" s="356" t="s">
        <v>695</v>
      </c>
      <c r="F120" s="357" t="s">
        <v>47</v>
      </c>
      <c r="G120" s="357"/>
      <c r="H120" s="357" t="s">
        <v>696</v>
      </c>
      <c r="I120" s="357">
        <v>12534</v>
      </c>
      <c r="J120" s="357"/>
      <c r="K120" s="357"/>
      <c r="L120" s="357"/>
      <c r="M120" s="357"/>
      <c r="N120" s="357"/>
      <c r="O120" s="357"/>
      <c r="P120" s="357"/>
      <c r="Q120" s="357"/>
      <c r="R120" s="357"/>
      <c r="S120" s="357"/>
      <c r="T120" s="357"/>
      <c r="U120" s="357"/>
      <c r="V120" s="357"/>
      <c r="W120" s="358"/>
      <c r="X120" s="359" t="s">
        <v>692</v>
      </c>
      <c r="Y120" s="359" t="s">
        <v>692</v>
      </c>
      <c r="Z120" s="359" t="s">
        <v>692</v>
      </c>
      <c r="AA120" s="359" t="s">
        <v>692</v>
      </c>
      <c r="AB120" s="359" t="s">
        <v>692</v>
      </c>
      <c r="AC120" s="359" t="s">
        <v>692</v>
      </c>
      <c r="AD120" s="359" t="s">
        <v>692</v>
      </c>
      <c r="AE120" s="359" t="s">
        <v>692</v>
      </c>
      <c r="AF120" s="359" t="s">
        <v>692</v>
      </c>
      <c r="AG120" s="359" t="s">
        <v>692</v>
      </c>
      <c r="AH120" s="359" t="s">
        <v>692</v>
      </c>
      <c r="AI120" s="360" t="s">
        <v>692</v>
      </c>
      <c r="AJ120" s="41">
        <f t="shared" si="4"/>
        <v>0</v>
      </c>
    </row>
    <row r="121" spans="1:36" ht="13.5" customHeight="1" x14ac:dyDescent="0.25">
      <c r="A121" s="24"/>
      <c r="B121" s="155">
        <v>114481072</v>
      </c>
      <c r="C121" s="155" t="s">
        <v>293</v>
      </c>
      <c r="D121" s="155">
        <v>132</v>
      </c>
      <c r="E121" s="356" t="s">
        <v>300</v>
      </c>
      <c r="F121" s="357" t="s">
        <v>47</v>
      </c>
      <c r="G121" s="357" t="s">
        <v>300</v>
      </c>
      <c r="H121" s="357"/>
      <c r="I121" s="357">
        <v>152083</v>
      </c>
      <c r="J121" s="357"/>
      <c r="K121" s="357"/>
      <c r="L121" s="357"/>
      <c r="M121" s="357"/>
      <c r="N121" s="357"/>
      <c r="O121" s="357"/>
      <c r="P121" s="357"/>
      <c r="Q121" s="357"/>
      <c r="R121" s="357"/>
      <c r="S121" s="357"/>
      <c r="T121" s="357"/>
      <c r="U121" s="357"/>
      <c r="V121" s="357"/>
      <c r="W121" s="358"/>
      <c r="X121" s="359" t="s">
        <v>692</v>
      </c>
      <c r="Y121" s="359" t="s">
        <v>692</v>
      </c>
      <c r="Z121" s="359" t="s">
        <v>692</v>
      </c>
      <c r="AA121" s="359" t="s">
        <v>692</v>
      </c>
      <c r="AB121" s="359" t="s">
        <v>692</v>
      </c>
      <c r="AC121" s="359" t="s">
        <v>692</v>
      </c>
      <c r="AD121" s="359" t="s">
        <v>692</v>
      </c>
      <c r="AE121" s="359" t="s">
        <v>692</v>
      </c>
      <c r="AF121" s="359" t="s">
        <v>692</v>
      </c>
      <c r="AG121" s="359" t="s">
        <v>692</v>
      </c>
      <c r="AH121" s="359" t="s">
        <v>692</v>
      </c>
      <c r="AI121" s="360" t="s">
        <v>692</v>
      </c>
      <c r="AJ121" s="41">
        <f t="shared" si="4"/>
        <v>0</v>
      </c>
    </row>
    <row r="122" spans="1:36" ht="13.5" customHeight="1" x14ac:dyDescent="0.25">
      <c r="A122" s="24"/>
      <c r="B122" s="155" t="s">
        <v>1184</v>
      </c>
      <c r="C122" s="155" t="s">
        <v>293</v>
      </c>
      <c r="D122" s="155">
        <v>132</v>
      </c>
      <c r="E122" s="356" t="s">
        <v>442</v>
      </c>
      <c r="F122" s="357" t="s">
        <v>47</v>
      </c>
      <c r="G122" s="357"/>
      <c r="H122" s="357" t="s">
        <v>1185</v>
      </c>
      <c r="I122" s="357">
        <v>592827</v>
      </c>
      <c r="J122" s="357"/>
      <c r="K122" s="357"/>
      <c r="L122" s="357"/>
      <c r="M122" s="357"/>
      <c r="N122" s="357"/>
      <c r="O122" s="357"/>
      <c r="P122" s="357"/>
      <c r="Q122" s="357"/>
      <c r="R122" s="357"/>
      <c r="S122" s="357"/>
      <c r="T122" s="357"/>
      <c r="U122" s="357"/>
      <c r="V122" s="357"/>
      <c r="W122" s="358"/>
      <c r="X122" s="359" t="s">
        <v>692</v>
      </c>
      <c r="Y122" s="359" t="s">
        <v>692</v>
      </c>
      <c r="Z122" s="359" t="s">
        <v>692</v>
      </c>
      <c r="AA122" s="359" t="s">
        <v>692</v>
      </c>
      <c r="AB122" s="359" t="s">
        <v>692</v>
      </c>
      <c r="AC122" s="359" t="s">
        <v>692</v>
      </c>
      <c r="AD122" s="359" t="s">
        <v>692</v>
      </c>
      <c r="AE122" s="359" t="s">
        <v>692</v>
      </c>
      <c r="AF122" s="359" t="s">
        <v>692</v>
      </c>
      <c r="AG122" s="359" t="s">
        <v>692</v>
      </c>
      <c r="AH122" s="359" t="s">
        <v>692</v>
      </c>
      <c r="AI122" s="360" t="s">
        <v>692</v>
      </c>
      <c r="AJ122" s="41">
        <f t="shared" si="4"/>
        <v>0</v>
      </c>
    </row>
    <row r="123" spans="1:36" ht="13.5" customHeight="1" x14ac:dyDescent="0.25">
      <c r="A123" s="24"/>
      <c r="B123" s="155" t="s">
        <v>1127</v>
      </c>
      <c r="C123" s="155" t="s">
        <v>301</v>
      </c>
      <c r="D123" s="155">
        <v>132</v>
      </c>
      <c r="E123" s="356" t="s">
        <v>442</v>
      </c>
      <c r="F123" s="357" t="s">
        <v>47</v>
      </c>
      <c r="G123" s="357"/>
      <c r="H123" s="357"/>
      <c r="I123" s="357">
        <v>699434</v>
      </c>
      <c r="J123" s="357"/>
      <c r="K123" s="357"/>
      <c r="L123" s="357"/>
      <c r="M123" s="357"/>
      <c r="N123" s="357"/>
      <c r="O123" s="357"/>
      <c r="P123" s="357"/>
      <c r="Q123" s="357"/>
      <c r="R123" s="357"/>
      <c r="S123" s="357"/>
      <c r="T123" s="357"/>
      <c r="U123" s="357"/>
      <c r="V123" s="357"/>
      <c r="W123" s="358"/>
      <c r="X123" s="359" t="s">
        <v>692</v>
      </c>
      <c r="Y123" s="359" t="s">
        <v>692</v>
      </c>
      <c r="Z123" s="359" t="s">
        <v>692</v>
      </c>
      <c r="AA123" s="359" t="s">
        <v>692</v>
      </c>
      <c r="AB123" s="359" t="s">
        <v>692</v>
      </c>
      <c r="AC123" s="359" t="s">
        <v>692</v>
      </c>
      <c r="AD123" s="359" t="s">
        <v>692</v>
      </c>
      <c r="AE123" s="359" t="s">
        <v>692</v>
      </c>
      <c r="AF123" s="359" t="s">
        <v>692</v>
      </c>
      <c r="AG123" s="359" t="s">
        <v>692</v>
      </c>
      <c r="AH123" s="359" t="s">
        <v>692</v>
      </c>
      <c r="AI123" s="360" t="s">
        <v>692</v>
      </c>
      <c r="AJ123" s="41">
        <f t="shared" si="4"/>
        <v>0</v>
      </c>
    </row>
    <row r="124" spans="1:36" ht="13.5" customHeight="1" x14ac:dyDescent="0.25">
      <c r="A124" s="24"/>
      <c r="B124" s="155" t="s">
        <v>1130</v>
      </c>
      <c r="C124" s="155" t="s">
        <v>441</v>
      </c>
      <c r="D124" s="155">
        <v>132</v>
      </c>
      <c r="E124" s="356" t="s">
        <v>442</v>
      </c>
      <c r="F124" s="357" t="s">
        <v>47</v>
      </c>
      <c r="G124" s="357"/>
      <c r="H124" s="357"/>
      <c r="I124" s="357">
        <v>112289</v>
      </c>
      <c r="J124" s="357"/>
      <c r="K124" s="357"/>
      <c r="L124" s="357"/>
      <c r="M124" s="357"/>
      <c r="N124" s="357"/>
      <c r="O124" s="357"/>
      <c r="P124" s="357"/>
      <c r="Q124" s="357"/>
      <c r="R124" s="357"/>
      <c r="S124" s="357"/>
      <c r="T124" s="357"/>
      <c r="U124" s="357"/>
      <c r="V124" s="357"/>
      <c r="W124" s="358"/>
      <c r="X124" s="359" t="s">
        <v>692</v>
      </c>
      <c r="Y124" s="359" t="s">
        <v>692</v>
      </c>
      <c r="Z124" s="359" t="s">
        <v>692</v>
      </c>
      <c r="AA124" s="359" t="s">
        <v>692</v>
      </c>
      <c r="AB124" s="359" t="s">
        <v>692</v>
      </c>
      <c r="AC124" s="359" t="s">
        <v>692</v>
      </c>
      <c r="AD124" s="359" t="s">
        <v>692</v>
      </c>
      <c r="AE124" s="359" t="s">
        <v>692</v>
      </c>
      <c r="AF124" s="359" t="s">
        <v>692</v>
      </c>
      <c r="AG124" s="359" t="s">
        <v>692</v>
      </c>
      <c r="AH124" s="359" t="s">
        <v>692</v>
      </c>
      <c r="AI124" s="360" t="s">
        <v>692</v>
      </c>
      <c r="AJ124" s="41">
        <f t="shared" si="4"/>
        <v>0</v>
      </c>
    </row>
    <row r="125" spans="1:36" ht="15" x14ac:dyDescent="0.2">
      <c r="A125" s="25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41">
        <f t="shared" si="4"/>
        <v>0</v>
      </c>
    </row>
    <row r="126" spans="1:36" ht="15" x14ac:dyDescent="0.2">
      <c r="A126" s="25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41">
        <f t="shared" si="4"/>
        <v>0</v>
      </c>
    </row>
    <row r="127" spans="1:36" ht="15" x14ac:dyDescent="0.2">
      <c r="A127" s="25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41">
        <f t="shared" si="4"/>
        <v>0</v>
      </c>
    </row>
    <row r="128" spans="1:36" ht="15" x14ac:dyDescent="0.2">
      <c r="A128" s="25"/>
      <c r="B128" s="34"/>
      <c r="C128" s="241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41">
        <f t="shared" si="4"/>
        <v>0</v>
      </c>
    </row>
    <row r="129" spans="1:36" ht="15" x14ac:dyDescent="0.2">
      <c r="A129" s="25"/>
      <c r="B129" s="34"/>
      <c r="C129" s="241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41">
        <f t="shared" si="4"/>
        <v>0</v>
      </c>
    </row>
    <row r="130" spans="1:36" ht="15" x14ac:dyDescent="0.2">
      <c r="A130" s="25"/>
      <c r="B130" s="34"/>
      <c r="C130" s="241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41">
        <f t="shared" si="4"/>
        <v>0</v>
      </c>
    </row>
    <row r="131" spans="1:36" ht="15" x14ac:dyDescent="0.2">
      <c r="A131" s="25"/>
      <c r="B131" s="34"/>
      <c r="C131" s="241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41">
        <f t="shared" si="4"/>
        <v>0</v>
      </c>
    </row>
    <row r="132" spans="1:36" ht="15" x14ac:dyDescent="0.2">
      <c r="A132" s="25"/>
      <c r="B132" s="34"/>
      <c r="C132" s="241"/>
      <c r="D132" s="34"/>
      <c r="E132" s="34"/>
      <c r="F132" s="34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34"/>
      <c r="X132" s="155"/>
      <c r="Y132" s="155"/>
      <c r="Z132" s="155"/>
      <c r="AA132" s="155"/>
      <c r="AB132" s="155"/>
      <c r="AC132" s="155"/>
      <c r="AD132" s="155"/>
      <c r="AE132" s="155"/>
      <c r="AF132" s="155"/>
      <c r="AG132" s="155"/>
      <c r="AH132" s="155"/>
      <c r="AI132" s="155"/>
      <c r="AJ132" s="41">
        <f t="shared" si="4"/>
        <v>0</v>
      </c>
    </row>
    <row r="133" spans="1:36" ht="15" x14ac:dyDescent="0.2">
      <c r="A133" s="25"/>
      <c r="B133" s="34"/>
      <c r="C133" s="34"/>
      <c r="D133" s="34"/>
      <c r="E133" s="34"/>
      <c r="F133" s="34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155"/>
      <c r="Y133" s="155"/>
      <c r="Z133" s="155"/>
      <c r="AA133" s="155"/>
      <c r="AB133" s="155"/>
      <c r="AC133" s="155"/>
      <c r="AD133" s="155"/>
      <c r="AE133" s="155"/>
      <c r="AF133" s="155"/>
      <c r="AG133" s="155"/>
      <c r="AH133" s="155"/>
      <c r="AI133" s="155"/>
      <c r="AJ133" s="41">
        <f t="shared" si="4"/>
        <v>0</v>
      </c>
    </row>
    <row r="134" spans="1:36" ht="15" x14ac:dyDescent="0.2">
      <c r="A134" s="25"/>
      <c r="B134" s="34"/>
      <c r="C134" s="34"/>
      <c r="D134" s="34"/>
      <c r="E134" s="34"/>
      <c r="F134" s="34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155"/>
      <c r="Y134" s="155"/>
      <c r="Z134" s="155"/>
      <c r="AA134" s="155"/>
      <c r="AB134" s="155"/>
      <c r="AC134" s="155"/>
      <c r="AD134" s="155"/>
      <c r="AE134" s="155"/>
      <c r="AF134" s="155"/>
      <c r="AG134" s="155"/>
      <c r="AH134" s="155"/>
      <c r="AI134" s="155"/>
      <c r="AJ134" s="41">
        <f t="shared" si="4"/>
        <v>0</v>
      </c>
    </row>
    <row r="135" spans="1:36" ht="15" x14ac:dyDescent="0.2">
      <c r="A135" s="25"/>
      <c r="B135" s="34"/>
      <c r="C135" s="34"/>
      <c r="D135" s="34"/>
      <c r="E135" s="34"/>
      <c r="F135" s="34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155"/>
      <c r="Y135" s="155"/>
      <c r="Z135" s="155"/>
      <c r="AA135" s="155"/>
      <c r="AB135" s="155"/>
      <c r="AC135" s="155"/>
      <c r="AD135" s="155"/>
      <c r="AE135" s="155"/>
      <c r="AF135" s="155"/>
      <c r="AG135" s="155"/>
      <c r="AH135" s="155"/>
      <c r="AI135" s="155"/>
      <c r="AJ135" s="41">
        <f t="shared" si="4"/>
        <v>0</v>
      </c>
    </row>
    <row r="136" spans="1:36" ht="15" x14ac:dyDescent="0.2">
      <c r="A136" s="25"/>
      <c r="B136" s="34"/>
      <c r="C136" s="34"/>
      <c r="D136" s="34"/>
      <c r="E136" s="34"/>
      <c r="F136" s="34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155"/>
      <c r="Y136" s="155"/>
      <c r="Z136" s="155"/>
      <c r="AA136" s="155"/>
      <c r="AB136" s="155"/>
      <c r="AC136" s="155"/>
      <c r="AD136" s="155"/>
      <c r="AE136" s="155"/>
      <c r="AF136" s="155"/>
      <c r="AG136" s="155"/>
      <c r="AH136" s="155"/>
      <c r="AI136" s="155"/>
      <c r="AJ136" s="41">
        <f t="shared" si="4"/>
        <v>0</v>
      </c>
    </row>
    <row r="137" spans="1:36" ht="15" x14ac:dyDescent="0.2">
      <c r="A137" s="25"/>
      <c r="B137" s="34"/>
      <c r="C137" s="34"/>
      <c r="D137" s="34"/>
      <c r="E137" s="34"/>
      <c r="F137" s="34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155"/>
      <c r="Y137" s="155"/>
      <c r="Z137" s="155"/>
      <c r="AA137" s="155"/>
      <c r="AB137" s="155"/>
      <c r="AC137" s="155"/>
      <c r="AD137" s="155"/>
      <c r="AE137" s="155"/>
      <c r="AF137" s="155"/>
      <c r="AG137" s="155"/>
      <c r="AH137" s="155"/>
      <c r="AI137" s="155"/>
      <c r="AJ137" s="41">
        <f t="shared" si="4"/>
        <v>0</v>
      </c>
    </row>
    <row r="138" spans="1:36" ht="15" x14ac:dyDescent="0.2">
      <c r="A138" s="25"/>
      <c r="B138" s="34"/>
      <c r="C138" s="34"/>
      <c r="D138" s="34"/>
      <c r="E138" s="34"/>
      <c r="F138" s="34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155"/>
      <c r="Y138" s="155"/>
      <c r="Z138" s="155"/>
      <c r="AA138" s="155"/>
      <c r="AB138" s="155"/>
      <c r="AC138" s="155"/>
      <c r="AD138" s="155"/>
      <c r="AE138" s="155"/>
      <c r="AF138" s="155"/>
      <c r="AG138" s="155"/>
      <c r="AH138" s="155"/>
      <c r="AI138" s="155"/>
      <c r="AJ138" s="41">
        <f t="shared" si="4"/>
        <v>0</v>
      </c>
    </row>
    <row r="139" spans="1:36" ht="15" x14ac:dyDescent="0.2">
      <c r="A139" s="25"/>
      <c r="B139" s="34"/>
      <c r="C139" s="34"/>
      <c r="D139" s="34"/>
      <c r="E139" s="34"/>
      <c r="F139" s="34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155"/>
      <c r="Y139" s="155"/>
      <c r="Z139" s="155"/>
      <c r="AA139" s="155"/>
      <c r="AB139" s="155"/>
      <c r="AC139" s="155"/>
      <c r="AD139" s="155"/>
      <c r="AE139" s="155"/>
      <c r="AF139" s="155"/>
      <c r="AG139" s="155"/>
      <c r="AH139" s="155"/>
      <c r="AI139" s="155"/>
      <c r="AJ139" s="41">
        <f t="shared" si="4"/>
        <v>0</v>
      </c>
    </row>
    <row r="140" spans="1:36" s="27" customFormat="1" x14ac:dyDescent="0.2">
      <c r="A140" s="531" t="s">
        <v>481</v>
      </c>
      <c r="B140" s="531"/>
      <c r="C140" s="531"/>
      <c r="D140" s="531"/>
      <c r="E140" s="211"/>
      <c r="F140" s="32"/>
      <c r="G140" s="32">
        <f>SUMIFS(G125:G139,G125:G139,"&gt;0",G125:G139,"&lt;1999999")</f>
        <v>0</v>
      </c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153">
        <f>SUMIFS(W125:W139,W125:W139,"&gt;0",W125:W139,"&lt;1999999")</f>
        <v>0</v>
      </c>
      <c r="X140" s="153">
        <f>SUM(X110:X139)</f>
        <v>0</v>
      </c>
      <c r="Y140" s="153">
        <f t="shared" ref="Y140:AI140" si="5">SUM(Y110:Y139)</f>
        <v>0</v>
      </c>
      <c r="Z140" s="153">
        <f t="shared" si="5"/>
        <v>0</v>
      </c>
      <c r="AA140" s="153">
        <f t="shared" si="5"/>
        <v>0</v>
      </c>
      <c r="AB140" s="153">
        <f t="shared" si="5"/>
        <v>0</v>
      </c>
      <c r="AC140" s="153">
        <f t="shared" si="5"/>
        <v>0</v>
      </c>
      <c r="AD140" s="153">
        <f t="shared" si="5"/>
        <v>0</v>
      </c>
      <c r="AE140" s="153">
        <f t="shared" si="5"/>
        <v>0</v>
      </c>
      <c r="AF140" s="153">
        <f t="shared" si="5"/>
        <v>0</v>
      </c>
      <c r="AG140" s="153">
        <f t="shared" si="5"/>
        <v>0</v>
      </c>
      <c r="AH140" s="153">
        <f t="shared" si="5"/>
        <v>0</v>
      </c>
      <c r="AI140" s="153">
        <f t="shared" si="5"/>
        <v>0</v>
      </c>
      <c r="AJ140" s="153">
        <f>SUMIFS(AJ125:AJ139,AJ125:AJ139,"&gt;0",AJ125:AJ139,"&lt;1999999")</f>
        <v>0</v>
      </c>
    </row>
    <row r="141" spans="1:36" s="21" customFormat="1" x14ac:dyDescent="0.2">
      <c r="B141" s="34"/>
      <c r="C141" s="37"/>
      <c r="D141" s="37"/>
      <c r="E141" s="37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154"/>
      <c r="X141" s="154"/>
      <c r="Y141" s="154"/>
      <c r="Z141" s="154"/>
      <c r="AA141" s="154"/>
      <c r="AB141" s="154"/>
      <c r="AC141" s="154"/>
      <c r="AD141" s="154"/>
      <c r="AE141" s="154"/>
      <c r="AF141" s="154"/>
      <c r="AG141" s="154"/>
      <c r="AH141" s="154"/>
      <c r="AI141" s="39"/>
    </row>
    <row r="142" spans="1:36" x14ac:dyDescent="0.2">
      <c r="A142" s="26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155"/>
      <c r="X142" s="155"/>
      <c r="Y142" s="155"/>
      <c r="Z142" s="155"/>
      <c r="AA142" s="155"/>
      <c r="AB142" s="155"/>
      <c r="AC142" s="155"/>
      <c r="AD142" s="155"/>
      <c r="AE142" s="155"/>
      <c r="AF142" s="155"/>
      <c r="AG142" s="155"/>
      <c r="AH142" s="155"/>
    </row>
    <row r="143" spans="1:36" s="22" customFormat="1" ht="18.75" customHeight="1" x14ac:dyDescent="0.2">
      <c r="A143" s="216" t="s">
        <v>478</v>
      </c>
      <c r="B143" s="216"/>
      <c r="C143" s="216"/>
      <c r="D143" s="216"/>
      <c r="E143" s="209" t="s">
        <v>1418</v>
      </c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150"/>
      <c r="X143" s="150"/>
      <c r="Y143" s="150"/>
      <c r="Z143" s="150"/>
      <c r="AA143" s="150"/>
      <c r="AB143" s="150"/>
      <c r="AC143" s="150"/>
      <c r="AD143" s="150"/>
      <c r="AE143" s="150"/>
      <c r="AF143" s="150"/>
      <c r="AG143" s="150"/>
      <c r="AH143" s="150"/>
      <c r="AI143" s="40"/>
    </row>
    <row r="144" spans="1:36" ht="13.5" customHeight="1" x14ac:dyDescent="0.25">
      <c r="A144" s="24" t="s">
        <v>670</v>
      </c>
      <c r="B144" s="165" t="s">
        <v>18</v>
      </c>
      <c r="C144" s="165" t="s">
        <v>0</v>
      </c>
      <c r="D144" s="165" t="s">
        <v>671</v>
      </c>
      <c r="E144" s="210" t="s">
        <v>1</v>
      </c>
      <c r="F144" s="31" t="s">
        <v>2</v>
      </c>
      <c r="G144" s="31" t="s">
        <v>3</v>
      </c>
      <c r="H144" s="31" t="s">
        <v>4</v>
      </c>
      <c r="I144" s="31" t="s">
        <v>999</v>
      </c>
      <c r="J144" s="31" t="s">
        <v>970</v>
      </c>
      <c r="K144" s="31" t="s">
        <v>1000</v>
      </c>
      <c r="L144" s="31" t="s">
        <v>1001</v>
      </c>
      <c r="M144" s="31" t="s">
        <v>1002</v>
      </c>
      <c r="N144" s="31" t="s">
        <v>1003</v>
      </c>
      <c r="O144" s="31" t="s">
        <v>1004</v>
      </c>
      <c r="P144" s="31" t="s">
        <v>1005</v>
      </c>
      <c r="Q144" s="31" t="s">
        <v>1006</v>
      </c>
      <c r="R144" s="31" t="s">
        <v>1007</v>
      </c>
      <c r="S144" s="31" t="s">
        <v>1008</v>
      </c>
      <c r="T144" s="31" t="s">
        <v>1009</v>
      </c>
      <c r="U144" s="31" t="s">
        <v>1010</v>
      </c>
      <c r="V144" s="31" t="s">
        <v>1011</v>
      </c>
      <c r="W144" s="151" t="s">
        <v>711</v>
      </c>
      <c r="X144" s="151" t="s">
        <v>463</v>
      </c>
      <c r="Y144" s="151" t="s">
        <v>464</v>
      </c>
      <c r="Z144" s="151" t="s">
        <v>465</v>
      </c>
      <c r="AA144" s="151" t="s">
        <v>466</v>
      </c>
      <c r="AB144" s="151" t="s">
        <v>467</v>
      </c>
      <c r="AC144" s="151" t="s">
        <v>468</v>
      </c>
      <c r="AD144" s="151" t="s">
        <v>469</v>
      </c>
      <c r="AE144" s="151" t="s">
        <v>470</v>
      </c>
      <c r="AF144" s="151" t="s">
        <v>471</v>
      </c>
      <c r="AG144" s="151" t="s">
        <v>472</v>
      </c>
      <c r="AH144" s="151" t="s">
        <v>473</v>
      </c>
      <c r="AI144" s="41" t="s">
        <v>474</v>
      </c>
      <c r="AJ144" s="41" t="s">
        <v>647</v>
      </c>
    </row>
    <row r="145" spans="1:36" ht="13.5" customHeight="1" x14ac:dyDescent="0.25">
      <c r="A145" s="24"/>
      <c r="B145" s="155" t="s">
        <v>112</v>
      </c>
      <c r="C145" s="155" t="s">
        <v>318</v>
      </c>
      <c r="D145" s="155">
        <v>140</v>
      </c>
      <c r="E145" s="356" t="s">
        <v>1539</v>
      </c>
      <c r="F145" s="361" t="s">
        <v>1600</v>
      </c>
      <c r="G145" s="361" t="s">
        <v>1538</v>
      </c>
      <c r="H145" s="361" t="s">
        <v>1540</v>
      </c>
      <c r="I145" s="361">
        <v>49267</v>
      </c>
      <c r="J145" s="361"/>
      <c r="K145" s="361"/>
      <c r="L145" s="361"/>
      <c r="M145" s="361"/>
      <c r="N145" s="361"/>
      <c r="O145" s="361"/>
      <c r="P145" s="361"/>
      <c r="Q145" s="361"/>
      <c r="R145" s="361"/>
      <c r="S145" s="361"/>
      <c r="T145" s="361"/>
      <c r="U145" s="361"/>
      <c r="V145" s="361"/>
      <c r="W145" s="359"/>
      <c r="X145" s="359" t="s">
        <v>692</v>
      </c>
      <c r="Y145" s="359" t="s">
        <v>692</v>
      </c>
      <c r="Z145" s="359" t="s">
        <v>692</v>
      </c>
      <c r="AA145" s="359" t="s">
        <v>692</v>
      </c>
      <c r="AB145" s="359" t="s">
        <v>692</v>
      </c>
      <c r="AC145" s="359" t="s">
        <v>692</v>
      </c>
      <c r="AD145" s="359" t="s">
        <v>692</v>
      </c>
      <c r="AE145" s="359" t="s">
        <v>692</v>
      </c>
      <c r="AF145" s="359" t="s">
        <v>692</v>
      </c>
      <c r="AG145" s="359" t="s">
        <v>692</v>
      </c>
      <c r="AH145" s="359" t="s">
        <v>692</v>
      </c>
      <c r="AI145" s="360" t="s">
        <v>692</v>
      </c>
      <c r="AJ145" s="41">
        <f>SUM(X145:AI145)</f>
        <v>0</v>
      </c>
    </row>
    <row r="146" spans="1:36" ht="13.5" customHeight="1" x14ac:dyDescent="0.25">
      <c r="A146" s="24"/>
      <c r="B146" s="155" t="s">
        <v>1088</v>
      </c>
      <c r="C146" s="155" t="s">
        <v>318</v>
      </c>
      <c r="D146" s="155">
        <v>140</v>
      </c>
      <c r="E146" s="356" t="s">
        <v>1181</v>
      </c>
      <c r="F146" s="361" t="s">
        <v>322</v>
      </c>
      <c r="G146" s="361"/>
      <c r="H146" s="361"/>
      <c r="I146" s="361"/>
      <c r="J146" s="361"/>
      <c r="K146" s="361"/>
      <c r="L146" s="361"/>
      <c r="M146" s="361"/>
      <c r="N146" s="361"/>
      <c r="O146" s="361"/>
      <c r="P146" s="361"/>
      <c r="Q146" s="361"/>
      <c r="R146" s="361"/>
      <c r="S146" s="361"/>
      <c r="T146" s="361"/>
      <c r="U146" s="361"/>
      <c r="V146" s="361"/>
      <c r="W146" s="359"/>
      <c r="X146" s="359" t="s">
        <v>692</v>
      </c>
      <c r="Y146" s="359" t="s">
        <v>692</v>
      </c>
      <c r="Z146" s="359" t="s">
        <v>692</v>
      </c>
      <c r="AA146" s="359" t="s">
        <v>692</v>
      </c>
      <c r="AB146" s="359" t="s">
        <v>692</v>
      </c>
      <c r="AC146" s="359" t="s">
        <v>692</v>
      </c>
      <c r="AD146" s="359" t="s">
        <v>692</v>
      </c>
      <c r="AE146" s="359" t="s">
        <v>692</v>
      </c>
      <c r="AF146" s="359" t="s">
        <v>692</v>
      </c>
      <c r="AG146" s="359" t="s">
        <v>692</v>
      </c>
      <c r="AH146" s="359" t="s">
        <v>692</v>
      </c>
      <c r="AI146" s="360" t="s">
        <v>692</v>
      </c>
      <c r="AJ146" s="41">
        <f t="shared" ref="AJ146:AJ209" si="6">SUM(X146:AI146)</f>
        <v>0</v>
      </c>
    </row>
    <row r="147" spans="1:36" ht="13.5" customHeight="1" x14ac:dyDescent="0.25">
      <c r="A147" s="24"/>
      <c r="B147" s="155" t="s">
        <v>1087</v>
      </c>
      <c r="C147" s="155" t="s">
        <v>318</v>
      </c>
      <c r="D147" s="155">
        <v>140</v>
      </c>
      <c r="E147" s="356" t="s">
        <v>1085</v>
      </c>
      <c r="F147" s="361" t="s">
        <v>1589</v>
      </c>
      <c r="G147" s="361"/>
      <c r="H147" s="361"/>
      <c r="I147" s="361">
        <v>483903</v>
      </c>
      <c r="J147" s="361"/>
      <c r="K147" s="361"/>
      <c r="L147" s="361"/>
      <c r="M147" s="361"/>
      <c r="N147" s="361"/>
      <c r="O147" s="361"/>
      <c r="P147" s="361"/>
      <c r="Q147" s="361"/>
      <c r="R147" s="361"/>
      <c r="S147" s="361"/>
      <c r="T147" s="361"/>
      <c r="U147" s="361"/>
      <c r="V147" s="361"/>
      <c r="W147" s="359"/>
      <c r="X147" s="359" t="s">
        <v>692</v>
      </c>
      <c r="Y147" s="359" t="s">
        <v>692</v>
      </c>
      <c r="Z147" s="359" t="s">
        <v>692</v>
      </c>
      <c r="AA147" s="359" t="s">
        <v>692</v>
      </c>
      <c r="AB147" s="359" t="s">
        <v>692</v>
      </c>
      <c r="AC147" s="359" t="s">
        <v>692</v>
      </c>
      <c r="AD147" s="359" t="s">
        <v>692</v>
      </c>
      <c r="AE147" s="359" t="s">
        <v>692</v>
      </c>
      <c r="AF147" s="359" t="s">
        <v>692</v>
      </c>
      <c r="AG147" s="359" t="s">
        <v>692</v>
      </c>
      <c r="AH147" s="359" t="s">
        <v>692</v>
      </c>
      <c r="AI147" s="360" t="s">
        <v>692</v>
      </c>
      <c r="AJ147" s="41">
        <f t="shared" si="6"/>
        <v>0</v>
      </c>
    </row>
    <row r="148" spans="1:36" ht="13.5" customHeight="1" x14ac:dyDescent="0.25">
      <c r="A148" s="24"/>
      <c r="B148" s="155" t="s">
        <v>1086</v>
      </c>
      <c r="C148" s="155" t="s">
        <v>318</v>
      </c>
      <c r="D148" s="155">
        <v>140</v>
      </c>
      <c r="E148" s="356" t="s">
        <v>1084</v>
      </c>
      <c r="F148" s="361" t="s">
        <v>1595</v>
      </c>
      <c r="G148" s="361"/>
      <c r="H148" s="361"/>
      <c r="I148" s="361">
        <v>157572</v>
      </c>
      <c r="J148" s="361"/>
      <c r="K148" s="361"/>
      <c r="L148" s="361"/>
      <c r="M148" s="361"/>
      <c r="N148" s="361"/>
      <c r="O148" s="361"/>
      <c r="P148" s="361"/>
      <c r="Q148" s="361"/>
      <c r="R148" s="361"/>
      <c r="S148" s="361"/>
      <c r="T148" s="361"/>
      <c r="U148" s="361"/>
      <c r="V148" s="361"/>
      <c r="W148" s="359"/>
      <c r="X148" s="359" t="s">
        <v>692</v>
      </c>
      <c r="Y148" s="359" t="s">
        <v>692</v>
      </c>
      <c r="Z148" s="359" t="s">
        <v>692</v>
      </c>
      <c r="AA148" s="359" t="s">
        <v>692</v>
      </c>
      <c r="AB148" s="359" t="s">
        <v>692</v>
      </c>
      <c r="AC148" s="359" t="s">
        <v>692</v>
      </c>
      <c r="AD148" s="359" t="s">
        <v>692</v>
      </c>
      <c r="AE148" s="359" t="s">
        <v>692</v>
      </c>
      <c r="AF148" s="359" t="s">
        <v>692</v>
      </c>
      <c r="AG148" s="359" t="s">
        <v>692</v>
      </c>
      <c r="AH148" s="359" t="s">
        <v>692</v>
      </c>
      <c r="AI148" s="360" t="s">
        <v>692</v>
      </c>
      <c r="AJ148" s="41">
        <f t="shared" si="6"/>
        <v>0</v>
      </c>
    </row>
    <row r="149" spans="1:36" ht="13.5" customHeight="1" x14ac:dyDescent="0.25">
      <c r="A149" s="24"/>
      <c r="B149" s="155" t="s">
        <v>1316</v>
      </c>
      <c r="C149" s="155" t="s">
        <v>318</v>
      </c>
      <c r="D149" s="155">
        <v>140</v>
      </c>
      <c r="E149" s="356" t="s">
        <v>1181</v>
      </c>
      <c r="F149" s="361" t="s">
        <v>1518</v>
      </c>
      <c r="G149" s="361"/>
      <c r="H149" s="361"/>
      <c r="I149" s="361">
        <v>64115</v>
      </c>
      <c r="J149" s="361"/>
      <c r="K149" s="361"/>
      <c r="L149" s="361"/>
      <c r="M149" s="361"/>
      <c r="N149" s="361"/>
      <c r="O149" s="361"/>
      <c r="P149" s="361"/>
      <c r="Q149" s="361"/>
      <c r="R149" s="361"/>
      <c r="S149" s="361"/>
      <c r="T149" s="361"/>
      <c r="U149" s="361"/>
      <c r="V149" s="361"/>
      <c r="W149" s="359"/>
      <c r="X149" s="359" t="s">
        <v>692</v>
      </c>
      <c r="Y149" s="359" t="s">
        <v>692</v>
      </c>
      <c r="Z149" s="359" t="s">
        <v>692</v>
      </c>
      <c r="AA149" s="359" t="s">
        <v>692</v>
      </c>
      <c r="AB149" s="359" t="s">
        <v>692</v>
      </c>
      <c r="AC149" s="359" t="s">
        <v>692</v>
      </c>
      <c r="AD149" s="359" t="s">
        <v>692</v>
      </c>
      <c r="AE149" s="359" t="s">
        <v>692</v>
      </c>
      <c r="AF149" s="359" t="s">
        <v>692</v>
      </c>
      <c r="AG149" s="359" t="s">
        <v>692</v>
      </c>
      <c r="AH149" s="359" t="s">
        <v>692</v>
      </c>
      <c r="AI149" s="360" t="s">
        <v>692</v>
      </c>
      <c r="AJ149" s="41">
        <f t="shared" si="6"/>
        <v>0</v>
      </c>
    </row>
    <row r="150" spans="1:36" ht="13.5" customHeight="1" x14ac:dyDescent="0.25">
      <c r="A150" s="24"/>
      <c r="B150" s="155" t="s">
        <v>1331</v>
      </c>
      <c r="C150" s="155" t="s">
        <v>318</v>
      </c>
      <c r="D150" s="155">
        <v>140</v>
      </c>
      <c r="E150" s="356" t="s">
        <v>332</v>
      </c>
      <c r="F150" s="361" t="s">
        <v>1022</v>
      </c>
      <c r="G150" s="361" t="s">
        <v>333</v>
      </c>
      <c r="H150" s="361"/>
      <c r="I150" s="361">
        <v>4228</v>
      </c>
      <c r="J150" s="361"/>
      <c r="K150" s="361"/>
      <c r="L150" s="361"/>
      <c r="M150" s="361"/>
      <c r="N150" s="361"/>
      <c r="O150" s="361"/>
      <c r="P150" s="361"/>
      <c r="Q150" s="361"/>
      <c r="R150" s="361"/>
      <c r="S150" s="361"/>
      <c r="T150" s="361"/>
      <c r="U150" s="361"/>
      <c r="V150" s="361"/>
      <c r="W150" s="359"/>
      <c r="X150" s="359" t="s">
        <v>692</v>
      </c>
      <c r="Y150" s="359" t="s">
        <v>692</v>
      </c>
      <c r="Z150" s="359" t="s">
        <v>692</v>
      </c>
      <c r="AA150" s="359" t="s">
        <v>692</v>
      </c>
      <c r="AB150" s="359" t="s">
        <v>692</v>
      </c>
      <c r="AC150" s="359" t="s">
        <v>692</v>
      </c>
      <c r="AD150" s="359" t="s">
        <v>692</v>
      </c>
      <c r="AE150" s="359" t="s">
        <v>692</v>
      </c>
      <c r="AF150" s="359" t="s">
        <v>692</v>
      </c>
      <c r="AG150" s="359" t="s">
        <v>692</v>
      </c>
      <c r="AH150" s="359" t="s">
        <v>692</v>
      </c>
      <c r="AI150" s="360" t="s">
        <v>692</v>
      </c>
      <c r="AJ150" s="41">
        <f t="shared" si="6"/>
        <v>0</v>
      </c>
    </row>
    <row r="151" spans="1:36" ht="13.5" customHeight="1" x14ac:dyDescent="0.25">
      <c r="A151" s="24"/>
      <c r="B151" s="155" t="s">
        <v>1132</v>
      </c>
      <c r="C151" s="155" t="s">
        <v>419</v>
      </c>
      <c r="D151" s="155">
        <v>140</v>
      </c>
      <c r="E151" s="356" t="s">
        <v>770</v>
      </c>
      <c r="F151" s="361" t="s">
        <v>420</v>
      </c>
      <c r="G151" s="361"/>
      <c r="H151" s="361"/>
      <c r="I151" s="361">
        <v>5053077</v>
      </c>
      <c r="J151" s="361"/>
      <c r="K151" s="361"/>
      <c r="L151" s="361"/>
      <c r="M151" s="361"/>
      <c r="N151" s="361"/>
      <c r="O151" s="361"/>
      <c r="P151" s="361"/>
      <c r="Q151" s="361"/>
      <c r="R151" s="361"/>
      <c r="S151" s="361"/>
      <c r="T151" s="361"/>
      <c r="U151" s="361"/>
      <c r="V151" s="361"/>
      <c r="W151" s="359"/>
      <c r="X151" s="359" t="s">
        <v>692</v>
      </c>
      <c r="Y151" s="359" t="s">
        <v>692</v>
      </c>
      <c r="Z151" s="359" t="s">
        <v>692</v>
      </c>
      <c r="AA151" s="359" t="s">
        <v>692</v>
      </c>
      <c r="AB151" s="359" t="s">
        <v>692</v>
      </c>
      <c r="AC151" s="359" t="s">
        <v>692</v>
      </c>
      <c r="AD151" s="359" t="s">
        <v>692</v>
      </c>
      <c r="AE151" s="359" t="s">
        <v>692</v>
      </c>
      <c r="AF151" s="359" t="s">
        <v>692</v>
      </c>
      <c r="AG151" s="359" t="s">
        <v>692</v>
      </c>
      <c r="AH151" s="359" t="s">
        <v>692</v>
      </c>
      <c r="AI151" s="360" t="s">
        <v>692</v>
      </c>
      <c r="AJ151" s="41">
        <f t="shared" si="6"/>
        <v>0</v>
      </c>
    </row>
    <row r="152" spans="1:36" ht="13.5" customHeight="1" x14ac:dyDescent="0.25">
      <c r="A152" s="24"/>
      <c r="B152" s="155">
        <v>717083052</v>
      </c>
      <c r="C152" s="155" t="s">
        <v>55</v>
      </c>
      <c r="D152" s="155">
        <v>140</v>
      </c>
      <c r="E152" s="356" t="s">
        <v>858</v>
      </c>
      <c r="F152" s="361" t="s">
        <v>930</v>
      </c>
      <c r="G152" s="361"/>
      <c r="H152" s="361" t="s">
        <v>859</v>
      </c>
      <c r="I152" s="361">
        <v>39441</v>
      </c>
      <c r="J152" s="361"/>
      <c r="K152" s="361"/>
      <c r="L152" s="361"/>
      <c r="M152" s="361"/>
      <c r="N152" s="361"/>
      <c r="O152" s="361"/>
      <c r="P152" s="361"/>
      <c r="Q152" s="361"/>
      <c r="R152" s="361"/>
      <c r="S152" s="361"/>
      <c r="T152" s="361"/>
      <c r="U152" s="361"/>
      <c r="V152" s="361"/>
      <c r="W152" s="359"/>
      <c r="X152" s="359" t="s">
        <v>692</v>
      </c>
      <c r="Y152" s="359" t="s">
        <v>692</v>
      </c>
      <c r="Z152" s="359" t="s">
        <v>692</v>
      </c>
      <c r="AA152" s="359" t="s">
        <v>692</v>
      </c>
      <c r="AB152" s="359" t="s">
        <v>692</v>
      </c>
      <c r="AC152" s="359" t="s">
        <v>692</v>
      </c>
      <c r="AD152" s="359" t="s">
        <v>692</v>
      </c>
      <c r="AE152" s="359" t="s">
        <v>692</v>
      </c>
      <c r="AF152" s="359" t="s">
        <v>692</v>
      </c>
      <c r="AG152" s="359" t="s">
        <v>692</v>
      </c>
      <c r="AH152" s="359" t="s">
        <v>692</v>
      </c>
      <c r="AI152" s="360" t="s">
        <v>692</v>
      </c>
      <c r="AJ152" s="41">
        <f t="shared" si="6"/>
        <v>0</v>
      </c>
    </row>
    <row r="153" spans="1:36" ht="13.5" customHeight="1" x14ac:dyDescent="0.25">
      <c r="A153" s="24"/>
      <c r="B153" s="155">
        <v>717084017</v>
      </c>
      <c r="C153" s="155" t="s">
        <v>55</v>
      </c>
      <c r="D153" s="155">
        <v>140</v>
      </c>
      <c r="E153" s="356" t="s">
        <v>924</v>
      </c>
      <c r="F153" s="361" t="s">
        <v>925</v>
      </c>
      <c r="G153" s="361" t="s">
        <v>855</v>
      </c>
      <c r="H153" s="361" t="s">
        <v>942</v>
      </c>
      <c r="I153" s="361">
        <v>311111</v>
      </c>
      <c r="J153" s="361"/>
      <c r="K153" s="361"/>
      <c r="L153" s="361"/>
      <c r="M153" s="361"/>
      <c r="N153" s="361"/>
      <c r="O153" s="361"/>
      <c r="P153" s="361"/>
      <c r="Q153" s="361"/>
      <c r="R153" s="361"/>
      <c r="S153" s="361"/>
      <c r="T153" s="361"/>
      <c r="U153" s="361"/>
      <c r="V153" s="361"/>
      <c r="W153" s="359"/>
      <c r="X153" s="359" t="s">
        <v>692</v>
      </c>
      <c r="Y153" s="359" t="s">
        <v>692</v>
      </c>
      <c r="Z153" s="359" t="s">
        <v>692</v>
      </c>
      <c r="AA153" s="359" t="s">
        <v>692</v>
      </c>
      <c r="AB153" s="359" t="s">
        <v>692</v>
      </c>
      <c r="AC153" s="359" t="s">
        <v>692</v>
      </c>
      <c r="AD153" s="359" t="s">
        <v>692</v>
      </c>
      <c r="AE153" s="359" t="s">
        <v>692</v>
      </c>
      <c r="AF153" s="359" t="s">
        <v>692</v>
      </c>
      <c r="AG153" s="359" t="s">
        <v>692</v>
      </c>
      <c r="AH153" s="359" t="s">
        <v>692</v>
      </c>
      <c r="AI153" s="360" t="s">
        <v>692</v>
      </c>
      <c r="AJ153" s="41">
        <f t="shared" si="6"/>
        <v>0</v>
      </c>
    </row>
    <row r="154" spans="1:36" ht="13.5" customHeight="1" x14ac:dyDescent="0.25">
      <c r="A154" s="24"/>
      <c r="B154" s="155">
        <v>717084039</v>
      </c>
      <c r="C154" s="155" t="s">
        <v>55</v>
      </c>
      <c r="D154" s="155">
        <v>140</v>
      </c>
      <c r="E154" s="356" t="s">
        <v>857</v>
      </c>
      <c r="F154" s="361" t="s">
        <v>932</v>
      </c>
      <c r="G154" s="361"/>
      <c r="H154" s="361" t="s">
        <v>860</v>
      </c>
      <c r="I154" s="361">
        <v>72763</v>
      </c>
      <c r="J154" s="361"/>
      <c r="K154" s="361"/>
      <c r="L154" s="361"/>
      <c r="M154" s="361"/>
      <c r="N154" s="361"/>
      <c r="O154" s="361"/>
      <c r="P154" s="361"/>
      <c r="Q154" s="361"/>
      <c r="R154" s="361"/>
      <c r="S154" s="361"/>
      <c r="T154" s="361"/>
      <c r="U154" s="361"/>
      <c r="V154" s="361"/>
      <c r="W154" s="359"/>
      <c r="X154" s="359" t="s">
        <v>692</v>
      </c>
      <c r="Y154" s="359" t="s">
        <v>692</v>
      </c>
      <c r="Z154" s="359" t="s">
        <v>692</v>
      </c>
      <c r="AA154" s="359" t="s">
        <v>692</v>
      </c>
      <c r="AB154" s="359" t="s">
        <v>692</v>
      </c>
      <c r="AC154" s="359" t="s">
        <v>692</v>
      </c>
      <c r="AD154" s="359" t="s">
        <v>692</v>
      </c>
      <c r="AE154" s="359" t="s">
        <v>692</v>
      </c>
      <c r="AF154" s="359" t="s">
        <v>692</v>
      </c>
      <c r="AG154" s="359" t="s">
        <v>692</v>
      </c>
      <c r="AH154" s="359" t="s">
        <v>692</v>
      </c>
      <c r="AI154" s="360" t="s">
        <v>692</v>
      </c>
      <c r="AJ154" s="41">
        <f t="shared" si="6"/>
        <v>0</v>
      </c>
    </row>
    <row r="155" spans="1:36" ht="13.5" customHeight="1" x14ac:dyDescent="0.25">
      <c r="A155" s="24"/>
      <c r="B155" s="155">
        <v>717093061</v>
      </c>
      <c r="C155" s="155" t="s">
        <v>55</v>
      </c>
      <c r="D155" s="155">
        <v>140</v>
      </c>
      <c r="E155" s="356" t="s">
        <v>422</v>
      </c>
      <c r="F155" s="361" t="s">
        <v>926</v>
      </c>
      <c r="G155" s="361" t="s">
        <v>943</v>
      </c>
      <c r="H155" s="361" t="s">
        <v>942</v>
      </c>
      <c r="I155" s="361">
        <v>226425</v>
      </c>
      <c r="J155" s="361"/>
      <c r="K155" s="361"/>
      <c r="L155" s="361"/>
      <c r="M155" s="361"/>
      <c r="N155" s="361"/>
      <c r="O155" s="361"/>
      <c r="P155" s="361"/>
      <c r="Q155" s="361"/>
      <c r="R155" s="361"/>
      <c r="S155" s="361"/>
      <c r="T155" s="361"/>
      <c r="U155" s="361"/>
      <c r="V155" s="361"/>
      <c r="W155" s="359"/>
      <c r="X155" s="359" t="s">
        <v>692</v>
      </c>
      <c r="Y155" s="359" t="s">
        <v>692</v>
      </c>
      <c r="Z155" s="359" t="s">
        <v>692</v>
      </c>
      <c r="AA155" s="359" t="s">
        <v>692</v>
      </c>
      <c r="AB155" s="359" t="s">
        <v>692</v>
      </c>
      <c r="AC155" s="359" t="s">
        <v>692</v>
      </c>
      <c r="AD155" s="359" t="s">
        <v>692</v>
      </c>
      <c r="AE155" s="359" t="s">
        <v>692</v>
      </c>
      <c r="AF155" s="359" t="s">
        <v>692</v>
      </c>
      <c r="AG155" s="359" t="s">
        <v>692</v>
      </c>
      <c r="AH155" s="359" t="s">
        <v>692</v>
      </c>
      <c r="AI155" s="360" t="s">
        <v>692</v>
      </c>
      <c r="AJ155" s="41">
        <f t="shared" si="6"/>
        <v>0</v>
      </c>
    </row>
    <row r="156" spans="1:36" ht="13.5" customHeight="1" x14ac:dyDescent="0.25">
      <c r="A156" s="24"/>
      <c r="B156" s="155" t="s">
        <v>1658</v>
      </c>
      <c r="C156" s="155" t="s">
        <v>55</v>
      </c>
      <c r="D156" s="155">
        <v>140</v>
      </c>
      <c r="E156" s="356" t="s">
        <v>1659</v>
      </c>
      <c r="F156" s="361" t="s">
        <v>1660</v>
      </c>
      <c r="G156" s="361" t="s">
        <v>1661</v>
      </c>
      <c r="H156" s="361"/>
      <c r="I156" s="361">
        <v>349</v>
      </c>
      <c r="J156" s="361"/>
      <c r="K156" s="361"/>
      <c r="L156" s="361"/>
      <c r="M156" s="361"/>
      <c r="N156" s="361"/>
      <c r="O156" s="361"/>
      <c r="P156" s="361"/>
      <c r="Q156" s="361"/>
      <c r="R156" s="361"/>
      <c r="S156" s="361"/>
      <c r="T156" s="361"/>
      <c r="U156" s="361"/>
      <c r="V156" s="361"/>
      <c r="W156" s="359"/>
      <c r="X156" s="359" t="s">
        <v>692</v>
      </c>
      <c r="Y156" s="359" t="s">
        <v>692</v>
      </c>
      <c r="Z156" s="359" t="s">
        <v>692</v>
      </c>
      <c r="AA156" s="359" t="s">
        <v>692</v>
      </c>
      <c r="AB156" s="359" t="s">
        <v>692</v>
      </c>
      <c r="AC156" s="359" t="s">
        <v>692</v>
      </c>
      <c r="AD156" s="359" t="s">
        <v>692</v>
      </c>
      <c r="AE156" s="359" t="s">
        <v>692</v>
      </c>
      <c r="AF156" s="359" t="s">
        <v>692</v>
      </c>
      <c r="AG156" s="359" t="s">
        <v>692</v>
      </c>
      <c r="AH156" s="359" t="s">
        <v>692</v>
      </c>
      <c r="AI156" s="360" t="s">
        <v>692</v>
      </c>
      <c r="AJ156" s="41">
        <f t="shared" si="6"/>
        <v>0</v>
      </c>
    </row>
    <row r="157" spans="1:36" ht="13.5" customHeight="1" x14ac:dyDescent="0.25">
      <c r="A157" s="24"/>
      <c r="B157" s="155" t="s">
        <v>64</v>
      </c>
      <c r="C157" s="155" t="s">
        <v>55</v>
      </c>
      <c r="D157" s="155">
        <v>140</v>
      </c>
      <c r="E157" s="356" t="s">
        <v>833</v>
      </c>
      <c r="F157" s="361" t="s">
        <v>929</v>
      </c>
      <c r="G157" s="361" t="s">
        <v>65</v>
      </c>
      <c r="H157" s="361"/>
      <c r="I157" s="361">
        <v>1243850</v>
      </c>
      <c r="J157" s="361"/>
      <c r="K157" s="361"/>
      <c r="L157" s="361"/>
      <c r="M157" s="361"/>
      <c r="N157" s="361"/>
      <c r="O157" s="361"/>
      <c r="P157" s="361"/>
      <c r="Q157" s="361"/>
      <c r="R157" s="361"/>
      <c r="S157" s="361"/>
      <c r="T157" s="361"/>
      <c r="U157" s="361"/>
      <c r="V157" s="361"/>
      <c r="W157" s="359"/>
      <c r="X157" s="359" t="s">
        <v>692</v>
      </c>
      <c r="Y157" s="359" t="s">
        <v>692</v>
      </c>
      <c r="Z157" s="359" t="s">
        <v>692</v>
      </c>
      <c r="AA157" s="359" t="s">
        <v>692</v>
      </c>
      <c r="AB157" s="430" t="s">
        <v>692</v>
      </c>
      <c r="AC157" s="359" t="s">
        <v>692</v>
      </c>
      <c r="AD157" s="359" t="s">
        <v>692</v>
      </c>
      <c r="AE157" s="359" t="s">
        <v>692</v>
      </c>
      <c r="AF157" s="359" t="s">
        <v>692</v>
      </c>
      <c r="AG157" s="359" t="s">
        <v>692</v>
      </c>
      <c r="AH157" s="359" t="s">
        <v>692</v>
      </c>
      <c r="AI157" s="360" t="s">
        <v>692</v>
      </c>
      <c r="AJ157" s="41">
        <f t="shared" si="6"/>
        <v>0</v>
      </c>
    </row>
    <row r="158" spans="1:36" ht="13.5" customHeight="1" x14ac:dyDescent="0.25">
      <c r="A158" s="24"/>
      <c r="B158" s="155" t="s">
        <v>1332</v>
      </c>
      <c r="C158" s="155" t="s">
        <v>55</v>
      </c>
      <c r="D158" s="155">
        <v>140</v>
      </c>
      <c r="E158" s="356" t="s">
        <v>834</v>
      </c>
      <c r="F158" s="361" t="s">
        <v>70</v>
      </c>
      <c r="G158" s="361" t="s">
        <v>71</v>
      </c>
      <c r="H158" s="361"/>
      <c r="I158" s="361">
        <v>20642</v>
      </c>
      <c r="J158" s="361"/>
      <c r="K158" s="361"/>
      <c r="L158" s="361"/>
      <c r="M158" s="361"/>
      <c r="N158" s="361"/>
      <c r="O158" s="361"/>
      <c r="P158" s="361"/>
      <c r="Q158" s="361"/>
      <c r="R158" s="361"/>
      <c r="S158" s="361"/>
      <c r="T158" s="361"/>
      <c r="U158" s="361"/>
      <c r="V158" s="361"/>
      <c r="W158" s="359"/>
      <c r="X158" s="359" t="s">
        <v>692</v>
      </c>
      <c r="Y158" s="359" t="s">
        <v>692</v>
      </c>
      <c r="Z158" s="359" t="s">
        <v>692</v>
      </c>
      <c r="AA158" s="359" t="s">
        <v>692</v>
      </c>
      <c r="AB158" s="359" t="s">
        <v>692</v>
      </c>
      <c r="AC158" s="359" t="s">
        <v>692</v>
      </c>
      <c r="AD158" s="359" t="s">
        <v>692</v>
      </c>
      <c r="AE158" s="359" t="s">
        <v>692</v>
      </c>
      <c r="AF158" s="359" t="s">
        <v>692</v>
      </c>
      <c r="AG158" s="359" t="s">
        <v>692</v>
      </c>
      <c r="AH158" s="359" t="s">
        <v>692</v>
      </c>
      <c r="AI158" s="360" t="s">
        <v>692</v>
      </c>
      <c r="AJ158" s="41">
        <f t="shared" si="6"/>
        <v>0</v>
      </c>
    </row>
    <row r="159" spans="1:36" ht="13.5" customHeight="1" x14ac:dyDescent="0.25">
      <c r="A159" s="24"/>
      <c r="B159" s="155" t="s">
        <v>79</v>
      </c>
      <c r="C159" s="155" t="s">
        <v>682</v>
      </c>
      <c r="D159" s="155">
        <v>140</v>
      </c>
      <c r="E159" s="356" t="s">
        <v>837</v>
      </c>
      <c r="F159" s="361"/>
      <c r="G159" s="361" t="s">
        <v>649</v>
      </c>
      <c r="H159" s="361" t="s">
        <v>768</v>
      </c>
      <c r="I159" s="361">
        <v>-9254626</v>
      </c>
      <c r="J159" s="361"/>
      <c r="K159" s="361"/>
      <c r="L159" s="361"/>
      <c r="M159" s="361"/>
      <c r="N159" s="361"/>
      <c r="O159" s="361"/>
      <c r="P159" s="361"/>
      <c r="Q159" s="361"/>
      <c r="R159" s="361"/>
      <c r="S159" s="361"/>
      <c r="T159" s="361"/>
      <c r="U159" s="361"/>
      <c r="V159" s="361">
        <v>0</v>
      </c>
      <c r="W159" s="359"/>
      <c r="X159" s="359" t="s">
        <v>692</v>
      </c>
      <c r="Y159" s="359" t="s">
        <v>692</v>
      </c>
      <c r="Z159" s="359" t="s">
        <v>692</v>
      </c>
      <c r="AA159" s="359" t="s">
        <v>692</v>
      </c>
      <c r="AB159" s="359" t="s">
        <v>692</v>
      </c>
      <c r="AC159" s="359" t="s">
        <v>692</v>
      </c>
      <c r="AD159" s="359" t="s">
        <v>692</v>
      </c>
      <c r="AE159" s="359" t="s">
        <v>692</v>
      </c>
      <c r="AF159" s="359" t="s">
        <v>692</v>
      </c>
      <c r="AG159" s="359" t="s">
        <v>692</v>
      </c>
      <c r="AH159" s="359" t="s">
        <v>692</v>
      </c>
      <c r="AI159" s="360" t="s">
        <v>692</v>
      </c>
      <c r="AJ159" s="41">
        <f t="shared" si="6"/>
        <v>0</v>
      </c>
    </row>
    <row r="160" spans="1:36" ht="13.5" customHeight="1" x14ac:dyDescent="0.25">
      <c r="A160" s="24"/>
      <c r="B160" s="155" t="s">
        <v>1112</v>
      </c>
      <c r="C160" s="155" t="s">
        <v>90</v>
      </c>
      <c r="D160" s="155">
        <v>140</v>
      </c>
      <c r="E160" s="356" t="s">
        <v>836</v>
      </c>
      <c r="F160" s="361" t="s">
        <v>907</v>
      </c>
      <c r="G160" s="361" t="s">
        <v>99</v>
      </c>
      <c r="H160" s="361"/>
      <c r="I160" s="361">
        <v>1564</v>
      </c>
      <c r="J160" s="361"/>
      <c r="K160" s="361"/>
      <c r="L160" s="361"/>
      <c r="M160" s="361"/>
      <c r="N160" s="361"/>
      <c r="O160" s="361"/>
      <c r="P160" s="361"/>
      <c r="Q160" s="361"/>
      <c r="R160" s="361"/>
      <c r="S160" s="361"/>
      <c r="T160" s="361"/>
      <c r="U160" s="361"/>
      <c r="V160" s="361"/>
      <c r="W160" s="359"/>
      <c r="X160" s="359" t="s">
        <v>692</v>
      </c>
      <c r="Y160" s="359" t="s">
        <v>692</v>
      </c>
      <c r="Z160" s="359" t="s">
        <v>692</v>
      </c>
      <c r="AA160" s="359" t="s">
        <v>692</v>
      </c>
      <c r="AB160" s="359" t="s">
        <v>692</v>
      </c>
      <c r="AC160" s="359" t="s">
        <v>692</v>
      </c>
      <c r="AD160" s="359" t="s">
        <v>692</v>
      </c>
      <c r="AE160" s="359" t="s">
        <v>692</v>
      </c>
      <c r="AF160" s="359" t="s">
        <v>692</v>
      </c>
      <c r="AG160" s="359" t="s">
        <v>692</v>
      </c>
      <c r="AH160" s="359" t="s">
        <v>692</v>
      </c>
      <c r="AI160" s="360" t="s">
        <v>692</v>
      </c>
      <c r="AJ160" s="41">
        <f t="shared" si="6"/>
        <v>0</v>
      </c>
    </row>
    <row r="161" spans="1:36" ht="13.5" customHeight="1" x14ac:dyDescent="0.25">
      <c r="A161" s="24"/>
      <c r="B161" s="155" t="s">
        <v>1119</v>
      </c>
      <c r="C161" s="155" t="s">
        <v>90</v>
      </c>
      <c r="D161" s="155">
        <v>140</v>
      </c>
      <c r="E161" s="356" t="s">
        <v>653</v>
      </c>
      <c r="F161" s="361" t="s">
        <v>913</v>
      </c>
      <c r="G161" s="361"/>
      <c r="H161" s="361"/>
      <c r="I161" s="361">
        <v>17370</v>
      </c>
      <c r="J161" s="361"/>
      <c r="K161" s="361"/>
      <c r="L161" s="361"/>
      <c r="M161" s="361"/>
      <c r="N161" s="361"/>
      <c r="O161" s="361"/>
      <c r="P161" s="361"/>
      <c r="Q161" s="361"/>
      <c r="R161" s="361"/>
      <c r="S161" s="361"/>
      <c r="T161" s="361"/>
      <c r="U161" s="361"/>
      <c r="V161" s="361"/>
      <c r="W161" s="359"/>
      <c r="X161" s="359" t="s">
        <v>692</v>
      </c>
      <c r="Y161" s="359" t="s">
        <v>692</v>
      </c>
      <c r="Z161" s="359" t="s">
        <v>692</v>
      </c>
      <c r="AA161" s="359" t="s">
        <v>692</v>
      </c>
      <c r="AB161" s="359" t="s">
        <v>692</v>
      </c>
      <c r="AC161" s="359" t="s">
        <v>692</v>
      </c>
      <c r="AD161" s="359" t="s">
        <v>692</v>
      </c>
      <c r="AE161" s="359" t="s">
        <v>692</v>
      </c>
      <c r="AF161" s="359" t="s">
        <v>692</v>
      </c>
      <c r="AG161" s="359" t="s">
        <v>692</v>
      </c>
      <c r="AH161" s="359" t="s">
        <v>692</v>
      </c>
      <c r="AI161" s="360" t="s">
        <v>692</v>
      </c>
      <c r="AJ161" s="41">
        <f t="shared" si="6"/>
        <v>0</v>
      </c>
    </row>
    <row r="162" spans="1:36" ht="13.5" customHeight="1" x14ac:dyDescent="0.25">
      <c r="A162" s="24"/>
      <c r="B162" s="155" t="s">
        <v>110</v>
      </c>
      <c r="C162" s="155" t="s">
        <v>106</v>
      </c>
      <c r="D162" s="155">
        <v>140</v>
      </c>
      <c r="E162" s="356" t="s">
        <v>1583</v>
      </c>
      <c r="F162" s="361" t="s">
        <v>903</v>
      </c>
      <c r="G162" s="361" t="s">
        <v>1584</v>
      </c>
      <c r="H162" s="361"/>
      <c r="I162" s="361">
        <v>30728</v>
      </c>
      <c r="J162" s="361"/>
      <c r="K162" s="361"/>
      <c r="L162" s="361"/>
      <c r="M162" s="361"/>
      <c r="N162" s="361"/>
      <c r="O162" s="361"/>
      <c r="P162" s="361"/>
      <c r="Q162" s="361"/>
      <c r="R162" s="361"/>
      <c r="S162" s="361"/>
      <c r="T162" s="361"/>
      <c r="U162" s="361"/>
      <c r="V162" s="361"/>
      <c r="W162" s="359"/>
      <c r="X162" s="359" t="s">
        <v>692</v>
      </c>
      <c r="Y162" s="359" t="s">
        <v>692</v>
      </c>
      <c r="Z162" s="359" t="s">
        <v>692</v>
      </c>
      <c r="AA162" s="359" t="s">
        <v>692</v>
      </c>
      <c r="AB162" s="359" t="s">
        <v>692</v>
      </c>
      <c r="AC162" s="359" t="s">
        <v>692</v>
      </c>
      <c r="AD162" s="359" t="s">
        <v>692</v>
      </c>
      <c r="AE162" s="359" t="s">
        <v>692</v>
      </c>
      <c r="AF162" s="359" t="s">
        <v>692</v>
      </c>
      <c r="AG162" s="359" t="s">
        <v>692</v>
      </c>
      <c r="AH162" s="359" t="s">
        <v>692</v>
      </c>
      <c r="AI162" s="360" t="s">
        <v>692</v>
      </c>
      <c r="AJ162" s="41">
        <f t="shared" si="6"/>
        <v>0</v>
      </c>
    </row>
    <row r="163" spans="1:36" ht="13.5" customHeight="1" x14ac:dyDescent="0.25">
      <c r="A163" s="24"/>
      <c r="B163" s="155" t="s">
        <v>1359</v>
      </c>
      <c r="C163" s="155" t="s">
        <v>892</v>
      </c>
      <c r="D163" s="155">
        <v>140</v>
      </c>
      <c r="E163" s="356" t="s">
        <v>893</v>
      </c>
      <c r="F163" s="361" t="s">
        <v>63</v>
      </c>
      <c r="G163" s="361" t="s">
        <v>1360</v>
      </c>
      <c r="H163" s="361"/>
      <c r="I163" s="361">
        <v>75788</v>
      </c>
      <c r="J163" s="361"/>
      <c r="K163" s="361"/>
      <c r="L163" s="361"/>
      <c r="M163" s="361"/>
      <c r="N163" s="361"/>
      <c r="O163" s="361"/>
      <c r="P163" s="361"/>
      <c r="Q163" s="361"/>
      <c r="R163" s="361"/>
      <c r="S163" s="361"/>
      <c r="T163" s="361"/>
      <c r="U163" s="361"/>
      <c r="V163" s="361"/>
      <c r="W163" s="359"/>
      <c r="X163" s="359" t="s">
        <v>692</v>
      </c>
      <c r="Y163" s="359" t="s">
        <v>692</v>
      </c>
      <c r="Z163" s="359" t="s">
        <v>692</v>
      </c>
      <c r="AA163" s="359" t="s">
        <v>692</v>
      </c>
      <c r="AB163" s="359" t="s">
        <v>692</v>
      </c>
      <c r="AC163" s="359" t="s">
        <v>692</v>
      </c>
      <c r="AD163" s="359" t="s">
        <v>692</v>
      </c>
      <c r="AE163" s="359" t="s">
        <v>692</v>
      </c>
      <c r="AF163" s="359" t="s">
        <v>692</v>
      </c>
      <c r="AG163" s="359" t="s">
        <v>692</v>
      </c>
      <c r="AH163" s="359" t="s">
        <v>692</v>
      </c>
      <c r="AI163" s="360" t="s">
        <v>692</v>
      </c>
      <c r="AJ163" s="41">
        <f t="shared" si="6"/>
        <v>0</v>
      </c>
    </row>
    <row r="164" spans="1:36" ht="13.5" customHeight="1" x14ac:dyDescent="0.25">
      <c r="A164" s="24"/>
      <c r="B164" s="155" t="s">
        <v>1179</v>
      </c>
      <c r="C164" s="155" t="s">
        <v>892</v>
      </c>
      <c r="D164" s="155">
        <v>140</v>
      </c>
      <c r="E164" s="356" t="s">
        <v>893</v>
      </c>
      <c r="F164" s="361" t="s">
        <v>63</v>
      </c>
      <c r="G164" s="361"/>
      <c r="H164" s="361">
        <v>504907</v>
      </c>
      <c r="I164" s="361"/>
      <c r="J164" s="361"/>
      <c r="K164" s="361"/>
      <c r="L164" s="361"/>
      <c r="M164" s="361"/>
      <c r="N164" s="361"/>
      <c r="O164" s="361"/>
      <c r="P164" s="361"/>
      <c r="Q164" s="361"/>
      <c r="R164" s="361"/>
      <c r="S164" s="361"/>
      <c r="T164" s="361"/>
      <c r="U164" s="361"/>
      <c r="V164" s="361"/>
      <c r="W164" s="359"/>
      <c r="X164" s="359" t="s">
        <v>692</v>
      </c>
      <c r="Y164" s="359" t="s">
        <v>692</v>
      </c>
      <c r="Z164" s="359" t="s">
        <v>692</v>
      </c>
      <c r="AA164" s="359" t="s">
        <v>692</v>
      </c>
      <c r="AB164" s="359" t="s">
        <v>692</v>
      </c>
      <c r="AC164" s="359" t="s">
        <v>692</v>
      </c>
      <c r="AD164" s="359" t="s">
        <v>692</v>
      </c>
      <c r="AE164" s="359" t="s">
        <v>692</v>
      </c>
      <c r="AF164" s="359" t="s">
        <v>692</v>
      </c>
      <c r="AG164" s="359" t="s">
        <v>692</v>
      </c>
      <c r="AH164" s="359" t="s">
        <v>692</v>
      </c>
      <c r="AI164" s="360" t="s">
        <v>692</v>
      </c>
      <c r="AJ164" s="41">
        <f t="shared" si="6"/>
        <v>0</v>
      </c>
    </row>
    <row r="165" spans="1:36" ht="13.5" customHeight="1" x14ac:dyDescent="0.25">
      <c r="A165" s="24"/>
      <c r="B165" s="155" t="s">
        <v>153</v>
      </c>
      <c r="C165" s="155" t="s">
        <v>151</v>
      </c>
      <c r="D165" s="155">
        <v>140</v>
      </c>
      <c r="E165" s="356" t="s">
        <v>154</v>
      </c>
      <c r="F165" s="361" t="s">
        <v>934</v>
      </c>
      <c r="G165" s="361"/>
      <c r="H165" s="361"/>
      <c r="I165" s="361">
        <v>13373</v>
      </c>
      <c r="J165" s="361"/>
      <c r="K165" s="361"/>
      <c r="L165" s="361"/>
      <c r="M165" s="361"/>
      <c r="N165" s="361"/>
      <c r="O165" s="361"/>
      <c r="P165" s="361"/>
      <c r="Q165" s="361"/>
      <c r="R165" s="361"/>
      <c r="S165" s="361"/>
      <c r="T165" s="361"/>
      <c r="U165" s="361"/>
      <c r="V165" s="361"/>
      <c r="W165" s="359"/>
      <c r="X165" s="359" t="s">
        <v>692</v>
      </c>
      <c r="Y165" s="359" t="s">
        <v>692</v>
      </c>
      <c r="Z165" s="359" t="s">
        <v>692</v>
      </c>
      <c r="AA165" s="359" t="s">
        <v>692</v>
      </c>
      <c r="AB165" s="359" t="s">
        <v>692</v>
      </c>
      <c r="AC165" s="359" t="s">
        <v>692</v>
      </c>
      <c r="AD165" s="359" t="s">
        <v>692</v>
      </c>
      <c r="AE165" s="359" t="s">
        <v>692</v>
      </c>
      <c r="AF165" s="359" t="s">
        <v>692</v>
      </c>
      <c r="AG165" s="359" t="s">
        <v>692</v>
      </c>
      <c r="AH165" s="359" t="s">
        <v>692</v>
      </c>
      <c r="AI165" s="360" t="s">
        <v>692</v>
      </c>
      <c r="AJ165" s="41">
        <f t="shared" si="6"/>
        <v>0</v>
      </c>
    </row>
    <row r="166" spans="1:36" ht="13.5" customHeight="1" x14ac:dyDescent="0.25">
      <c r="A166" s="24"/>
      <c r="B166" s="155" t="s">
        <v>157</v>
      </c>
      <c r="C166" s="155" t="s">
        <v>151</v>
      </c>
      <c r="D166" s="155">
        <v>140</v>
      </c>
      <c r="E166" s="356" t="s">
        <v>704</v>
      </c>
      <c r="F166" s="361" t="s">
        <v>936</v>
      </c>
      <c r="G166" s="361"/>
      <c r="H166" s="361"/>
      <c r="I166" s="361">
        <v>39002</v>
      </c>
      <c r="J166" s="361"/>
      <c r="K166" s="361"/>
      <c r="L166" s="361"/>
      <c r="M166" s="361"/>
      <c r="N166" s="361"/>
      <c r="O166" s="361"/>
      <c r="P166" s="361"/>
      <c r="Q166" s="361"/>
      <c r="R166" s="361"/>
      <c r="S166" s="361"/>
      <c r="T166" s="361"/>
      <c r="U166" s="361"/>
      <c r="V166" s="361"/>
      <c r="W166" s="359"/>
      <c r="X166" s="359" t="s">
        <v>692</v>
      </c>
      <c r="Y166" s="359" t="s">
        <v>692</v>
      </c>
      <c r="Z166" s="359" t="s">
        <v>692</v>
      </c>
      <c r="AA166" s="359" t="s">
        <v>692</v>
      </c>
      <c r="AB166" s="359" t="s">
        <v>692</v>
      </c>
      <c r="AC166" s="359" t="s">
        <v>692</v>
      </c>
      <c r="AD166" s="359" t="s">
        <v>692</v>
      </c>
      <c r="AE166" s="359" t="s">
        <v>692</v>
      </c>
      <c r="AF166" s="359" t="s">
        <v>692</v>
      </c>
      <c r="AG166" s="359" t="s">
        <v>692</v>
      </c>
      <c r="AH166" s="359" t="s">
        <v>692</v>
      </c>
      <c r="AI166" s="360" t="s">
        <v>692</v>
      </c>
      <c r="AJ166" s="41">
        <f t="shared" si="6"/>
        <v>0</v>
      </c>
    </row>
    <row r="167" spans="1:36" ht="13.5" customHeight="1" x14ac:dyDescent="0.25">
      <c r="A167" s="24"/>
      <c r="B167" s="155" t="s">
        <v>155</v>
      </c>
      <c r="C167" s="155" t="s">
        <v>151</v>
      </c>
      <c r="D167" s="155">
        <v>140</v>
      </c>
      <c r="E167" s="356" t="s">
        <v>156</v>
      </c>
      <c r="F167" s="361" t="s">
        <v>935</v>
      </c>
      <c r="G167" s="361"/>
      <c r="H167" s="361"/>
      <c r="I167" s="361">
        <v>6179</v>
      </c>
      <c r="J167" s="361"/>
      <c r="K167" s="361"/>
      <c r="L167" s="361"/>
      <c r="M167" s="361"/>
      <c r="N167" s="361"/>
      <c r="O167" s="361"/>
      <c r="P167" s="361"/>
      <c r="Q167" s="361"/>
      <c r="R167" s="361"/>
      <c r="S167" s="361"/>
      <c r="T167" s="361"/>
      <c r="U167" s="361"/>
      <c r="V167" s="361"/>
      <c r="W167" s="359"/>
      <c r="X167" s="359" t="s">
        <v>692</v>
      </c>
      <c r="Y167" s="359" t="s">
        <v>692</v>
      </c>
      <c r="Z167" s="359" t="s">
        <v>692</v>
      </c>
      <c r="AA167" s="359" t="s">
        <v>692</v>
      </c>
      <c r="AB167" s="359" t="s">
        <v>692</v>
      </c>
      <c r="AC167" s="359" t="s">
        <v>692</v>
      </c>
      <c r="AD167" s="359" t="s">
        <v>692</v>
      </c>
      <c r="AE167" s="359" t="s">
        <v>692</v>
      </c>
      <c r="AF167" s="359" t="s">
        <v>692</v>
      </c>
      <c r="AG167" s="359" t="s">
        <v>692</v>
      </c>
      <c r="AH167" s="359" t="s">
        <v>692</v>
      </c>
      <c r="AI167" s="360" t="s">
        <v>692</v>
      </c>
      <c r="AJ167" s="41">
        <f t="shared" si="6"/>
        <v>0</v>
      </c>
    </row>
    <row r="168" spans="1:36" ht="13.5" customHeight="1" x14ac:dyDescent="0.25">
      <c r="A168" s="24"/>
      <c r="B168" s="155" t="s">
        <v>178</v>
      </c>
      <c r="C168" s="155" t="s">
        <v>174</v>
      </c>
      <c r="D168" s="155">
        <v>140</v>
      </c>
      <c r="E168" s="356" t="s">
        <v>714</v>
      </c>
      <c r="F168" s="361" t="s">
        <v>179</v>
      </c>
      <c r="G168" s="361"/>
      <c r="H168" s="361"/>
      <c r="I168" s="361">
        <v>277972</v>
      </c>
      <c r="J168" s="361"/>
      <c r="K168" s="361"/>
      <c r="L168" s="361"/>
      <c r="M168" s="361"/>
      <c r="N168" s="361"/>
      <c r="O168" s="361"/>
      <c r="P168" s="361"/>
      <c r="Q168" s="361"/>
      <c r="R168" s="361"/>
      <c r="S168" s="361"/>
      <c r="T168" s="361"/>
      <c r="U168" s="361"/>
      <c r="V168" s="361"/>
      <c r="W168" s="359"/>
      <c r="X168" s="359" t="s">
        <v>692</v>
      </c>
      <c r="Y168" s="359" t="s">
        <v>692</v>
      </c>
      <c r="Z168" s="359" t="s">
        <v>692</v>
      </c>
      <c r="AA168" s="359" t="s">
        <v>692</v>
      </c>
      <c r="AB168" s="430" t="s">
        <v>692</v>
      </c>
      <c r="AC168" s="359" t="s">
        <v>692</v>
      </c>
      <c r="AD168" s="359" t="s">
        <v>692</v>
      </c>
      <c r="AE168" s="359" t="s">
        <v>692</v>
      </c>
      <c r="AF168" s="359" t="s">
        <v>692</v>
      </c>
      <c r="AG168" s="359" t="s">
        <v>692</v>
      </c>
      <c r="AH168" s="359" t="s">
        <v>692</v>
      </c>
      <c r="AI168" s="360" t="s">
        <v>692</v>
      </c>
      <c r="AJ168" s="41">
        <f t="shared" si="6"/>
        <v>0</v>
      </c>
    </row>
    <row r="169" spans="1:36" ht="13.5" customHeight="1" x14ac:dyDescent="0.25">
      <c r="A169" s="24"/>
      <c r="B169" s="155" t="s">
        <v>824</v>
      </c>
      <c r="C169" s="155" t="s">
        <v>187</v>
      </c>
      <c r="D169" s="155">
        <v>140</v>
      </c>
      <c r="E169" s="356" t="s">
        <v>825</v>
      </c>
      <c r="F169" s="361" t="s">
        <v>906</v>
      </c>
      <c r="G169" s="361" t="s">
        <v>1361</v>
      </c>
      <c r="H169" s="361"/>
      <c r="I169" s="361"/>
      <c r="J169" s="361"/>
      <c r="K169" s="361"/>
      <c r="L169" s="361"/>
      <c r="M169" s="361"/>
      <c r="N169" s="361"/>
      <c r="O169" s="361"/>
      <c r="P169" s="361"/>
      <c r="Q169" s="361"/>
      <c r="R169" s="361"/>
      <c r="S169" s="361"/>
      <c r="T169" s="361"/>
      <c r="U169" s="361"/>
      <c r="V169" s="361"/>
      <c r="W169" s="359"/>
      <c r="X169" s="359" t="s">
        <v>692</v>
      </c>
      <c r="Y169" s="359" t="s">
        <v>692</v>
      </c>
      <c r="Z169" s="359" t="s">
        <v>692</v>
      </c>
      <c r="AA169" s="359" t="s">
        <v>692</v>
      </c>
      <c r="AB169" s="359" t="s">
        <v>692</v>
      </c>
      <c r="AC169" s="359" t="s">
        <v>692</v>
      </c>
      <c r="AD169" s="359" t="s">
        <v>692</v>
      </c>
      <c r="AE169" s="359" t="s">
        <v>692</v>
      </c>
      <c r="AF169" s="359" t="s">
        <v>692</v>
      </c>
      <c r="AG169" s="359" t="s">
        <v>692</v>
      </c>
      <c r="AH169" s="359" t="s">
        <v>692</v>
      </c>
      <c r="AI169" s="360" t="s">
        <v>692</v>
      </c>
      <c r="AJ169" s="41">
        <f t="shared" si="6"/>
        <v>0</v>
      </c>
    </row>
    <row r="170" spans="1:36" ht="13.5" customHeight="1" x14ac:dyDescent="0.25">
      <c r="A170" s="24"/>
      <c r="B170" s="155" t="s">
        <v>1136</v>
      </c>
      <c r="C170" s="155" t="s">
        <v>197</v>
      </c>
      <c r="D170" s="155">
        <v>140</v>
      </c>
      <c r="E170" s="356" t="s">
        <v>843</v>
      </c>
      <c r="F170" s="361" t="s">
        <v>435</v>
      </c>
      <c r="G170" s="361" t="s">
        <v>436</v>
      </c>
      <c r="H170" s="361"/>
      <c r="I170" s="361">
        <v>460377</v>
      </c>
      <c r="J170" s="361"/>
      <c r="K170" s="361"/>
      <c r="L170" s="361"/>
      <c r="M170" s="361"/>
      <c r="N170" s="361"/>
      <c r="O170" s="361"/>
      <c r="P170" s="361"/>
      <c r="Q170" s="361"/>
      <c r="R170" s="361"/>
      <c r="S170" s="361"/>
      <c r="T170" s="361"/>
      <c r="U170" s="361"/>
      <c r="V170" s="361"/>
      <c r="W170" s="359"/>
      <c r="X170" s="359" t="s">
        <v>692</v>
      </c>
      <c r="Y170" s="359" t="s">
        <v>692</v>
      </c>
      <c r="Z170" s="359" t="s">
        <v>692</v>
      </c>
      <c r="AA170" s="359" t="s">
        <v>692</v>
      </c>
      <c r="AB170" s="359" t="s">
        <v>692</v>
      </c>
      <c r="AC170" s="359" t="s">
        <v>692</v>
      </c>
      <c r="AD170" s="359" t="s">
        <v>692</v>
      </c>
      <c r="AE170" s="359" t="s">
        <v>692</v>
      </c>
      <c r="AF170" s="359" t="s">
        <v>692</v>
      </c>
      <c r="AG170" s="359" t="s">
        <v>692</v>
      </c>
      <c r="AH170" s="359" t="s">
        <v>692</v>
      </c>
      <c r="AI170" s="360" t="s">
        <v>692</v>
      </c>
      <c r="AJ170" s="41">
        <f t="shared" si="6"/>
        <v>0</v>
      </c>
    </row>
    <row r="171" spans="1:36" ht="13.5" customHeight="1" x14ac:dyDescent="0.25">
      <c r="A171" s="24"/>
      <c r="B171" s="155" t="s">
        <v>1137</v>
      </c>
      <c r="C171" s="155" t="s">
        <v>197</v>
      </c>
      <c r="D171" s="155">
        <v>140</v>
      </c>
      <c r="E171" s="356" t="s">
        <v>844</v>
      </c>
      <c r="F171" s="361" t="s">
        <v>435</v>
      </c>
      <c r="G171" s="361" t="s">
        <v>436</v>
      </c>
      <c r="H171" s="361"/>
      <c r="I171" s="361">
        <v>1280799</v>
      </c>
      <c r="J171" s="361"/>
      <c r="K171" s="361"/>
      <c r="L171" s="361"/>
      <c r="M171" s="361"/>
      <c r="N171" s="361"/>
      <c r="O171" s="361"/>
      <c r="P171" s="361"/>
      <c r="Q171" s="361"/>
      <c r="R171" s="361"/>
      <c r="S171" s="361"/>
      <c r="T171" s="361"/>
      <c r="U171" s="361"/>
      <c r="V171" s="361"/>
      <c r="W171" s="359"/>
      <c r="X171" s="359" t="s">
        <v>692</v>
      </c>
      <c r="Y171" s="359" t="s">
        <v>692</v>
      </c>
      <c r="Z171" s="359" t="s">
        <v>692</v>
      </c>
      <c r="AA171" s="359" t="s">
        <v>692</v>
      </c>
      <c r="AB171" s="359" t="s">
        <v>692</v>
      </c>
      <c r="AC171" s="359" t="s">
        <v>692</v>
      </c>
      <c r="AD171" s="359" t="s">
        <v>692</v>
      </c>
      <c r="AE171" s="359" t="s">
        <v>692</v>
      </c>
      <c r="AF171" s="359" t="s">
        <v>692</v>
      </c>
      <c r="AG171" s="359" t="s">
        <v>692</v>
      </c>
      <c r="AH171" s="359" t="s">
        <v>692</v>
      </c>
      <c r="AI171" s="360" t="s">
        <v>692</v>
      </c>
      <c r="AJ171" s="41">
        <f t="shared" si="6"/>
        <v>0</v>
      </c>
    </row>
    <row r="172" spans="1:36" ht="13.5" customHeight="1" x14ac:dyDescent="0.25">
      <c r="A172" s="24"/>
      <c r="B172" s="155" t="s">
        <v>232</v>
      </c>
      <c r="C172" s="155" t="s">
        <v>223</v>
      </c>
      <c r="D172" s="155">
        <v>140</v>
      </c>
      <c r="E172" s="356" t="s">
        <v>839</v>
      </c>
      <c r="F172" s="361" t="s">
        <v>226</v>
      </c>
      <c r="G172" s="361" t="s">
        <v>233</v>
      </c>
      <c r="H172" s="361"/>
      <c r="I172" s="361">
        <v>92121</v>
      </c>
      <c r="J172" s="361"/>
      <c r="K172" s="361"/>
      <c r="L172" s="361"/>
      <c r="M172" s="361"/>
      <c r="N172" s="361"/>
      <c r="O172" s="361"/>
      <c r="P172" s="361"/>
      <c r="Q172" s="361"/>
      <c r="R172" s="361"/>
      <c r="S172" s="361"/>
      <c r="T172" s="361"/>
      <c r="U172" s="361"/>
      <c r="V172" s="361"/>
      <c r="W172" s="359"/>
      <c r="X172" s="359" t="s">
        <v>692</v>
      </c>
      <c r="Y172" s="359" t="s">
        <v>692</v>
      </c>
      <c r="Z172" s="359" t="s">
        <v>692</v>
      </c>
      <c r="AA172" s="359" t="s">
        <v>692</v>
      </c>
      <c r="AB172" s="359" t="s">
        <v>692</v>
      </c>
      <c r="AC172" s="359" t="s">
        <v>692</v>
      </c>
      <c r="AD172" s="359" t="s">
        <v>692</v>
      </c>
      <c r="AE172" s="359" t="s">
        <v>692</v>
      </c>
      <c r="AF172" s="359" t="s">
        <v>692</v>
      </c>
      <c r="AG172" s="359" t="s">
        <v>692</v>
      </c>
      <c r="AH172" s="359" t="s">
        <v>692</v>
      </c>
      <c r="AI172" s="360" t="s">
        <v>692</v>
      </c>
      <c r="AJ172" s="41">
        <f t="shared" si="6"/>
        <v>0</v>
      </c>
    </row>
    <row r="173" spans="1:36" ht="13.5" customHeight="1" x14ac:dyDescent="0.25">
      <c r="A173" s="24"/>
      <c r="B173" s="155" t="s">
        <v>228</v>
      </c>
      <c r="C173" s="155" t="s">
        <v>223</v>
      </c>
      <c r="D173" s="155">
        <v>140</v>
      </c>
      <c r="E173" s="356" t="s">
        <v>845</v>
      </c>
      <c r="F173" s="361" t="s">
        <v>229</v>
      </c>
      <c r="G173" s="361"/>
      <c r="H173" s="361"/>
      <c r="I173" s="361">
        <v>767550</v>
      </c>
      <c r="J173" s="361"/>
      <c r="K173" s="361"/>
      <c r="L173" s="361"/>
      <c r="M173" s="361"/>
      <c r="N173" s="361"/>
      <c r="O173" s="361"/>
      <c r="P173" s="361"/>
      <c r="Q173" s="361"/>
      <c r="R173" s="361"/>
      <c r="S173" s="361"/>
      <c r="T173" s="361"/>
      <c r="U173" s="361"/>
      <c r="V173" s="361"/>
      <c r="W173" s="359"/>
      <c r="X173" s="359" t="s">
        <v>692</v>
      </c>
      <c r="Y173" s="359" t="s">
        <v>692</v>
      </c>
      <c r="Z173" s="359" t="s">
        <v>692</v>
      </c>
      <c r="AA173" s="359" t="s">
        <v>692</v>
      </c>
      <c r="AB173" s="359" t="s">
        <v>692</v>
      </c>
      <c r="AC173" s="359" t="s">
        <v>692</v>
      </c>
      <c r="AD173" s="359" t="s">
        <v>692</v>
      </c>
      <c r="AE173" s="359" t="s">
        <v>692</v>
      </c>
      <c r="AF173" s="359" t="s">
        <v>692</v>
      </c>
      <c r="AG173" s="359" t="s">
        <v>692</v>
      </c>
      <c r="AH173" s="359" t="s">
        <v>692</v>
      </c>
      <c r="AI173" s="360" t="s">
        <v>692</v>
      </c>
      <c r="AJ173" s="41">
        <f t="shared" si="6"/>
        <v>0</v>
      </c>
    </row>
    <row r="174" spans="1:36" ht="13.5" customHeight="1" x14ac:dyDescent="0.25">
      <c r="A174" s="24"/>
      <c r="B174" s="155" t="s">
        <v>659</v>
      </c>
      <c r="C174" s="155" t="s">
        <v>283</v>
      </c>
      <c r="D174" s="155">
        <v>140</v>
      </c>
      <c r="E174" s="356" t="s">
        <v>21</v>
      </c>
      <c r="F174" s="361" t="s">
        <v>904</v>
      </c>
      <c r="G174" s="361" t="s">
        <v>660</v>
      </c>
      <c r="H174" s="361" t="s">
        <v>1344</v>
      </c>
      <c r="I174" s="361"/>
      <c r="J174" s="361"/>
      <c r="K174" s="361"/>
      <c r="L174" s="361"/>
      <c r="M174" s="361"/>
      <c r="N174" s="361"/>
      <c r="O174" s="361"/>
      <c r="P174" s="361"/>
      <c r="Q174" s="361"/>
      <c r="R174" s="361"/>
      <c r="S174" s="361"/>
      <c r="T174" s="361"/>
      <c r="U174" s="361"/>
      <c r="V174" s="361"/>
      <c r="W174" s="359"/>
      <c r="X174" s="359" t="s">
        <v>692</v>
      </c>
      <c r="Y174" s="359" t="s">
        <v>692</v>
      </c>
      <c r="Z174" s="359" t="s">
        <v>692</v>
      </c>
      <c r="AA174" s="359" t="s">
        <v>692</v>
      </c>
      <c r="AB174" s="359" t="s">
        <v>692</v>
      </c>
      <c r="AC174" s="359" t="s">
        <v>692</v>
      </c>
      <c r="AD174" s="359" t="s">
        <v>692</v>
      </c>
      <c r="AE174" s="359" t="s">
        <v>692</v>
      </c>
      <c r="AF174" s="359" t="s">
        <v>692</v>
      </c>
      <c r="AG174" s="359" t="s">
        <v>692</v>
      </c>
      <c r="AH174" s="359" t="s">
        <v>692</v>
      </c>
      <c r="AI174" s="360" t="s">
        <v>692</v>
      </c>
      <c r="AJ174" s="41">
        <f t="shared" si="6"/>
        <v>0</v>
      </c>
    </row>
    <row r="175" spans="1:36" ht="13.5" customHeight="1" x14ac:dyDescent="0.25">
      <c r="A175" s="24"/>
      <c r="B175" s="155" t="s">
        <v>658</v>
      </c>
      <c r="C175" s="155" t="s">
        <v>283</v>
      </c>
      <c r="D175" s="155">
        <v>140</v>
      </c>
      <c r="E175" s="356" t="s">
        <v>704</v>
      </c>
      <c r="F175" s="361" t="s">
        <v>908</v>
      </c>
      <c r="G175" s="361"/>
      <c r="H175" s="361"/>
      <c r="I175" s="361">
        <v>102118</v>
      </c>
      <c r="J175" s="361"/>
      <c r="K175" s="361"/>
      <c r="L175" s="361"/>
      <c r="M175" s="361"/>
      <c r="N175" s="361"/>
      <c r="O175" s="361"/>
      <c r="P175" s="361"/>
      <c r="Q175" s="361"/>
      <c r="R175" s="361"/>
      <c r="S175" s="361"/>
      <c r="T175" s="361"/>
      <c r="U175" s="361"/>
      <c r="V175" s="361"/>
      <c r="W175" s="359"/>
      <c r="X175" s="359" t="s">
        <v>692</v>
      </c>
      <c r="Y175" s="359" t="s">
        <v>692</v>
      </c>
      <c r="Z175" s="359" t="s">
        <v>692</v>
      </c>
      <c r="AA175" s="359" t="s">
        <v>692</v>
      </c>
      <c r="AB175" s="431" t="s">
        <v>692</v>
      </c>
      <c r="AC175" s="359" t="s">
        <v>692</v>
      </c>
      <c r="AD175" s="359" t="s">
        <v>692</v>
      </c>
      <c r="AE175" s="359" t="s">
        <v>692</v>
      </c>
      <c r="AF175" s="359" t="s">
        <v>692</v>
      </c>
      <c r="AG175" s="359" t="s">
        <v>692</v>
      </c>
      <c r="AH175" s="359" t="s">
        <v>692</v>
      </c>
      <c r="AI175" s="360" t="s">
        <v>692</v>
      </c>
      <c r="AJ175" s="41">
        <f t="shared" si="6"/>
        <v>0</v>
      </c>
    </row>
    <row r="176" spans="1:36" ht="13.5" customHeight="1" x14ac:dyDescent="0.25">
      <c r="A176" s="24"/>
      <c r="B176" s="155" t="s">
        <v>889</v>
      </c>
      <c r="C176" s="155" t="s">
        <v>283</v>
      </c>
      <c r="D176" s="155">
        <v>140</v>
      </c>
      <c r="E176" s="356" t="s">
        <v>890</v>
      </c>
      <c r="F176" s="361" t="s">
        <v>905</v>
      </c>
      <c r="G176" s="361" t="s">
        <v>891</v>
      </c>
      <c r="H176" s="361"/>
      <c r="I176" s="361">
        <v>255139</v>
      </c>
      <c r="J176" s="361"/>
      <c r="K176" s="361"/>
      <c r="L176" s="361"/>
      <c r="M176" s="361"/>
      <c r="N176" s="361"/>
      <c r="O176" s="361"/>
      <c r="P176" s="361"/>
      <c r="Q176" s="361"/>
      <c r="R176" s="361"/>
      <c r="S176" s="361"/>
      <c r="T176" s="361"/>
      <c r="U176" s="361"/>
      <c r="V176" s="361"/>
      <c r="W176" s="359"/>
      <c r="X176" s="359" t="s">
        <v>692</v>
      </c>
      <c r="Y176" s="359" t="s">
        <v>692</v>
      </c>
      <c r="Z176" s="359" t="s">
        <v>692</v>
      </c>
      <c r="AA176" s="359" t="s">
        <v>692</v>
      </c>
      <c r="AB176" s="359" t="s">
        <v>692</v>
      </c>
      <c r="AC176" s="359" t="s">
        <v>692</v>
      </c>
      <c r="AD176" s="359" t="s">
        <v>692</v>
      </c>
      <c r="AE176" s="359" t="s">
        <v>692</v>
      </c>
      <c r="AF176" s="359" t="s">
        <v>692</v>
      </c>
      <c r="AG176" s="359" t="s">
        <v>692</v>
      </c>
      <c r="AH176" s="359" t="s">
        <v>692</v>
      </c>
      <c r="AI176" s="360" t="s">
        <v>692</v>
      </c>
      <c r="AJ176" s="41">
        <f t="shared" si="6"/>
        <v>0</v>
      </c>
    </row>
    <row r="177" spans="1:36" ht="13.5" customHeight="1" x14ac:dyDescent="0.25">
      <c r="A177" s="24"/>
      <c r="B177" s="155" t="s">
        <v>1091</v>
      </c>
      <c r="C177" s="155" t="s">
        <v>443</v>
      </c>
      <c r="D177" s="155">
        <v>140</v>
      </c>
      <c r="E177" s="356" t="s">
        <v>714</v>
      </c>
      <c r="F177" s="361" t="s">
        <v>47</v>
      </c>
      <c r="G177" s="361" t="s">
        <v>444</v>
      </c>
      <c r="H177" s="361"/>
      <c r="I177" s="361"/>
      <c r="J177" s="361"/>
      <c r="K177" s="361"/>
      <c r="L177" s="361"/>
      <c r="M177" s="361"/>
      <c r="N177" s="361"/>
      <c r="O177" s="361"/>
      <c r="P177" s="361"/>
      <c r="Q177" s="361"/>
      <c r="R177" s="361"/>
      <c r="S177" s="361"/>
      <c r="T177" s="361"/>
      <c r="U177" s="361"/>
      <c r="V177" s="361"/>
      <c r="W177" s="359"/>
      <c r="X177" s="359" t="s">
        <v>692</v>
      </c>
      <c r="Y177" s="359" t="s">
        <v>692</v>
      </c>
      <c r="Z177" s="359" t="s">
        <v>692</v>
      </c>
      <c r="AA177" s="359" t="s">
        <v>692</v>
      </c>
      <c r="AB177" s="359" t="s">
        <v>692</v>
      </c>
      <c r="AC177" s="359" t="s">
        <v>692</v>
      </c>
      <c r="AD177" s="359" t="s">
        <v>692</v>
      </c>
      <c r="AE177" s="359" t="s">
        <v>692</v>
      </c>
      <c r="AF177" s="359" t="s">
        <v>692</v>
      </c>
      <c r="AG177" s="359" t="s">
        <v>692</v>
      </c>
      <c r="AH177" s="359" t="s">
        <v>692</v>
      </c>
      <c r="AI177" s="360" t="s">
        <v>692</v>
      </c>
      <c r="AJ177" s="41">
        <f t="shared" si="6"/>
        <v>0</v>
      </c>
    </row>
    <row r="178" spans="1:36" ht="13.5" customHeight="1" x14ac:dyDescent="0.25">
      <c r="A178" s="24"/>
      <c r="B178" s="155">
        <v>717084013</v>
      </c>
      <c r="C178" s="155" t="s">
        <v>46</v>
      </c>
      <c r="D178" s="155">
        <v>141</v>
      </c>
      <c r="E178" s="356" t="s">
        <v>887</v>
      </c>
      <c r="F178" s="361" t="s">
        <v>47</v>
      </c>
      <c r="G178" s="361"/>
      <c r="H178" s="361">
        <v>42948</v>
      </c>
      <c r="I178" s="361">
        <v>132296</v>
      </c>
      <c r="J178" s="361"/>
      <c r="K178" s="361"/>
      <c r="L178" s="361"/>
      <c r="M178" s="361"/>
      <c r="N178" s="361"/>
      <c r="O178" s="361"/>
      <c r="P178" s="361"/>
      <c r="Q178" s="361"/>
      <c r="R178" s="361"/>
      <c r="S178" s="361"/>
      <c r="T178" s="361"/>
      <c r="U178" s="361"/>
      <c r="V178" s="361"/>
      <c r="W178" s="359"/>
      <c r="X178" s="359" t="s">
        <v>692</v>
      </c>
      <c r="Y178" s="359" t="s">
        <v>692</v>
      </c>
      <c r="Z178" s="359" t="s">
        <v>692</v>
      </c>
      <c r="AA178" s="359" t="s">
        <v>692</v>
      </c>
      <c r="AB178" s="359" t="s">
        <v>692</v>
      </c>
      <c r="AC178" s="359" t="s">
        <v>692</v>
      </c>
      <c r="AD178" s="359" t="s">
        <v>692</v>
      </c>
      <c r="AE178" s="359" t="s">
        <v>692</v>
      </c>
      <c r="AF178" s="359" t="s">
        <v>692</v>
      </c>
      <c r="AG178" s="359" t="s">
        <v>692</v>
      </c>
      <c r="AH178" s="359" t="s">
        <v>692</v>
      </c>
      <c r="AI178" s="360" t="s">
        <v>692</v>
      </c>
      <c r="AJ178" s="41">
        <f t="shared" si="6"/>
        <v>0</v>
      </c>
    </row>
    <row r="179" spans="1:36" ht="13.5" customHeight="1" x14ac:dyDescent="0.25">
      <c r="A179" s="24"/>
      <c r="B179" s="155" t="s">
        <v>1187</v>
      </c>
      <c r="C179" s="155" t="s">
        <v>106</v>
      </c>
      <c r="D179" s="155">
        <v>141</v>
      </c>
      <c r="E179" s="356" t="s">
        <v>762</v>
      </c>
      <c r="F179" s="361" t="s">
        <v>763</v>
      </c>
      <c r="G179" s="361"/>
      <c r="H179" s="361"/>
      <c r="I179" s="361">
        <v>10509</v>
      </c>
      <c r="J179" s="361"/>
      <c r="K179" s="361"/>
      <c r="L179" s="361"/>
      <c r="M179" s="361"/>
      <c r="N179" s="361"/>
      <c r="O179" s="361"/>
      <c r="P179" s="361"/>
      <c r="Q179" s="361"/>
      <c r="R179" s="361"/>
      <c r="S179" s="361"/>
      <c r="T179" s="361"/>
      <c r="U179" s="361"/>
      <c r="V179" s="361"/>
      <c r="W179" s="359"/>
      <c r="X179" s="359" t="s">
        <v>692</v>
      </c>
      <c r="Y179" s="359" t="s">
        <v>692</v>
      </c>
      <c r="Z179" s="359" t="s">
        <v>692</v>
      </c>
      <c r="AA179" s="359" t="s">
        <v>692</v>
      </c>
      <c r="AB179" s="359" t="s">
        <v>692</v>
      </c>
      <c r="AC179" s="359" t="s">
        <v>692</v>
      </c>
      <c r="AD179" s="359" t="s">
        <v>692</v>
      </c>
      <c r="AE179" s="359" t="s">
        <v>692</v>
      </c>
      <c r="AF179" s="359" t="s">
        <v>692</v>
      </c>
      <c r="AG179" s="359" t="s">
        <v>692</v>
      </c>
      <c r="AH179" s="359" t="s">
        <v>692</v>
      </c>
      <c r="AI179" s="360" t="s">
        <v>692</v>
      </c>
      <c r="AJ179" s="41">
        <f t="shared" si="6"/>
        <v>0</v>
      </c>
    </row>
    <row r="180" spans="1:36" ht="13.5" customHeight="1" x14ac:dyDescent="0.25">
      <c r="A180" s="24"/>
      <c r="B180" s="155" t="s">
        <v>1134</v>
      </c>
      <c r="C180" s="155" t="s">
        <v>142</v>
      </c>
      <c r="D180" s="155">
        <v>141</v>
      </c>
      <c r="E180" s="356" t="s">
        <v>756</v>
      </c>
      <c r="F180" s="361" t="s">
        <v>757</v>
      </c>
      <c r="G180" s="361"/>
      <c r="H180" s="361"/>
      <c r="I180" s="361">
        <v>11685</v>
      </c>
      <c r="J180" s="361"/>
      <c r="K180" s="361"/>
      <c r="L180" s="361"/>
      <c r="M180" s="361"/>
      <c r="N180" s="361"/>
      <c r="O180" s="361"/>
      <c r="P180" s="361"/>
      <c r="Q180" s="361"/>
      <c r="R180" s="361"/>
      <c r="S180" s="361"/>
      <c r="T180" s="361"/>
      <c r="U180" s="361"/>
      <c r="V180" s="361"/>
      <c r="W180" s="359"/>
      <c r="X180" s="359" t="s">
        <v>692</v>
      </c>
      <c r="Y180" s="359" t="s">
        <v>692</v>
      </c>
      <c r="Z180" s="359" t="s">
        <v>692</v>
      </c>
      <c r="AA180" s="359" t="s">
        <v>692</v>
      </c>
      <c r="AB180" s="359" t="s">
        <v>692</v>
      </c>
      <c r="AC180" s="359" t="s">
        <v>692</v>
      </c>
      <c r="AD180" s="359" t="s">
        <v>692</v>
      </c>
      <c r="AE180" s="359" t="s">
        <v>692</v>
      </c>
      <c r="AF180" s="359" t="s">
        <v>692</v>
      </c>
      <c r="AG180" s="359" t="s">
        <v>692</v>
      </c>
      <c r="AH180" s="359" t="s">
        <v>692</v>
      </c>
      <c r="AI180" s="360" t="s">
        <v>692</v>
      </c>
      <c r="AJ180" s="41">
        <f t="shared" si="6"/>
        <v>0</v>
      </c>
    </row>
    <row r="181" spans="1:36" ht="13.5" customHeight="1" x14ac:dyDescent="0.25">
      <c r="A181" s="24"/>
      <c r="B181" s="155" t="s">
        <v>1138</v>
      </c>
      <c r="C181" s="155" t="s">
        <v>293</v>
      </c>
      <c r="D181" s="155">
        <v>141</v>
      </c>
      <c r="E181" s="356" t="s">
        <v>759</v>
      </c>
      <c r="F181" s="361" t="s">
        <v>760</v>
      </c>
      <c r="G181" s="361"/>
      <c r="H181" s="361"/>
      <c r="I181" s="361">
        <v>22980</v>
      </c>
      <c r="J181" s="361"/>
      <c r="K181" s="361"/>
      <c r="L181" s="361"/>
      <c r="M181" s="361"/>
      <c r="N181" s="361"/>
      <c r="O181" s="361"/>
      <c r="P181" s="361"/>
      <c r="Q181" s="361"/>
      <c r="R181" s="361"/>
      <c r="S181" s="361"/>
      <c r="T181" s="361"/>
      <c r="U181" s="361"/>
      <c r="V181" s="361"/>
      <c r="W181" s="359"/>
      <c r="X181" s="359" t="s">
        <v>692</v>
      </c>
      <c r="Y181" s="359" t="s">
        <v>692</v>
      </c>
      <c r="Z181" s="359" t="s">
        <v>692</v>
      </c>
      <c r="AA181" s="359" t="s">
        <v>692</v>
      </c>
      <c r="AB181" s="359" t="s">
        <v>692</v>
      </c>
      <c r="AC181" s="359" t="s">
        <v>692</v>
      </c>
      <c r="AD181" s="359" t="s">
        <v>692</v>
      </c>
      <c r="AE181" s="359" t="s">
        <v>692</v>
      </c>
      <c r="AF181" s="359" t="s">
        <v>692</v>
      </c>
      <c r="AG181" s="359" t="s">
        <v>692</v>
      </c>
      <c r="AH181" s="359" t="s">
        <v>692</v>
      </c>
      <c r="AI181" s="360" t="s">
        <v>692</v>
      </c>
      <c r="AJ181" s="41">
        <f t="shared" si="6"/>
        <v>0</v>
      </c>
    </row>
    <row r="182" spans="1:36" ht="13.5" customHeight="1" x14ac:dyDescent="0.25">
      <c r="A182" s="24"/>
      <c r="B182" s="155" t="s">
        <v>1701</v>
      </c>
      <c r="C182" s="155" t="s">
        <v>46</v>
      </c>
      <c r="D182" s="155">
        <v>142</v>
      </c>
      <c r="E182" s="356" t="s">
        <v>778</v>
      </c>
      <c r="F182" s="361" t="s">
        <v>1329</v>
      </c>
      <c r="G182" s="361" t="s">
        <v>1699</v>
      </c>
      <c r="H182" s="361" t="s">
        <v>774</v>
      </c>
      <c r="I182" s="361"/>
      <c r="J182" s="361"/>
      <c r="K182" s="361"/>
      <c r="L182" s="361"/>
      <c r="M182" s="361"/>
      <c r="N182" s="361"/>
      <c r="O182" s="361"/>
      <c r="P182" s="361"/>
      <c r="Q182" s="361"/>
      <c r="R182" s="361"/>
      <c r="S182" s="361"/>
      <c r="T182" s="361"/>
      <c r="U182" s="361"/>
      <c r="V182" s="361"/>
      <c r="W182" s="359"/>
      <c r="X182" s="359" t="s">
        <v>692</v>
      </c>
      <c r="Y182" s="359" t="s">
        <v>692</v>
      </c>
      <c r="Z182" s="359" t="s">
        <v>692</v>
      </c>
      <c r="AA182" s="359" t="s">
        <v>692</v>
      </c>
      <c r="AB182" s="359" t="s">
        <v>692</v>
      </c>
      <c r="AC182" s="359" t="s">
        <v>692</v>
      </c>
      <c r="AD182" s="359" t="s">
        <v>692</v>
      </c>
      <c r="AE182" s="359" t="s">
        <v>692</v>
      </c>
      <c r="AF182" s="359" t="s">
        <v>692</v>
      </c>
      <c r="AG182" s="359" t="s">
        <v>692</v>
      </c>
      <c r="AH182" s="359" t="s">
        <v>692</v>
      </c>
      <c r="AI182" s="360" t="s">
        <v>692</v>
      </c>
      <c r="AJ182" s="41">
        <f t="shared" si="6"/>
        <v>0</v>
      </c>
    </row>
    <row r="183" spans="1:36" ht="15" x14ac:dyDescent="0.2">
      <c r="A183" s="25"/>
      <c r="B183" s="34" t="s">
        <v>1193</v>
      </c>
      <c r="C183" s="34" t="s">
        <v>46</v>
      </c>
      <c r="D183" s="34">
        <v>142</v>
      </c>
      <c r="E183" s="34" t="s">
        <v>778</v>
      </c>
      <c r="F183" s="34" t="s">
        <v>1329</v>
      </c>
      <c r="G183" s="34" t="s">
        <v>1700</v>
      </c>
      <c r="H183" s="34" t="s">
        <v>774</v>
      </c>
      <c r="I183" s="34">
        <v>1198320</v>
      </c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 t="s">
        <v>692</v>
      </c>
      <c r="Y183" s="34" t="s">
        <v>692</v>
      </c>
      <c r="Z183" s="34" t="s">
        <v>692</v>
      </c>
      <c r="AA183" s="34" t="s">
        <v>692</v>
      </c>
      <c r="AB183" s="34" t="s">
        <v>692</v>
      </c>
      <c r="AC183" s="34" t="s">
        <v>692</v>
      </c>
      <c r="AD183" s="34" t="s">
        <v>692</v>
      </c>
      <c r="AE183" s="34" t="s">
        <v>692</v>
      </c>
      <c r="AF183" s="34" t="s">
        <v>692</v>
      </c>
      <c r="AG183" s="34" t="s">
        <v>692</v>
      </c>
      <c r="AH183" s="34" t="s">
        <v>692</v>
      </c>
      <c r="AI183" s="34" t="s">
        <v>692</v>
      </c>
      <c r="AJ183" s="41">
        <f t="shared" si="6"/>
        <v>0</v>
      </c>
    </row>
    <row r="184" spans="1:36" ht="15" x14ac:dyDescent="0.2">
      <c r="A184" s="25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41">
        <f t="shared" si="6"/>
        <v>0</v>
      </c>
    </row>
    <row r="185" spans="1:36" ht="15" x14ac:dyDescent="0.2">
      <c r="A185" s="25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41">
        <f t="shared" si="6"/>
        <v>0</v>
      </c>
    </row>
    <row r="186" spans="1:36" ht="15" x14ac:dyDescent="0.2">
      <c r="A186" s="25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41">
        <f t="shared" si="6"/>
        <v>0</v>
      </c>
    </row>
    <row r="187" spans="1:36" ht="15" x14ac:dyDescent="0.2">
      <c r="A187" s="25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41">
        <f t="shared" si="6"/>
        <v>0</v>
      </c>
    </row>
    <row r="188" spans="1:36" ht="15" x14ac:dyDescent="0.2">
      <c r="A188" s="25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41">
        <f t="shared" si="6"/>
        <v>0</v>
      </c>
    </row>
    <row r="189" spans="1:36" ht="15" x14ac:dyDescent="0.2">
      <c r="A189" s="25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41">
        <f t="shared" si="6"/>
        <v>0</v>
      </c>
    </row>
    <row r="190" spans="1:36" ht="15" x14ac:dyDescent="0.2">
      <c r="A190" s="25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41">
        <f t="shared" si="6"/>
        <v>0</v>
      </c>
    </row>
    <row r="191" spans="1:36" ht="15" x14ac:dyDescent="0.2">
      <c r="A191" s="25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41">
        <f t="shared" si="6"/>
        <v>0</v>
      </c>
    </row>
    <row r="192" spans="1:36" ht="15" x14ac:dyDescent="0.2">
      <c r="A192" s="25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41">
        <f t="shared" si="6"/>
        <v>0</v>
      </c>
    </row>
    <row r="193" spans="1:36" ht="15" x14ac:dyDescent="0.2">
      <c r="A193" s="25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41">
        <f t="shared" si="6"/>
        <v>0</v>
      </c>
    </row>
    <row r="194" spans="1:36" ht="15" x14ac:dyDescent="0.2">
      <c r="A194" s="25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41">
        <f t="shared" si="6"/>
        <v>0</v>
      </c>
    </row>
    <row r="195" spans="1:36" ht="15" x14ac:dyDescent="0.2">
      <c r="A195" s="25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41">
        <f t="shared" si="6"/>
        <v>0</v>
      </c>
    </row>
    <row r="196" spans="1:36" ht="15" x14ac:dyDescent="0.2">
      <c r="A196" s="25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41">
        <f t="shared" si="6"/>
        <v>0</v>
      </c>
    </row>
    <row r="197" spans="1:36" ht="15" x14ac:dyDescent="0.2">
      <c r="A197" s="25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41">
        <f t="shared" si="6"/>
        <v>0</v>
      </c>
    </row>
    <row r="198" spans="1:36" ht="15" x14ac:dyDescent="0.2">
      <c r="A198" s="25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41">
        <f t="shared" si="6"/>
        <v>0</v>
      </c>
    </row>
    <row r="199" spans="1:36" ht="15" x14ac:dyDescent="0.2">
      <c r="A199" s="25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41">
        <f t="shared" si="6"/>
        <v>0</v>
      </c>
    </row>
    <row r="200" spans="1:36" ht="15" x14ac:dyDescent="0.2">
      <c r="A200" s="25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41">
        <f t="shared" si="6"/>
        <v>0</v>
      </c>
    </row>
    <row r="201" spans="1:36" ht="15" x14ac:dyDescent="0.2">
      <c r="A201" s="25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41">
        <f t="shared" si="6"/>
        <v>0</v>
      </c>
    </row>
    <row r="202" spans="1:36" ht="15" x14ac:dyDescent="0.2">
      <c r="A202" s="25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41">
        <f t="shared" si="6"/>
        <v>0</v>
      </c>
    </row>
    <row r="203" spans="1:36" ht="15" x14ac:dyDescent="0.2">
      <c r="A203" s="25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41">
        <f t="shared" si="6"/>
        <v>0</v>
      </c>
    </row>
    <row r="204" spans="1:36" ht="15" x14ac:dyDescent="0.2">
      <c r="A204" s="25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41">
        <f t="shared" si="6"/>
        <v>0</v>
      </c>
    </row>
    <row r="205" spans="1:36" ht="15" x14ac:dyDescent="0.2">
      <c r="A205" s="25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41">
        <f t="shared" si="6"/>
        <v>0</v>
      </c>
    </row>
    <row r="206" spans="1:36" ht="15" x14ac:dyDescent="0.2">
      <c r="A206" s="25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41">
        <f t="shared" si="6"/>
        <v>0</v>
      </c>
    </row>
    <row r="207" spans="1:36" ht="15" x14ac:dyDescent="0.2">
      <c r="A207" s="25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41">
        <f t="shared" si="6"/>
        <v>0</v>
      </c>
    </row>
    <row r="208" spans="1:36" ht="15" x14ac:dyDescent="0.2">
      <c r="A208" s="25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41">
        <f t="shared" si="6"/>
        <v>0</v>
      </c>
    </row>
    <row r="209" spans="1:36" ht="15" x14ac:dyDescent="0.2">
      <c r="A209" s="25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41">
        <f t="shared" si="6"/>
        <v>0</v>
      </c>
    </row>
    <row r="210" spans="1:36" ht="15" x14ac:dyDescent="0.2">
      <c r="A210" s="25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41">
        <f t="shared" ref="AJ210:AJ220" si="7">SUM(X210:AI210)</f>
        <v>0</v>
      </c>
    </row>
    <row r="211" spans="1:36" ht="15" x14ac:dyDescent="0.2">
      <c r="A211" s="25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41">
        <f t="shared" si="7"/>
        <v>0</v>
      </c>
    </row>
    <row r="212" spans="1:36" ht="15" x14ac:dyDescent="0.2">
      <c r="A212" s="25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41">
        <f t="shared" si="7"/>
        <v>0</v>
      </c>
    </row>
    <row r="213" spans="1:36" ht="15" x14ac:dyDescent="0.2">
      <c r="A213" s="25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41">
        <f t="shared" si="7"/>
        <v>0</v>
      </c>
    </row>
    <row r="214" spans="1:36" ht="15" x14ac:dyDescent="0.2">
      <c r="A214" s="25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41">
        <f t="shared" si="7"/>
        <v>0</v>
      </c>
    </row>
    <row r="215" spans="1:36" ht="15" x14ac:dyDescent="0.2">
      <c r="A215" s="25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41">
        <f t="shared" si="7"/>
        <v>0</v>
      </c>
    </row>
    <row r="216" spans="1:36" ht="15" x14ac:dyDescent="0.2">
      <c r="A216" s="25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41">
        <f t="shared" si="7"/>
        <v>0</v>
      </c>
    </row>
    <row r="217" spans="1:36" ht="15" x14ac:dyDescent="0.2">
      <c r="A217" s="20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41">
        <f t="shared" si="7"/>
        <v>0</v>
      </c>
    </row>
    <row r="218" spans="1:36" ht="15" x14ac:dyDescent="0.2">
      <c r="A218" s="20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41">
        <f t="shared" si="7"/>
        <v>0</v>
      </c>
    </row>
    <row r="219" spans="1:36" ht="15" x14ac:dyDescent="0.2">
      <c r="B219" s="34"/>
      <c r="C219" s="34"/>
      <c r="D219" s="34"/>
      <c r="E219" s="34"/>
      <c r="F219" s="34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155"/>
      <c r="Y219" s="155"/>
      <c r="Z219" s="155"/>
      <c r="AA219" s="155"/>
      <c r="AB219" s="155"/>
      <c r="AC219" s="155"/>
      <c r="AD219" s="155"/>
      <c r="AE219" s="155"/>
      <c r="AF219" s="155"/>
      <c r="AG219" s="155"/>
      <c r="AH219" s="155"/>
      <c r="AI219" s="155"/>
      <c r="AJ219" s="41">
        <f t="shared" si="7"/>
        <v>0</v>
      </c>
    </row>
    <row r="220" spans="1:36" ht="15" x14ac:dyDescent="0.2">
      <c r="A220" s="20"/>
      <c r="B220" s="34"/>
      <c r="C220" s="34"/>
      <c r="D220" s="34"/>
      <c r="E220" s="34"/>
      <c r="F220" s="34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155"/>
      <c r="Y220" s="155"/>
      <c r="Z220" s="155"/>
      <c r="AA220" s="155"/>
      <c r="AB220" s="155"/>
      <c r="AC220" s="155"/>
      <c r="AD220" s="155"/>
      <c r="AE220" s="155"/>
      <c r="AF220" s="155"/>
      <c r="AG220" s="155"/>
      <c r="AH220" s="155"/>
      <c r="AI220" s="155"/>
      <c r="AJ220" s="41">
        <f t="shared" si="7"/>
        <v>0</v>
      </c>
    </row>
    <row r="221" spans="1:36" s="27" customFormat="1" x14ac:dyDescent="0.2">
      <c r="A221" s="531"/>
      <c r="B221" s="531"/>
      <c r="C221" s="531"/>
      <c r="D221" s="531"/>
      <c r="E221" s="211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42"/>
      <c r="X221" s="153">
        <f>SUM(X145:X220)</f>
        <v>0</v>
      </c>
      <c r="Y221" s="153">
        <f t="shared" ref="Y221:AJ221" si="8">SUM(Y145:Y220)</f>
        <v>0</v>
      </c>
      <c r="Z221" s="153">
        <f t="shared" si="8"/>
        <v>0</v>
      </c>
      <c r="AA221" s="153">
        <f t="shared" si="8"/>
        <v>0</v>
      </c>
      <c r="AB221" s="153">
        <f t="shared" si="8"/>
        <v>0</v>
      </c>
      <c r="AC221" s="153">
        <f t="shared" si="8"/>
        <v>0</v>
      </c>
      <c r="AD221" s="153">
        <f t="shared" si="8"/>
        <v>0</v>
      </c>
      <c r="AE221" s="153">
        <f t="shared" si="8"/>
        <v>0</v>
      </c>
      <c r="AF221" s="153">
        <f t="shared" si="8"/>
        <v>0</v>
      </c>
      <c r="AG221" s="153">
        <f t="shared" si="8"/>
        <v>0</v>
      </c>
      <c r="AH221" s="153">
        <f t="shared" si="8"/>
        <v>0</v>
      </c>
      <c r="AI221" s="153">
        <f t="shared" si="8"/>
        <v>0</v>
      </c>
      <c r="AJ221" s="153">
        <f t="shared" si="8"/>
        <v>0</v>
      </c>
    </row>
    <row r="222" spans="1:36" x14ac:dyDescent="0.2">
      <c r="A222" s="26"/>
      <c r="B222" s="34"/>
      <c r="C222" s="34"/>
      <c r="D222" s="34"/>
      <c r="E222" s="34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157"/>
      <c r="X222" s="157"/>
      <c r="Y222" s="157"/>
      <c r="Z222" s="157"/>
      <c r="AA222" s="157"/>
      <c r="AB222" s="157"/>
      <c r="AC222" s="157"/>
      <c r="AD222" s="157"/>
      <c r="AE222" s="157"/>
      <c r="AF222" s="157"/>
      <c r="AG222" s="157"/>
      <c r="AH222" s="157"/>
    </row>
    <row r="223" spans="1:36" x14ac:dyDescent="0.2">
      <c r="A223" s="19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155"/>
      <c r="X223" s="155"/>
      <c r="Y223" s="155"/>
      <c r="Z223" s="155"/>
      <c r="AA223" s="155"/>
      <c r="AB223" s="155"/>
      <c r="AC223" s="155"/>
      <c r="AD223" s="155"/>
      <c r="AE223" s="155"/>
      <c r="AF223" s="155"/>
      <c r="AG223" s="155"/>
      <c r="AH223" s="155"/>
    </row>
    <row r="224" spans="1:36" s="22" customFormat="1" ht="18.75" customHeight="1" x14ac:dyDescent="0.2">
      <c r="A224" s="216" t="s">
        <v>1419</v>
      </c>
      <c r="B224" s="216"/>
      <c r="C224" s="216"/>
      <c r="D224" s="216"/>
      <c r="E224" s="209">
        <v>150</v>
      </c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  <c r="AH224" s="150"/>
      <c r="AI224" s="40"/>
    </row>
    <row r="225" spans="1:36" ht="13.5" customHeight="1" x14ac:dyDescent="0.25">
      <c r="A225" s="24" t="s">
        <v>670</v>
      </c>
      <c r="B225" s="165" t="s">
        <v>18</v>
      </c>
      <c r="C225" s="165" t="s">
        <v>0</v>
      </c>
      <c r="D225" s="165" t="s">
        <v>671</v>
      </c>
      <c r="E225" s="210" t="s">
        <v>1</v>
      </c>
      <c r="F225" s="31" t="s">
        <v>2</v>
      </c>
      <c r="G225" s="31" t="s">
        <v>3</v>
      </c>
      <c r="H225" s="31" t="s">
        <v>4</v>
      </c>
      <c r="I225" s="31" t="s">
        <v>999</v>
      </c>
      <c r="J225" s="31" t="s">
        <v>970</v>
      </c>
      <c r="K225" s="31" t="s">
        <v>1000</v>
      </c>
      <c r="L225" s="31" t="s">
        <v>1001</v>
      </c>
      <c r="M225" s="31" t="s">
        <v>1002</v>
      </c>
      <c r="N225" s="31" t="s">
        <v>1003</v>
      </c>
      <c r="O225" s="31" t="s">
        <v>1004</v>
      </c>
      <c r="P225" s="31" t="s">
        <v>1005</v>
      </c>
      <c r="Q225" s="31" t="s">
        <v>1006</v>
      </c>
      <c r="R225" s="31" t="s">
        <v>1007</v>
      </c>
      <c r="S225" s="31" t="s">
        <v>1008</v>
      </c>
      <c r="T225" s="31" t="s">
        <v>1009</v>
      </c>
      <c r="U225" s="31" t="s">
        <v>1010</v>
      </c>
      <c r="V225" s="31" t="s">
        <v>1011</v>
      </c>
      <c r="W225" s="151" t="s">
        <v>711</v>
      </c>
      <c r="X225" s="151" t="s">
        <v>463</v>
      </c>
      <c r="Y225" s="151" t="s">
        <v>464</v>
      </c>
      <c r="Z225" s="151" t="s">
        <v>465</v>
      </c>
      <c r="AA225" s="151" t="s">
        <v>466</v>
      </c>
      <c r="AB225" s="151" t="s">
        <v>467</v>
      </c>
      <c r="AC225" s="151" t="s">
        <v>468</v>
      </c>
      <c r="AD225" s="151" t="s">
        <v>469</v>
      </c>
      <c r="AE225" s="151" t="s">
        <v>470</v>
      </c>
      <c r="AF225" s="151" t="s">
        <v>471</v>
      </c>
      <c r="AG225" s="151" t="s">
        <v>472</v>
      </c>
      <c r="AH225" s="151" t="s">
        <v>473</v>
      </c>
      <c r="AI225" s="41" t="s">
        <v>474</v>
      </c>
      <c r="AJ225" s="41" t="s">
        <v>647</v>
      </c>
    </row>
    <row r="226" spans="1:36" ht="13.5" customHeight="1" x14ac:dyDescent="0.25">
      <c r="A226" s="24"/>
      <c r="B226" s="155"/>
      <c r="C226" s="155"/>
      <c r="D226" s="155"/>
      <c r="E226" s="356"/>
      <c r="F226" s="361"/>
      <c r="G226" s="361"/>
      <c r="H226" s="361"/>
      <c r="I226" s="361"/>
      <c r="J226" s="361"/>
      <c r="K226" s="361"/>
      <c r="L226" s="361"/>
      <c r="M226" s="361"/>
      <c r="N226" s="361"/>
      <c r="O226" s="361"/>
      <c r="P226" s="361"/>
      <c r="Q226" s="361"/>
      <c r="R226" s="361"/>
      <c r="S226" s="361"/>
      <c r="T226" s="361"/>
      <c r="U226" s="361"/>
      <c r="V226" s="361"/>
      <c r="W226" s="359"/>
      <c r="X226" s="359"/>
      <c r="Y226" s="359"/>
      <c r="Z226" s="359"/>
      <c r="AA226" s="359"/>
      <c r="AB226" s="359"/>
      <c r="AC226" s="359"/>
      <c r="AD226" s="359"/>
      <c r="AE226" s="359"/>
      <c r="AF226" s="359"/>
      <c r="AG226" s="359"/>
      <c r="AH226" s="359"/>
      <c r="AI226" s="360"/>
      <c r="AJ226" s="41">
        <f>SUM(X226:AI226)</f>
        <v>0</v>
      </c>
    </row>
    <row r="227" spans="1:36" ht="13.5" customHeight="1" x14ac:dyDescent="0.25">
      <c r="A227" s="24"/>
      <c r="B227" s="155"/>
      <c r="C227" s="155"/>
      <c r="D227" s="155"/>
      <c r="E227" s="356"/>
      <c r="F227" s="361"/>
      <c r="G227" s="361"/>
      <c r="H227" s="361"/>
      <c r="I227" s="361"/>
      <c r="J227" s="361"/>
      <c r="K227" s="361"/>
      <c r="L227" s="361"/>
      <c r="M227" s="361"/>
      <c r="N227" s="361"/>
      <c r="O227" s="361"/>
      <c r="P227" s="361"/>
      <c r="Q227" s="361"/>
      <c r="R227" s="361"/>
      <c r="S227" s="361"/>
      <c r="T227" s="361"/>
      <c r="U227" s="361"/>
      <c r="V227" s="361"/>
      <c r="W227" s="359"/>
      <c r="X227" s="359"/>
      <c r="Y227" s="359"/>
      <c r="Z227" s="359"/>
      <c r="AA227" s="359"/>
      <c r="AB227" s="359"/>
      <c r="AC227" s="359"/>
      <c r="AD227" s="359"/>
      <c r="AE227" s="359"/>
      <c r="AF227" s="359"/>
      <c r="AG227" s="359"/>
      <c r="AH227" s="359"/>
      <c r="AI227" s="360"/>
      <c r="AJ227" s="41">
        <f t="shared" ref="AJ227:AJ264" si="9">SUM(X227:AI227)</f>
        <v>0</v>
      </c>
    </row>
    <row r="228" spans="1:36" ht="13.5" customHeight="1" x14ac:dyDescent="0.25">
      <c r="A228" s="24"/>
      <c r="B228" s="155"/>
      <c r="C228" s="155"/>
      <c r="D228" s="155"/>
      <c r="E228" s="356"/>
      <c r="F228" s="361"/>
      <c r="G228" s="361"/>
      <c r="H228" s="361"/>
      <c r="I228" s="361"/>
      <c r="J228" s="361"/>
      <c r="K228" s="361"/>
      <c r="L228" s="361"/>
      <c r="M228" s="361"/>
      <c r="N228" s="361"/>
      <c r="O228" s="361"/>
      <c r="P228" s="361"/>
      <c r="Q228" s="361"/>
      <c r="R228" s="361"/>
      <c r="S228" s="361"/>
      <c r="T228" s="361"/>
      <c r="U228" s="361"/>
      <c r="V228" s="361"/>
      <c r="W228" s="359"/>
      <c r="X228" s="359"/>
      <c r="Y228" s="359"/>
      <c r="Z228" s="359"/>
      <c r="AA228" s="359"/>
      <c r="AB228" s="359"/>
      <c r="AC228" s="359"/>
      <c r="AD228" s="359"/>
      <c r="AE228" s="359"/>
      <c r="AF228" s="359"/>
      <c r="AG228" s="359"/>
      <c r="AH228" s="359"/>
      <c r="AI228" s="360"/>
      <c r="AJ228" s="41">
        <f t="shared" si="9"/>
        <v>0</v>
      </c>
    </row>
    <row r="229" spans="1:36" ht="13.5" customHeight="1" x14ac:dyDescent="0.25">
      <c r="A229" s="24"/>
      <c r="B229" s="155"/>
      <c r="C229" s="155"/>
      <c r="D229" s="155"/>
      <c r="E229" s="356"/>
      <c r="F229" s="361"/>
      <c r="G229" s="361"/>
      <c r="H229" s="361"/>
      <c r="I229" s="361"/>
      <c r="J229" s="361"/>
      <c r="K229" s="361"/>
      <c r="L229" s="361"/>
      <c r="M229" s="361"/>
      <c r="N229" s="361"/>
      <c r="O229" s="361"/>
      <c r="P229" s="361"/>
      <c r="Q229" s="361"/>
      <c r="R229" s="361"/>
      <c r="S229" s="361"/>
      <c r="T229" s="361"/>
      <c r="U229" s="361"/>
      <c r="V229" s="361"/>
      <c r="W229" s="359"/>
      <c r="X229" s="359"/>
      <c r="Y229" s="359"/>
      <c r="Z229" s="359"/>
      <c r="AA229" s="359"/>
      <c r="AB229" s="359"/>
      <c r="AC229" s="359"/>
      <c r="AD229" s="359"/>
      <c r="AE229" s="359"/>
      <c r="AF229" s="359"/>
      <c r="AG229" s="359"/>
      <c r="AH229" s="359"/>
      <c r="AI229" s="360"/>
      <c r="AJ229" s="41">
        <f t="shared" si="9"/>
        <v>0</v>
      </c>
    </row>
    <row r="230" spans="1:36" ht="13.5" customHeight="1" x14ac:dyDescent="0.25">
      <c r="A230" s="24"/>
      <c r="B230" s="155"/>
      <c r="C230" s="155"/>
      <c r="D230" s="155"/>
      <c r="E230" s="356"/>
      <c r="F230" s="361"/>
      <c r="G230" s="361"/>
      <c r="H230" s="361"/>
      <c r="I230" s="361"/>
      <c r="J230" s="361"/>
      <c r="K230" s="361"/>
      <c r="L230" s="361"/>
      <c r="M230" s="361"/>
      <c r="N230" s="361"/>
      <c r="O230" s="361"/>
      <c r="P230" s="361"/>
      <c r="Q230" s="361"/>
      <c r="R230" s="361"/>
      <c r="S230" s="361"/>
      <c r="T230" s="361"/>
      <c r="U230" s="361"/>
      <c r="V230" s="361"/>
      <c r="W230" s="359"/>
      <c r="X230" s="359"/>
      <c r="Y230" s="359"/>
      <c r="Z230" s="359"/>
      <c r="AA230" s="359"/>
      <c r="AB230" s="359"/>
      <c r="AC230" s="359"/>
      <c r="AD230" s="359"/>
      <c r="AE230" s="359"/>
      <c r="AF230" s="359"/>
      <c r="AG230" s="359"/>
      <c r="AH230" s="359"/>
      <c r="AI230" s="360"/>
      <c r="AJ230" s="41">
        <f t="shared" si="9"/>
        <v>0</v>
      </c>
    </row>
    <row r="231" spans="1:36" ht="13.5" customHeight="1" x14ac:dyDescent="0.25">
      <c r="A231" s="24"/>
      <c r="B231" s="155"/>
      <c r="C231" s="155"/>
      <c r="D231" s="155"/>
      <c r="E231" s="356"/>
      <c r="F231" s="361"/>
      <c r="G231" s="361"/>
      <c r="H231" s="361"/>
      <c r="I231" s="361"/>
      <c r="J231" s="361"/>
      <c r="K231" s="361"/>
      <c r="L231" s="361"/>
      <c r="M231" s="361"/>
      <c r="N231" s="361"/>
      <c r="O231" s="361"/>
      <c r="P231" s="361"/>
      <c r="Q231" s="361"/>
      <c r="R231" s="361"/>
      <c r="S231" s="361"/>
      <c r="T231" s="361"/>
      <c r="U231" s="361"/>
      <c r="V231" s="361"/>
      <c r="W231" s="359"/>
      <c r="X231" s="359"/>
      <c r="Y231" s="359"/>
      <c r="Z231" s="359"/>
      <c r="AA231" s="359"/>
      <c r="AB231" s="359"/>
      <c r="AC231" s="359"/>
      <c r="AD231" s="359"/>
      <c r="AE231" s="359"/>
      <c r="AF231" s="359"/>
      <c r="AG231" s="359"/>
      <c r="AH231" s="359"/>
      <c r="AI231" s="360"/>
      <c r="AJ231" s="41">
        <f t="shared" si="9"/>
        <v>0</v>
      </c>
    </row>
    <row r="232" spans="1:36" ht="13.5" customHeight="1" x14ac:dyDescent="0.25">
      <c r="A232" s="24"/>
      <c r="B232" s="155"/>
      <c r="C232" s="155"/>
      <c r="D232" s="155"/>
      <c r="E232" s="356"/>
      <c r="F232" s="361"/>
      <c r="G232" s="361"/>
      <c r="H232" s="361"/>
      <c r="I232" s="361"/>
      <c r="J232" s="361"/>
      <c r="K232" s="361"/>
      <c r="L232" s="361"/>
      <c r="M232" s="361"/>
      <c r="N232" s="361"/>
      <c r="O232" s="361"/>
      <c r="P232" s="361"/>
      <c r="Q232" s="361"/>
      <c r="R232" s="361"/>
      <c r="S232" s="361"/>
      <c r="T232" s="361"/>
      <c r="U232" s="361"/>
      <c r="V232" s="361"/>
      <c r="W232" s="359"/>
      <c r="X232" s="359"/>
      <c r="Y232" s="359"/>
      <c r="Z232" s="359"/>
      <c r="AA232" s="359"/>
      <c r="AB232" s="359"/>
      <c r="AC232" s="359"/>
      <c r="AD232" s="359"/>
      <c r="AE232" s="359"/>
      <c r="AF232" s="359"/>
      <c r="AG232" s="359"/>
      <c r="AH232" s="359"/>
      <c r="AI232" s="360"/>
      <c r="AJ232" s="41">
        <f t="shared" si="9"/>
        <v>0</v>
      </c>
    </row>
    <row r="233" spans="1:36" ht="13.5" customHeight="1" x14ac:dyDescent="0.25">
      <c r="A233" s="24"/>
      <c r="B233" s="155"/>
      <c r="C233" s="155"/>
      <c r="D233" s="155"/>
      <c r="E233" s="356"/>
      <c r="F233" s="361"/>
      <c r="G233" s="361"/>
      <c r="H233" s="361"/>
      <c r="I233" s="361"/>
      <c r="J233" s="361"/>
      <c r="K233" s="361"/>
      <c r="L233" s="361"/>
      <c r="M233" s="361"/>
      <c r="N233" s="361"/>
      <c r="O233" s="361"/>
      <c r="P233" s="361"/>
      <c r="Q233" s="361"/>
      <c r="R233" s="361"/>
      <c r="S233" s="361"/>
      <c r="T233" s="361"/>
      <c r="U233" s="361"/>
      <c r="V233" s="361"/>
      <c r="W233" s="359"/>
      <c r="X233" s="359"/>
      <c r="Y233" s="359"/>
      <c r="Z233" s="359"/>
      <c r="AA233" s="359"/>
      <c r="AB233" s="359"/>
      <c r="AC233" s="359"/>
      <c r="AD233" s="359"/>
      <c r="AE233" s="359"/>
      <c r="AF233" s="359"/>
      <c r="AG233" s="359"/>
      <c r="AH233" s="359"/>
      <c r="AI233" s="360"/>
      <c r="AJ233" s="41">
        <f t="shared" si="9"/>
        <v>0</v>
      </c>
    </row>
    <row r="234" spans="1:36" ht="13.5" customHeight="1" x14ac:dyDescent="0.25">
      <c r="A234" s="24"/>
      <c r="B234" s="155"/>
      <c r="C234" s="155"/>
      <c r="D234" s="155"/>
      <c r="E234" s="356"/>
      <c r="F234" s="361"/>
      <c r="G234" s="361"/>
      <c r="H234" s="361"/>
      <c r="I234" s="361"/>
      <c r="J234" s="361"/>
      <c r="K234" s="361"/>
      <c r="L234" s="361"/>
      <c r="M234" s="361"/>
      <c r="N234" s="361"/>
      <c r="O234" s="361"/>
      <c r="P234" s="361"/>
      <c r="Q234" s="361"/>
      <c r="R234" s="361"/>
      <c r="S234" s="361"/>
      <c r="T234" s="361"/>
      <c r="U234" s="361"/>
      <c r="V234" s="361"/>
      <c r="W234" s="359"/>
      <c r="X234" s="359"/>
      <c r="Y234" s="359"/>
      <c r="Z234" s="359"/>
      <c r="AA234" s="359"/>
      <c r="AB234" s="359"/>
      <c r="AC234" s="359"/>
      <c r="AD234" s="359"/>
      <c r="AE234" s="359"/>
      <c r="AF234" s="359"/>
      <c r="AG234" s="359"/>
      <c r="AH234" s="359"/>
      <c r="AI234" s="360"/>
      <c r="AJ234" s="41">
        <f t="shared" si="9"/>
        <v>0</v>
      </c>
    </row>
    <row r="235" spans="1:36" ht="13.5" customHeight="1" x14ac:dyDescent="0.25">
      <c r="A235" s="24"/>
      <c r="B235" s="155"/>
      <c r="C235" s="155"/>
      <c r="D235" s="155"/>
      <c r="E235" s="356"/>
      <c r="F235" s="361"/>
      <c r="G235" s="361"/>
      <c r="H235" s="361"/>
      <c r="I235" s="361"/>
      <c r="J235" s="361"/>
      <c r="K235" s="361"/>
      <c r="L235" s="361"/>
      <c r="M235" s="361"/>
      <c r="N235" s="361"/>
      <c r="O235" s="361"/>
      <c r="P235" s="361"/>
      <c r="Q235" s="361"/>
      <c r="R235" s="361"/>
      <c r="S235" s="361"/>
      <c r="T235" s="361"/>
      <c r="U235" s="361"/>
      <c r="V235" s="361"/>
      <c r="W235" s="359"/>
      <c r="X235" s="359"/>
      <c r="Y235" s="359"/>
      <c r="Z235" s="359"/>
      <c r="AA235" s="359"/>
      <c r="AB235" s="359"/>
      <c r="AC235" s="359"/>
      <c r="AD235" s="359"/>
      <c r="AE235" s="359"/>
      <c r="AF235" s="359"/>
      <c r="AG235" s="359"/>
      <c r="AH235" s="359"/>
      <c r="AI235" s="360"/>
      <c r="AJ235" s="41">
        <f t="shared" si="9"/>
        <v>0</v>
      </c>
    </row>
    <row r="236" spans="1:36" ht="13.5" customHeight="1" x14ac:dyDescent="0.25">
      <c r="A236" s="24"/>
      <c r="B236" s="155"/>
      <c r="C236" s="155"/>
      <c r="D236" s="155"/>
      <c r="E236" s="356"/>
      <c r="F236" s="361"/>
      <c r="G236" s="361"/>
      <c r="H236" s="361"/>
      <c r="I236" s="361"/>
      <c r="J236" s="361"/>
      <c r="K236" s="361"/>
      <c r="L236" s="361"/>
      <c r="M236" s="361"/>
      <c r="N236" s="361"/>
      <c r="O236" s="361"/>
      <c r="P236" s="361"/>
      <c r="Q236" s="361"/>
      <c r="R236" s="361"/>
      <c r="S236" s="361"/>
      <c r="T236" s="361"/>
      <c r="U236" s="361"/>
      <c r="V236" s="361"/>
      <c r="W236" s="359"/>
      <c r="X236" s="359"/>
      <c r="Y236" s="359"/>
      <c r="Z236" s="359"/>
      <c r="AA236" s="359"/>
      <c r="AB236" s="359"/>
      <c r="AC236" s="359"/>
      <c r="AD236" s="359"/>
      <c r="AE236" s="359"/>
      <c r="AF236" s="359"/>
      <c r="AG236" s="359"/>
      <c r="AH236" s="359"/>
      <c r="AI236" s="360"/>
      <c r="AJ236" s="41">
        <f t="shared" si="9"/>
        <v>0</v>
      </c>
    </row>
    <row r="237" spans="1:36" ht="13.5" customHeight="1" x14ac:dyDescent="0.25">
      <c r="A237" s="24"/>
      <c r="B237" s="155"/>
      <c r="C237" s="155"/>
      <c r="D237" s="155"/>
      <c r="E237" s="356"/>
      <c r="F237" s="361"/>
      <c r="G237" s="361"/>
      <c r="H237" s="361"/>
      <c r="I237" s="361"/>
      <c r="J237" s="361"/>
      <c r="K237" s="361"/>
      <c r="L237" s="361"/>
      <c r="M237" s="361"/>
      <c r="N237" s="361"/>
      <c r="O237" s="361"/>
      <c r="P237" s="361"/>
      <c r="Q237" s="361"/>
      <c r="R237" s="361"/>
      <c r="S237" s="361"/>
      <c r="T237" s="361"/>
      <c r="U237" s="361"/>
      <c r="V237" s="361"/>
      <c r="W237" s="359"/>
      <c r="X237" s="359"/>
      <c r="Y237" s="359"/>
      <c r="Z237" s="359"/>
      <c r="AA237" s="359"/>
      <c r="AB237" s="359"/>
      <c r="AC237" s="359"/>
      <c r="AD237" s="359"/>
      <c r="AE237" s="359"/>
      <c r="AF237" s="359"/>
      <c r="AG237" s="359"/>
      <c r="AH237" s="359"/>
      <c r="AI237" s="360"/>
      <c r="AJ237" s="41">
        <f t="shared" si="9"/>
        <v>0</v>
      </c>
    </row>
    <row r="238" spans="1:36" ht="13.5" customHeight="1" x14ac:dyDescent="0.25">
      <c r="A238" s="24"/>
      <c r="B238" s="155"/>
      <c r="C238" s="155"/>
      <c r="D238" s="155"/>
      <c r="E238" s="356"/>
      <c r="F238" s="361"/>
      <c r="G238" s="361"/>
      <c r="H238" s="361"/>
      <c r="I238" s="361"/>
      <c r="J238" s="361"/>
      <c r="K238" s="361"/>
      <c r="L238" s="361"/>
      <c r="M238" s="361"/>
      <c r="N238" s="361"/>
      <c r="O238" s="361"/>
      <c r="P238" s="361"/>
      <c r="Q238" s="361"/>
      <c r="R238" s="361"/>
      <c r="S238" s="361"/>
      <c r="T238" s="361"/>
      <c r="U238" s="361"/>
      <c r="V238" s="361"/>
      <c r="W238" s="359"/>
      <c r="X238" s="359"/>
      <c r="Y238" s="359"/>
      <c r="Z238" s="359"/>
      <c r="AA238" s="359"/>
      <c r="AB238" s="359"/>
      <c r="AC238" s="359"/>
      <c r="AD238" s="359"/>
      <c r="AE238" s="359"/>
      <c r="AF238" s="359"/>
      <c r="AG238" s="359"/>
      <c r="AH238" s="359"/>
      <c r="AI238" s="360"/>
      <c r="AJ238" s="41">
        <f t="shared" si="9"/>
        <v>0</v>
      </c>
    </row>
    <row r="239" spans="1:36" ht="13.5" customHeight="1" x14ac:dyDescent="0.25">
      <c r="A239" s="24"/>
      <c r="B239" s="155"/>
      <c r="C239" s="155"/>
      <c r="D239" s="155"/>
      <c r="E239" s="356"/>
      <c r="F239" s="361"/>
      <c r="G239" s="361"/>
      <c r="H239" s="361"/>
      <c r="I239" s="361"/>
      <c r="J239" s="361"/>
      <c r="K239" s="361"/>
      <c r="L239" s="361"/>
      <c r="M239" s="361"/>
      <c r="N239" s="361"/>
      <c r="O239" s="361"/>
      <c r="P239" s="361"/>
      <c r="Q239" s="361"/>
      <c r="R239" s="361"/>
      <c r="S239" s="361"/>
      <c r="T239" s="361"/>
      <c r="U239" s="361"/>
      <c r="V239" s="361"/>
      <c r="W239" s="359"/>
      <c r="X239" s="359"/>
      <c r="Y239" s="359"/>
      <c r="Z239" s="359"/>
      <c r="AA239" s="359"/>
      <c r="AB239" s="359"/>
      <c r="AC239" s="359"/>
      <c r="AD239" s="359"/>
      <c r="AE239" s="359"/>
      <c r="AF239" s="359"/>
      <c r="AG239" s="359"/>
      <c r="AH239" s="359"/>
      <c r="AI239" s="360"/>
      <c r="AJ239" s="41">
        <f t="shared" si="9"/>
        <v>0</v>
      </c>
    </row>
    <row r="240" spans="1:36" ht="13.5" customHeight="1" x14ac:dyDescent="0.25">
      <c r="A240" s="24"/>
      <c r="B240" s="155"/>
      <c r="C240" s="155"/>
      <c r="D240" s="155"/>
      <c r="E240" s="356"/>
      <c r="F240" s="361"/>
      <c r="G240" s="361"/>
      <c r="H240" s="361"/>
      <c r="I240" s="361"/>
      <c r="J240" s="361"/>
      <c r="K240" s="361"/>
      <c r="L240" s="361"/>
      <c r="M240" s="361"/>
      <c r="N240" s="361"/>
      <c r="O240" s="361"/>
      <c r="P240" s="361"/>
      <c r="Q240" s="361"/>
      <c r="R240" s="361"/>
      <c r="S240" s="361"/>
      <c r="T240" s="361"/>
      <c r="U240" s="361"/>
      <c r="V240" s="361"/>
      <c r="W240" s="359"/>
      <c r="X240" s="359"/>
      <c r="Y240" s="359"/>
      <c r="Z240" s="359"/>
      <c r="AA240" s="359"/>
      <c r="AB240" s="359"/>
      <c r="AC240" s="359"/>
      <c r="AD240" s="359"/>
      <c r="AE240" s="359"/>
      <c r="AF240" s="359"/>
      <c r="AG240" s="359"/>
      <c r="AH240" s="359"/>
      <c r="AI240" s="360"/>
      <c r="AJ240" s="41">
        <f t="shared" si="9"/>
        <v>0</v>
      </c>
    </row>
    <row r="241" spans="1:36" ht="13.5" customHeight="1" x14ac:dyDescent="0.25">
      <c r="A241" s="24"/>
      <c r="B241" s="155"/>
      <c r="C241" s="155"/>
      <c r="D241" s="155"/>
      <c r="E241" s="356"/>
      <c r="F241" s="361"/>
      <c r="G241" s="361"/>
      <c r="H241" s="361"/>
      <c r="I241" s="361"/>
      <c r="J241" s="361"/>
      <c r="K241" s="361"/>
      <c r="L241" s="361"/>
      <c r="M241" s="361"/>
      <c r="N241" s="361"/>
      <c r="O241" s="361"/>
      <c r="P241" s="361"/>
      <c r="Q241" s="361"/>
      <c r="R241" s="361"/>
      <c r="S241" s="361"/>
      <c r="T241" s="361"/>
      <c r="U241" s="361"/>
      <c r="V241" s="361"/>
      <c r="W241" s="359"/>
      <c r="X241" s="359"/>
      <c r="Y241" s="359"/>
      <c r="Z241" s="359"/>
      <c r="AA241" s="359"/>
      <c r="AB241" s="359"/>
      <c r="AC241" s="359"/>
      <c r="AD241" s="359"/>
      <c r="AE241" s="359"/>
      <c r="AF241" s="359"/>
      <c r="AG241" s="359"/>
      <c r="AH241" s="359"/>
      <c r="AI241" s="360"/>
      <c r="AJ241" s="41">
        <f t="shared" si="9"/>
        <v>0</v>
      </c>
    </row>
    <row r="242" spans="1:36" ht="13.5" customHeight="1" x14ac:dyDescent="0.25">
      <c r="A242" s="24"/>
      <c r="B242" s="155"/>
      <c r="C242" s="155"/>
      <c r="D242" s="155"/>
      <c r="E242" s="356"/>
      <c r="F242" s="361"/>
      <c r="G242" s="361"/>
      <c r="H242" s="361"/>
      <c r="I242" s="361"/>
      <c r="J242" s="361"/>
      <c r="K242" s="361"/>
      <c r="L242" s="361"/>
      <c r="M242" s="361"/>
      <c r="N242" s="361"/>
      <c r="O242" s="361"/>
      <c r="P242" s="361"/>
      <c r="Q242" s="361"/>
      <c r="R242" s="361"/>
      <c r="S242" s="361"/>
      <c r="T242" s="361"/>
      <c r="U242" s="361"/>
      <c r="V242" s="361"/>
      <c r="W242" s="359"/>
      <c r="X242" s="359"/>
      <c r="Y242" s="359"/>
      <c r="Z242" s="359"/>
      <c r="AA242" s="359"/>
      <c r="AB242" s="359"/>
      <c r="AC242" s="359"/>
      <c r="AD242" s="359"/>
      <c r="AE242" s="359"/>
      <c r="AF242" s="359"/>
      <c r="AG242" s="359"/>
      <c r="AH242" s="359"/>
      <c r="AI242" s="360"/>
      <c r="AJ242" s="41">
        <f t="shared" si="9"/>
        <v>0</v>
      </c>
    </row>
    <row r="243" spans="1:36" ht="13.5" customHeight="1" x14ac:dyDescent="0.25">
      <c r="A243" s="24"/>
      <c r="B243" s="155"/>
      <c r="C243" s="155"/>
      <c r="D243" s="155"/>
      <c r="E243" s="356"/>
      <c r="F243" s="361"/>
      <c r="G243" s="361"/>
      <c r="H243" s="361"/>
      <c r="I243" s="361"/>
      <c r="J243" s="361"/>
      <c r="K243" s="361"/>
      <c r="L243" s="361"/>
      <c r="M243" s="361"/>
      <c r="N243" s="361"/>
      <c r="O243" s="361"/>
      <c r="P243" s="361"/>
      <c r="Q243" s="361"/>
      <c r="R243" s="361"/>
      <c r="S243" s="361"/>
      <c r="T243" s="361"/>
      <c r="U243" s="361"/>
      <c r="V243" s="361"/>
      <c r="W243" s="359"/>
      <c r="X243" s="359"/>
      <c r="Y243" s="359"/>
      <c r="Z243" s="359"/>
      <c r="AA243" s="359"/>
      <c r="AB243" s="359"/>
      <c r="AC243" s="359"/>
      <c r="AD243" s="359"/>
      <c r="AE243" s="359"/>
      <c r="AF243" s="359"/>
      <c r="AG243" s="359"/>
      <c r="AH243" s="359"/>
      <c r="AI243" s="360"/>
      <c r="AJ243" s="41">
        <f t="shared" si="9"/>
        <v>0</v>
      </c>
    </row>
    <row r="244" spans="1:36" ht="13.5" customHeight="1" x14ac:dyDescent="0.25">
      <c r="A244" s="24"/>
      <c r="B244" s="155"/>
      <c r="C244" s="155"/>
      <c r="D244" s="155"/>
      <c r="E244" s="356"/>
      <c r="F244" s="361"/>
      <c r="G244" s="361"/>
      <c r="H244" s="361"/>
      <c r="I244" s="361"/>
      <c r="J244" s="361"/>
      <c r="K244" s="361"/>
      <c r="L244" s="361"/>
      <c r="M244" s="361"/>
      <c r="N244" s="361"/>
      <c r="O244" s="361"/>
      <c r="P244" s="361"/>
      <c r="Q244" s="361"/>
      <c r="R244" s="361"/>
      <c r="S244" s="361"/>
      <c r="T244" s="361"/>
      <c r="U244" s="361"/>
      <c r="V244" s="361"/>
      <c r="W244" s="359"/>
      <c r="X244" s="359"/>
      <c r="Y244" s="359"/>
      <c r="Z244" s="359"/>
      <c r="AA244" s="359"/>
      <c r="AB244" s="359"/>
      <c r="AC244" s="359"/>
      <c r="AD244" s="359"/>
      <c r="AE244" s="359"/>
      <c r="AF244" s="359"/>
      <c r="AG244" s="359"/>
      <c r="AH244" s="359"/>
      <c r="AI244" s="360"/>
      <c r="AJ244" s="41">
        <f t="shared" si="9"/>
        <v>0</v>
      </c>
    </row>
    <row r="245" spans="1:36" ht="13.5" customHeight="1" x14ac:dyDescent="0.25">
      <c r="A245" s="24"/>
      <c r="B245" s="155"/>
      <c r="C245" s="155"/>
      <c r="D245" s="155"/>
      <c r="E245" s="356"/>
      <c r="F245" s="361"/>
      <c r="G245" s="361"/>
      <c r="H245" s="361"/>
      <c r="I245" s="361"/>
      <c r="J245" s="361"/>
      <c r="K245" s="361"/>
      <c r="L245" s="361"/>
      <c r="M245" s="361"/>
      <c r="N245" s="361"/>
      <c r="O245" s="361"/>
      <c r="P245" s="361"/>
      <c r="Q245" s="361"/>
      <c r="R245" s="361"/>
      <c r="S245" s="361"/>
      <c r="T245" s="361"/>
      <c r="U245" s="361"/>
      <c r="V245" s="361"/>
      <c r="W245" s="359"/>
      <c r="X245" s="359"/>
      <c r="Y245" s="359"/>
      <c r="Z245" s="359"/>
      <c r="AA245" s="359"/>
      <c r="AB245" s="359"/>
      <c r="AC245" s="359"/>
      <c r="AD245" s="359"/>
      <c r="AE245" s="359"/>
      <c r="AF245" s="359"/>
      <c r="AG245" s="359"/>
      <c r="AH245" s="359"/>
      <c r="AI245" s="360"/>
      <c r="AJ245" s="41">
        <f t="shared" si="9"/>
        <v>0</v>
      </c>
    </row>
    <row r="246" spans="1:36" ht="13.5" customHeight="1" x14ac:dyDescent="0.25">
      <c r="A246" s="24"/>
      <c r="B246" s="155"/>
      <c r="C246" s="155"/>
      <c r="D246" s="155"/>
      <c r="E246" s="356"/>
      <c r="F246" s="361"/>
      <c r="G246" s="361"/>
      <c r="H246" s="361"/>
      <c r="I246" s="361"/>
      <c r="J246" s="361"/>
      <c r="K246" s="361"/>
      <c r="L246" s="361"/>
      <c r="M246" s="361"/>
      <c r="N246" s="361"/>
      <c r="O246" s="361"/>
      <c r="P246" s="361"/>
      <c r="Q246" s="361"/>
      <c r="R246" s="361"/>
      <c r="S246" s="361"/>
      <c r="T246" s="361"/>
      <c r="U246" s="361"/>
      <c r="V246" s="361"/>
      <c r="W246" s="359"/>
      <c r="X246" s="359"/>
      <c r="Y246" s="359"/>
      <c r="Z246" s="359"/>
      <c r="AA246" s="359"/>
      <c r="AB246" s="359"/>
      <c r="AC246" s="359"/>
      <c r="AD246" s="359"/>
      <c r="AE246" s="359"/>
      <c r="AF246" s="359"/>
      <c r="AG246" s="359"/>
      <c r="AH246" s="359"/>
      <c r="AI246" s="360"/>
      <c r="AJ246" s="41">
        <f t="shared" si="9"/>
        <v>0</v>
      </c>
    </row>
    <row r="247" spans="1:36" ht="13.5" customHeight="1" x14ac:dyDescent="0.25">
      <c r="A247" s="24"/>
      <c r="B247" s="155"/>
      <c r="C247" s="155"/>
      <c r="D247" s="155"/>
      <c r="E247" s="356"/>
      <c r="F247" s="361"/>
      <c r="G247" s="361"/>
      <c r="H247" s="361"/>
      <c r="I247" s="361"/>
      <c r="J247" s="361"/>
      <c r="K247" s="361"/>
      <c r="L247" s="361"/>
      <c r="M247" s="361"/>
      <c r="N247" s="361"/>
      <c r="O247" s="361"/>
      <c r="P247" s="361"/>
      <c r="Q247" s="361"/>
      <c r="R247" s="361"/>
      <c r="S247" s="361"/>
      <c r="T247" s="361"/>
      <c r="U247" s="361"/>
      <c r="V247" s="361"/>
      <c r="W247" s="359"/>
      <c r="X247" s="359"/>
      <c r="Y247" s="359"/>
      <c r="Z247" s="359"/>
      <c r="AA247" s="359"/>
      <c r="AB247" s="359"/>
      <c r="AC247" s="359"/>
      <c r="AD247" s="359"/>
      <c r="AE247" s="359"/>
      <c r="AF247" s="359"/>
      <c r="AG247" s="359"/>
      <c r="AH247" s="359"/>
      <c r="AI247" s="360"/>
      <c r="AJ247" s="41">
        <f t="shared" si="9"/>
        <v>0</v>
      </c>
    </row>
    <row r="248" spans="1:36" ht="13.5" customHeight="1" x14ac:dyDescent="0.25">
      <c r="A248" s="24"/>
      <c r="B248" s="155"/>
      <c r="C248" s="155"/>
      <c r="D248" s="155"/>
      <c r="E248" s="356"/>
      <c r="F248" s="361"/>
      <c r="G248" s="361"/>
      <c r="H248" s="361"/>
      <c r="I248" s="361"/>
      <c r="J248" s="361"/>
      <c r="K248" s="361"/>
      <c r="L248" s="361"/>
      <c r="M248" s="361"/>
      <c r="N248" s="361"/>
      <c r="O248" s="361"/>
      <c r="P248" s="361"/>
      <c r="Q248" s="361"/>
      <c r="R248" s="361"/>
      <c r="S248" s="361"/>
      <c r="T248" s="361"/>
      <c r="U248" s="361"/>
      <c r="V248" s="361"/>
      <c r="W248" s="359"/>
      <c r="X248" s="359"/>
      <c r="Y248" s="359"/>
      <c r="Z248" s="359"/>
      <c r="AA248" s="359"/>
      <c r="AB248" s="359"/>
      <c r="AC248" s="359"/>
      <c r="AD248" s="359"/>
      <c r="AE248" s="359"/>
      <c r="AF248" s="359"/>
      <c r="AG248" s="359"/>
      <c r="AH248" s="359"/>
      <c r="AI248" s="360"/>
      <c r="AJ248" s="41">
        <f t="shared" si="9"/>
        <v>0</v>
      </c>
    </row>
    <row r="249" spans="1:36" ht="13.5" customHeight="1" x14ac:dyDescent="0.25">
      <c r="A249" s="24"/>
      <c r="B249" s="155"/>
      <c r="C249" s="155"/>
      <c r="D249" s="155"/>
      <c r="E249" s="356"/>
      <c r="F249" s="361"/>
      <c r="G249" s="361"/>
      <c r="H249" s="361"/>
      <c r="I249" s="361"/>
      <c r="J249" s="361"/>
      <c r="K249" s="361"/>
      <c r="L249" s="361"/>
      <c r="M249" s="361"/>
      <c r="N249" s="361"/>
      <c r="O249" s="361"/>
      <c r="P249" s="361"/>
      <c r="Q249" s="361"/>
      <c r="R249" s="361"/>
      <c r="S249" s="361"/>
      <c r="T249" s="361"/>
      <c r="U249" s="361"/>
      <c r="V249" s="361"/>
      <c r="W249" s="359"/>
      <c r="X249" s="359"/>
      <c r="Y249" s="359"/>
      <c r="Z249" s="359"/>
      <c r="AA249" s="359"/>
      <c r="AB249" s="359"/>
      <c r="AC249" s="359"/>
      <c r="AD249" s="359"/>
      <c r="AE249" s="359"/>
      <c r="AF249" s="359"/>
      <c r="AG249" s="359"/>
      <c r="AH249" s="359"/>
      <c r="AI249" s="360"/>
      <c r="AJ249" s="41">
        <f t="shared" si="9"/>
        <v>0</v>
      </c>
    </row>
    <row r="250" spans="1:36" ht="13.5" customHeight="1" x14ac:dyDescent="0.25">
      <c r="A250" s="24"/>
      <c r="B250" s="155"/>
      <c r="C250" s="155"/>
      <c r="D250" s="155"/>
      <c r="E250" s="356"/>
      <c r="F250" s="361"/>
      <c r="G250" s="361"/>
      <c r="H250" s="361"/>
      <c r="I250" s="361"/>
      <c r="J250" s="361"/>
      <c r="K250" s="361"/>
      <c r="L250" s="361"/>
      <c r="M250" s="361"/>
      <c r="N250" s="361"/>
      <c r="O250" s="361"/>
      <c r="P250" s="361"/>
      <c r="Q250" s="361"/>
      <c r="R250" s="361"/>
      <c r="S250" s="361"/>
      <c r="T250" s="361"/>
      <c r="U250" s="361"/>
      <c r="V250" s="361"/>
      <c r="W250" s="359"/>
      <c r="X250" s="359"/>
      <c r="Y250" s="359"/>
      <c r="Z250" s="359"/>
      <c r="AA250" s="359"/>
      <c r="AB250" s="359"/>
      <c r="AC250" s="359"/>
      <c r="AD250" s="359"/>
      <c r="AE250" s="359"/>
      <c r="AF250" s="359"/>
      <c r="AG250" s="359"/>
      <c r="AH250" s="359"/>
      <c r="AI250" s="360"/>
      <c r="AJ250" s="41">
        <f t="shared" si="9"/>
        <v>0</v>
      </c>
    </row>
    <row r="251" spans="1:36" ht="13.5" customHeight="1" x14ac:dyDescent="0.25">
      <c r="A251" s="24"/>
      <c r="B251" s="155"/>
      <c r="C251" s="155"/>
      <c r="D251" s="155"/>
      <c r="E251" s="356"/>
      <c r="F251" s="361"/>
      <c r="G251" s="361"/>
      <c r="H251" s="361"/>
      <c r="I251" s="361"/>
      <c r="J251" s="361"/>
      <c r="K251" s="361"/>
      <c r="L251" s="361"/>
      <c r="M251" s="361"/>
      <c r="N251" s="361"/>
      <c r="O251" s="361"/>
      <c r="P251" s="361"/>
      <c r="Q251" s="361"/>
      <c r="R251" s="361"/>
      <c r="S251" s="361"/>
      <c r="T251" s="361"/>
      <c r="U251" s="361"/>
      <c r="V251" s="361"/>
      <c r="W251" s="359"/>
      <c r="X251" s="359"/>
      <c r="Y251" s="359"/>
      <c r="Z251" s="359"/>
      <c r="AA251" s="359"/>
      <c r="AB251" s="359"/>
      <c r="AC251" s="359"/>
      <c r="AD251" s="359"/>
      <c r="AE251" s="359"/>
      <c r="AF251" s="359"/>
      <c r="AG251" s="359"/>
      <c r="AH251" s="359"/>
      <c r="AI251" s="360"/>
      <c r="AJ251" s="41">
        <f t="shared" si="9"/>
        <v>0</v>
      </c>
    </row>
    <row r="252" spans="1:36" ht="15" x14ac:dyDescent="0.2">
      <c r="A252" s="20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41">
        <f t="shared" si="9"/>
        <v>0</v>
      </c>
    </row>
    <row r="253" spans="1:36" ht="15" x14ac:dyDescent="0.2">
      <c r="A253" s="20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41">
        <f t="shared" si="9"/>
        <v>0</v>
      </c>
    </row>
    <row r="254" spans="1:36" ht="15" x14ac:dyDescent="0.2">
      <c r="A254" s="20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41">
        <f t="shared" si="9"/>
        <v>0</v>
      </c>
    </row>
    <row r="255" spans="1:36" ht="15" x14ac:dyDescent="0.2"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41">
        <f t="shared" si="9"/>
        <v>0</v>
      </c>
    </row>
    <row r="256" spans="1:36" ht="15" x14ac:dyDescent="0.2">
      <c r="A256" s="20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41">
        <f t="shared" si="9"/>
        <v>0</v>
      </c>
    </row>
    <row r="257" spans="1:36" ht="15" x14ac:dyDescent="0.2">
      <c r="A257" s="20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41">
        <f t="shared" si="9"/>
        <v>0</v>
      </c>
    </row>
    <row r="258" spans="1:36" ht="15" x14ac:dyDescent="0.2"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41">
        <f t="shared" si="9"/>
        <v>0</v>
      </c>
    </row>
    <row r="259" spans="1:36" ht="15" x14ac:dyDescent="0.2">
      <c r="A259" s="20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41">
        <f t="shared" si="9"/>
        <v>0</v>
      </c>
    </row>
    <row r="260" spans="1:36" ht="15" x14ac:dyDescent="0.2">
      <c r="A260" s="20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41">
        <f t="shared" si="9"/>
        <v>0</v>
      </c>
    </row>
    <row r="261" spans="1:36" ht="15" x14ac:dyDescent="0.2">
      <c r="A261" s="20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41">
        <f t="shared" si="9"/>
        <v>0</v>
      </c>
    </row>
    <row r="262" spans="1:36" ht="15" x14ac:dyDescent="0.2">
      <c r="A262" s="20"/>
      <c r="B262" s="346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41">
        <f t="shared" si="9"/>
        <v>0</v>
      </c>
    </row>
    <row r="263" spans="1:36" ht="15" x14ac:dyDescent="0.2">
      <c r="A263" s="20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41">
        <f t="shared" si="9"/>
        <v>0</v>
      </c>
    </row>
    <row r="264" spans="1:36" ht="15" x14ac:dyDescent="0.2">
      <c r="A264" s="20"/>
      <c r="B264" s="34"/>
      <c r="C264" s="34"/>
      <c r="D264" s="34"/>
      <c r="E264" s="34"/>
      <c r="F264" s="34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155"/>
      <c r="Y264" s="155"/>
      <c r="Z264" s="155"/>
      <c r="AA264" s="155"/>
      <c r="AB264" s="155"/>
      <c r="AC264" s="155"/>
      <c r="AD264" s="155"/>
      <c r="AE264" s="155"/>
      <c r="AF264" s="155"/>
      <c r="AG264" s="155"/>
      <c r="AH264" s="155"/>
      <c r="AI264" s="34"/>
      <c r="AJ264" s="41">
        <f t="shared" si="9"/>
        <v>0</v>
      </c>
    </row>
    <row r="265" spans="1:36" s="27" customFormat="1" x14ac:dyDescent="0.2">
      <c r="A265" s="531" t="s">
        <v>483</v>
      </c>
      <c r="B265" s="531"/>
      <c r="C265" s="531"/>
      <c r="D265" s="531"/>
      <c r="E265" s="211"/>
      <c r="F265" s="32"/>
      <c r="G265" s="32">
        <f>SUMIFS(G252:G264,G252:G264,"&gt;0",G252:G264,"&lt;1999999")</f>
        <v>0</v>
      </c>
      <c r="H265" s="32">
        <f>SUMIFS(H252:H264,H252:H264,"&gt;0",H252:H264,"&lt;1999999")</f>
        <v>0</v>
      </c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153"/>
      <c r="X265" s="42">
        <f t="shared" ref="X265:AI265" si="10">SUM(X226:X264)</f>
        <v>0</v>
      </c>
      <c r="Y265" s="42">
        <f t="shared" si="10"/>
        <v>0</v>
      </c>
      <c r="Z265" s="42">
        <f t="shared" si="10"/>
        <v>0</v>
      </c>
      <c r="AA265" s="42">
        <f t="shared" si="10"/>
        <v>0</v>
      </c>
      <c r="AB265" s="42">
        <f t="shared" si="10"/>
        <v>0</v>
      </c>
      <c r="AC265" s="42">
        <f t="shared" si="10"/>
        <v>0</v>
      </c>
      <c r="AD265" s="42">
        <f t="shared" si="10"/>
        <v>0</v>
      </c>
      <c r="AE265" s="42">
        <f t="shared" si="10"/>
        <v>0</v>
      </c>
      <c r="AF265" s="42">
        <f t="shared" si="10"/>
        <v>0</v>
      </c>
      <c r="AG265" s="42">
        <f t="shared" si="10"/>
        <v>0</v>
      </c>
      <c r="AH265" s="42">
        <f t="shared" si="10"/>
        <v>0</v>
      </c>
      <c r="AI265" s="42">
        <f t="shared" si="10"/>
        <v>0</v>
      </c>
      <c r="AJ265" s="42">
        <f>SUM(AJ226:AJ264)</f>
        <v>0</v>
      </c>
    </row>
    <row r="266" spans="1:36" x14ac:dyDescent="0.2">
      <c r="A266" s="19"/>
      <c r="B266" s="34"/>
      <c r="C266" s="34"/>
      <c r="D266" s="34"/>
      <c r="E266" s="34"/>
      <c r="F266" s="35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155"/>
      <c r="X266" s="155"/>
      <c r="Y266" s="155"/>
      <c r="Z266" s="155"/>
      <c r="AA266" s="155"/>
      <c r="AB266" s="155"/>
      <c r="AC266" s="155"/>
      <c r="AD266" s="155"/>
      <c r="AE266" s="155"/>
      <c r="AF266" s="155"/>
      <c r="AG266" s="155"/>
      <c r="AH266" s="155"/>
    </row>
    <row r="267" spans="1:36" s="21" customFormat="1" x14ac:dyDescent="0.2">
      <c r="B267" s="34"/>
      <c r="C267" s="37"/>
      <c r="D267" s="37"/>
      <c r="E267" s="37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154"/>
      <c r="X267" s="154"/>
      <c r="Y267" s="154"/>
      <c r="Z267" s="154"/>
      <c r="AA267" s="154"/>
      <c r="AB267" s="154"/>
      <c r="AC267" s="154"/>
      <c r="AD267" s="154"/>
      <c r="AE267" s="154"/>
      <c r="AF267" s="154"/>
      <c r="AG267" s="154"/>
      <c r="AH267" s="154"/>
      <c r="AI267" s="39"/>
    </row>
    <row r="268" spans="1:36" s="21" customFormat="1" x14ac:dyDescent="0.2">
      <c r="B268" s="34"/>
      <c r="C268" s="37"/>
      <c r="D268" s="37"/>
      <c r="E268" s="37"/>
      <c r="F268" s="33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159"/>
      <c r="X268" s="159"/>
      <c r="Y268" s="159"/>
      <c r="Z268" s="159"/>
      <c r="AA268" s="159"/>
      <c r="AB268" s="159"/>
      <c r="AC268" s="159"/>
      <c r="AD268" s="159"/>
      <c r="AE268" s="159"/>
      <c r="AF268" s="159"/>
      <c r="AG268" s="159"/>
      <c r="AH268" s="159"/>
      <c r="AI268" s="39"/>
    </row>
    <row r="269" spans="1:36" s="49" customFormat="1" ht="15.75" x14ac:dyDescent="0.2">
      <c r="A269" s="216" t="s">
        <v>668</v>
      </c>
      <c r="B269" s="216"/>
      <c r="C269" s="216"/>
      <c r="D269" s="216"/>
      <c r="E269" s="53"/>
      <c r="F269" s="52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160"/>
      <c r="X269" s="160"/>
      <c r="Y269" s="160"/>
      <c r="Z269" s="160"/>
      <c r="AA269" s="160"/>
      <c r="AB269" s="160"/>
      <c r="AC269" s="160"/>
      <c r="AD269" s="160"/>
      <c r="AE269" s="160"/>
      <c r="AF269" s="160"/>
      <c r="AG269" s="160"/>
      <c r="AH269" s="160"/>
      <c r="AI269" s="40"/>
    </row>
    <row r="270" spans="1:36" s="21" customFormat="1" ht="15" x14ac:dyDescent="0.25">
      <c r="A270" s="24" t="s">
        <v>670</v>
      </c>
      <c r="B270" s="165"/>
      <c r="C270" s="37"/>
      <c r="D270" s="37"/>
      <c r="E270" s="37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 t="s">
        <v>457</v>
      </c>
      <c r="R270" s="31"/>
      <c r="S270" s="31"/>
      <c r="T270" s="31"/>
      <c r="U270" s="31"/>
      <c r="V270" s="31"/>
      <c r="W270" s="151"/>
      <c r="X270" s="151" t="s">
        <v>455</v>
      </c>
      <c r="Y270" s="151" t="s">
        <v>475</v>
      </c>
      <c r="Z270" s="151" t="s">
        <v>476</v>
      </c>
      <c r="AA270" s="151" t="s">
        <v>477</v>
      </c>
      <c r="AB270" s="151" t="s">
        <v>456</v>
      </c>
      <c r="AC270" s="151" t="s">
        <v>457</v>
      </c>
      <c r="AD270" s="151" t="s">
        <v>458</v>
      </c>
      <c r="AE270" s="151" t="s">
        <v>459</v>
      </c>
      <c r="AF270" s="151" t="s">
        <v>460</v>
      </c>
      <c r="AG270" s="151" t="s">
        <v>461</v>
      </c>
      <c r="AH270" s="151" t="s">
        <v>462</v>
      </c>
      <c r="AI270" s="41" t="s">
        <v>474</v>
      </c>
      <c r="AJ270" s="41" t="s">
        <v>647</v>
      </c>
    </row>
    <row r="271" spans="1:36" s="21" customFormat="1" ht="15" x14ac:dyDescent="0.25">
      <c r="A271" s="28" t="s">
        <v>648</v>
      </c>
      <c r="B271" s="166"/>
      <c r="C271" s="37"/>
      <c r="D271" s="37"/>
      <c r="E271" s="37"/>
      <c r="F271" s="37"/>
      <c r="K271" s="38"/>
      <c r="L271" s="38"/>
      <c r="M271" s="38"/>
      <c r="N271" s="38"/>
      <c r="O271" s="38"/>
      <c r="P271" s="38"/>
      <c r="R271" s="38"/>
      <c r="S271" s="38"/>
      <c r="T271" s="38"/>
      <c r="U271" s="38"/>
      <c r="V271" s="38"/>
      <c r="W271" s="156"/>
      <c r="X271" s="45">
        <v>12121</v>
      </c>
      <c r="Y271" s="45">
        <v>11339</v>
      </c>
      <c r="Z271" s="45">
        <v>12121</v>
      </c>
      <c r="AA271" s="45">
        <v>11730</v>
      </c>
      <c r="AB271" s="45">
        <v>12121</v>
      </c>
      <c r="AC271" s="45">
        <v>11730</v>
      </c>
      <c r="AD271" s="45">
        <v>12121</v>
      </c>
      <c r="AE271" s="45">
        <v>12121</v>
      </c>
      <c r="AF271" s="45">
        <v>11730</v>
      </c>
      <c r="AG271" s="45">
        <v>12121</v>
      </c>
      <c r="AH271" s="45">
        <v>11730</v>
      </c>
      <c r="AI271" s="45">
        <v>11730</v>
      </c>
      <c r="AJ271" s="43">
        <f t="shared" ref="AJ271:AJ277" si="11">SUMIFS(X271:AI271,X271:AI271,"&gt;0",X271:AI271,"&lt;9999999")</f>
        <v>142715</v>
      </c>
    </row>
    <row r="272" spans="1:36" s="21" customFormat="1" ht="15" x14ac:dyDescent="0.25">
      <c r="A272" s="50" t="s">
        <v>1228</v>
      </c>
      <c r="B272" s="167">
        <v>36</v>
      </c>
      <c r="C272" s="37"/>
      <c r="D272" s="37"/>
      <c r="E272" s="37"/>
      <c r="F272" s="37"/>
      <c r="K272" s="38"/>
      <c r="L272" s="38"/>
      <c r="M272" s="38"/>
      <c r="N272" s="38"/>
      <c r="O272" s="38"/>
      <c r="P272" s="38"/>
      <c r="R272" s="38"/>
      <c r="S272" s="38"/>
      <c r="T272" s="38"/>
      <c r="U272" s="38"/>
      <c r="V272" s="38"/>
      <c r="W272" s="156"/>
      <c r="X272" s="45">
        <v>0</v>
      </c>
      <c r="Y272" s="45">
        <v>0</v>
      </c>
      <c r="Z272" s="45">
        <v>0</v>
      </c>
      <c r="AA272" s="45">
        <v>0</v>
      </c>
      <c r="AB272" s="45">
        <v>0</v>
      </c>
      <c r="AC272" s="45">
        <v>0</v>
      </c>
      <c r="AD272" s="45">
        <v>0</v>
      </c>
      <c r="AE272" s="45">
        <v>0</v>
      </c>
      <c r="AF272" s="45">
        <v>0</v>
      </c>
      <c r="AG272" s="45">
        <v>0</v>
      </c>
      <c r="AH272" s="45">
        <v>0</v>
      </c>
      <c r="AI272" s="45">
        <v>0</v>
      </c>
      <c r="AJ272" s="43">
        <f t="shared" si="11"/>
        <v>0</v>
      </c>
    </row>
    <row r="273" spans="1:36" s="21" customFormat="1" ht="15" x14ac:dyDescent="0.25">
      <c r="A273" s="28"/>
      <c r="B273" s="166"/>
      <c r="C273" s="37"/>
      <c r="D273" s="37"/>
      <c r="E273" s="37"/>
      <c r="F273" s="37"/>
      <c r="K273" s="38"/>
      <c r="L273" s="38"/>
      <c r="M273" s="38"/>
      <c r="N273" s="38"/>
      <c r="O273" s="38"/>
      <c r="P273" s="38"/>
      <c r="R273" s="38"/>
      <c r="S273" s="38"/>
      <c r="T273" s="38"/>
      <c r="U273" s="38"/>
      <c r="V273" s="38"/>
      <c r="W273" s="156"/>
      <c r="X273" s="45">
        <v>0</v>
      </c>
      <c r="Y273" s="45">
        <v>0</v>
      </c>
      <c r="Z273" s="45">
        <v>0</v>
      </c>
      <c r="AA273" s="45">
        <v>0</v>
      </c>
      <c r="AB273" s="45">
        <v>0</v>
      </c>
      <c r="AC273" s="45">
        <v>0</v>
      </c>
      <c r="AD273" s="45">
        <v>0</v>
      </c>
      <c r="AE273" s="45">
        <v>0</v>
      </c>
      <c r="AF273" s="45">
        <v>0</v>
      </c>
      <c r="AG273" s="45">
        <v>0</v>
      </c>
      <c r="AH273" s="45">
        <v>0</v>
      </c>
      <c r="AI273" s="45">
        <v>0</v>
      </c>
      <c r="AJ273" s="43">
        <f t="shared" si="11"/>
        <v>0</v>
      </c>
    </row>
    <row r="274" spans="1:36" s="21" customFormat="1" ht="15" x14ac:dyDescent="0.25">
      <c r="A274" s="28"/>
      <c r="B274" s="166"/>
      <c r="C274" s="37"/>
      <c r="D274" s="37"/>
      <c r="E274" s="37"/>
      <c r="F274" s="37"/>
      <c r="K274" s="38"/>
      <c r="L274" s="38"/>
      <c r="M274" s="38"/>
      <c r="N274" s="38"/>
      <c r="O274" s="38"/>
      <c r="P274" s="38"/>
      <c r="R274" s="38"/>
      <c r="S274" s="38"/>
      <c r="T274" s="38"/>
      <c r="U274" s="38"/>
      <c r="V274" s="38"/>
      <c r="W274" s="156"/>
      <c r="X274" s="45">
        <v>0</v>
      </c>
      <c r="Y274" s="45">
        <v>0</v>
      </c>
      <c r="Z274" s="45">
        <v>0</v>
      </c>
      <c r="AA274" s="45">
        <v>0</v>
      </c>
      <c r="AB274" s="45">
        <v>0</v>
      </c>
      <c r="AC274" s="45">
        <v>0</v>
      </c>
      <c r="AD274" s="45">
        <v>0</v>
      </c>
      <c r="AE274" s="45">
        <v>0</v>
      </c>
      <c r="AF274" s="45">
        <v>0</v>
      </c>
      <c r="AG274" s="45">
        <v>0</v>
      </c>
      <c r="AH274" s="45">
        <v>0</v>
      </c>
      <c r="AI274" s="45">
        <v>0</v>
      </c>
      <c r="AJ274" s="43">
        <f t="shared" si="11"/>
        <v>0</v>
      </c>
    </row>
    <row r="275" spans="1:36" s="21" customFormat="1" ht="15" x14ac:dyDescent="0.25">
      <c r="A275" s="50"/>
      <c r="B275" s="167"/>
      <c r="C275" s="37"/>
      <c r="D275" s="37"/>
      <c r="E275" s="37"/>
      <c r="F275" s="37"/>
      <c r="K275" s="38"/>
      <c r="L275" s="38"/>
      <c r="M275" s="38"/>
      <c r="N275" s="38"/>
      <c r="O275" s="38"/>
      <c r="P275" s="38"/>
      <c r="R275" s="38"/>
      <c r="S275" s="38"/>
      <c r="T275" s="38"/>
      <c r="U275" s="38"/>
      <c r="V275" s="38"/>
      <c r="W275" s="156"/>
      <c r="X275" s="45">
        <v>0</v>
      </c>
      <c r="Y275" s="45">
        <v>0</v>
      </c>
      <c r="Z275" s="45">
        <v>0</v>
      </c>
      <c r="AA275" s="45">
        <v>0</v>
      </c>
      <c r="AB275" s="45">
        <v>0</v>
      </c>
      <c r="AC275" s="45">
        <v>0</v>
      </c>
      <c r="AD275" s="45">
        <v>0</v>
      </c>
      <c r="AE275" s="45">
        <v>0</v>
      </c>
      <c r="AF275" s="45">
        <v>0</v>
      </c>
      <c r="AG275" s="45">
        <v>0</v>
      </c>
      <c r="AH275" s="45">
        <v>0</v>
      </c>
      <c r="AI275" s="45">
        <v>0</v>
      </c>
      <c r="AJ275" s="43">
        <f t="shared" si="11"/>
        <v>0</v>
      </c>
    </row>
    <row r="276" spans="1:36" s="21" customFormat="1" ht="15" x14ac:dyDescent="0.25">
      <c r="A276" s="28"/>
      <c r="B276" s="166"/>
      <c r="C276" s="37"/>
      <c r="D276" s="37"/>
      <c r="E276" s="37"/>
      <c r="F276" s="37"/>
      <c r="K276" s="38"/>
      <c r="L276" s="38"/>
      <c r="M276" s="38"/>
      <c r="N276" s="38"/>
      <c r="O276" s="38"/>
      <c r="P276" s="38"/>
      <c r="R276" s="38"/>
      <c r="S276" s="38"/>
      <c r="T276" s="38"/>
      <c r="U276" s="38"/>
      <c r="V276" s="38"/>
      <c r="W276" s="156"/>
      <c r="X276" s="45">
        <v>0</v>
      </c>
      <c r="Y276" s="45">
        <v>0</v>
      </c>
      <c r="Z276" s="45">
        <v>0</v>
      </c>
      <c r="AA276" s="45">
        <v>0</v>
      </c>
      <c r="AB276" s="45">
        <v>0</v>
      </c>
      <c r="AC276" s="45">
        <v>0</v>
      </c>
      <c r="AD276" s="45">
        <v>0</v>
      </c>
      <c r="AE276" s="45">
        <v>0</v>
      </c>
      <c r="AF276" s="45">
        <v>0</v>
      </c>
      <c r="AG276" s="45">
        <v>0</v>
      </c>
      <c r="AH276" s="45">
        <v>0</v>
      </c>
      <c r="AI276" s="45">
        <v>0</v>
      </c>
      <c r="AJ276" s="43">
        <f t="shared" si="11"/>
        <v>0</v>
      </c>
    </row>
    <row r="277" spans="1:36" s="21" customFormat="1" ht="15" x14ac:dyDescent="0.25">
      <c r="A277" s="51"/>
      <c r="B277" s="168"/>
      <c r="C277" s="37"/>
      <c r="D277" s="37"/>
      <c r="E277" s="37"/>
      <c r="F277" s="37"/>
      <c r="K277" s="38"/>
      <c r="L277" s="38"/>
      <c r="M277" s="38"/>
      <c r="N277" s="38"/>
      <c r="O277" s="38"/>
      <c r="P277" s="38"/>
      <c r="R277" s="38"/>
      <c r="S277" s="38"/>
      <c r="T277" s="38"/>
      <c r="U277" s="38"/>
      <c r="V277" s="38"/>
      <c r="W277" s="156"/>
      <c r="X277" s="45">
        <v>0</v>
      </c>
      <c r="Y277" s="45">
        <v>0</v>
      </c>
      <c r="Z277" s="45">
        <v>0</v>
      </c>
      <c r="AA277" s="45">
        <v>0</v>
      </c>
      <c r="AB277" s="45">
        <v>0</v>
      </c>
      <c r="AC277" s="45">
        <v>0</v>
      </c>
      <c r="AD277" s="45">
        <v>0</v>
      </c>
      <c r="AE277" s="45">
        <v>0</v>
      </c>
      <c r="AF277" s="45">
        <v>0</v>
      </c>
      <c r="AG277" s="45">
        <v>0</v>
      </c>
      <c r="AH277" s="45">
        <v>0</v>
      </c>
      <c r="AI277" s="45">
        <v>0</v>
      </c>
      <c r="AJ277" s="43">
        <f t="shared" si="11"/>
        <v>0</v>
      </c>
    </row>
    <row r="278" spans="1:36" s="27" customFormat="1" x14ac:dyDescent="0.2">
      <c r="A278" s="531" t="s">
        <v>669</v>
      </c>
      <c r="B278" s="531"/>
      <c r="C278" s="531"/>
      <c r="D278" s="531"/>
      <c r="E278" s="211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153"/>
      <c r="X278" s="153">
        <f>+X265+X221+X140+X105+X52</f>
        <v>0</v>
      </c>
      <c r="Y278" s="153">
        <f t="shared" ref="Y278:AJ278" si="12">SUMIFS(Y271:Y277,Y271:Y277,"&gt;0",Y271:Y277,"&lt;1999999")</f>
        <v>11339</v>
      </c>
      <c r="Z278" s="153">
        <f t="shared" si="12"/>
        <v>12121</v>
      </c>
      <c r="AA278" s="153">
        <f t="shared" si="12"/>
        <v>11730</v>
      </c>
      <c r="AB278" s="153">
        <f t="shared" si="12"/>
        <v>12121</v>
      </c>
      <c r="AC278" s="153">
        <f t="shared" si="12"/>
        <v>11730</v>
      </c>
      <c r="AD278" s="153">
        <f t="shared" si="12"/>
        <v>12121</v>
      </c>
      <c r="AE278" s="153">
        <f t="shared" si="12"/>
        <v>12121</v>
      </c>
      <c r="AF278" s="153">
        <f t="shared" si="12"/>
        <v>11730</v>
      </c>
      <c r="AG278" s="153">
        <f t="shared" si="12"/>
        <v>12121</v>
      </c>
      <c r="AH278" s="153">
        <f t="shared" si="12"/>
        <v>11730</v>
      </c>
      <c r="AI278" s="32">
        <f t="shared" si="12"/>
        <v>11730</v>
      </c>
      <c r="AJ278" s="32">
        <f t="shared" si="12"/>
        <v>142715</v>
      </c>
    </row>
    <row r="279" spans="1:36" s="21" customFormat="1" ht="15" x14ac:dyDescent="0.25">
      <c r="B279" s="169"/>
      <c r="C279" s="37"/>
      <c r="D279" s="37"/>
      <c r="E279" s="37"/>
      <c r="F279" s="230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161"/>
      <c r="X279" s="164"/>
      <c r="Y279" s="164"/>
      <c r="Z279" s="164"/>
      <c r="AA279" s="164"/>
      <c r="AB279" s="164"/>
      <c r="AC279" s="164"/>
      <c r="AD279" s="164"/>
      <c r="AE279" s="164"/>
      <c r="AF279" s="164"/>
      <c r="AG279" s="164"/>
      <c r="AH279" s="164"/>
      <c r="AI279" s="48"/>
    </row>
    <row r="280" spans="1:36" s="71" customFormat="1" x14ac:dyDescent="0.2">
      <c r="A280" s="530"/>
      <c r="B280" s="530"/>
      <c r="C280" s="530"/>
      <c r="D280" s="530"/>
      <c r="E280" s="212"/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/>
      <c r="S280" s="70"/>
      <c r="T280" s="70"/>
      <c r="U280" s="70"/>
      <c r="V280" s="70"/>
      <c r="W280" s="162"/>
      <c r="X280" s="162">
        <f>X278+X265+X221+X140+X105+X52</f>
        <v>0</v>
      </c>
      <c r="Y280" s="162">
        <f t="shared" ref="Y280:AI280" si="13">Y278+Y265+Y221+Y140+Y105+Y52</f>
        <v>11339</v>
      </c>
      <c r="Z280" s="162">
        <f t="shared" si="13"/>
        <v>12121</v>
      </c>
      <c r="AA280" s="162">
        <f t="shared" si="13"/>
        <v>11730</v>
      </c>
      <c r="AB280" s="162">
        <f t="shared" si="13"/>
        <v>12121</v>
      </c>
      <c r="AC280" s="162">
        <f t="shared" si="13"/>
        <v>11730</v>
      </c>
      <c r="AD280" s="162">
        <f t="shared" si="13"/>
        <v>12121</v>
      </c>
      <c r="AE280" s="162">
        <f t="shared" si="13"/>
        <v>12121</v>
      </c>
      <c r="AF280" s="162">
        <f>AF278+AF265+AF221+AF140+AF105+AF52</f>
        <v>11730</v>
      </c>
      <c r="AG280" s="162">
        <f t="shared" si="13"/>
        <v>12121</v>
      </c>
      <c r="AH280" s="162">
        <f t="shared" si="13"/>
        <v>11730</v>
      </c>
      <c r="AI280" s="162">
        <f t="shared" si="13"/>
        <v>11730</v>
      </c>
      <c r="AJ280" s="162">
        <f>AJ278+AJ265+AJ221+AJ140+AJ105+AJ52</f>
        <v>142715</v>
      </c>
    </row>
    <row r="281" spans="1:36" x14ac:dyDescent="0.2">
      <c r="A281" s="21"/>
      <c r="B281" s="37"/>
    </row>
    <row r="282" spans="1:36" s="21" customFormat="1" x14ac:dyDescent="0.2"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159"/>
      <c r="X282" s="159"/>
      <c r="Y282" s="159"/>
      <c r="Z282" s="159"/>
      <c r="AA282" s="159"/>
      <c r="AB282" s="159"/>
      <c r="AC282" s="159"/>
      <c r="AD282" s="159"/>
      <c r="AE282" s="159"/>
      <c r="AF282" s="159"/>
      <c r="AG282" s="159"/>
      <c r="AH282" s="159"/>
      <c r="AI282" s="39"/>
    </row>
    <row r="283" spans="1:36" s="21" customFormat="1" x14ac:dyDescent="0.2"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159"/>
      <c r="X283" s="159"/>
      <c r="Y283" s="159"/>
      <c r="Z283" s="159"/>
      <c r="AA283" s="159"/>
      <c r="AB283" s="159"/>
      <c r="AC283" s="159"/>
      <c r="AD283" s="159"/>
      <c r="AE283" s="159"/>
      <c r="AF283" s="159"/>
      <c r="AG283" s="159"/>
      <c r="AH283" s="159"/>
      <c r="AI283" s="39"/>
    </row>
    <row r="285" spans="1:36" ht="15.75" x14ac:dyDescent="0.2">
      <c r="A285" s="216" t="s">
        <v>677</v>
      </c>
      <c r="B285" s="216"/>
      <c r="C285" s="216"/>
      <c r="D285" s="216"/>
      <c r="E285" s="209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150"/>
      <c r="X285" s="150"/>
      <c r="Y285" s="150"/>
      <c r="Z285" s="150"/>
      <c r="AA285" s="150"/>
      <c r="AB285" s="150"/>
      <c r="AC285" s="150"/>
      <c r="AD285" s="150"/>
      <c r="AE285" s="150"/>
      <c r="AF285" s="150"/>
      <c r="AG285" s="150"/>
      <c r="AH285" s="150"/>
      <c r="AI285" s="40"/>
      <c r="AJ285" s="40"/>
    </row>
    <row r="286" spans="1:36" ht="15" x14ac:dyDescent="0.25">
      <c r="A286" s="24" t="s">
        <v>670</v>
      </c>
      <c r="B286" s="165" t="s">
        <v>18</v>
      </c>
      <c r="C286" s="165" t="s">
        <v>0</v>
      </c>
      <c r="D286" s="165" t="s">
        <v>671</v>
      </c>
      <c r="E286" s="210" t="s">
        <v>1</v>
      </c>
      <c r="F286" s="31" t="s">
        <v>2</v>
      </c>
      <c r="G286" s="31" t="s">
        <v>3</v>
      </c>
      <c r="H286" s="31" t="s">
        <v>4</v>
      </c>
      <c r="I286" s="31" t="s">
        <v>999</v>
      </c>
      <c r="J286" s="31" t="s">
        <v>970</v>
      </c>
      <c r="K286" s="31" t="s">
        <v>1000</v>
      </c>
      <c r="L286" s="31" t="s">
        <v>1001</v>
      </c>
      <c r="M286" s="31" t="s">
        <v>1002</v>
      </c>
      <c r="N286" s="31" t="s">
        <v>1003</v>
      </c>
      <c r="O286" s="31" t="s">
        <v>1004</v>
      </c>
      <c r="P286" s="31" t="s">
        <v>1005</v>
      </c>
      <c r="Q286" s="31" t="s">
        <v>1006</v>
      </c>
      <c r="R286" s="31" t="s">
        <v>1007</v>
      </c>
      <c r="S286" s="31" t="s">
        <v>1008</v>
      </c>
      <c r="T286" s="31" t="s">
        <v>1009</v>
      </c>
      <c r="U286" s="31" t="s">
        <v>1010</v>
      </c>
      <c r="V286" s="31" t="s">
        <v>1011</v>
      </c>
      <c r="W286" s="151" t="s">
        <v>711</v>
      </c>
      <c r="X286" s="151" t="s">
        <v>463</v>
      </c>
      <c r="Y286" s="151" t="s">
        <v>464</v>
      </c>
      <c r="Z286" s="151" t="s">
        <v>465</v>
      </c>
      <c r="AA286" s="151" t="s">
        <v>466</v>
      </c>
      <c r="AB286" s="151" t="s">
        <v>467</v>
      </c>
      <c r="AC286" s="151" t="s">
        <v>468</v>
      </c>
      <c r="AD286" s="151" t="s">
        <v>469</v>
      </c>
      <c r="AE286" s="151" t="s">
        <v>470</v>
      </c>
      <c r="AF286" s="151" t="s">
        <v>471</v>
      </c>
      <c r="AG286" s="151" t="s">
        <v>472</v>
      </c>
      <c r="AH286" s="151" t="s">
        <v>473</v>
      </c>
      <c r="AI286" s="41" t="s">
        <v>474</v>
      </c>
      <c r="AJ286" s="41" t="s">
        <v>647</v>
      </c>
    </row>
    <row r="287" spans="1:36" x14ac:dyDescent="0.2">
      <c r="A287" s="25"/>
      <c r="B287" s="37"/>
      <c r="C287" s="34"/>
      <c r="D287" s="34"/>
      <c r="E287" s="210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43">
        <f>SUM(X287:AI287)</f>
        <v>0</v>
      </c>
    </row>
    <row r="288" spans="1:36" x14ac:dyDescent="0.2">
      <c r="A288" s="25"/>
      <c r="B288" s="37"/>
      <c r="C288" s="34"/>
      <c r="D288" s="34"/>
      <c r="E288" s="210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43">
        <f t="shared" ref="AJ288:AJ351" si="14">SUM(X288:AI288)</f>
        <v>0</v>
      </c>
    </row>
    <row r="289" spans="1:36" x14ac:dyDescent="0.2">
      <c r="A289" s="25"/>
      <c r="B289" s="37"/>
      <c r="C289" s="34"/>
      <c r="D289" s="34"/>
      <c r="E289" s="210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43">
        <f t="shared" si="14"/>
        <v>0</v>
      </c>
    </row>
    <row r="290" spans="1:36" x14ac:dyDescent="0.2">
      <c r="A290" s="25"/>
      <c r="B290" s="37"/>
      <c r="C290" s="34"/>
      <c r="D290" s="34"/>
      <c r="E290" s="210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43">
        <f t="shared" si="14"/>
        <v>0</v>
      </c>
    </row>
    <row r="291" spans="1:36" x14ac:dyDescent="0.2">
      <c r="A291" s="25"/>
      <c r="B291" s="37"/>
      <c r="C291" s="34"/>
      <c r="D291" s="34"/>
      <c r="E291" s="210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43">
        <f t="shared" si="14"/>
        <v>0</v>
      </c>
    </row>
    <row r="292" spans="1:36" x14ac:dyDescent="0.2">
      <c r="A292" s="25"/>
      <c r="B292" s="37"/>
      <c r="C292" s="34"/>
      <c r="D292" s="34"/>
      <c r="E292" s="210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43">
        <f t="shared" si="14"/>
        <v>0</v>
      </c>
    </row>
    <row r="293" spans="1:36" x14ac:dyDescent="0.2">
      <c r="A293" s="25"/>
      <c r="B293" s="37"/>
      <c r="C293" s="34"/>
      <c r="D293" s="34"/>
      <c r="E293" s="210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43">
        <f t="shared" si="14"/>
        <v>0</v>
      </c>
    </row>
    <row r="294" spans="1:36" x14ac:dyDescent="0.2">
      <c r="A294" s="25"/>
      <c r="B294" s="37"/>
      <c r="C294" s="34"/>
      <c r="D294" s="34"/>
      <c r="E294" s="210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43">
        <f t="shared" si="14"/>
        <v>0</v>
      </c>
    </row>
    <row r="295" spans="1:36" x14ac:dyDescent="0.2">
      <c r="A295" s="25"/>
      <c r="B295" s="37"/>
      <c r="C295" s="34"/>
      <c r="D295" s="34"/>
      <c r="E295" s="210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43">
        <f t="shared" si="14"/>
        <v>0</v>
      </c>
    </row>
    <row r="296" spans="1:36" x14ac:dyDescent="0.2">
      <c r="A296" s="25"/>
      <c r="B296" s="37"/>
      <c r="C296" s="34"/>
      <c r="D296" s="34"/>
      <c r="E296" s="210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43">
        <f t="shared" si="14"/>
        <v>0</v>
      </c>
    </row>
    <row r="297" spans="1:36" x14ac:dyDescent="0.2">
      <c r="A297" s="25"/>
      <c r="B297" s="37"/>
      <c r="C297" s="34"/>
      <c r="D297" s="34"/>
      <c r="E297" s="210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43">
        <f t="shared" si="14"/>
        <v>0</v>
      </c>
    </row>
    <row r="298" spans="1:36" x14ac:dyDescent="0.2">
      <c r="A298" s="25"/>
      <c r="B298" s="37"/>
      <c r="C298" s="34"/>
      <c r="D298" s="34"/>
      <c r="E298" s="210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43">
        <f t="shared" si="14"/>
        <v>0</v>
      </c>
    </row>
    <row r="299" spans="1:36" x14ac:dyDescent="0.2">
      <c r="A299" s="25"/>
      <c r="B299" s="37"/>
      <c r="C299" s="34"/>
      <c r="D299" s="34"/>
      <c r="E299" s="210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43">
        <f t="shared" si="14"/>
        <v>0</v>
      </c>
    </row>
    <row r="300" spans="1:36" x14ac:dyDescent="0.2">
      <c r="A300" s="25"/>
      <c r="B300" s="37"/>
      <c r="C300" s="34"/>
      <c r="D300" s="34"/>
      <c r="E300" s="210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43">
        <f t="shared" si="14"/>
        <v>0</v>
      </c>
    </row>
    <row r="301" spans="1:36" x14ac:dyDescent="0.2">
      <c r="A301" s="25"/>
      <c r="B301" s="37"/>
      <c r="C301" s="34"/>
      <c r="D301" s="34"/>
      <c r="E301" s="210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43">
        <f t="shared" si="14"/>
        <v>0</v>
      </c>
    </row>
    <row r="302" spans="1:36" x14ac:dyDescent="0.2">
      <c r="A302" s="25"/>
      <c r="B302" s="37"/>
      <c r="C302" s="34"/>
      <c r="D302" s="34"/>
      <c r="E302" s="210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43">
        <f t="shared" si="14"/>
        <v>0</v>
      </c>
    </row>
    <row r="303" spans="1:36" x14ac:dyDescent="0.2">
      <c r="A303" s="25"/>
      <c r="B303" s="37"/>
      <c r="C303" s="34"/>
      <c r="D303" s="34"/>
      <c r="E303" s="210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43">
        <f t="shared" si="14"/>
        <v>0</v>
      </c>
    </row>
    <row r="304" spans="1:36" x14ac:dyDescent="0.2">
      <c r="A304" s="25"/>
      <c r="B304" s="37"/>
      <c r="C304" s="34"/>
      <c r="D304" s="34"/>
      <c r="E304" s="210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43">
        <f t="shared" si="14"/>
        <v>0</v>
      </c>
    </row>
    <row r="305" spans="1:36" x14ac:dyDescent="0.2">
      <c r="A305" s="25"/>
      <c r="B305" s="37"/>
      <c r="C305" s="34"/>
      <c r="D305" s="34"/>
      <c r="E305" s="210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43">
        <f t="shared" si="14"/>
        <v>0</v>
      </c>
    </row>
    <row r="306" spans="1:36" x14ac:dyDescent="0.2">
      <c r="A306" s="25"/>
      <c r="B306" s="37"/>
      <c r="C306" s="34"/>
      <c r="D306" s="34"/>
      <c r="E306" s="210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43">
        <f t="shared" si="14"/>
        <v>0</v>
      </c>
    </row>
    <row r="307" spans="1:36" x14ac:dyDescent="0.2">
      <c r="A307" s="25"/>
      <c r="B307" s="37"/>
      <c r="C307" s="34"/>
      <c r="D307" s="34"/>
      <c r="E307" s="210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43">
        <f t="shared" si="14"/>
        <v>0</v>
      </c>
    </row>
    <row r="308" spans="1:36" x14ac:dyDescent="0.2">
      <c r="A308" s="25"/>
      <c r="B308" s="37"/>
      <c r="C308" s="34"/>
      <c r="D308" s="34"/>
      <c r="E308" s="210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43">
        <f t="shared" si="14"/>
        <v>0</v>
      </c>
    </row>
    <row r="309" spans="1:36" x14ac:dyDescent="0.2">
      <c r="A309" s="25"/>
      <c r="B309" s="37"/>
      <c r="C309" s="34"/>
      <c r="D309" s="34"/>
      <c r="E309" s="210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43">
        <f t="shared" si="14"/>
        <v>0</v>
      </c>
    </row>
    <row r="310" spans="1:36" x14ac:dyDescent="0.2">
      <c r="A310" s="25"/>
      <c r="B310" s="37"/>
      <c r="C310" s="34"/>
      <c r="D310" s="34"/>
      <c r="E310" s="210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43">
        <f t="shared" si="14"/>
        <v>0</v>
      </c>
    </row>
    <row r="311" spans="1:36" x14ac:dyDescent="0.2">
      <c r="A311" s="25"/>
      <c r="B311" s="37"/>
      <c r="C311" s="34"/>
      <c r="D311" s="34"/>
      <c r="E311" s="210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43">
        <f t="shared" si="14"/>
        <v>0</v>
      </c>
    </row>
    <row r="312" spans="1:36" x14ac:dyDescent="0.2">
      <c r="A312" s="25"/>
      <c r="B312" s="37"/>
      <c r="C312" s="34"/>
      <c r="D312" s="34"/>
      <c r="E312" s="210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43">
        <f t="shared" si="14"/>
        <v>0</v>
      </c>
    </row>
    <row r="313" spans="1:36" x14ac:dyDescent="0.2">
      <c r="A313" s="25"/>
      <c r="B313" s="37"/>
      <c r="C313" s="34"/>
      <c r="D313" s="34"/>
      <c r="E313" s="210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43">
        <f t="shared" si="14"/>
        <v>0</v>
      </c>
    </row>
    <row r="314" spans="1:36" x14ac:dyDescent="0.2">
      <c r="A314" s="25"/>
      <c r="B314" s="37"/>
      <c r="C314" s="34"/>
      <c r="D314" s="34"/>
      <c r="E314" s="210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43">
        <f t="shared" si="14"/>
        <v>0</v>
      </c>
    </row>
    <row r="315" spans="1:36" x14ac:dyDescent="0.2">
      <c r="A315" s="25"/>
      <c r="B315" s="37"/>
      <c r="C315" s="34"/>
      <c r="D315" s="34"/>
      <c r="E315" s="210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43">
        <f t="shared" si="14"/>
        <v>0</v>
      </c>
    </row>
    <row r="316" spans="1:36" x14ac:dyDescent="0.2">
      <c r="A316" s="25"/>
      <c r="B316" s="37"/>
      <c r="C316" s="34"/>
      <c r="D316" s="34"/>
      <c r="E316" s="210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43">
        <f t="shared" si="14"/>
        <v>0</v>
      </c>
    </row>
    <row r="317" spans="1:36" x14ac:dyDescent="0.2">
      <c r="A317" s="25"/>
      <c r="B317" s="37"/>
      <c r="C317" s="34"/>
      <c r="D317" s="34"/>
      <c r="E317" s="210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43">
        <f t="shared" si="14"/>
        <v>0</v>
      </c>
    </row>
    <row r="318" spans="1:36" x14ac:dyDescent="0.2">
      <c r="A318" s="25"/>
      <c r="B318" s="37"/>
      <c r="C318" s="34"/>
      <c r="D318" s="34"/>
      <c r="E318" s="210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43">
        <f t="shared" si="14"/>
        <v>0</v>
      </c>
    </row>
    <row r="319" spans="1:36" x14ac:dyDescent="0.2">
      <c r="A319" s="25"/>
      <c r="B319" s="37"/>
      <c r="C319" s="34"/>
      <c r="D319" s="34"/>
      <c r="E319" s="210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43">
        <f t="shared" si="14"/>
        <v>0</v>
      </c>
    </row>
    <row r="320" spans="1:36" x14ac:dyDescent="0.2">
      <c r="A320" s="25"/>
      <c r="B320" s="37"/>
      <c r="C320" s="34"/>
      <c r="D320" s="34"/>
      <c r="E320" s="210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43">
        <f t="shared" si="14"/>
        <v>0</v>
      </c>
    </row>
    <row r="321" spans="1:36" x14ac:dyDescent="0.2">
      <c r="A321" s="25"/>
      <c r="B321" s="37"/>
      <c r="C321" s="34"/>
      <c r="D321" s="34"/>
      <c r="E321" s="210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43">
        <f t="shared" si="14"/>
        <v>0</v>
      </c>
    </row>
    <row r="322" spans="1:36" x14ac:dyDescent="0.2">
      <c r="A322" s="25"/>
      <c r="B322" s="37"/>
      <c r="C322" s="34"/>
      <c r="D322" s="34"/>
      <c r="E322" s="210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43">
        <f t="shared" si="14"/>
        <v>0</v>
      </c>
    </row>
    <row r="323" spans="1:36" x14ac:dyDescent="0.2">
      <c r="A323" s="25"/>
      <c r="B323" s="37"/>
      <c r="C323" s="34"/>
      <c r="D323" s="34"/>
      <c r="E323" s="210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43">
        <f t="shared" si="14"/>
        <v>0</v>
      </c>
    </row>
    <row r="324" spans="1:36" x14ac:dyDescent="0.2">
      <c r="A324" s="25"/>
      <c r="B324" s="37"/>
      <c r="C324" s="34"/>
      <c r="D324" s="34"/>
      <c r="E324" s="210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43">
        <f t="shared" si="14"/>
        <v>0</v>
      </c>
    </row>
    <row r="325" spans="1:36" x14ac:dyDescent="0.2">
      <c r="A325" s="25"/>
      <c r="B325" s="37"/>
      <c r="C325" s="34"/>
      <c r="D325" s="34"/>
      <c r="E325" s="210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43">
        <f t="shared" si="14"/>
        <v>0</v>
      </c>
    </row>
    <row r="326" spans="1:36" x14ac:dyDescent="0.2">
      <c r="A326" s="25"/>
      <c r="B326" s="37"/>
      <c r="C326" s="34"/>
      <c r="D326" s="34"/>
      <c r="E326" s="210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43">
        <f t="shared" si="14"/>
        <v>0</v>
      </c>
    </row>
    <row r="327" spans="1:36" x14ac:dyDescent="0.2">
      <c r="A327" s="25"/>
      <c r="B327" s="37"/>
      <c r="C327" s="34"/>
      <c r="D327" s="34"/>
      <c r="E327" s="210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43">
        <f t="shared" si="14"/>
        <v>0</v>
      </c>
    </row>
    <row r="328" spans="1:36" x14ac:dyDescent="0.2">
      <c r="A328" s="25"/>
      <c r="B328" s="37"/>
      <c r="C328" s="34"/>
      <c r="D328" s="34"/>
      <c r="E328" s="210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43">
        <f t="shared" si="14"/>
        <v>0</v>
      </c>
    </row>
    <row r="329" spans="1:36" x14ac:dyDescent="0.2">
      <c r="A329" s="25"/>
      <c r="B329" s="37"/>
      <c r="C329" s="34"/>
      <c r="D329" s="34"/>
      <c r="E329" s="210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43">
        <f t="shared" si="14"/>
        <v>0</v>
      </c>
    </row>
    <row r="330" spans="1:36" x14ac:dyDescent="0.2">
      <c r="A330" s="25"/>
      <c r="B330" s="37"/>
      <c r="C330" s="34"/>
      <c r="D330" s="34"/>
      <c r="E330" s="210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43">
        <f t="shared" si="14"/>
        <v>0</v>
      </c>
    </row>
    <row r="331" spans="1:36" x14ac:dyDescent="0.2">
      <c r="A331" s="25"/>
      <c r="B331" s="37"/>
      <c r="C331" s="34"/>
      <c r="D331" s="34"/>
      <c r="E331" s="210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43">
        <f t="shared" si="14"/>
        <v>0</v>
      </c>
    </row>
    <row r="332" spans="1:36" x14ac:dyDescent="0.2">
      <c r="A332" s="25"/>
      <c r="B332" s="37"/>
      <c r="C332" s="34"/>
      <c r="D332" s="34"/>
      <c r="E332" s="210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43">
        <f t="shared" si="14"/>
        <v>0</v>
      </c>
    </row>
    <row r="333" spans="1:36" x14ac:dyDescent="0.2">
      <c r="A333" s="25"/>
      <c r="B333" s="37"/>
      <c r="C333" s="34"/>
      <c r="D333" s="34"/>
      <c r="E333" s="210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43">
        <f t="shared" si="14"/>
        <v>0</v>
      </c>
    </row>
    <row r="334" spans="1:36" x14ac:dyDescent="0.2">
      <c r="A334" s="25"/>
      <c r="B334" s="37"/>
      <c r="C334" s="34"/>
      <c r="D334" s="34"/>
      <c r="E334" s="210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43">
        <f t="shared" si="14"/>
        <v>0</v>
      </c>
    </row>
    <row r="335" spans="1:36" x14ac:dyDescent="0.2">
      <c r="A335" s="25"/>
      <c r="B335" s="37"/>
      <c r="C335" s="34"/>
      <c r="D335" s="34"/>
      <c r="E335" s="210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43">
        <f t="shared" si="14"/>
        <v>0</v>
      </c>
    </row>
    <row r="336" spans="1:36" x14ac:dyDescent="0.2">
      <c r="A336" s="25"/>
      <c r="B336" s="37"/>
      <c r="C336" s="34"/>
      <c r="D336" s="34"/>
      <c r="E336" s="210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43">
        <f t="shared" si="14"/>
        <v>0</v>
      </c>
    </row>
    <row r="337" spans="1:36" x14ac:dyDescent="0.2">
      <c r="A337" s="25"/>
      <c r="B337" s="37"/>
      <c r="C337" s="34"/>
      <c r="D337" s="34"/>
      <c r="E337" s="210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43">
        <f t="shared" si="14"/>
        <v>0</v>
      </c>
    </row>
    <row r="338" spans="1:36" x14ac:dyDescent="0.2">
      <c r="A338" s="25"/>
      <c r="B338" s="37"/>
      <c r="C338" s="34"/>
      <c r="D338" s="34"/>
      <c r="E338" s="210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43">
        <f t="shared" si="14"/>
        <v>0</v>
      </c>
    </row>
    <row r="339" spans="1:36" x14ac:dyDescent="0.2">
      <c r="A339" s="25"/>
      <c r="B339" s="37"/>
      <c r="C339" s="34"/>
      <c r="D339" s="34"/>
      <c r="E339" s="210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43">
        <f t="shared" si="14"/>
        <v>0</v>
      </c>
    </row>
    <row r="340" spans="1:36" x14ac:dyDescent="0.2">
      <c r="A340" s="25"/>
      <c r="B340" s="37"/>
      <c r="C340" s="34"/>
      <c r="D340" s="34"/>
      <c r="E340" s="210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43">
        <f t="shared" si="14"/>
        <v>0</v>
      </c>
    </row>
    <row r="341" spans="1:36" x14ac:dyDescent="0.2">
      <c r="A341" s="25"/>
      <c r="B341" s="34"/>
      <c r="C341" s="34"/>
      <c r="D341" s="34"/>
      <c r="E341" s="210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43">
        <f t="shared" si="14"/>
        <v>0</v>
      </c>
    </row>
    <row r="342" spans="1:36" x14ac:dyDescent="0.2">
      <c r="A342" s="25"/>
      <c r="B342" s="34"/>
      <c r="C342" s="34"/>
      <c r="D342" s="34"/>
      <c r="E342" s="210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43">
        <f t="shared" si="14"/>
        <v>0</v>
      </c>
    </row>
    <row r="343" spans="1:36" x14ac:dyDescent="0.2">
      <c r="A343" s="25"/>
      <c r="B343" s="34"/>
      <c r="C343" s="34"/>
      <c r="D343" s="34"/>
      <c r="E343" s="210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43">
        <f t="shared" si="14"/>
        <v>0</v>
      </c>
    </row>
    <row r="344" spans="1:36" x14ac:dyDescent="0.2">
      <c r="A344" s="25"/>
      <c r="B344" s="34"/>
      <c r="C344" s="34"/>
      <c r="D344" s="34"/>
      <c r="E344" s="210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43">
        <f t="shared" si="14"/>
        <v>0</v>
      </c>
    </row>
    <row r="345" spans="1:36" x14ac:dyDescent="0.2">
      <c r="A345" s="25"/>
      <c r="B345" s="34"/>
      <c r="C345" s="34"/>
      <c r="D345" s="34"/>
      <c r="E345" s="210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43">
        <f t="shared" si="14"/>
        <v>0</v>
      </c>
    </row>
    <row r="346" spans="1:36" x14ac:dyDescent="0.2">
      <c r="A346" s="25"/>
      <c r="B346" s="34"/>
      <c r="C346" s="34"/>
      <c r="D346" s="34"/>
      <c r="E346" s="210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43">
        <f t="shared" si="14"/>
        <v>0</v>
      </c>
    </row>
    <row r="347" spans="1:36" x14ac:dyDescent="0.2">
      <c r="A347" s="25"/>
      <c r="B347" s="34"/>
      <c r="C347" s="34"/>
      <c r="D347" s="34"/>
      <c r="E347" s="210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43">
        <f t="shared" si="14"/>
        <v>0</v>
      </c>
    </row>
    <row r="348" spans="1:36" x14ac:dyDescent="0.2">
      <c r="A348" s="25"/>
      <c r="B348" s="34"/>
      <c r="C348" s="34"/>
      <c r="D348" s="34"/>
      <c r="E348" s="210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43">
        <f t="shared" si="14"/>
        <v>0</v>
      </c>
    </row>
    <row r="349" spans="1:36" x14ac:dyDescent="0.2">
      <c r="A349" s="25"/>
      <c r="B349" s="34"/>
      <c r="C349" s="34"/>
      <c r="D349" s="34"/>
      <c r="E349" s="210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43">
        <f t="shared" si="14"/>
        <v>0</v>
      </c>
    </row>
    <row r="350" spans="1:36" x14ac:dyDescent="0.2">
      <c r="A350" s="25"/>
      <c r="B350" s="34"/>
      <c r="C350" s="34"/>
      <c r="D350" s="34"/>
      <c r="E350" s="210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43">
        <f t="shared" si="14"/>
        <v>0</v>
      </c>
    </row>
    <row r="351" spans="1:36" x14ac:dyDescent="0.2">
      <c r="A351" s="25"/>
      <c r="B351" s="34"/>
      <c r="C351" s="34"/>
      <c r="D351" s="34"/>
      <c r="E351" s="210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43">
        <f t="shared" si="14"/>
        <v>0</v>
      </c>
    </row>
    <row r="352" spans="1:36" x14ac:dyDescent="0.2">
      <c r="A352" s="25"/>
      <c r="B352" s="34"/>
      <c r="C352" s="34"/>
      <c r="D352" s="34"/>
      <c r="E352" s="210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43">
        <f>SUM(X352:AI352)</f>
        <v>0</v>
      </c>
    </row>
    <row r="353" spans="1:36" x14ac:dyDescent="0.2">
      <c r="A353" s="25"/>
      <c r="B353" s="34"/>
      <c r="C353" s="34"/>
      <c r="D353" s="34"/>
      <c r="E353" s="210"/>
      <c r="F353" s="34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155"/>
      <c r="Y353" s="155"/>
      <c r="Z353" s="155"/>
      <c r="AA353" s="155"/>
      <c r="AB353" s="155"/>
      <c r="AC353" s="155"/>
      <c r="AD353" s="155"/>
      <c r="AE353" s="155"/>
      <c r="AF353" s="155"/>
      <c r="AG353" s="155"/>
      <c r="AH353" s="155"/>
      <c r="AI353" s="34"/>
      <c r="AJ353" s="43">
        <f>SUM(X353:AI353)</f>
        <v>0</v>
      </c>
    </row>
    <row r="354" spans="1:36" x14ac:dyDescent="0.2">
      <c r="A354" s="25"/>
      <c r="B354" s="34"/>
      <c r="C354" s="34"/>
      <c r="D354" s="34"/>
      <c r="E354" s="210"/>
      <c r="F354" s="34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155"/>
      <c r="Y354" s="155"/>
      <c r="Z354" s="155"/>
      <c r="AA354" s="155"/>
      <c r="AB354" s="155"/>
      <c r="AC354" s="155"/>
      <c r="AD354" s="155"/>
      <c r="AE354" s="155"/>
      <c r="AF354" s="155"/>
      <c r="AG354" s="155"/>
      <c r="AH354" s="155"/>
      <c r="AI354" s="34"/>
      <c r="AJ354" s="43">
        <f>SUM(X354:AI354)</f>
        <v>0</v>
      </c>
    </row>
    <row r="355" spans="1:36" x14ac:dyDescent="0.2">
      <c r="A355" s="25"/>
      <c r="B355" s="34"/>
      <c r="C355" s="34"/>
      <c r="D355" s="34"/>
      <c r="E355" s="210"/>
      <c r="F355" s="34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155"/>
      <c r="Y355" s="155"/>
      <c r="Z355" s="155"/>
      <c r="AA355" s="155"/>
      <c r="AB355" s="155"/>
      <c r="AC355" s="155"/>
      <c r="AD355" s="155"/>
      <c r="AE355" s="155"/>
      <c r="AF355" s="155"/>
      <c r="AG355" s="155"/>
      <c r="AH355" s="155"/>
      <c r="AI355" s="155"/>
      <c r="AJ355" s="43">
        <f>SUM(X355:AI355)</f>
        <v>0</v>
      </c>
    </row>
    <row r="356" spans="1:36" x14ac:dyDescent="0.2">
      <c r="A356" s="530"/>
      <c r="B356" s="530"/>
      <c r="C356" s="530"/>
      <c r="D356" s="530"/>
      <c r="E356" s="212"/>
      <c r="F356" s="70"/>
      <c r="G356" s="70"/>
      <c r="H356" s="70"/>
      <c r="I356" s="70"/>
      <c r="J356" s="70"/>
      <c r="K356" s="70"/>
      <c r="L356" s="70"/>
      <c r="M356" s="70"/>
      <c r="N356" s="70"/>
      <c r="O356" s="70"/>
      <c r="P356" s="70"/>
      <c r="Q356" s="70"/>
      <c r="R356" s="70"/>
      <c r="S356" s="70"/>
      <c r="T356" s="70"/>
      <c r="U356" s="70"/>
      <c r="V356" s="70"/>
      <c r="W356" s="162"/>
      <c r="X356" s="362">
        <f>SUM(X287:X355)</f>
        <v>0</v>
      </c>
      <c r="Y356" s="362">
        <f t="shared" ref="Y356:AI356" si="15">SUM(Y287:Y355)</f>
        <v>0</v>
      </c>
      <c r="Z356" s="362">
        <f t="shared" si="15"/>
        <v>0</v>
      </c>
      <c r="AA356" s="362">
        <f t="shared" si="15"/>
        <v>0</v>
      </c>
      <c r="AB356" s="362">
        <f t="shared" si="15"/>
        <v>0</v>
      </c>
      <c r="AC356" s="362">
        <f t="shared" si="15"/>
        <v>0</v>
      </c>
      <c r="AD356" s="362">
        <f t="shared" si="15"/>
        <v>0</v>
      </c>
      <c r="AE356" s="362">
        <f t="shared" si="15"/>
        <v>0</v>
      </c>
      <c r="AF356" s="362">
        <f t="shared" si="15"/>
        <v>0</v>
      </c>
      <c r="AG356" s="362">
        <f t="shared" si="15"/>
        <v>0</v>
      </c>
      <c r="AH356" s="362">
        <f t="shared" si="15"/>
        <v>0</v>
      </c>
      <c r="AI356" s="362">
        <f t="shared" si="15"/>
        <v>0</v>
      </c>
      <c r="AJ356" s="362">
        <f>SUM(AJ287:AJ355)</f>
        <v>0</v>
      </c>
    </row>
    <row r="361" spans="1:36" ht="21" x14ac:dyDescent="0.35">
      <c r="A361" s="217"/>
      <c r="B361" s="217"/>
      <c r="C361" s="217"/>
      <c r="D361" s="217"/>
    </row>
    <row r="363" spans="1:36" ht="15.75" x14ac:dyDescent="0.2">
      <c r="A363" s="216" t="s">
        <v>678</v>
      </c>
      <c r="B363" s="216"/>
      <c r="C363" s="216"/>
      <c r="D363" s="216"/>
      <c r="E363" s="209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150"/>
      <c r="X363" s="150"/>
      <c r="Y363" s="150"/>
      <c r="Z363" s="150"/>
      <c r="AA363" s="150"/>
      <c r="AB363" s="150"/>
      <c r="AC363" s="150"/>
      <c r="AD363" s="150"/>
      <c r="AE363" s="150"/>
      <c r="AF363" s="150"/>
      <c r="AG363" s="150"/>
      <c r="AH363" s="150"/>
      <c r="AI363" s="40"/>
      <c r="AJ363" s="40"/>
    </row>
    <row r="364" spans="1:36" ht="15" x14ac:dyDescent="0.25">
      <c r="A364" s="24" t="s">
        <v>670</v>
      </c>
      <c r="B364" s="165" t="s">
        <v>18</v>
      </c>
      <c r="C364" s="165" t="s">
        <v>0</v>
      </c>
      <c r="D364" s="165" t="s">
        <v>671</v>
      </c>
      <c r="E364" s="210" t="s">
        <v>1</v>
      </c>
      <c r="F364" s="31" t="s">
        <v>2</v>
      </c>
      <c r="G364" s="31" t="s">
        <v>3</v>
      </c>
      <c r="H364" s="31" t="s">
        <v>4</v>
      </c>
      <c r="I364" s="31" t="s">
        <v>999</v>
      </c>
      <c r="J364" s="31" t="s">
        <v>970</v>
      </c>
      <c r="K364" s="31" t="s">
        <v>1000</v>
      </c>
      <c r="L364" s="31" t="s">
        <v>1001</v>
      </c>
      <c r="M364" s="31" t="s">
        <v>1002</v>
      </c>
      <c r="N364" s="31" t="s">
        <v>1003</v>
      </c>
      <c r="O364" s="31" t="s">
        <v>1004</v>
      </c>
      <c r="P364" s="31" t="s">
        <v>1005</v>
      </c>
      <c r="Q364" s="31" t="s">
        <v>1006</v>
      </c>
      <c r="R364" s="31" t="s">
        <v>1007</v>
      </c>
      <c r="S364" s="31" t="s">
        <v>1008</v>
      </c>
      <c r="T364" s="31" t="s">
        <v>1009</v>
      </c>
      <c r="U364" s="31" t="s">
        <v>1010</v>
      </c>
      <c r="V364" s="31" t="s">
        <v>1011</v>
      </c>
      <c r="W364" s="151" t="s">
        <v>711</v>
      </c>
      <c r="X364" s="151" t="s">
        <v>463</v>
      </c>
      <c r="Y364" s="151" t="s">
        <v>464</v>
      </c>
      <c r="Z364" s="151" t="s">
        <v>465</v>
      </c>
      <c r="AA364" s="151" t="s">
        <v>466</v>
      </c>
      <c r="AB364" s="151" t="s">
        <v>467</v>
      </c>
      <c r="AC364" s="151" t="s">
        <v>468</v>
      </c>
      <c r="AD364" s="151" t="s">
        <v>469</v>
      </c>
      <c r="AE364" s="151" t="s">
        <v>470</v>
      </c>
      <c r="AF364" s="151" t="s">
        <v>471</v>
      </c>
      <c r="AG364" s="151" t="s">
        <v>472</v>
      </c>
      <c r="AH364" s="151" t="s">
        <v>473</v>
      </c>
      <c r="AI364" s="41" t="s">
        <v>474</v>
      </c>
      <c r="AJ364" s="41" t="s">
        <v>647</v>
      </c>
    </row>
    <row r="365" spans="1:36" x14ac:dyDescent="0.2">
      <c r="A365" s="25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43">
        <f t="shared" ref="AJ365:AJ412" si="16">SUMIFS(X365:AI365,X365:AI365,"&gt;0",X365:AI365,"&lt;9999999")</f>
        <v>0</v>
      </c>
    </row>
    <row r="366" spans="1:36" x14ac:dyDescent="0.2">
      <c r="A366" s="25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43">
        <f t="shared" si="16"/>
        <v>0</v>
      </c>
    </row>
    <row r="367" spans="1:36" x14ac:dyDescent="0.2">
      <c r="A367" s="25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43">
        <f t="shared" si="16"/>
        <v>0</v>
      </c>
    </row>
    <row r="368" spans="1:36" x14ac:dyDescent="0.2">
      <c r="A368" s="25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43">
        <f t="shared" si="16"/>
        <v>0</v>
      </c>
    </row>
    <row r="369" spans="1:36" x14ac:dyDescent="0.2">
      <c r="A369" s="25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43">
        <f t="shared" si="16"/>
        <v>0</v>
      </c>
    </row>
    <row r="370" spans="1:36" x14ac:dyDescent="0.2">
      <c r="A370" s="25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43">
        <f t="shared" si="16"/>
        <v>0</v>
      </c>
    </row>
    <row r="371" spans="1:36" x14ac:dyDescent="0.2">
      <c r="A371" s="25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43">
        <f t="shared" si="16"/>
        <v>0</v>
      </c>
    </row>
    <row r="372" spans="1:36" x14ac:dyDescent="0.2">
      <c r="A372" s="25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43">
        <f t="shared" si="16"/>
        <v>0</v>
      </c>
    </row>
    <row r="373" spans="1:36" x14ac:dyDescent="0.2">
      <c r="A373" s="25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43">
        <f t="shared" si="16"/>
        <v>0</v>
      </c>
    </row>
    <row r="374" spans="1:36" x14ac:dyDescent="0.2">
      <c r="A374" s="25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43">
        <f t="shared" si="16"/>
        <v>0</v>
      </c>
    </row>
    <row r="375" spans="1:36" x14ac:dyDescent="0.2">
      <c r="A375" s="25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43">
        <f t="shared" si="16"/>
        <v>0</v>
      </c>
    </row>
    <row r="376" spans="1:36" x14ac:dyDescent="0.2">
      <c r="A376" s="25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43">
        <f t="shared" si="16"/>
        <v>0</v>
      </c>
    </row>
    <row r="377" spans="1:36" x14ac:dyDescent="0.2">
      <c r="A377" s="25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43">
        <f t="shared" si="16"/>
        <v>0</v>
      </c>
    </row>
    <row r="378" spans="1:36" x14ac:dyDescent="0.2">
      <c r="A378" s="25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43">
        <f t="shared" si="16"/>
        <v>0</v>
      </c>
    </row>
    <row r="379" spans="1:36" x14ac:dyDescent="0.2">
      <c r="A379" s="25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43">
        <f t="shared" si="16"/>
        <v>0</v>
      </c>
    </row>
    <row r="380" spans="1:36" x14ac:dyDescent="0.2">
      <c r="A380" s="25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43">
        <f t="shared" si="16"/>
        <v>0</v>
      </c>
    </row>
    <row r="381" spans="1:36" x14ac:dyDescent="0.2">
      <c r="A381" s="25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43">
        <f t="shared" si="16"/>
        <v>0</v>
      </c>
    </row>
    <row r="382" spans="1:36" x14ac:dyDescent="0.2">
      <c r="A382" s="25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43">
        <f t="shared" si="16"/>
        <v>0</v>
      </c>
    </row>
    <row r="383" spans="1:36" x14ac:dyDescent="0.2">
      <c r="A383" s="25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43">
        <f t="shared" si="16"/>
        <v>0</v>
      </c>
    </row>
    <row r="384" spans="1:36" x14ac:dyDescent="0.2">
      <c r="A384" s="25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43">
        <f t="shared" si="16"/>
        <v>0</v>
      </c>
    </row>
    <row r="385" spans="1:36" x14ac:dyDescent="0.2">
      <c r="A385" s="25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43">
        <f t="shared" si="16"/>
        <v>0</v>
      </c>
    </row>
    <row r="386" spans="1:36" x14ac:dyDescent="0.2">
      <c r="A386" s="25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43">
        <f t="shared" si="16"/>
        <v>0</v>
      </c>
    </row>
    <row r="387" spans="1:36" x14ac:dyDescent="0.2">
      <c r="A387" s="25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43">
        <f t="shared" si="16"/>
        <v>0</v>
      </c>
    </row>
    <row r="388" spans="1:36" x14ac:dyDescent="0.2">
      <c r="A388" s="25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43">
        <f t="shared" si="16"/>
        <v>0</v>
      </c>
    </row>
    <row r="389" spans="1:36" x14ac:dyDescent="0.2">
      <c r="A389" s="25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43">
        <f t="shared" si="16"/>
        <v>0</v>
      </c>
    </row>
    <row r="390" spans="1:36" x14ac:dyDescent="0.2">
      <c r="A390" s="25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43">
        <f t="shared" si="16"/>
        <v>0</v>
      </c>
    </row>
    <row r="391" spans="1:36" x14ac:dyDescent="0.2">
      <c r="A391" s="25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43">
        <f t="shared" si="16"/>
        <v>0</v>
      </c>
    </row>
    <row r="392" spans="1:36" x14ac:dyDescent="0.2">
      <c r="A392" s="25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43">
        <f t="shared" si="16"/>
        <v>0</v>
      </c>
    </row>
    <row r="393" spans="1:36" x14ac:dyDescent="0.2">
      <c r="A393" s="25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43">
        <f t="shared" si="16"/>
        <v>0</v>
      </c>
    </row>
    <row r="394" spans="1:36" x14ac:dyDescent="0.2">
      <c r="A394" s="25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43">
        <f t="shared" si="16"/>
        <v>0</v>
      </c>
    </row>
    <row r="395" spans="1:36" x14ac:dyDescent="0.2">
      <c r="A395" s="25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43">
        <f t="shared" si="16"/>
        <v>0</v>
      </c>
    </row>
    <row r="396" spans="1:36" x14ac:dyDescent="0.2">
      <c r="A396" s="25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43">
        <f t="shared" si="16"/>
        <v>0</v>
      </c>
    </row>
    <row r="397" spans="1:36" x14ac:dyDescent="0.2">
      <c r="A397" s="25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43">
        <f t="shared" si="16"/>
        <v>0</v>
      </c>
    </row>
    <row r="398" spans="1:36" x14ac:dyDescent="0.2">
      <c r="A398" s="25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43">
        <f t="shared" si="16"/>
        <v>0</v>
      </c>
    </row>
    <row r="399" spans="1:36" x14ac:dyDescent="0.2">
      <c r="A399" s="25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43">
        <f t="shared" si="16"/>
        <v>0</v>
      </c>
    </row>
    <row r="400" spans="1:36" x14ac:dyDescent="0.2">
      <c r="A400" s="25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43">
        <f t="shared" si="16"/>
        <v>0</v>
      </c>
    </row>
    <row r="401" spans="1:36" x14ac:dyDescent="0.2">
      <c r="A401" s="25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43">
        <f t="shared" si="16"/>
        <v>0</v>
      </c>
    </row>
    <row r="402" spans="1:36" x14ac:dyDescent="0.2">
      <c r="A402" s="25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43">
        <f t="shared" si="16"/>
        <v>0</v>
      </c>
    </row>
    <row r="403" spans="1:36" x14ac:dyDescent="0.2">
      <c r="A403" s="25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43">
        <f t="shared" si="16"/>
        <v>0</v>
      </c>
    </row>
    <row r="404" spans="1:36" x14ac:dyDescent="0.2">
      <c r="A404" s="25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43">
        <f t="shared" si="16"/>
        <v>0</v>
      </c>
    </row>
    <row r="405" spans="1:36" x14ac:dyDescent="0.2">
      <c r="A405" s="25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43">
        <f t="shared" si="16"/>
        <v>0</v>
      </c>
    </row>
    <row r="406" spans="1:36" x14ac:dyDescent="0.2">
      <c r="A406" s="25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43">
        <f t="shared" si="16"/>
        <v>0</v>
      </c>
    </row>
    <row r="407" spans="1:36" x14ac:dyDescent="0.2">
      <c r="A407" s="25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43">
        <f t="shared" si="16"/>
        <v>0</v>
      </c>
    </row>
    <row r="408" spans="1:36" x14ac:dyDescent="0.2">
      <c r="A408" s="25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43"/>
      <c r="AJ408" s="43">
        <f t="shared" si="16"/>
        <v>0</v>
      </c>
    </row>
    <row r="409" spans="1:36" x14ac:dyDescent="0.2">
      <c r="A409" s="25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43"/>
      <c r="AJ409" s="43">
        <f t="shared" si="16"/>
        <v>0</v>
      </c>
    </row>
    <row r="410" spans="1:36" x14ac:dyDescent="0.2">
      <c r="A410" s="25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43"/>
      <c r="AJ410" s="43">
        <f t="shared" si="16"/>
        <v>0</v>
      </c>
    </row>
    <row r="411" spans="1:36" x14ac:dyDescent="0.2">
      <c r="A411" s="25"/>
      <c r="B411" s="34"/>
      <c r="C411" s="34"/>
      <c r="D411" s="34"/>
      <c r="E411" s="34"/>
      <c r="F411" s="34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155"/>
      <c r="Y411" s="155"/>
      <c r="Z411" s="155"/>
      <c r="AA411" s="155"/>
      <c r="AB411" s="155"/>
      <c r="AC411" s="155"/>
      <c r="AD411" s="155"/>
      <c r="AE411" s="155"/>
      <c r="AF411" s="155"/>
      <c r="AG411" s="155"/>
      <c r="AH411" s="155"/>
      <c r="AI411" s="43"/>
      <c r="AJ411" s="43">
        <f t="shared" si="16"/>
        <v>0</v>
      </c>
    </row>
    <row r="412" spans="1:36" x14ac:dyDescent="0.2">
      <c r="A412" s="25"/>
      <c r="B412" s="34"/>
      <c r="C412" s="34"/>
      <c r="D412" s="34"/>
      <c r="E412" s="34"/>
      <c r="F412" s="34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155"/>
      <c r="Y412" s="155"/>
      <c r="Z412" s="155"/>
      <c r="AA412" s="155"/>
      <c r="AB412" s="155"/>
      <c r="AC412" s="155"/>
      <c r="AD412" s="155"/>
      <c r="AE412" s="155"/>
      <c r="AF412" s="155"/>
      <c r="AG412" s="155"/>
      <c r="AH412" s="155"/>
      <c r="AI412" s="155"/>
      <c r="AJ412" s="43">
        <f t="shared" si="16"/>
        <v>0</v>
      </c>
    </row>
    <row r="413" spans="1:36" x14ac:dyDescent="0.2">
      <c r="A413" s="530" t="s">
        <v>888</v>
      </c>
      <c r="B413" s="530"/>
      <c r="C413" s="530"/>
      <c r="D413" s="530"/>
      <c r="E413" s="212"/>
      <c r="F413" s="70"/>
      <c r="G413" s="70"/>
      <c r="H413" s="70"/>
      <c r="I413" s="70"/>
      <c r="J413" s="70"/>
      <c r="K413" s="70"/>
      <c r="L413" s="70"/>
      <c r="M413" s="70"/>
      <c r="N413" s="70"/>
      <c r="O413" s="70"/>
      <c r="P413" s="70"/>
      <c r="Q413" s="70"/>
      <c r="R413" s="70"/>
      <c r="S413" s="70"/>
      <c r="T413" s="70"/>
      <c r="U413" s="70"/>
      <c r="V413" s="70"/>
      <c r="W413" s="162"/>
      <c r="X413" s="162">
        <f t="shared" ref="X413:AJ413" si="17">SUM(X365:X412)</f>
        <v>0</v>
      </c>
      <c r="Y413" s="162">
        <f t="shared" si="17"/>
        <v>0</v>
      </c>
      <c r="Z413" s="162">
        <f t="shared" si="17"/>
        <v>0</v>
      </c>
      <c r="AA413" s="162">
        <f t="shared" si="17"/>
        <v>0</v>
      </c>
      <c r="AB413" s="162">
        <f t="shared" si="17"/>
        <v>0</v>
      </c>
      <c r="AC413" s="162">
        <f t="shared" si="17"/>
        <v>0</v>
      </c>
      <c r="AD413" s="162">
        <f t="shared" si="17"/>
        <v>0</v>
      </c>
      <c r="AE413" s="162">
        <f t="shared" si="17"/>
        <v>0</v>
      </c>
      <c r="AF413" s="162">
        <f t="shared" si="17"/>
        <v>0</v>
      </c>
      <c r="AG413" s="162">
        <f t="shared" si="17"/>
        <v>0</v>
      </c>
      <c r="AH413" s="162">
        <f t="shared" si="17"/>
        <v>0</v>
      </c>
      <c r="AI413" s="162">
        <f t="shared" si="17"/>
        <v>0</v>
      </c>
      <c r="AJ413" s="162">
        <f t="shared" si="17"/>
        <v>0</v>
      </c>
    </row>
    <row r="416" spans="1:36" x14ac:dyDescent="0.2">
      <c r="F416" s="82"/>
      <c r="G416" s="82">
        <v>95262</v>
      </c>
      <c r="H416" s="82">
        <v>97697</v>
      </c>
      <c r="I416" s="82">
        <v>104091</v>
      </c>
      <c r="J416" s="82">
        <v>97478</v>
      </c>
      <c r="K416" s="82"/>
      <c r="L416" s="82"/>
      <c r="M416" s="82"/>
      <c r="N416" s="82"/>
      <c r="O416" s="82"/>
      <c r="P416" s="82"/>
      <c r="Q416" s="82">
        <v>78463</v>
      </c>
      <c r="R416" s="82"/>
      <c r="S416" s="82"/>
      <c r="T416" s="82"/>
      <c r="U416" s="82"/>
      <c r="V416" s="82"/>
      <c r="W416" s="163"/>
      <c r="X416" s="163"/>
      <c r="Y416" s="163"/>
      <c r="Z416" s="163"/>
      <c r="AA416" s="163"/>
      <c r="AB416" s="163"/>
      <c r="AC416" s="163"/>
      <c r="AD416" s="163"/>
      <c r="AE416" s="163"/>
      <c r="AF416" s="163"/>
      <c r="AG416" s="163"/>
      <c r="AH416" s="163"/>
    </row>
  </sheetData>
  <mergeCells count="9">
    <mergeCell ref="A413:D413"/>
    <mergeCell ref="A356:D356"/>
    <mergeCell ref="A140:D140"/>
    <mergeCell ref="A280:D280"/>
    <mergeCell ref="A52:D52"/>
    <mergeCell ref="A221:D221"/>
    <mergeCell ref="A265:D265"/>
    <mergeCell ref="A105:D105"/>
    <mergeCell ref="A278:D278"/>
  </mergeCells>
  <conditionalFormatting sqref="K271:P277 R271:AI277">
    <cfRule type="cellIs" dxfId="71" priority="1" operator="lessThan">
      <formula>0</formula>
    </cfRule>
  </conditionalFormatting>
  <pageMargins left="0.25" right="0.25" top="0.75" bottom="0.75" header="0.3" footer="0.3"/>
  <pageSetup paperSize="8" scale="66" fitToHeight="0" orientation="landscape" r:id="rId1"/>
  <rowBreaks count="1" manualBreakCount="1">
    <brk id="266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pageSetUpPr fitToPage="1"/>
  </sheetPr>
  <dimension ref="A1:P31"/>
  <sheetViews>
    <sheetView zoomScale="85" zoomScaleNormal="85" workbookViewId="0">
      <selection activeCell="G31" sqref="G31"/>
    </sheetView>
  </sheetViews>
  <sheetFormatPr baseColWidth="10" defaultRowHeight="15" x14ac:dyDescent="0.25"/>
  <cols>
    <col min="1" max="1" width="9.7109375" customWidth="1"/>
    <col min="2" max="2" width="33.7109375" bestFit="1" customWidth="1"/>
    <col min="3" max="3" width="15" bestFit="1" customWidth="1"/>
    <col min="4" max="4" width="13.140625" bestFit="1" customWidth="1"/>
    <col min="5" max="5" width="13.140625" customWidth="1"/>
    <col min="6" max="8" width="13.140625" bestFit="1" customWidth="1"/>
    <col min="9" max="10" width="13.140625" style="2" bestFit="1" customWidth="1"/>
    <col min="11" max="11" width="14.28515625" style="2" bestFit="1" customWidth="1"/>
    <col min="12" max="12" width="15.28515625" style="2" bestFit="1" customWidth="1"/>
    <col min="13" max="14" width="13.85546875" style="2" bestFit="1" customWidth="1"/>
    <col min="15" max="15" width="13.85546875" bestFit="1" customWidth="1"/>
    <col min="17" max="17" width="11.85546875" bestFit="1" customWidth="1"/>
  </cols>
  <sheetData>
    <row r="1" spans="1:16" ht="15.75" thickBot="1" x14ac:dyDescent="0.3"/>
    <row r="2" spans="1:16" s="2" customFormat="1" ht="15.75" thickBot="1" x14ac:dyDescent="0.3">
      <c r="C2" s="77" t="s">
        <v>6</v>
      </c>
      <c r="D2" s="78" t="s">
        <v>7</v>
      </c>
      <c r="E2" s="78" t="s">
        <v>8</v>
      </c>
      <c r="F2" s="78" t="s">
        <v>9</v>
      </c>
      <c r="G2" s="78" t="s">
        <v>10</v>
      </c>
      <c r="H2" s="78" t="s">
        <v>11</v>
      </c>
      <c r="I2" s="78" t="s">
        <v>12</v>
      </c>
      <c r="J2" s="78" t="s">
        <v>13</v>
      </c>
      <c r="K2" s="78" t="s">
        <v>14</v>
      </c>
      <c r="L2" s="78" t="s">
        <v>15</v>
      </c>
      <c r="M2" s="78" t="s">
        <v>16</v>
      </c>
      <c r="N2" s="79" t="s">
        <v>5</v>
      </c>
      <c r="O2" s="196" t="s">
        <v>647</v>
      </c>
    </row>
    <row r="3" spans="1:16" x14ac:dyDescent="0.25">
      <c r="A3" s="532" t="s">
        <v>673</v>
      </c>
      <c r="B3" s="72" t="s">
        <v>1503</v>
      </c>
      <c r="C3" s="58">
        <v>6639392</v>
      </c>
      <c r="D3" s="59">
        <v>6890140</v>
      </c>
      <c r="E3" s="59"/>
      <c r="F3" s="59"/>
      <c r="G3" s="59"/>
      <c r="H3" s="59"/>
      <c r="I3" s="60"/>
      <c r="J3" s="60"/>
      <c r="K3" s="60"/>
      <c r="L3" s="60"/>
      <c r="M3" s="60"/>
      <c r="N3" s="283"/>
      <c r="O3" s="197">
        <f>SUM(C3:N3)</f>
        <v>13529532</v>
      </c>
    </row>
    <row r="4" spans="1:16" x14ac:dyDescent="0.25">
      <c r="A4" s="533"/>
      <c r="B4" s="73" t="s">
        <v>676</v>
      </c>
      <c r="C4" s="61">
        <f>Facturacion!X240</f>
        <v>0</v>
      </c>
      <c r="D4" s="57">
        <f>Facturacion!Y240</f>
        <v>0</v>
      </c>
      <c r="E4" s="57">
        <f>Facturacion!Z240</f>
        <v>0</v>
      </c>
      <c r="F4" s="57">
        <f>Facturacion!AA240</f>
        <v>0</v>
      </c>
      <c r="G4" s="57">
        <f>Facturacion!AB240</f>
        <v>0</v>
      </c>
      <c r="H4" s="57">
        <f>Facturacion!AC240</f>
        <v>0</v>
      </c>
      <c r="I4" s="57">
        <f>Facturacion!AD240</f>
        <v>0</v>
      </c>
      <c r="J4" s="57">
        <f>Facturacion!AE240</f>
        <v>0</v>
      </c>
      <c r="K4" s="57">
        <f>Facturacion!AF240</f>
        <v>0</v>
      </c>
      <c r="L4" s="57">
        <f>Facturacion!AG240</f>
        <v>0</v>
      </c>
      <c r="M4" s="57">
        <f>Facturacion!AH240</f>
        <v>0</v>
      </c>
      <c r="N4" s="57">
        <f>Facturacion!AI240</f>
        <v>0</v>
      </c>
      <c r="O4" s="198">
        <f>SUM(C4:N4)</f>
        <v>0</v>
      </c>
    </row>
    <row r="5" spans="1:16" x14ac:dyDescent="0.25">
      <c r="A5" s="533"/>
      <c r="B5" s="73" t="s">
        <v>675</v>
      </c>
      <c r="C5" s="62">
        <f>AutoConsumos!X280*0.5</f>
        <v>0</v>
      </c>
      <c r="D5" s="56">
        <f>AutoConsumos!Y280</f>
        <v>11339</v>
      </c>
      <c r="E5" s="56">
        <f>AutoConsumos!Z280</f>
        <v>12121</v>
      </c>
      <c r="F5" s="56">
        <f>AutoConsumos!AA280</f>
        <v>11730</v>
      </c>
      <c r="G5" s="56">
        <f>AutoConsumos!AB280</f>
        <v>12121</v>
      </c>
      <c r="H5" s="56">
        <f>AutoConsumos!AC280</f>
        <v>11730</v>
      </c>
      <c r="I5" s="56">
        <f>AutoConsumos!AD280</f>
        <v>12121</v>
      </c>
      <c r="J5" s="56">
        <f>AutoConsumos!AE280</f>
        <v>12121</v>
      </c>
      <c r="K5" s="56">
        <f>AutoConsumos!AF280</f>
        <v>11730</v>
      </c>
      <c r="L5" s="56">
        <f>AutoConsumos!AG280</f>
        <v>12121</v>
      </c>
      <c r="M5" s="56">
        <f>AutoConsumos!AH280</f>
        <v>11730</v>
      </c>
      <c r="N5" s="56">
        <f>AutoConsumos!AI280</f>
        <v>11730</v>
      </c>
      <c r="O5" s="198">
        <f>SUM(C5:N5)</f>
        <v>130594</v>
      </c>
    </row>
    <row r="6" spans="1:16" ht="15.75" thickBot="1" x14ac:dyDescent="0.3">
      <c r="A6" s="533"/>
      <c r="B6" s="74" t="s">
        <v>674</v>
      </c>
      <c r="C6" s="80">
        <f t="shared" ref="C6:N6" si="0">IFERROR(C3-C4-C5,0)</f>
        <v>6639392</v>
      </c>
      <c r="D6" s="221">
        <f t="shared" si="0"/>
        <v>6878801</v>
      </c>
      <c r="E6" s="221">
        <f t="shared" si="0"/>
        <v>-12121</v>
      </c>
      <c r="F6" s="221">
        <f t="shared" si="0"/>
        <v>-11730</v>
      </c>
      <c r="G6" s="221">
        <f t="shared" si="0"/>
        <v>-12121</v>
      </c>
      <c r="H6" s="221">
        <f t="shared" si="0"/>
        <v>-11730</v>
      </c>
      <c r="I6" s="221">
        <f t="shared" si="0"/>
        <v>-12121</v>
      </c>
      <c r="J6" s="221">
        <f t="shared" si="0"/>
        <v>-12121</v>
      </c>
      <c r="K6" s="221">
        <f t="shared" si="0"/>
        <v>-11730</v>
      </c>
      <c r="L6" s="221">
        <f t="shared" si="0"/>
        <v>-12121</v>
      </c>
      <c r="M6" s="221">
        <f t="shared" si="0"/>
        <v>-11730</v>
      </c>
      <c r="N6" s="221">
        <f t="shared" si="0"/>
        <v>-11730</v>
      </c>
      <c r="O6" s="198">
        <f>SUM(C6:N6)</f>
        <v>13398938</v>
      </c>
      <c r="P6" s="250"/>
    </row>
    <row r="7" spans="1:16" s="2" customFormat="1" x14ac:dyDescent="0.25">
      <c r="A7" s="533"/>
      <c r="B7" s="219" t="s">
        <v>666</v>
      </c>
      <c r="C7" s="222">
        <f>IFERROR(C6/C3,0)</f>
        <v>1</v>
      </c>
      <c r="D7" s="223">
        <f>IFERROR(D6/D3,0)</f>
        <v>0.99835431500666172</v>
      </c>
      <c r="E7" s="223">
        <f>IFERROR(E6/E3,0)</f>
        <v>0</v>
      </c>
      <c r="F7" s="223">
        <f t="shared" ref="F7:N7" si="1">IFERROR(F6/F3,0)</f>
        <v>0</v>
      </c>
      <c r="G7" s="223">
        <f t="shared" si="1"/>
        <v>0</v>
      </c>
      <c r="H7" s="223">
        <f t="shared" si="1"/>
        <v>0</v>
      </c>
      <c r="I7" s="223">
        <f t="shared" si="1"/>
        <v>0</v>
      </c>
      <c r="J7" s="223">
        <f t="shared" si="1"/>
        <v>0</v>
      </c>
      <c r="K7" s="223">
        <f t="shared" si="1"/>
        <v>0</v>
      </c>
      <c r="L7" s="223">
        <f t="shared" si="1"/>
        <v>0</v>
      </c>
      <c r="M7" s="223">
        <f t="shared" si="1"/>
        <v>0</v>
      </c>
      <c r="N7" s="224">
        <f t="shared" si="1"/>
        <v>0</v>
      </c>
      <c r="O7" s="67">
        <f>O6/O3</f>
        <v>0.99034748578147414</v>
      </c>
    </row>
    <row r="8" spans="1:16" ht="15.75" thickBot="1" x14ac:dyDescent="0.3">
      <c r="A8" s="534"/>
      <c r="B8" s="220" t="s">
        <v>665</v>
      </c>
      <c r="C8" s="63">
        <f>IFERROR(C5/(C3-C4),0)</f>
        <v>0</v>
      </c>
      <c r="D8" s="64">
        <f>IFERROR(D5/(D3-D4),0)</f>
        <v>1.6456849933383067E-3</v>
      </c>
      <c r="E8" s="64">
        <f>IFERROR(E5/(E3-E4),0)</f>
        <v>0</v>
      </c>
      <c r="F8" s="64">
        <f>IFERROR(F5/(F3-F4),0)</f>
        <v>0</v>
      </c>
      <c r="G8" s="64">
        <f>IFERROR(G5/(G3-G4),0)</f>
        <v>0</v>
      </c>
      <c r="H8" s="64">
        <f t="shared" ref="H8:O8" si="2">IFERROR(H5/(H3-H4),0)</f>
        <v>0</v>
      </c>
      <c r="I8" s="64">
        <f t="shared" si="2"/>
        <v>0</v>
      </c>
      <c r="J8" s="64">
        <f t="shared" si="2"/>
        <v>0</v>
      </c>
      <c r="K8" s="64">
        <f t="shared" si="2"/>
        <v>0</v>
      </c>
      <c r="L8" s="64">
        <f t="shared" si="2"/>
        <v>0</v>
      </c>
      <c r="M8" s="64">
        <f t="shared" si="2"/>
        <v>0</v>
      </c>
      <c r="N8" s="225">
        <f t="shared" si="2"/>
        <v>0</v>
      </c>
      <c r="O8" s="66">
        <f t="shared" si="2"/>
        <v>9.6525142185258147E-3</v>
      </c>
    </row>
    <row r="9" spans="1:16" ht="15.75" thickBot="1" x14ac:dyDescent="0.3">
      <c r="L9" s="2">
        <v>0.5</v>
      </c>
    </row>
    <row r="10" spans="1:16" ht="15.75" thickBot="1" x14ac:dyDescent="0.3">
      <c r="A10" s="2"/>
      <c r="B10" s="2"/>
      <c r="C10" s="77" t="s">
        <v>6</v>
      </c>
      <c r="D10" s="78" t="s">
        <v>7</v>
      </c>
      <c r="E10" s="78" t="s">
        <v>8</v>
      </c>
      <c r="F10" s="78" t="s">
        <v>9</v>
      </c>
      <c r="G10" s="78" t="s">
        <v>10</v>
      </c>
      <c r="H10" s="78" t="s">
        <v>11</v>
      </c>
      <c r="I10" s="78" t="s">
        <v>12</v>
      </c>
      <c r="J10" s="78" t="s">
        <v>13</v>
      </c>
      <c r="K10" s="78" t="s">
        <v>14</v>
      </c>
      <c r="L10" s="78" t="s">
        <v>15</v>
      </c>
      <c r="M10" s="78" t="s">
        <v>16</v>
      </c>
      <c r="N10" s="79" t="s">
        <v>5</v>
      </c>
      <c r="O10" s="196" t="s">
        <v>647</v>
      </c>
    </row>
    <row r="11" spans="1:16" x14ac:dyDescent="0.25">
      <c r="A11" s="532" t="s">
        <v>677</v>
      </c>
      <c r="B11" s="72" t="s">
        <v>1503</v>
      </c>
      <c r="C11" s="428">
        <v>311933</v>
      </c>
      <c r="D11" s="429">
        <v>316189</v>
      </c>
      <c r="E11" s="59"/>
      <c r="F11" s="59"/>
      <c r="G11" s="59"/>
      <c r="H11" s="59"/>
      <c r="I11" s="60"/>
      <c r="J11" s="60"/>
      <c r="K11" s="60"/>
      <c r="L11" s="60"/>
      <c r="M11" s="60"/>
      <c r="N11" s="283"/>
      <c r="O11" s="197">
        <f>SUM(C11:N11)</f>
        <v>628122</v>
      </c>
    </row>
    <row r="12" spans="1:16" x14ac:dyDescent="0.25">
      <c r="A12" s="533"/>
      <c r="B12" s="73" t="s">
        <v>676</v>
      </c>
      <c r="C12" s="61">
        <f>Facturacion!X337</f>
        <v>0</v>
      </c>
      <c r="D12" s="57">
        <f>Facturacion!Y337</f>
        <v>0</v>
      </c>
      <c r="E12" s="57">
        <f>Facturacion!Z337</f>
        <v>0</v>
      </c>
      <c r="F12" s="57">
        <f>Facturacion!AA337</f>
        <v>0</v>
      </c>
      <c r="G12" s="57">
        <f>Facturacion!AB337</f>
        <v>0</v>
      </c>
      <c r="H12" s="57">
        <f>Facturacion!AC337</f>
        <v>0</v>
      </c>
      <c r="I12" s="57">
        <f>Facturacion!AD337</f>
        <v>0</v>
      </c>
      <c r="J12" s="57">
        <f>Facturacion!AE337</f>
        <v>0</v>
      </c>
      <c r="K12" s="57">
        <f>Facturacion!AF337</f>
        <v>0</v>
      </c>
      <c r="L12" s="57">
        <f>Facturacion!AG337</f>
        <v>0</v>
      </c>
      <c r="M12" s="57">
        <f>Facturacion!AH337</f>
        <v>0</v>
      </c>
      <c r="N12" s="57">
        <f>Facturacion!AI337</f>
        <v>0</v>
      </c>
      <c r="O12" s="198">
        <f>SUM(C12:N12)</f>
        <v>0</v>
      </c>
    </row>
    <row r="13" spans="1:16" x14ac:dyDescent="0.25">
      <c r="A13" s="533"/>
      <c r="B13" s="73" t="s">
        <v>675</v>
      </c>
      <c r="C13" s="62">
        <f>AutoConsumos!X356</f>
        <v>0</v>
      </c>
      <c r="D13" s="62">
        <f>AutoConsumos!Y356</f>
        <v>0</v>
      </c>
      <c r="E13" s="62">
        <f>AutoConsumos!Z356</f>
        <v>0</v>
      </c>
      <c r="F13" s="62">
        <f>AutoConsumos!AA356</f>
        <v>0</v>
      </c>
      <c r="G13" s="62">
        <f>AutoConsumos!AB356</f>
        <v>0</v>
      </c>
      <c r="H13" s="62">
        <f>AutoConsumos!AC356</f>
        <v>0</v>
      </c>
      <c r="I13" s="62">
        <f>AutoConsumos!AD356</f>
        <v>0</v>
      </c>
      <c r="J13" s="62">
        <f>AutoConsumos!AE356</f>
        <v>0</v>
      </c>
      <c r="K13" s="62">
        <f>AutoConsumos!AF356</f>
        <v>0</v>
      </c>
      <c r="L13" s="62">
        <f>AutoConsumos!AG356</f>
        <v>0</v>
      </c>
      <c r="M13" s="62">
        <f>AutoConsumos!AH356</f>
        <v>0</v>
      </c>
      <c r="N13" s="62">
        <f>AutoConsumos!AI356</f>
        <v>0</v>
      </c>
      <c r="O13" s="198">
        <f>SUM(C13:N13)</f>
        <v>0</v>
      </c>
    </row>
    <row r="14" spans="1:16" ht="15.75" thickBot="1" x14ac:dyDescent="0.3">
      <c r="A14" s="533"/>
      <c r="B14" s="74" t="s">
        <v>674</v>
      </c>
      <c r="C14" s="80">
        <f>IFERROR(C11-C12-C13,0)</f>
        <v>311933</v>
      </c>
      <c r="D14" s="81">
        <f t="shared" ref="D14:M14" si="3">IFERROR(D11-D12-D13,0)</f>
        <v>316189</v>
      </c>
      <c r="E14" s="81">
        <f t="shared" si="3"/>
        <v>0</v>
      </c>
      <c r="F14" s="81">
        <f t="shared" si="3"/>
        <v>0</v>
      </c>
      <c r="G14" s="81">
        <f t="shared" si="3"/>
        <v>0</v>
      </c>
      <c r="H14" s="81">
        <f t="shared" si="3"/>
        <v>0</v>
      </c>
      <c r="I14" s="81">
        <f t="shared" si="3"/>
        <v>0</v>
      </c>
      <c r="J14" s="81">
        <f t="shared" si="3"/>
        <v>0</v>
      </c>
      <c r="K14" s="81">
        <f>IFERROR(K11-K12-K13,0)</f>
        <v>0</v>
      </c>
      <c r="L14" s="81">
        <f>IFERROR(L11-L12-L13,0)</f>
        <v>0</v>
      </c>
      <c r="M14" s="81">
        <f t="shared" si="3"/>
        <v>0</v>
      </c>
      <c r="N14" s="81">
        <f>IFERROR(N11-N12-N13,0)</f>
        <v>0</v>
      </c>
      <c r="O14" s="199">
        <f>O11-O12-O13</f>
        <v>628122</v>
      </c>
    </row>
    <row r="15" spans="1:16" x14ac:dyDescent="0.25">
      <c r="A15" s="533"/>
      <c r="B15" s="68" t="s">
        <v>666</v>
      </c>
      <c r="C15" s="222">
        <f>IFERROR(C14/C11,0)</f>
        <v>1</v>
      </c>
      <c r="D15" s="223">
        <f>IFERROR(D14/D11,0)</f>
        <v>1</v>
      </c>
      <c r="E15" s="223">
        <f>IFERROR(E14/E11,0)</f>
        <v>0</v>
      </c>
      <c r="F15" s="223">
        <f t="shared" ref="F15:N15" si="4">IFERROR(F14/F11,0)</f>
        <v>0</v>
      </c>
      <c r="G15" s="223">
        <f t="shared" si="4"/>
        <v>0</v>
      </c>
      <c r="H15" s="223">
        <f t="shared" si="4"/>
        <v>0</v>
      </c>
      <c r="I15" s="223">
        <f t="shared" si="4"/>
        <v>0</v>
      </c>
      <c r="J15" s="223">
        <f t="shared" si="4"/>
        <v>0</v>
      </c>
      <c r="K15" s="223">
        <f t="shared" si="4"/>
        <v>0</v>
      </c>
      <c r="L15" s="223">
        <f t="shared" si="4"/>
        <v>0</v>
      </c>
      <c r="M15" s="223">
        <f t="shared" si="4"/>
        <v>0</v>
      </c>
      <c r="N15" s="224">
        <f t="shared" si="4"/>
        <v>0</v>
      </c>
      <c r="O15" s="67">
        <f>O14/O11</f>
        <v>1</v>
      </c>
    </row>
    <row r="16" spans="1:16" ht="15.75" thickBot="1" x14ac:dyDescent="0.3">
      <c r="A16" s="534"/>
      <c r="B16" s="69" t="s">
        <v>665</v>
      </c>
      <c r="C16" s="63">
        <f>IFERROR(C13/(C11-C12),0)</f>
        <v>0</v>
      </c>
      <c r="D16" s="64">
        <f>IFERROR(D13/(D11-D12),0)</f>
        <v>0</v>
      </c>
      <c r="E16" s="64">
        <f>IFERROR(E13/(E11-E12),0)</f>
        <v>0</v>
      </c>
      <c r="F16" s="64">
        <f>IFERROR(F13/(F11-F12),0)</f>
        <v>0</v>
      </c>
      <c r="G16" s="64">
        <f>IFERROR(G13/(G11-G12),0)</f>
        <v>0</v>
      </c>
      <c r="H16" s="64">
        <f t="shared" ref="H16:O16" si="5">IFERROR(H13/(H11-H12),0)</f>
        <v>0</v>
      </c>
      <c r="I16" s="64">
        <f t="shared" si="5"/>
        <v>0</v>
      </c>
      <c r="J16" s="64">
        <f t="shared" si="5"/>
        <v>0</v>
      </c>
      <c r="K16" s="64">
        <f t="shared" si="5"/>
        <v>0</v>
      </c>
      <c r="L16" s="64">
        <f t="shared" si="5"/>
        <v>0</v>
      </c>
      <c r="M16" s="64">
        <f t="shared" si="5"/>
        <v>0</v>
      </c>
      <c r="N16" s="225">
        <f t="shared" si="5"/>
        <v>0</v>
      </c>
      <c r="O16" s="66">
        <f t="shared" si="5"/>
        <v>0</v>
      </c>
    </row>
    <row r="17" spans="1:15" ht="15.75" thickBot="1" x14ac:dyDescent="0.3">
      <c r="L17" s="2">
        <v>0.5</v>
      </c>
    </row>
    <row r="18" spans="1:15" ht="15.75" thickBot="1" x14ac:dyDescent="0.3">
      <c r="A18" s="2"/>
      <c r="B18" s="2"/>
      <c r="C18" s="77" t="s">
        <v>6</v>
      </c>
      <c r="D18" s="78" t="s">
        <v>7</v>
      </c>
      <c r="E18" s="78" t="s">
        <v>8</v>
      </c>
      <c r="F18" s="78" t="s">
        <v>9</v>
      </c>
      <c r="G18" s="78" t="s">
        <v>10</v>
      </c>
      <c r="H18" s="78" t="s">
        <v>11</v>
      </c>
      <c r="I18" s="78" t="s">
        <v>12</v>
      </c>
      <c r="J18" s="78" t="s">
        <v>13</v>
      </c>
      <c r="K18" s="78" t="s">
        <v>14</v>
      </c>
      <c r="L18" s="78" t="s">
        <v>15</v>
      </c>
      <c r="M18" s="78" t="s">
        <v>16</v>
      </c>
      <c r="N18" s="79" t="s">
        <v>5</v>
      </c>
      <c r="O18" s="65" t="s">
        <v>647</v>
      </c>
    </row>
    <row r="19" spans="1:15" x14ac:dyDescent="0.25">
      <c r="A19" s="532" t="s">
        <v>678</v>
      </c>
      <c r="B19" s="72" t="s">
        <v>1503</v>
      </c>
      <c r="C19" s="58">
        <v>93394</v>
      </c>
      <c r="D19" s="59">
        <v>92279</v>
      </c>
      <c r="E19" s="59"/>
      <c r="F19" s="59"/>
      <c r="G19" s="59"/>
      <c r="H19" s="59"/>
      <c r="I19" s="59"/>
      <c r="J19" s="59"/>
      <c r="K19" s="59"/>
      <c r="L19" s="284"/>
      <c r="M19" s="284"/>
      <c r="N19" s="285"/>
      <c r="O19" s="75">
        <f>SUM(C19:N19)</f>
        <v>185673</v>
      </c>
    </row>
    <row r="20" spans="1:15" x14ac:dyDescent="0.25">
      <c r="A20" s="533"/>
      <c r="B20" s="73" t="s">
        <v>676</v>
      </c>
      <c r="C20" s="61">
        <f>Facturacion!X415</f>
        <v>0</v>
      </c>
      <c r="D20" s="57">
        <f>Facturacion!Y415</f>
        <v>0</v>
      </c>
      <c r="E20" s="57">
        <f>Facturacion!Z415</f>
        <v>0</v>
      </c>
      <c r="F20" s="57">
        <f>Facturacion!AA415</f>
        <v>0</v>
      </c>
      <c r="G20" s="57">
        <f>Facturacion!AB415</f>
        <v>0</v>
      </c>
      <c r="H20" s="57">
        <f>Facturacion!AC415</f>
        <v>0</v>
      </c>
      <c r="I20" s="57">
        <f>Facturacion!AD415</f>
        <v>0</v>
      </c>
      <c r="J20" s="57">
        <f>Facturacion!AE415</f>
        <v>0</v>
      </c>
      <c r="K20" s="57">
        <f>Facturacion!AF415</f>
        <v>0</v>
      </c>
      <c r="L20" s="57">
        <f>Facturacion!AG415</f>
        <v>0</v>
      </c>
      <c r="M20" s="57">
        <f>Facturacion!AH415</f>
        <v>0</v>
      </c>
      <c r="N20" s="57">
        <f>Facturacion!AI415</f>
        <v>0</v>
      </c>
      <c r="O20" s="76">
        <f>SUM(C20:N20)</f>
        <v>0</v>
      </c>
    </row>
    <row r="21" spans="1:15" x14ac:dyDescent="0.25">
      <c r="A21" s="533"/>
      <c r="B21" s="73" t="s">
        <v>675</v>
      </c>
      <c r="C21" s="62">
        <f>AutoConsumos!X413</f>
        <v>0</v>
      </c>
      <c r="D21" s="62">
        <f>AutoConsumos!Y413</f>
        <v>0</v>
      </c>
      <c r="E21" s="62">
        <f>AutoConsumos!Z413</f>
        <v>0</v>
      </c>
      <c r="F21" s="62">
        <f>AutoConsumos!AA413</f>
        <v>0</v>
      </c>
      <c r="G21" s="62">
        <f>AutoConsumos!AB413</f>
        <v>0</v>
      </c>
      <c r="H21" s="62">
        <f>AutoConsumos!AC413</f>
        <v>0</v>
      </c>
      <c r="I21" s="62">
        <f>AutoConsumos!AD413</f>
        <v>0</v>
      </c>
      <c r="J21" s="62">
        <f>AutoConsumos!AE413</f>
        <v>0</v>
      </c>
      <c r="K21" s="62">
        <f>AutoConsumos!AF413</f>
        <v>0</v>
      </c>
      <c r="L21" s="62">
        <f>AutoConsumos!AG413</f>
        <v>0</v>
      </c>
      <c r="M21" s="62">
        <f>AutoConsumos!AH413</f>
        <v>0</v>
      </c>
      <c r="N21" s="62">
        <f>AutoConsumos!AI413</f>
        <v>0</v>
      </c>
      <c r="O21" s="76">
        <f>SUM(C21:N21)</f>
        <v>0</v>
      </c>
    </row>
    <row r="22" spans="1:15" ht="15.75" thickBot="1" x14ac:dyDescent="0.3">
      <c r="A22" s="533"/>
      <c r="B22" s="74" t="s">
        <v>674</v>
      </c>
      <c r="C22" s="80">
        <f>IFERROR(C19-C20-C21,0)</f>
        <v>93394</v>
      </c>
      <c r="D22" s="81">
        <f t="shared" ref="D22:M22" si="6">IFERROR(D19-D20-D21,0)</f>
        <v>92279</v>
      </c>
      <c r="E22" s="81">
        <f t="shared" si="6"/>
        <v>0</v>
      </c>
      <c r="F22" s="81">
        <f t="shared" si="6"/>
        <v>0</v>
      </c>
      <c r="G22" s="81">
        <f t="shared" si="6"/>
        <v>0</v>
      </c>
      <c r="H22" s="81">
        <f t="shared" si="6"/>
        <v>0</v>
      </c>
      <c r="I22" s="81">
        <f t="shared" si="6"/>
        <v>0</v>
      </c>
      <c r="J22" s="81">
        <f t="shared" si="6"/>
        <v>0</v>
      </c>
      <c r="K22" s="81">
        <f>IFERROR(K19-K20-K21,0)</f>
        <v>0</v>
      </c>
      <c r="L22" s="81">
        <f>IFERROR(L19-L20-L21,0)</f>
        <v>0</v>
      </c>
      <c r="M22" s="81">
        <f t="shared" si="6"/>
        <v>0</v>
      </c>
      <c r="N22" s="81">
        <f>IFERROR(N19-N20-N21,0)</f>
        <v>0</v>
      </c>
      <c r="O22" s="76">
        <f>SUM(C22:N22)</f>
        <v>185673</v>
      </c>
    </row>
    <row r="23" spans="1:15" x14ac:dyDescent="0.25">
      <c r="A23" s="533"/>
      <c r="B23" s="68" t="s">
        <v>666</v>
      </c>
      <c r="C23" s="222">
        <f>IFERROR(C22/C19,0)</f>
        <v>1</v>
      </c>
      <c r="D23" s="223">
        <f>IFERROR(D22/D19,0)</f>
        <v>1</v>
      </c>
      <c r="E23" s="223">
        <f>IFERROR(E22/E19,0)</f>
        <v>0</v>
      </c>
      <c r="F23" s="223">
        <f t="shared" ref="F23:N23" si="7">IFERROR(F22/F19,0)</f>
        <v>0</v>
      </c>
      <c r="G23" s="223">
        <f t="shared" si="7"/>
        <v>0</v>
      </c>
      <c r="H23" s="223">
        <f t="shared" si="7"/>
        <v>0</v>
      </c>
      <c r="I23" s="223">
        <f t="shared" si="7"/>
        <v>0</v>
      </c>
      <c r="J23" s="223">
        <f t="shared" si="7"/>
        <v>0</v>
      </c>
      <c r="K23" s="223">
        <f t="shared" si="7"/>
        <v>0</v>
      </c>
      <c r="L23" s="223">
        <f t="shared" si="7"/>
        <v>0</v>
      </c>
      <c r="M23" s="223">
        <f t="shared" si="7"/>
        <v>0</v>
      </c>
      <c r="N23" s="224">
        <f t="shared" si="7"/>
        <v>0</v>
      </c>
      <c r="O23" s="67">
        <f>O22/O19</f>
        <v>1</v>
      </c>
    </row>
    <row r="24" spans="1:15" ht="15.75" thickBot="1" x14ac:dyDescent="0.3">
      <c r="A24" s="534"/>
      <c r="B24" s="69" t="s">
        <v>665</v>
      </c>
      <c r="C24" s="63">
        <f>IFERROR(C21/(C19-C20),0)</f>
        <v>0</v>
      </c>
      <c r="D24" s="64">
        <f>IFERROR(D21/(D19-D20),0)</f>
        <v>0</v>
      </c>
      <c r="E24" s="64">
        <f>IFERROR(E21/(E19-E20),0)</f>
        <v>0</v>
      </c>
      <c r="F24" s="64">
        <f>IFERROR(F21/(F19-F20),0)</f>
        <v>0</v>
      </c>
      <c r="G24" s="64">
        <f>IFERROR(G21/(G19-G20),0)</f>
        <v>0</v>
      </c>
      <c r="H24" s="64">
        <f t="shared" ref="H24:O24" si="8">IFERROR(H21/(H19-H20),0)</f>
        <v>0</v>
      </c>
      <c r="I24" s="64">
        <f t="shared" si="8"/>
        <v>0</v>
      </c>
      <c r="J24" s="64">
        <f t="shared" si="8"/>
        <v>0</v>
      </c>
      <c r="K24" s="64">
        <f t="shared" si="8"/>
        <v>0</v>
      </c>
      <c r="L24" s="64">
        <f t="shared" si="8"/>
        <v>0</v>
      </c>
      <c r="M24" s="64">
        <f t="shared" si="8"/>
        <v>0</v>
      </c>
      <c r="N24" s="225">
        <f t="shared" si="8"/>
        <v>0</v>
      </c>
      <c r="O24" s="66">
        <f t="shared" si="8"/>
        <v>0</v>
      </c>
    </row>
    <row r="25" spans="1:15" x14ac:dyDescent="0.25">
      <c r="B25" s="47"/>
      <c r="C25" s="48"/>
      <c r="D25" s="48"/>
      <c r="E25" s="48"/>
      <c r="F25" s="48"/>
      <c r="G25" s="48"/>
      <c r="H25" s="48"/>
      <c r="I25" s="337"/>
      <c r="J25" s="337"/>
      <c r="K25" s="337"/>
      <c r="L25" s="337"/>
      <c r="M25" s="337"/>
      <c r="N25" s="337"/>
      <c r="O25" s="48"/>
    </row>
    <row r="26" spans="1:15" ht="15.75" thickBot="1" x14ac:dyDescent="0.3">
      <c r="B26" s="47"/>
      <c r="C26" s="48"/>
      <c r="D26" s="48"/>
      <c r="E26" s="48"/>
      <c r="F26" s="48"/>
      <c r="G26" s="48"/>
      <c r="H26" s="48"/>
      <c r="I26" s="337"/>
      <c r="J26" s="337"/>
      <c r="K26" s="337"/>
      <c r="L26" s="337"/>
      <c r="M26" s="337"/>
      <c r="N26" s="337"/>
      <c r="O26" s="48"/>
    </row>
    <row r="27" spans="1:15" ht="15.75" thickBot="1" x14ac:dyDescent="0.3">
      <c r="B27" s="47"/>
      <c r="C27" s="301"/>
      <c r="D27" s="304" t="s">
        <v>1289</v>
      </c>
      <c r="E27" s="304" t="s">
        <v>1289</v>
      </c>
      <c r="F27" s="48"/>
      <c r="G27" s="48"/>
      <c r="H27" s="48"/>
      <c r="I27" s="337"/>
      <c r="J27" s="337"/>
      <c r="K27" s="337"/>
      <c r="L27" s="337"/>
      <c r="M27" s="337"/>
      <c r="N27" s="337"/>
      <c r="O27" s="48"/>
    </row>
    <row r="28" spans="1:15" ht="15.75" thickBot="1" x14ac:dyDescent="0.3">
      <c r="C28" s="302" t="s">
        <v>647</v>
      </c>
      <c r="D28" s="535" t="s">
        <v>1290</v>
      </c>
      <c r="E28" s="305" t="s">
        <v>1292</v>
      </c>
      <c r="F28" s="250"/>
    </row>
    <row r="29" spans="1:15" ht="15.75" thickBot="1" x14ac:dyDescent="0.3">
      <c r="C29" s="303"/>
      <c r="D29" s="536"/>
      <c r="E29" s="306" t="s">
        <v>1291</v>
      </c>
    </row>
    <row r="30" spans="1:15" x14ac:dyDescent="0.25">
      <c r="D30" s="226"/>
    </row>
    <row r="31" spans="1:15" x14ac:dyDescent="0.25">
      <c r="D31" s="226"/>
    </row>
  </sheetData>
  <mergeCells count="4">
    <mergeCell ref="A3:A8"/>
    <mergeCell ref="A11:A16"/>
    <mergeCell ref="A19:A24"/>
    <mergeCell ref="D28:D2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8" scale="86" orientation="landscape" r:id="rId1"/>
  <headerFooter>
    <oddHeader>&amp;F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K301"/>
  <sheetViews>
    <sheetView zoomScale="70" zoomScaleNormal="70" workbookViewId="0">
      <selection activeCell="G225" sqref="A2:G225"/>
    </sheetView>
  </sheetViews>
  <sheetFormatPr baseColWidth="10" defaultRowHeight="15" x14ac:dyDescent="0.25"/>
  <cols>
    <col min="1" max="1" width="16.7109375" bestFit="1" customWidth="1"/>
    <col min="2" max="2" width="29" bestFit="1" customWidth="1"/>
    <col min="3" max="3" width="11.28515625" bestFit="1" customWidth="1"/>
    <col min="4" max="4" width="19.42578125" style="2" customWidth="1"/>
    <col min="5" max="5" width="17.28515625" style="2" bestFit="1" customWidth="1"/>
    <col min="6" max="6" width="48.28515625" bestFit="1" customWidth="1"/>
    <col min="7" max="7" width="50.5703125" bestFit="1" customWidth="1"/>
    <col min="9" max="9" width="13.5703125" bestFit="1" customWidth="1"/>
  </cols>
  <sheetData>
    <row r="1" spans="1:11" x14ac:dyDescent="0.25">
      <c r="A1" s="2" t="s">
        <v>0</v>
      </c>
      <c r="B1" s="2" t="s">
        <v>18</v>
      </c>
      <c r="C1" s="2" t="s">
        <v>671</v>
      </c>
      <c r="D1" s="229" t="s">
        <v>1527</v>
      </c>
      <c r="E1" s="229" t="s">
        <v>1528</v>
      </c>
      <c r="F1" s="2" t="s">
        <v>1</v>
      </c>
      <c r="G1" s="2" t="s">
        <v>2</v>
      </c>
      <c r="I1" t="str">
        <f ca="1">CONCATENATE("15",RIGHT(TEXT(TODAY(),"dd/mm/aaaa"),8))</f>
        <v>15/06/2023</v>
      </c>
      <c r="J1" s="234">
        <f ca="1">EDATE(I1,1)</f>
        <v>45122</v>
      </c>
    </row>
    <row r="2" spans="1:11" ht="18.75" x14ac:dyDescent="0.25">
      <c r="A2" s="54" t="s">
        <v>1486</v>
      </c>
      <c r="B2" s="203" t="s">
        <v>1483</v>
      </c>
      <c r="C2" s="232">
        <v>0</v>
      </c>
      <c r="D2" s="260">
        <v>5355</v>
      </c>
      <c r="E2" s="44"/>
      <c r="F2" s="2" t="s">
        <v>376</v>
      </c>
      <c r="G2" s="2" t="s">
        <v>1636</v>
      </c>
    </row>
    <row r="3" spans="1:11" ht="18.75" x14ac:dyDescent="0.25">
      <c r="A3" s="54" t="s">
        <v>342</v>
      </c>
      <c r="B3" s="203" t="s">
        <v>1328</v>
      </c>
      <c r="C3" s="232">
        <v>0</v>
      </c>
      <c r="D3" s="340">
        <v>923254</v>
      </c>
      <c r="E3" s="44"/>
      <c r="F3" s="2" t="s">
        <v>378</v>
      </c>
      <c r="G3" s="2" t="s">
        <v>379</v>
      </c>
    </row>
    <row r="4" spans="1:11" ht="18.75" x14ac:dyDescent="0.25">
      <c r="A4" s="54" t="s">
        <v>310</v>
      </c>
      <c r="B4" s="203" t="s">
        <v>1396</v>
      </c>
      <c r="C4" s="232">
        <v>150</v>
      </c>
      <c r="D4" s="260">
        <v>36193</v>
      </c>
      <c r="E4" s="44"/>
      <c r="F4" s="2" t="s">
        <v>312</v>
      </c>
      <c r="G4" s="2" t="s">
        <v>313</v>
      </c>
      <c r="K4">
        <v>236</v>
      </c>
    </row>
    <row r="5" spans="1:11" ht="18.75" x14ac:dyDescent="0.25">
      <c r="A5" s="54" t="s">
        <v>318</v>
      </c>
      <c r="B5" s="203">
        <v>5900984</v>
      </c>
      <c r="C5" s="232">
        <v>1</v>
      </c>
      <c r="D5" s="340">
        <v>195598</v>
      </c>
      <c r="E5" s="44"/>
      <c r="F5" s="2" t="s">
        <v>328</v>
      </c>
      <c r="G5" s="2" t="s">
        <v>329</v>
      </c>
    </row>
    <row r="6" spans="1:11" ht="18.75" x14ac:dyDescent="0.25">
      <c r="A6" s="54" t="s">
        <v>318</v>
      </c>
      <c r="B6" s="203">
        <v>40564523</v>
      </c>
      <c r="C6" s="232">
        <v>1</v>
      </c>
      <c r="D6" s="260">
        <v>24131</v>
      </c>
      <c r="E6" s="44"/>
      <c r="F6" s="2" t="s">
        <v>331</v>
      </c>
      <c r="G6" s="2" t="s">
        <v>900</v>
      </c>
    </row>
    <row r="7" spans="1:11" ht="18.75" x14ac:dyDescent="0.25">
      <c r="A7" s="54" t="s">
        <v>318</v>
      </c>
      <c r="B7" s="203">
        <v>83363213</v>
      </c>
      <c r="C7" s="232">
        <v>39496</v>
      </c>
      <c r="D7" s="260">
        <v>185338</v>
      </c>
      <c r="E7" s="44"/>
      <c r="F7" s="2" t="s">
        <v>330</v>
      </c>
      <c r="G7" s="2" t="s">
        <v>902</v>
      </c>
    </row>
    <row r="8" spans="1:11" ht="18.75" x14ac:dyDescent="0.25">
      <c r="A8" s="54" t="s">
        <v>318</v>
      </c>
      <c r="B8" s="203" t="s">
        <v>416</v>
      </c>
      <c r="C8" s="232">
        <v>30000</v>
      </c>
      <c r="D8" s="260">
        <v>21298</v>
      </c>
      <c r="E8" s="44"/>
      <c r="F8" s="2" t="s">
        <v>450</v>
      </c>
      <c r="G8" s="2" t="s">
        <v>806</v>
      </c>
      <c r="I8" s="47" t="s">
        <v>1420</v>
      </c>
    </row>
    <row r="9" spans="1:11" ht="18.75" x14ac:dyDescent="0.25">
      <c r="A9" s="54" t="s">
        <v>318</v>
      </c>
      <c r="B9" s="203" t="s">
        <v>1226</v>
      </c>
      <c r="C9" s="232">
        <v>30000</v>
      </c>
      <c r="D9" s="260">
        <v>104039</v>
      </c>
      <c r="E9" s="44"/>
      <c r="F9" s="2" t="s">
        <v>446</v>
      </c>
      <c r="G9" s="2" t="s">
        <v>899</v>
      </c>
      <c r="I9" s="47" t="s">
        <v>1441</v>
      </c>
    </row>
    <row r="10" spans="1:11" ht="18.75" x14ac:dyDescent="0.25">
      <c r="A10" s="54" t="s">
        <v>318</v>
      </c>
      <c r="B10" s="203" t="s">
        <v>340</v>
      </c>
      <c r="C10" s="232">
        <v>39270</v>
      </c>
      <c r="D10" s="260">
        <v>115474</v>
      </c>
      <c r="E10" s="44"/>
      <c r="F10" s="2" t="s">
        <v>341</v>
      </c>
      <c r="G10" s="2" t="s">
        <v>1598</v>
      </c>
      <c r="I10" s="234"/>
    </row>
    <row r="11" spans="1:11" ht="18.75" x14ac:dyDescent="0.25">
      <c r="A11" s="54" t="s">
        <v>318</v>
      </c>
      <c r="B11" s="203" t="s">
        <v>1310</v>
      </c>
      <c r="C11" s="232">
        <v>39397</v>
      </c>
      <c r="D11" s="260">
        <v>27207</v>
      </c>
      <c r="E11" s="44"/>
      <c r="F11" s="2" t="s">
        <v>1417</v>
      </c>
      <c r="G11" s="2" t="s">
        <v>1596</v>
      </c>
      <c r="I11" s="271"/>
    </row>
    <row r="12" spans="1:11" ht="18.75" x14ac:dyDescent="0.25">
      <c r="A12" s="54" t="s">
        <v>318</v>
      </c>
      <c r="B12" s="259" t="s">
        <v>1551</v>
      </c>
      <c r="C12" s="232">
        <v>39456</v>
      </c>
      <c r="D12" s="260">
        <v>26599</v>
      </c>
      <c r="E12" s="44"/>
      <c r="F12" s="2" t="s">
        <v>1552</v>
      </c>
      <c r="G12" s="2" t="s">
        <v>1602</v>
      </c>
    </row>
    <row r="13" spans="1:11" ht="18.75" x14ac:dyDescent="0.25">
      <c r="A13" s="54" t="s">
        <v>318</v>
      </c>
      <c r="B13" s="203" t="s">
        <v>337</v>
      </c>
      <c r="C13" s="232">
        <v>39358</v>
      </c>
      <c r="D13" s="341">
        <v>119388</v>
      </c>
      <c r="E13" s="44"/>
      <c r="F13" s="2" t="s">
        <v>338</v>
      </c>
      <c r="G13" s="2" t="s">
        <v>1599</v>
      </c>
      <c r="I13" s="234"/>
    </row>
    <row r="14" spans="1:11" ht="18.75" x14ac:dyDescent="0.25">
      <c r="A14" s="54" t="s">
        <v>318</v>
      </c>
      <c r="B14" s="203" t="s">
        <v>1235</v>
      </c>
      <c r="C14" s="232">
        <v>39684</v>
      </c>
      <c r="D14" s="260">
        <v>3878</v>
      </c>
      <c r="E14" s="44"/>
      <c r="F14" s="2" t="s">
        <v>1249</v>
      </c>
      <c r="G14" s="2" t="s">
        <v>1597</v>
      </c>
      <c r="H14" s="234"/>
      <c r="J14" s="234"/>
    </row>
    <row r="15" spans="1:11" ht="18.75" x14ac:dyDescent="0.25">
      <c r="A15" s="54" t="s">
        <v>318</v>
      </c>
      <c r="B15" s="240" t="s">
        <v>112</v>
      </c>
      <c r="C15" s="232">
        <v>140</v>
      </c>
      <c r="D15" s="260">
        <v>49267</v>
      </c>
      <c r="E15" s="44"/>
      <c r="F15" s="2" t="s">
        <v>1539</v>
      </c>
      <c r="G15" s="2" t="s">
        <v>1600</v>
      </c>
    </row>
    <row r="16" spans="1:11" ht="18.75" x14ac:dyDescent="0.25">
      <c r="A16" s="54" t="s">
        <v>318</v>
      </c>
      <c r="B16" s="203" t="s">
        <v>415</v>
      </c>
      <c r="C16" s="232">
        <v>30000</v>
      </c>
      <c r="D16" s="260">
        <v>14127</v>
      </c>
      <c r="E16" s="44"/>
      <c r="F16" s="2" t="s">
        <v>805</v>
      </c>
      <c r="G16" s="2" t="s">
        <v>806</v>
      </c>
      <c r="I16" s="237"/>
      <c r="J16" s="237"/>
      <c r="K16" s="237"/>
    </row>
    <row r="17" spans="1:9" ht="18.75" x14ac:dyDescent="0.25">
      <c r="A17" s="54" t="s">
        <v>318</v>
      </c>
      <c r="B17" s="203" t="s">
        <v>1194</v>
      </c>
      <c r="C17" s="232">
        <v>121</v>
      </c>
      <c r="D17" s="260">
        <v>12645462</v>
      </c>
      <c r="E17" s="44"/>
      <c r="F17" s="2" t="s">
        <v>319</v>
      </c>
      <c r="G17" s="2" t="s">
        <v>320</v>
      </c>
    </row>
    <row r="18" spans="1:9" ht="18.75" x14ac:dyDescent="0.25">
      <c r="A18" s="54" t="s">
        <v>318</v>
      </c>
      <c r="B18" s="203" t="s">
        <v>1104</v>
      </c>
      <c r="C18" s="232">
        <v>110</v>
      </c>
      <c r="D18" s="260">
        <v>2700558</v>
      </c>
      <c r="E18" s="44"/>
      <c r="F18" s="2" t="s">
        <v>1093</v>
      </c>
      <c r="G18" s="2" t="s">
        <v>1514</v>
      </c>
    </row>
    <row r="19" spans="1:9" ht="18.75" x14ac:dyDescent="0.25">
      <c r="A19" s="54" t="s">
        <v>318</v>
      </c>
      <c r="B19" s="203" t="s">
        <v>1197</v>
      </c>
      <c r="C19" s="232">
        <v>110</v>
      </c>
      <c r="D19" s="260">
        <v>4298530</v>
      </c>
      <c r="E19" s="44"/>
      <c r="F19" s="2" t="s">
        <v>1097</v>
      </c>
      <c r="G19" s="2" t="s">
        <v>1588</v>
      </c>
    </row>
    <row r="20" spans="1:9" ht="18.75" x14ac:dyDescent="0.25">
      <c r="A20" s="54" t="s">
        <v>318</v>
      </c>
      <c r="B20" s="203" t="s">
        <v>1087</v>
      </c>
      <c r="C20" s="232">
        <v>140</v>
      </c>
      <c r="D20" s="260">
        <v>483903</v>
      </c>
      <c r="E20" s="44"/>
      <c r="F20" s="2" t="s">
        <v>1085</v>
      </c>
      <c r="G20" s="2" t="s">
        <v>1589</v>
      </c>
    </row>
    <row r="21" spans="1:9" ht="18.75" x14ac:dyDescent="0.25">
      <c r="A21" s="54" t="s">
        <v>318</v>
      </c>
      <c r="B21" s="203" t="s">
        <v>1196</v>
      </c>
      <c r="C21" s="232">
        <v>110</v>
      </c>
      <c r="D21" s="260">
        <v>1229420</v>
      </c>
      <c r="E21" s="44"/>
      <c r="F21" s="2" t="s">
        <v>1096</v>
      </c>
      <c r="G21" s="2" t="s">
        <v>1590</v>
      </c>
      <c r="I21" s="234">
        <f ca="1">TODAY()</f>
        <v>45091</v>
      </c>
    </row>
    <row r="22" spans="1:9" ht="18.75" x14ac:dyDescent="0.25">
      <c r="A22" s="54" t="s">
        <v>318</v>
      </c>
      <c r="B22" s="203" t="s">
        <v>1103</v>
      </c>
      <c r="C22" s="232">
        <v>110</v>
      </c>
      <c r="D22" s="260">
        <v>2004008</v>
      </c>
      <c r="E22" s="44"/>
      <c r="F22" s="2" t="s">
        <v>1092</v>
      </c>
      <c r="G22" s="2" t="s">
        <v>1591</v>
      </c>
    </row>
    <row r="23" spans="1:9" ht="18.75" x14ac:dyDescent="0.25">
      <c r="A23" s="54" t="s">
        <v>318</v>
      </c>
      <c r="B23" s="203" t="s">
        <v>1105</v>
      </c>
      <c r="C23" s="232">
        <v>39648</v>
      </c>
      <c r="D23" s="260">
        <v>3658554</v>
      </c>
      <c r="E23" s="44"/>
      <c r="F23" s="2" t="s">
        <v>1204</v>
      </c>
      <c r="G23" s="2" t="s">
        <v>1592</v>
      </c>
    </row>
    <row r="24" spans="1:9" ht="18.75" x14ac:dyDescent="0.25">
      <c r="A24" s="54" t="s">
        <v>318</v>
      </c>
      <c r="B24" s="203" t="s">
        <v>1102</v>
      </c>
      <c r="C24" s="232">
        <v>39241</v>
      </c>
      <c r="D24" s="260">
        <v>7420672</v>
      </c>
      <c r="E24" s="44"/>
      <c r="F24" s="2" t="s">
        <v>1205</v>
      </c>
      <c r="G24" s="2" t="s">
        <v>1593</v>
      </c>
    </row>
    <row r="25" spans="1:9" ht="18.75" x14ac:dyDescent="0.25">
      <c r="A25" s="54" t="s">
        <v>318</v>
      </c>
      <c r="B25" s="203" t="s">
        <v>1101</v>
      </c>
      <c r="C25" s="232">
        <v>110</v>
      </c>
      <c r="D25" s="260">
        <v>585138</v>
      </c>
      <c r="E25" s="44"/>
      <c r="F25" s="2" t="s">
        <v>1095</v>
      </c>
      <c r="G25" s="2" t="s">
        <v>1515</v>
      </c>
    </row>
    <row r="26" spans="1:9" ht="18.75" x14ac:dyDescent="0.25">
      <c r="A26" s="54" t="s">
        <v>318</v>
      </c>
      <c r="B26" s="203" t="s">
        <v>1198</v>
      </c>
      <c r="C26" s="232">
        <v>110</v>
      </c>
      <c r="D26" s="260">
        <v>947351</v>
      </c>
      <c r="E26" s="44"/>
      <c r="F26" s="2" t="s">
        <v>1098</v>
      </c>
      <c r="G26" s="2" t="s">
        <v>1594</v>
      </c>
    </row>
    <row r="27" spans="1:9" ht="18.75" x14ac:dyDescent="0.25">
      <c r="A27" s="54" t="s">
        <v>318</v>
      </c>
      <c r="B27" s="203" t="s">
        <v>1195</v>
      </c>
      <c r="C27" s="232">
        <v>39241</v>
      </c>
      <c r="D27" s="260">
        <v>4637200</v>
      </c>
      <c r="E27" s="44"/>
      <c r="F27" s="2" t="s">
        <v>1206</v>
      </c>
      <c r="G27" s="2" t="s">
        <v>1516</v>
      </c>
    </row>
    <row r="28" spans="1:9" ht="18.75" x14ac:dyDescent="0.25">
      <c r="A28" s="54" t="s">
        <v>318</v>
      </c>
      <c r="B28" s="203" t="s">
        <v>1086</v>
      </c>
      <c r="C28" s="232">
        <v>140</v>
      </c>
      <c r="D28" s="260">
        <v>157572</v>
      </c>
      <c r="E28" s="44"/>
      <c r="F28" s="2" t="s">
        <v>1084</v>
      </c>
      <c r="G28" s="2" t="s">
        <v>1595</v>
      </c>
    </row>
    <row r="29" spans="1:9" ht="18.75" x14ac:dyDescent="0.25">
      <c r="A29" s="54" t="s">
        <v>318</v>
      </c>
      <c r="B29" s="203" t="s">
        <v>1100</v>
      </c>
      <c r="C29" s="232">
        <v>110</v>
      </c>
      <c r="D29" s="260">
        <v>437029</v>
      </c>
      <c r="E29" s="44"/>
      <c r="F29" s="2" t="s">
        <v>1094</v>
      </c>
      <c r="G29" s="2" t="s">
        <v>1517</v>
      </c>
    </row>
    <row r="30" spans="1:9" ht="18.75" x14ac:dyDescent="0.25">
      <c r="A30" s="54" t="s">
        <v>318</v>
      </c>
      <c r="B30" s="203" t="s">
        <v>1316</v>
      </c>
      <c r="C30" s="232">
        <v>140</v>
      </c>
      <c r="D30" s="260">
        <v>64115</v>
      </c>
      <c r="E30" s="44"/>
      <c r="F30" s="2" t="s">
        <v>1181</v>
      </c>
      <c r="G30" s="2" t="s">
        <v>1518</v>
      </c>
    </row>
    <row r="31" spans="1:9" ht="18.75" x14ac:dyDescent="0.25">
      <c r="A31" s="54" t="s">
        <v>318</v>
      </c>
      <c r="B31" s="259" t="s">
        <v>1317</v>
      </c>
      <c r="C31" s="232">
        <v>39648</v>
      </c>
      <c r="D31" s="260">
        <v>155382</v>
      </c>
      <c r="E31" s="44"/>
      <c r="F31" s="2" t="s">
        <v>1203</v>
      </c>
      <c r="G31" s="2" t="s">
        <v>1519</v>
      </c>
    </row>
    <row r="32" spans="1:9" ht="18.75" x14ac:dyDescent="0.25">
      <c r="A32" s="54" t="s">
        <v>318</v>
      </c>
      <c r="B32" s="203" t="s">
        <v>1542</v>
      </c>
      <c r="C32" s="232">
        <v>39343</v>
      </c>
      <c r="D32" s="260">
        <v>9892</v>
      </c>
      <c r="E32" s="44"/>
      <c r="F32" s="2" t="s">
        <v>1541</v>
      </c>
      <c r="G32" s="2" t="s">
        <v>1601</v>
      </c>
    </row>
    <row r="33" spans="1:7" ht="18.75" x14ac:dyDescent="0.25">
      <c r="A33" s="54" t="s">
        <v>318</v>
      </c>
      <c r="B33" s="203" t="s">
        <v>334</v>
      </c>
      <c r="C33" s="232">
        <v>1</v>
      </c>
      <c r="D33" s="260">
        <v>2515</v>
      </c>
      <c r="E33" s="44"/>
      <c r="F33" s="2" t="s">
        <v>335</v>
      </c>
      <c r="G33" s="2" t="s">
        <v>998</v>
      </c>
    </row>
    <row r="34" spans="1:7" ht="18.75" x14ac:dyDescent="0.25">
      <c r="A34" s="54" t="s">
        <v>318</v>
      </c>
      <c r="B34" s="240" t="s">
        <v>1331</v>
      </c>
      <c r="C34" s="232">
        <v>140</v>
      </c>
      <c r="D34" s="260">
        <v>4228</v>
      </c>
      <c r="E34" s="44"/>
      <c r="F34" s="2" t="s">
        <v>332</v>
      </c>
      <c r="G34" s="2" t="s">
        <v>1022</v>
      </c>
    </row>
    <row r="35" spans="1:7" ht="18.75" x14ac:dyDescent="0.25">
      <c r="A35" s="54" t="s">
        <v>318</v>
      </c>
      <c r="B35" s="203" t="s">
        <v>1625</v>
      </c>
      <c r="C35" s="232">
        <v>0</v>
      </c>
      <c r="D35" s="260">
        <v>44301270</v>
      </c>
      <c r="E35" s="44"/>
      <c r="F35" s="2" t="s">
        <v>1623</v>
      </c>
      <c r="G35" s="2"/>
    </row>
    <row r="36" spans="1:7" ht="18.75" x14ac:dyDescent="0.25">
      <c r="A36" s="54" t="s">
        <v>318</v>
      </c>
      <c r="B36" s="203" t="s">
        <v>1622</v>
      </c>
      <c r="C36" s="232">
        <v>0</v>
      </c>
      <c r="D36" s="260">
        <v>40267099</v>
      </c>
      <c r="E36" s="44"/>
      <c r="F36" s="2" t="s">
        <v>1623</v>
      </c>
      <c r="G36" s="2"/>
    </row>
    <row r="37" spans="1:7" ht="18.75" x14ac:dyDescent="0.25">
      <c r="A37" s="54" t="s">
        <v>680</v>
      </c>
      <c r="B37" s="203" t="s">
        <v>1148</v>
      </c>
      <c r="C37" s="232">
        <v>150</v>
      </c>
      <c r="D37" s="260">
        <v>21959</v>
      </c>
      <c r="E37" s="44"/>
      <c r="F37" s="2" t="s">
        <v>21</v>
      </c>
      <c r="G37" s="2" t="s">
        <v>20</v>
      </c>
    </row>
    <row r="38" spans="1:7" ht="18.75" x14ac:dyDescent="0.25">
      <c r="A38" s="54" t="s">
        <v>22</v>
      </c>
      <c r="B38" s="203">
        <v>500018</v>
      </c>
      <c r="C38" s="232">
        <v>39331</v>
      </c>
      <c r="D38" s="260">
        <v>42866</v>
      </c>
      <c r="E38" s="44"/>
      <c r="F38" s="2" t="s">
        <v>1374</v>
      </c>
      <c r="G38" s="2" t="s">
        <v>894</v>
      </c>
    </row>
    <row r="39" spans="1:7" ht="18.75" x14ac:dyDescent="0.25">
      <c r="A39" s="54" t="s">
        <v>22</v>
      </c>
      <c r="B39" s="203">
        <v>18506393</v>
      </c>
      <c r="C39" s="232">
        <v>39416</v>
      </c>
      <c r="D39" s="260">
        <v>172271</v>
      </c>
      <c r="E39" s="44"/>
      <c r="F39" s="2" t="s">
        <v>1374</v>
      </c>
      <c r="G39" s="2" t="s">
        <v>895</v>
      </c>
    </row>
    <row r="40" spans="1:7" ht="18.75" x14ac:dyDescent="0.25">
      <c r="A40" s="54" t="s">
        <v>22</v>
      </c>
      <c r="B40" s="203" t="s">
        <v>30</v>
      </c>
      <c r="C40" s="232">
        <v>39430</v>
      </c>
      <c r="D40" s="260">
        <v>697032</v>
      </c>
      <c r="E40" s="44"/>
      <c r="F40" s="2" t="s">
        <v>1374</v>
      </c>
      <c r="G40" s="2" t="s">
        <v>896</v>
      </c>
    </row>
    <row r="41" spans="1:7" ht="18.75" x14ac:dyDescent="0.25">
      <c r="A41" s="54" t="s">
        <v>22</v>
      </c>
      <c r="B41" s="203" t="s">
        <v>25</v>
      </c>
      <c r="C41" s="232">
        <v>39638</v>
      </c>
      <c r="D41" s="260">
        <v>672052</v>
      </c>
      <c r="E41" s="44"/>
      <c r="F41" s="2" t="s">
        <v>1374</v>
      </c>
      <c r="G41" s="2" t="s">
        <v>897</v>
      </c>
    </row>
    <row r="42" spans="1:7" ht="18.75" x14ac:dyDescent="0.25">
      <c r="A42" s="54" t="s">
        <v>22</v>
      </c>
      <c r="B42" s="203" t="s">
        <v>27</v>
      </c>
      <c r="C42" s="232">
        <v>39426</v>
      </c>
      <c r="D42" s="260">
        <v>1007416</v>
      </c>
      <c r="E42" s="44"/>
      <c r="F42" s="2" t="s">
        <v>1374</v>
      </c>
      <c r="G42" s="2" t="s">
        <v>898</v>
      </c>
    </row>
    <row r="43" spans="1:7" ht="18.75" x14ac:dyDescent="0.25">
      <c r="A43" s="54" t="s">
        <v>32</v>
      </c>
      <c r="B43" s="240">
        <v>5215981</v>
      </c>
      <c r="C43" s="232">
        <v>39334</v>
      </c>
      <c r="D43" s="260">
        <v>428144</v>
      </c>
      <c r="E43" s="44"/>
      <c r="F43" s="2" t="s">
        <v>1374</v>
      </c>
      <c r="G43" s="2" t="s">
        <v>33</v>
      </c>
    </row>
    <row r="44" spans="1:7" ht="18.75" x14ac:dyDescent="0.25">
      <c r="A44" s="54" t="s">
        <v>32</v>
      </c>
      <c r="B44" s="203">
        <v>55158086</v>
      </c>
      <c r="C44" s="232">
        <v>39495</v>
      </c>
      <c r="D44" s="260">
        <v>8598</v>
      </c>
      <c r="E44" s="44"/>
      <c r="F44" s="2" t="s">
        <v>1374</v>
      </c>
      <c r="G44" s="2" t="s">
        <v>34</v>
      </c>
    </row>
    <row r="45" spans="1:7" ht="18.75" x14ac:dyDescent="0.25">
      <c r="A45" s="54" t="s">
        <v>36</v>
      </c>
      <c r="B45" s="203" t="s">
        <v>1358</v>
      </c>
      <c r="C45" s="232">
        <v>39333</v>
      </c>
      <c r="D45" s="260">
        <v>8772</v>
      </c>
      <c r="E45" s="44"/>
      <c r="F45" s="2" t="s">
        <v>1374</v>
      </c>
      <c r="G45" s="2" t="s">
        <v>38</v>
      </c>
    </row>
    <row r="46" spans="1:7" ht="18.75" x14ac:dyDescent="0.25">
      <c r="A46" s="54" t="s">
        <v>36</v>
      </c>
      <c r="B46" s="203" t="s">
        <v>1355</v>
      </c>
      <c r="C46" s="232">
        <v>132</v>
      </c>
      <c r="D46" s="260">
        <v>52587</v>
      </c>
      <c r="E46" s="44"/>
      <c r="F46" s="2" t="s">
        <v>829</v>
      </c>
      <c r="G46" s="2" t="s">
        <v>38</v>
      </c>
    </row>
    <row r="47" spans="1:7" ht="18.75" x14ac:dyDescent="0.25">
      <c r="A47" s="54" t="s">
        <v>36</v>
      </c>
      <c r="B47" s="203" t="s">
        <v>41</v>
      </c>
      <c r="C47" s="232">
        <v>39014</v>
      </c>
      <c r="D47" s="260">
        <v>112873</v>
      </c>
      <c r="E47" s="44"/>
      <c r="F47" s="2" t="s">
        <v>1374</v>
      </c>
      <c r="G47" s="2" t="s">
        <v>38</v>
      </c>
    </row>
    <row r="48" spans="1:7" ht="18.75" x14ac:dyDescent="0.25">
      <c r="A48" s="54" t="s">
        <v>36</v>
      </c>
      <c r="B48" s="203" t="s">
        <v>37</v>
      </c>
      <c r="C48" s="232">
        <v>39417</v>
      </c>
      <c r="D48" s="260">
        <v>719631</v>
      </c>
      <c r="E48" s="44"/>
      <c r="F48" s="2" t="s">
        <v>1374</v>
      </c>
      <c r="G48" s="2" t="s">
        <v>38</v>
      </c>
    </row>
    <row r="49" spans="1:7" ht="18.75" x14ac:dyDescent="0.25">
      <c r="A49" s="54" t="s">
        <v>46</v>
      </c>
      <c r="B49" s="203">
        <v>5130043</v>
      </c>
      <c r="C49" s="232">
        <v>150</v>
      </c>
      <c r="D49" s="260">
        <v>0</v>
      </c>
      <c r="E49" s="44"/>
      <c r="F49" s="2" t="s">
        <v>48</v>
      </c>
      <c r="G49" s="2" t="s">
        <v>49</v>
      </c>
    </row>
    <row r="50" spans="1:7" ht="18.75" x14ac:dyDescent="0.25">
      <c r="A50" s="54" t="s">
        <v>46</v>
      </c>
      <c r="B50" s="203">
        <v>142100532</v>
      </c>
      <c r="C50" s="232">
        <v>39712</v>
      </c>
      <c r="D50" s="260">
        <v>80</v>
      </c>
      <c r="E50" s="44"/>
      <c r="F50" s="2" t="s">
        <v>145</v>
      </c>
      <c r="G50" s="2" t="s">
        <v>1693</v>
      </c>
    </row>
    <row r="51" spans="1:7" ht="18.75" x14ac:dyDescent="0.25">
      <c r="A51" s="54" t="s">
        <v>46</v>
      </c>
      <c r="B51" s="203">
        <v>717084013</v>
      </c>
      <c r="C51" s="232">
        <v>141</v>
      </c>
      <c r="D51" s="260">
        <v>132296</v>
      </c>
      <c r="E51" s="44"/>
      <c r="F51" s="2" t="s">
        <v>887</v>
      </c>
      <c r="G51" s="2" t="s">
        <v>47</v>
      </c>
    </row>
    <row r="52" spans="1:7" ht="18.75" x14ac:dyDescent="0.25">
      <c r="A52" s="54" t="s">
        <v>46</v>
      </c>
      <c r="B52" s="203" t="s">
        <v>713</v>
      </c>
      <c r="C52" s="232">
        <v>30000</v>
      </c>
      <c r="D52" s="260">
        <v>237670</v>
      </c>
      <c r="E52" s="44"/>
      <c r="F52" s="2" t="s">
        <v>1318</v>
      </c>
      <c r="G52" s="2" t="s">
        <v>1319</v>
      </c>
    </row>
    <row r="53" spans="1:7" ht="18.75" x14ac:dyDescent="0.25">
      <c r="A53" s="54" t="s">
        <v>46</v>
      </c>
      <c r="B53" s="203" t="s">
        <v>1176</v>
      </c>
      <c r="C53" s="232">
        <v>39328</v>
      </c>
      <c r="D53" s="260">
        <v>247455</v>
      </c>
      <c r="E53" s="44"/>
      <c r="F53" s="2" t="s">
        <v>145</v>
      </c>
      <c r="G53" s="2" t="s">
        <v>54</v>
      </c>
    </row>
    <row r="54" spans="1:7" ht="18.75" x14ac:dyDescent="0.25">
      <c r="A54" s="54" t="s">
        <v>46</v>
      </c>
      <c r="B54" s="203" t="s">
        <v>1177</v>
      </c>
      <c r="C54" s="232">
        <v>39326</v>
      </c>
      <c r="D54" s="260">
        <v>179054</v>
      </c>
      <c r="E54" s="44"/>
      <c r="F54" s="2" t="s">
        <v>145</v>
      </c>
      <c r="G54" s="2" t="s">
        <v>53</v>
      </c>
    </row>
    <row r="55" spans="1:7" ht="18.75" x14ac:dyDescent="0.25">
      <c r="A55" s="54" t="s">
        <v>46</v>
      </c>
      <c r="B55" s="203" t="s">
        <v>1641</v>
      </c>
      <c r="C55" s="232">
        <v>39325</v>
      </c>
      <c r="D55" s="260">
        <v>81759</v>
      </c>
      <c r="E55" s="44"/>
      <c r="F55" s="2" t="s">
        <v>145</v>
      </c>
      <c r="G55" s="2" t="s">
        <v>52</v>
      </c>
    </row>
    <row r="56" spans="1:7" ht="18.75" x14ac:dyDescent="0.25">
      <c r="A56" s="54" t="s">
        <v>46</v>
      </c>
      <c r="B56" s="203" t="s">
        <v>1701</v>
      </c>
      <c r="C56" s="232">
        <v>142</v>
      </c>
      <c r="D56" s="260">
        <v>0</v>
      </c>
      <c r="E56" s="44"/>
      <c r="F56" s="2" t="s">
        <v>778</v>
      </c>
      <c r="G56" s="2" t="s">
        <v>1329</v>
      </c>
    </row>
    <row r="57" spans="1:7" ht="18.75" x14ac:dyDescent="0.25">
      <c r="A57" s="54" t="s">
        <v>46</v>
      </c>
      <c r="B57" s="203" t="s">
        <v>1698</v>
      </c>
      <c r="C57" s="232">
        <v>131</v>
      </c>
      <c r="D57" s="260">
        <v>0</v>
      </c>
      <c r="E57" s="44"/>
      <c r="F57" s="2" t="s">
        <v>440</v>
      </c>
      <c r="G57" s="2" t="s">
        <v>47</v>
      </c>
    </row>
    <row r="58" spans="1:7" ht="18.75" x14ac:dyDescent="0.25">
      <c r="A58" s="54" t="s">
        <v>419</v>
      </c>
      <c r="B58" s="240">
        <v>141201860</v>
      </c>
      <c r="C58" s="235">
        <v>39708</v>
      </c>
      <c r="D58" s="260">
        <v>99</v>
      </c>
      <c r="E58" s="44"/>
      <c r="F58" s="2" t="s">
        <v>1638</v>
      </c>
      <c r="G58" s="2" t="s">
        <v>1639</v>
      </c>
    </row>
    <row r="59" spans="1:7" ht="18.75" x14ac:dyDescent="0.25">
      <c r="A59" s="54" t="s">
        <v>419</v>
      </c>
      <c r="B59" s="203" t="s">
        <v>1132</v>
      </c>
      <c r="C59" s="232">
        <v>140</v>
      </c>
      <c r="D59" s="260">
        <v>5053077</v>
      </c>
      <c r="E59" s="44"/>
      <c r="F59" s="2" t="s">
        <v>770</v>
      </c>
      <c r="G59" s="2" t="s">
        <v>420</v>
      </c>
    </row>
    <row r="60" spans="1:7" ht="18.75" x14ac:dyDescent="0.25">
      <c r="A60" s="54" t="s">
        <v>55</v>
      </c>
      <c r="B60" s="203">
        <v>717083052</v>
      </c>
      <c r="C60" s="232">
        <v>140</v>
      </c>
      <c r="D60" s="260">
        <v>39441</v>
      </c>
      <c r="E60" s="44"/>
      <c r="F60" s="2" t="s">
        <v>858</v>
      </c>
      <c r="G60" s="2" t="s">
        <v>930</v>
      </c>
    </row>
    <row r="61" spans="1:7" ht="18.75" x14ac:dyDescent="0.25">
      <c r="A61" s="54" t="s">
        <v>55</v>
      </c>
      <c r="B61" s="203">
        <v>717083063</v>
      </c>
      <c r="C61" s="232">
        <v>131</v>
      </c>
      <c r="D61" s="260">
        <v>35993</v>
      </c>
      <c r="E61" s="44"/>
      <c r="F61" s="2" t="s">
        <v>856</v>
      </c>
      <c r="G61" s="2" t="s">
        <v>931</v>
      </c>
    </row>
    <row r="62" spans="1:7" ht="18.75" x14ac:dyDescent="0.25">
      <c r="A62" s="54" t="s">
        <v>55</v>
      </c>
      <c r="B62" s="203">
        <v>717084017</v>
      </c>
      <c r="C62" s="232">
        <v>140</v>
      </c>
      <c r="D62" s="341">
        <v>311111</v>
      </c>
      <c r="E62" s="44"/>
      <c r="F62" s="2" t="s">
        <v>924</v>
      </c>
      <c r="G62" s="2" t="s">
        <v>925</v>
      </c>
    </row>
    <row r="63" spans="1:7" ht="18.75" x14ac:dyDescent="0.25">
      <c r="A63" s="54" t="s">
        <v>55</v>
      </c>
      <c r="B63" s="203">
        <v>717084039</v>
      </c>
      <c r="C63" s="232">
        <v>140</v>
      </c>
      <c r="D63" s="260">
        <v>72763</v>
      </c>
      <c r="E63" s="44"/>
      <c r="F63" s="2" t="s">
        <v>857</v>
      </c>
      <c r="G63" s="2" t="s">
        <v>932</v>
      </c>
    </row>
    <row r="64" spans="1:7" ht="18.75" x14ac:dyDescent="0.25">
      <c r="A64" s="54" t="s">
        <v>55</v>
      </c>
      <c r="B64" s="203">
        <v>717093061</v>
      </c>
      <c r="C64" s="232">
        <v>140</v>
      </c>
      <c r="D64" s="260">
        <v>226425</v>
      </c>
      <c r="E64" s="44"/>
      <c r="F64" s="2" t="s">
        <v>422</v>
      </c>
      <c r="G64" s="2" t="s">
        <v>926</v>
      </c>
    </row>
    <row r="65" spans="1:7" ht="18.75" x14ac:dyDescent="0.25">
      <c r="A65" s="54" t="s">
        <v>55</v>
      </c>
      <c r="B65" s="203" t="s">
        <v>1658</v>
      </c>
      <c r="C65" s="232">
        <v>140</v>
      </c>
      <c r="D65" s="260">
        <v>349</v>
      </c>
      <c r="E65" s="44"/>
      <c r="F65" s="2" t="s">
        <v>1659</v>
      </c>
      <c r="G65" s="2" t="s">
        <v>1660</v>
      </c>
    </row>
    <row r="66" spans="1:7" ht="18.75" x14ac:dyDescent="0.25">
      <c r="A66" s="54" t="s">
        <v>55</v>
      </c>
      <c r="B66" s="203" t="s">
        <v>56</v>
      </c>
      <c r="C66" s="232">
        <v>39254</v>
      </c>
      <c r="D66" s="260">
        <v>131022</v>
      </c>
      <c r="E66" s="44"/>
      <c r="F66" s="2" t="s">
        <v>57</v>
      </c>
      <c r="G66" s="2" t="s">
        <v>58</v>
      </c>
    </row>
    <row r="67" spans="1:7" ht="18.75" x14ac:dyDescent="0.25">
      <c r="A67" s="54" t="s">
        <v>55</v>
      </c>
      <c r="B67" s="203" t="s">
        <v>66</v>
      </c>
      <c r="C67" s="232">
        <v>150</v>
      </c>
      <c r="D67" s="260">
        <v>591029</v>
      </c>
      <c r="E67" s="44"/>
      <c r="F67" s="2" t="s">
        <v>769</v>
      </c>
      <c r="G67" s="2" t="s">
        <v>927</v>
      </c>
    </row>
    <row r="68" spans="1:7" ht="18.75" x14ac:dyDescent="0.25">
      <c r="A68" s="54" t="s">
        <v>55</v>
      </c>
      <c r="B68" s="203" t="s">
        <v>68</v>
      </c>
      <c r="C68" s="232">
        <v>39088</v>
      </c>
      <c r="D68" s="260">
        <v>1026091</v>
      </c>
      <c r="E68" s="44"/>
      <c r="F68" s="2" t="s">
        <v>421</v>
      </c>
      <c r="G68" s="2" t="s">
        <v>69</v>
      </c>
    </row>
    <row r="69" spans="1:7" ht="18.75" x14ac:dyDescent="0.25">
      <c r="A69" s="54" t="s">
        <v>55</v>
      </c>
      <c r="B69" s="203" t="s">
        <v>61</v>
      </c>
      <c r="C69" s="232">
        <v>39160</v>
      </c>
      <c r="D69" s="260">
        <v>231891</v>
      </c>
      <c r="E69" s="44"/>
      <c r="F69" s="2" t="s">
        <v>62</v>
      </c>
      <c r="G69" s="2" t="s">
        <v>928</v>
      </c>
    </row>
    <row r="70" spans="1:7" ht="18.75" x14ac:dyDescent="0.25">
      <c r="A70" s="54" t="s">
        <v>55</v>
      </c>
      <c r="B70" s="203" t="s">
        <v>59</v>
      </c>
      <c r="C70" s="232">
        <v>39255</v>
      </c>
      <c r="D70" s="260">
        <v>1239454</v>
      </c>
      <c r="E70" s="44"/>
      <c r="F70" s="2" t="s">
        <v>60</v>
      </c>
      <c r="G70" s="2" t="s">
        <v>58</v>
      </c>
    </row>
    <row r="71" spans="1:7" ht="18.75" x14ac:dyDescent="0.25">
      <c r="A71" s="54" t="s">
        <v>55</v>
      </c>
      <c r="B71" s="203" t="s">
        <v>64</v>
      </c>
      <c r="C71" s="232">
        <v>140</v>
      </c>
      <c r="D71" s="260">
        <v>1243850</v>
      </c>
      <c r="E71" s="44"/>
      <c r="F71" s="2" t="s">
        <v>833</v>
      </c>
      <c r="G71" s="2" t="s">
        <v>929</v>
      </c>
    </row>
    <row r="72" spans="1:7" ht="18.75" x14ac:dyDescent="0.25">
      <c r="A72" s="54" t="s">
        <v>55</v>
      </c>
      <c r="B72" s="203" t="s">
        <v>1350</v>
      </c>
      <c r="C72" s="232" t="s">
        <v>1351</v>
      </c>
      <c r="D72" s="260">
        <v>37554</v>
      </c>
      <c r="E72" s="44"/>
      <c r="F72" s="2" t="s">
        <v>1352</v>
      </c>
      <c r="G72" s="2" t="s">
        <v>1353</v>
      </c>
    </row>
    <row r="73" spans="1:7" ht="18.75" x14ac:dyDescent="0.25">
      <c r="A73" s="54" t="s">
        <v>55</v>
      </c>
      <c r="B73" s="203" t="s">
        <v>1332</v>
      </c>
      <c r="C73" s="232">
        <v>140</v>
      </c>
      <c r="D73" s="260">
        <v>20642</v>
      </c>
      <c r="E73" s="44"/>
      <c r="F73" s="2" t="s">
        <v>834</v>
      </c>
      <c r="G73" s="2" t="s">
        <v>70</v>
      </c>
    </row>
    <row r="74" spans="1:7" ht="18.75" x14ac:dyDescent="0.25">
      <c r="A74" s="54" t="s">
        <v>681</v>
      </c>
      <c r="B74" s="203" t="s">
        <v>78</v>
      </c>
      <c r="C74" s="232">
        <v>0</v>
      </c>
      <c r="D74" s="260">
        <v>8977310</v>
      </c>
      <c r="E74" s="44"/>
      <c r="F74" s="2" t="s">
        <v>835</v>
      </c>
      <c r="G74" s="2" t="s">
        <v>47</v>
      </c>
    </row>
    <row r="75" spans="1:7" ht="18.75" x14ac:dyDescent="0.25">
      <c r="A75" s="54" t="s">
        <v>86</v>
      </c>
      <c r="B75" s="203" t="s">
        <v>87</v>
      </c>
      <c r="C75" s="232">
        <v>39742</v>
      </c>
      <c r="D75" s="260">
        <v>9723740</v>
      </c>
      <c r="E75" s="44"/>
      <c r="F75" s="2" t="s">
        <v>88</v>
      </c>
      <c r="G75" s="2" t="s">
        <v>89</v>
      </c>
    </row>
    <row r="76" spans="1:7" ht="18.75" x14ac:dyDescent="0.25">
      <c r="A76" s="54" t="s">
        <v>90</v>
      </c>
      <c r="B76" s="203" t="s">
        <v>1201</v>
      </c>
      <c r="C76" s="232">
        <v>39196</v>
      </c>
      <c r="D76" s="260">
        <v>253311</v>
      </c>
      <c r="E76" s="44"/>
      <c r="F76" s="2" t="s">
        <v>145</v>
      </c>
      <c r="G76" s="2" t="s">
        <v>92</v>
      </c>
    </row>
    <row r="77" spans="1:7" ht="18.75" x14ac:dyDescent="0.25">
      <c r="A77" s="54" t="s">
        <v>90</v>
      </c>
      <c r="B77" s="203" t="s">
        <v>1109</v>
      </c>
      <c r="C77" s="232">
        <v>39054</v>
      </c>
      <c r="D77" s="260">
        <v>6811</v>
      </c>
      <c r="E77" s="44"/>
      <c r="F77" s="2" t="s">
        <v>102</v>
      </c>
      <c r="G77" s="2" t="s">
        <v>934</v>
      </c>
    </row>
    <row r="78" spans="1:7" ht="18.75" x14ac:dyDescent="0.25">
      <c r="A78" s="54" t="s">
        <v>90</v>
      </c>
      <c r="B78" s="203" t="s">
        <v>1110</v>
      </c>
      <c r="C78" s="232">
        <v>39057</v>
      </c>
      <c r="D78" s="260">
        <v>5523</v>
      </c>
      <c r="E78" s="44"/>
      <c r="F78" s="2" t="s">
        <v>105</v>
      </c>
      <c r="G78" s="2" t="s">
        <v>938</v>
      </c>
    </row>
    <row r="79" spans="1:7" ht="18.75" x14ac:dyDescent="0.25">
      <c r="A79" s="54" t="s">
        <v>90</v>
      </c>
      <c r="B79" s="203" t="s">
        <v>1112</v>
      </c>
      <c r="C79" s="232">
        <v>140</v>
      </c>
      <c r="D79" s="260">
        <v>1564</v>
      </c>
      <c r="E79" s="44"/>
      <c r="F79" s="2" t="s">
        <v>836</v>
      </c>
      <c r="G79" s="2" t="s">
        <v>907</v>
      </c>
    </row>
    <row r="80" spans="1:7" ht="18.75" x14ac:dyDescent="0.25">
      <c r="A80" s="54" t="s">
        <v>90</v>
      </c>
      <c r="B80" s="203" t="s">
        <v>1119</v>
      </c>
      <c r="C80" s="232">
        <v>140</v>
      </c>
      <c r="D80" s="260">
        <v>17370</v>
      </c>
      <c r="E80" s="44"/>
      <c r="F80" s="2" t="s">
        <v>653</v>
      </c>
      <c r="G80" s="2" t="s">
        <v>913</v>
      </c>
    </row>
    <row r="81" spans="1:7" ht="18.75" x14ac:dyDescent="0.25">
      <c r="A81" s="54" t="s">
        <v>90</v>
      </c>
      <c r="B81" s="203" t="s">
        <v>1115</v>
      </c>
      <c r="C81" s="232">
        <v>131</v>
      </c>
      <c r="D81" s="260">
        <v>319553</v>
      </c>
      <c r="E81" s="44"/>
      <c r="F81" s="2" t="s">
        <v>965</v>
      </c>
      <c r="G81" s="2" t="s">
        <v>909</v>
      </c>
    </row>
    <row r="82" spans="1:7" ht="18.75" x14ac:dyDescent="0.25">
      <c r="A82" s="54" t="s">
        <v>90</v>
      </c>
      <c r="B82" s="240" t="s">
        <v>1116</v>
      </c>
      <c r="C82" s="232">
        <v>39022</v>
      </c>
      <c r="D82" s="260">
        <v>12462</v>
      </c>
      <c r="E82" s="44"/>
      <c r="F82" s="2" t="s">
        <v>97</v>
      </c>
      <c r="G82" s="2" t="s">
        <v>941</v>
      </c>
    </row>
    <row r="83" spans="1:7" ht="18.75" x14ac:dyDescent="0.25">
      <c r="A83" s="54" t="s">
        <v>90</v>
      </c>
      <c r="B83" s="240" t="s">
        <v>1107</v>
      </c>
      <c r="C83" s="232">
        <v>39650</v>
      </c>
      <c r="D83" s="260">
        <v>428609</v>
      </c>
      <c r="E83" s="44"/>
      <c r="F83" s="2" t="s">
        <v>100</v>
      </c>
      <c r="G83" s="2" t="s">
        <v>933</v>
      </c>
    </row>
    <row r="84" spans="1:7" ht="18.75" x14ac:dyDescent="0.25">
      <c r="A84" s="54" t="s">
        <v>90</v>
      </c>
      <c r="B84" s="203" t="s">
        <v>1108</v>
      </c>
      <c r="C84" s="232">
        <v>39044</v>
      </c>
      <c r="D84" s="260">
        <v>85458</v>
      </c>
      <c r="E84" s="44"/>
      <c r="F84" s="2" t="s">
        <v>651</v>
      </c>
      <c r="G84" s="2" t="s">
        <v>937</v>
      </c>
    </row>
    <row r="85" spans="1:7" ht="18.75" x14ac:dyDescent="0.25">
      <c r="A85" s="54" t="s">
        <v>106</v>
      </c>
      <c r="B85" s="203">
        <v>502036281</v>
      </c>
      <c r="C85" s="232">
        <v>39706</v>
      </c>
      <c r="D85" s="260">
        <v>7092</v>
      </c>
      <c r="E85" s="44"/>
      <c r="F85" s="2" t="s">
        <v>1626</v>
      </c>
      <c r="G85" s="2" t="s">
        <v>101</v>
      </c>
    </row>
    <row r="86" spans="1:7" ht="18.75" x14ac:dyDescent="0.25">
      <c r="A86" s="54" t="s">
        <v>106</v>
      </c>
      <c r="B86" s="203" t="s">
        <v>1450</v>
      </c>
      <c r="C86" s="232">
        <v>39169</v>
      </c>
      <c r="D86" s="260">
        <v>10</v>
      </c>
      <c r="E86" s="44"/>
      <c r="F86" s="2" t="s">
        <v>1449</v>
      </c>
      <c r="G86" s="2" t="s">
        <v>904</v>
      </c>
    </row>
    <row r="87" spans="1:7" ht="18.75" x14ac:dyDescent="0.25">
      <c r="A87" s="54" t="s">
        <v>106</v>
      </c>
      <c r="B87" s="203" t="s">
        <v>114</v>
      </c>
      <c r="C87" s="232">
        <v>39021</v>
      </c>
      <c r="D87" s="260">
        <v>64566</v>
      </c>
      <c r="E87" s="44"/>
      <c r="F87" s="2" t="s">
        <v>97</v>
      </c>
      <c r="G87" s="2" t="s">
        <v>912</v>
      </c>
    </row>
    <row r="88" spans="1:7" ht="18.75" x14ac:dyDescent="0.25">
      <c r="A88" s="54" t="s">
        <v>106</v>
      </c>
      <c r="B88" s="203" t="s">
        <v>115</v>
      </c>
      <c r="C88" s="232">
        <v>132</v>
      </c>
      <c r="D88" s="260">
        <v>299193</v>
      </c>
      <c r="E88" s="44"/>
      <c r="F88" s="2" t="s">
        <v>830</v>
      </c>
      <c r="G88" s="2" t="s">
        <v>905</v>
      </c>
    </row>
    <row r="89" spans="1:7" ht="18.75" x14ac:dyDescent="0.25">
      <c r="A89" s="54" t="s">
        <v>106</v>
      </c>
      <c r="B89" s="203" t="s">
        <v>110</v>
      </c>
      <c r="C89" s="232">
        <v>140</v>
      </c>
      <c r="D89" s="260">
        <v>30728</v>
      </c>
      <c r="E89" s="44"/>
      <c r="F89" s="2" t="s">
        <v>1583</v>
      </c>
      <c r="G89" s="2" t="s">
        <v>903</v>
      </c>
    </row>
    <row r="90" spans="1:7" ht="18.75" x14ac:dyDescent="0.25">
      <c r="A90" s="54" t="s">
        <v>106</v>
      </c>
      <c r="B90" s="203" t="s">
        <v>1187</v>
      </c>
      <c r="C90" s="232">
        <v>141</v>
      </c>
      <c r="D90" s="260">
        <v>10509</v>
      </c>
      <c r="E90" s="44"/>
      <c r="F90" s="2" t="s">
        <v>762</v>
      </c>
      <c r="G90" s="2" t="s">
        <v>763</v>
      </c>
    </row>
    <row r="91" spans="1:7" ht="18.75" x14ac:dyDescent="0.25">
      <c r="A91" s="54" t="s">
        <v>892</v>
      </c>
      <c r="B91" s="203" t="s">
        <v>1359</v>
      </c>
      <c r="C91" s="232">
        <v>140</v>
      </c>
      <c r="D91" s="341">
        <v>75788</v>
      </c>
      <c r="E91" s="44"/>
      <c r="F91" s="2" t="s">
        <v>893</v>
      </c>
      <c r="G91" s="2" t="s">
        <v>63</v>
      </c>
    </row>
    <row r="92" spans="1:7" ht="18.75" x14ac:dyDescent="0.25">
      <c r="A92" s="54" t="s">
        <v>120</v>
      </c>
      <c r="B92" s="203" t="s">
        <v>1200</v>
      </c>
      <c r="C92" s="232">
        <v>39323</v>
      </c>
      <c r="D92" s="260">
        <v>181191</v>
      </c>
      <c r="E92" s="44"/>
      <c r="F92" s="2" t="s">
        <v>122</v>
      </c>
      <c r="G92" s="2" t="s">
        <v>134</v>
      </c>
    </row>
    <row r="93" spans="1:7" ht="18.75" x14ac:dyDescent="0.25">
      <c r="A93" s="54" t="s">
        <v>120</v>
      </c>
      <c r="B93" s="203" t="s">
        <v>121</v>
      </c>
      <c r="C93" s="232">
        <v>39150</v>
      </c>
      <c r="D93" s="260">
        <v>1155235</v>
      </c>
      <c r="E93" s="44"/>
      <c r="F93" s="2" t="s">
        <v>122</v>
      </c>
      <c r="G93" s="2" t="s">
        <v>916</v>
      </c>
    </row>
    <row r="94" spans="1:7" ht="18.75" x14ac:dyDescent="0.25">
      <c r="A94" s="54" t="s">
        <v>120</v>
      </c>
      <c r="B94" s="203" t="s">
        <v>124</v>
      </c>
      <c r="C94" s="232">
        <v>150</v>
      </c>
      <c r="D94" s="260">
        <v>509227</v>
      </c>
      <c r="E94" s="44"/>
      <c r="F94" s="2" t="s">
        <v>21</v>
      </c>
      <c r="G94" s="2" t="s">
        <v>915</v>
      </c>
    </row>
    <row r="95" spans="1:7" ht="18.75" x14ac:dyDescent="0.25">
      <c r="A95" s="54" t="s">
        <v>120</v>
      </c>
      <c r="B95" s="203" t="s">
        <v>128</v>
      </c>
      <c r="C95" s="232">
        <v>122</v>
      </c>
      <c r="D95" s="260">
        <v>612109</v>
      </c>
      <c r="E95" s="44"/>
      <c r="F95" s="2" t="s">
        <v>129</v>
      </c>
      <c r="G95" s="2" t="s">
        <v>38</v>
      </c>
    </row>
    <row r="96" spans="1:7" ht="18.75" x14ac:dyDescent="0.25">
      <c r="A96" s="54" t="s">
        <v>120</v>
      </c>
      <c r="B96" s="203" t="s">
        <v>707</v>
      </c>
      <c r="C96" s="232">
        <v>1</v>
      </c>
      <c r="D96" s="260">
        <v>2423693</v>
      </c>
      <c r="E96" s="44"/>
      <c r="F96" s="2" t="s">
        <v>708</v>
      </c>
      <c r="G96" s="2" t="s">
        <v>63</v>
      </c>
    </row>
    <row r="97" spans="1:7" ht="18.75" x14ac:dyDescent="0.25">
      <c r="A97" s="54" t="s">
        <v>135</v>
      </c>
      <c r="B97" s="203" t="s">
        <v>1469</v>
      </c>
      <c r="C97" s="232">
        <v>39746</v>
      </c>
      <c r="D97" s="260">
        <v>14499</v>
      </c>
      <c r="E97" s="44"/>
      <c r="F97" s="2" t="s">
        <v>195</v>
      </c>
      <c r="G97" s="2" t="s">
        <v>1491</v>
      </c>
    </row>
    <row r="98" spans="1:7" ht="18.75" x14ac:dyDescent="0.25">
      <c r="A98" s="54" t="s">
        <v>135</v>
      </c>
      <c r="B98" s="203" t="s">
        <v>1536</v>
      </c>
      <c r="C98" s="232">
        <v>39730</v>
      </c>
      <c r="D98" s="260">
        <v>22576</v>
      </c>
      <c r="E98" s="44"/>
      <c r="F98" s="2" t="s">
        <v>1535</v>
      </c>
      <c r="G98" s="2" t="s">
        <v>1537</v>
      </c>
    </row>
    <row r="99" spans="1:7" ht="18.75" x14ac:dyDescent="0.25">
      <c r="A99" s="54" t="s">
        <v>135</v>
      </c>
      <c r="B99" s="203" t="s">
        <v>1199</v>
      </c>
      <c r="C99" s="232">
        <v>39525</v>
      </c>
      <c r="D99" s="260">
        <v>423149</v>
      </c>
      <c r="E99" s="44"/>
      <c r="F99" s="2" t="s">
        <v>702</v>
      </c>
      <c r="G99" s="2" t="s">
        <v>703</v>
      </c>
    </row>
    <row r="100" spans="1:7" ht="18.75" x14ac:dyDescent="0.25">
      <c r="A100" s="54" t="s">
        <v>135</v>
      </c>
      <c r="B100" s="203" t="s">
        <v>1118</v>
      </c>
      <c r="C100" s="232">
        <v>132</v>
      </c>
      <c r="D100" s="260">
        <v>1531835</v>
      </c>
      <c r="E100" s="44"/>
      <c r="F100" s="2" t="s">
        <v>831</v>
      </c>
      <c r="G100" s="2" t="s">
        <v>686</v>
      </c>
    </row>
    <row r="101" spans="1:7" ht="18.75" x14ac:dyDescent="0.25">
      <c r="A101" s="54" t="s">
        <v>135</v>
      </c>
      <c r="B101" s="203" t="s">
        <v>1330</v>
      </c>
      <c r="C101" s="232">
        <v>39411</v>
      </c>
      <c r="D101" s="260">
        <v>154547</v>
      </c>
      <c r="E101" s="44"/>
      <c r="F101" s="2" t="s">
        <v>1067</v>
      </c>
      <c r="G101" s="2" t="s">
        <v>683</v>
      </c>
    </row>
    <row r="102" spans="1:7" ht="18.75" x14ac:dyDescent="0.25">
      <c r="A102" s="54" t="s">
        <v>135</v>
      </c>
      <c r="B102" s="203" t="s">
        <v>1452</v>
      </c>
      <c r="C102" s="232">
        <v>39247</v>
      </c>
      <c r="D102" s="342">
        <v>10588</v>
      </c>
      <c r="E102" s="44"/>
      <c r="F102" s="2" t="s">
        <v>1400</v>
      </c>
      <c r="G102" s="2" t="s">
        <v>683</v>
      </c>
    </row>
    <row r="103" spans="1:7" ht="18.75" x14ac:dyDescent="0.25">
      <c r="A103" s="54" t="s">
        <v>135</v>
      </c>
      <c r="B103" s="203" t="s">
        <v>141</v>
      </c>
      <c r="C103" s="232">
        <v>150</v>
      </c>
      <c r="D103" s="260">
        <v>51115</v>
      </c>
      <c r="E103" s="44"/>
      <c r="F103" s="2" t="s">
        <v>21</v>
      </c>
      <c r="G103" s="2" t="s">
        <v>683</v>
      </c>
    </row>
    <row r="104" spans="1:7" ht="18.75" x14ac:dyDescent="0.25">
      <c r="A104" s="54" t="s">
        <v>135</v>
      </c>
      <c r="B104" s="203" t="s">
        <v>140</v>
      </c>
      <c r="C104" s="232">
        <v>39577</v>
      </c>
      <c r="D104" s="260">
        <v>66647</v>
      </c>
      <c r="E104" s="44"/>
      <c r="F104" s="2" t="s">
        <v>1067</v>
      </c>
      <c r="G104" s="2" t="s">
        <v>683</v>
      </c>
    </row>
    <row r="105" spans="1:7" ht="18.75" x14ac:dyDescent="0.25">
      <c r="A105" s="54" t="s">
        <v>135</v>
      </c>
      <c r="B105" s="203" t="s">
        <v>138</v>
      </c>
      <c r="C105" s="232">
        <v>39185</v>
      </c>
      <c r="D105" s="260">
        <v>316189</v>
      </c>
      <c r="E105" s="44"/>
      <c r="F105" s="2" t="s">
        <v>425</v>
      </c>
      <c r="G105" s="2" t="s">
        <v>123</v>
      </c>
    </row>
    <row r="106" spans="1:7" ht="18.75" x14ac:dyDescent="0.25">
      <c r="A106" s="54" t="s">
        <v>135</v>
      </c>
      <c r="B106" s="203" t="s">
        <v>709</v>
      </c>
      <c r="C106" s="232">
        <v>1</v>
      </c>
      <c r="D106" s="260">
        <v>4890294</v>
      </c>
      <c r="E106" s="44"/>
      <c r="F106" s="2" t="s">
        <v>846</v>
      </c>
      <c r="G106" s="2" t="s">
        <v>63</v>
      </c>
    </row>
    <row r="107" spans="1:7" ht="18.75" x14ac:dyDescent="0.25">
      <c r="A107" s="54" t="s">
        <v>135</v>
      </c>
      <c r="B107" s="203" t="s">
        <v>655</v>
      </c>
      <c r="C107" s="232">
        <v>39574</v>
      </c>
      <c r="D107" s="260">
        <v>1880</v>
      </c>
      <c r="E107" s="44"/>
      <c r="F107" s="2" t="s">
        <v>425</v>
      </c>
      <c r="G107" s="2" t="s">
        <v>685</v>
      </c>
    </row>
    <row r="108" spans="1:7" ht="18.75" x14ac:dyDescent="0.25">
      <c r="A108" s="54" t="s">
        <v>135</v>
      </c>
      <c r="B108" s="203" t="s">
        <v>657</v>
      </c>
      <c r="C108" s="232">
        <v>39290</v>
      </c>
      <c r="D108" s="260">
        <v>9693</v>
      </c>
      <c r="E108" s="44"/>
      <c r="F108" s="2" t="s">
        <v>425</v>
      </c>
      <c r="G108" s="2" t="s">
        <v>685</v>
      </c>
    </row>
    <row r="109" spans="1:7" ht="18.75" x14ac:dyDescent="0.25">
      <c r="A109" s="54" t="s">
        <v>142</v>
      </c>
      <c r="B109" s="203" t="s">
        <v>1143</v>
      </c>
      <c r="C109" s="232">
        <v>39011</v>
      </c>
      <c r="D109" s="260">
        <v>12068</v>
      </c>
      <c r="E109" s="44"/>
      <c r="F109" s="2" t="s">
        <v>428</v>
      </c>
      <c r="G109" s="2" t="s">
        <v>38</v>
      </c>
    </row>
    <row r="110" spans="1:7" ht="18.75" x14ac:dyDescent="0.25">
      <c r="A110" s="54" t="s">
        <v>142</v>
      </c>
      <c r="B110" s="203" t="s">
        <v>1207</v>
      </c>
      <c r="C110" s="232">
        <v>39645</v>
      </c>
      <c r="D110" s="260">
        <v>578700</v>
      </c>
      <c r="E110" s="44"/>
      <c r="F110" s="2" t="s">
        <v>1219</v>
      </c>
      <c r="G110" s="2" t="s">
        <v>1239</v>
      </c>
    </row>
    <row r="111" spans="1:7" ht="18.75" x14ac:dyDescent="0.25">
      <c r="A111" s="54" t="s">
        <v>142</v>
      </c>
      <c r="B111" s="203" t="s">
        <v>1210</v>
      </c>
      <c r="C111" s="232">
        <v>132</v>
      </c>
      <c r="D111" s="260">
        <v>103000</v>
      </c>
      <c r="E111" s="44"/>
      <c r="F111" s="2" t="s">
        <v>1318</v>
      </c>
      <c r="G111" s="2" t="s">
        <v>1239</v>
      </c>
    </row>
    <row r="112" spans="1:7" ht="18.75" x14ac:dyDescent="0.25">
      <c r="A112" s="54" t="s">
        <v>142</v>
      </c>
      <c r="B112" s="203" t="s">
        <v>1134</v>
      </c>
      <c r="C112" s="232">
        <v>141</v>
      </c>
      <c r="D112" s="260">
        <v>11685</v>
      </c>
      <c r="E112" s="44"/>
      <c r="F112" s="2" t="s">
        <v>756</v>
      </c>
      <c r="G112" s="2" t="s">
        <v>757</v>
      </c>
    </row>
    <row r="113" spans="1:7" ht="18.75" x14ac:dyDescent="0.25">
      <c r="A113" s="54" t="s">
        <v>147</v>
      </c>
      <c r="B113" s="203" t="s">
        <v>1211</v>
      </c>
      <c r="C113" s="232">
        <v>132</v>
      </c>
      <c r="D113" s="260">
        <v>99100</v>
      </c>
      <c r="E113" s="44"/>
      <c r="F113" s="2" t="s">
        <v>1318</v>
      </c>
      <c r="G113" s="2" t="s">
        <v>1239</v>
      </c>
    </row>
    <row r="114" spans="1:7" ht="18.75" x14ac:dyDescent="0.25">
      <c r="A114" s="54" t="s">
        <v>147</v>
      </c>
      <c r="B114" s="203" t="s">
        <v>1208</v>
      </c>
      <c r="C114" s="232">
        <v>39666</v>
      </c>
      <c r="D114" s="260">
        <v>528020</v>
      </c>
      <c r="E114" s="44"/>
      <c r="F114" s="2" t="s">
        <v>1219</v>
      </c>
      <c r="G114" s="2" t="s">
        <v>1239</v>
      </c>
    </row>
    <row r="115" spans="1:7" ht="18.75" x14ac:dyDescent="0.25">
      <c r="A115" s="54" t="s">
        <v>147</v>
      </c>
      <c r="B115" s="203" t="s">
        <v>1294</v>
      </c>
      <c r="C115" s="232">
        <v>39664</v>
      </c>
      <c r="D115" s="260">
        <v>154819</v>
      </c>
      <c r="E115" s="44"/>
      <c r="F115" s="2" t="s">
        <v>145</v>
      </c>
      <c r="G115" s="2" t="s">
        <v>1298</v>
      </c>
    </row>
    <row r="116" spans="1:7" ht="18.75" x14ac:dyDescent="0.25">
      <c r="A116" s="54" t="s">
        <v>147</v>
      </c>
      <c r="B116" s="203" t="s">
        <v>1336</v>
      </c>
      <c r="C116" s="232">
        <v>39644</v>
      </c>
      <c r="D116" s="260">
        <v>548574</v>
      </c>
      <c r="E116" s="44"/>
      <c r="F116" s="2" t="s">
        <v>1337</v>
      </c>
      <c r="G116" s="2" t="s">
        <v>1298</v>
      </c>
    </row>
    <row r="117" spans="1:7" ht="18.75" x14ac:dyDescent="0.25">
      <c r="A117" s="54" t="s">
        <v>151</v>
      </c>
      <c r="B117" s="203" t="s">
        <v>153</v>
      </c>
      <c r="C117" s="232">
        <v>140</v>
      </c>
      <c r="D117" s="260">
        <v>13373</v>
      </c>
      <c r="E117" s="44"/>
      <c r="F117" s="2" t="s">
        <v>154</v>
      </c>
      <c r="G117" s="2" t="s">
        <v>934</v>
      </c>
    </row>
    <row r="118" spans="1:7" ht="18.75" x14ac:dyDescent="0.25">
      <c r="A118" s="54" t="s">
        <v>151</v>
      </c>
      <c r="B118" s="203" t="s">
        <v>157</v>
      </c>
      <c r="C118" s="232">
        <v>140</v>
      </c>
      <c r="D118" s="260">
        <v>39002</v>
      </c>
      <c r="E118" s="44"/>
      <c r="F118" s="2" t="s">
        <v>704</v>
      </c>
      <c r="G118" s="2" t="s">
        <v>936</v>
      </c>
    </row>
    <row r="119" spans="1:7" ht="18.75" x14ac:dyDescent="0.25">
      <c r="A119" s="54" t="s">
        <v>151</v>
      </c>
      <c r="B119" s="203" t="s">
        <v>165</v>
      </c>
      <c r="C119" s="232">
        <v>39725</v>
      </c>
      <c r="D119" s="260">
        <v>820369</v>
      </c>
      <c r="E119" s="44"/>
      <c r="F119" s="2" t="s">
        <v>1680</v>
      </c>
      <c r="G119" s="2" t="s">
        <v>964</v>
      </c>
    </row>
    <row r="120" spans="1:7" ht="18.75" x14ac:dyDescent="0.25">
      <c r="A120" s="54" t="s">
        <v>151</v>
      </c>
      <c r="B120" s="203" t="s">
        <v>155</v>
      </c>
      <c r="C120" s="232">
        <v>140</v>
      </c>
      <c r="D120" s="260">
        <v>6179</v>
      </c>
      <c r="E120" s="44"/>
      <c r="F120" s="2" t="s">
        <v>156</v>
      </c>
      <c r="G120" s="2" t="s">
        <v>935</v>
      </c>
    </row>
    <row r="121" spans="1:7" ht="18.75" x14ac:dyDescent="0.25">
      <c r="A121" s="54" t="s">
        <v>151</v>
      </c>
      <c r="B121" s="203" t="s">
        <v>1089</v>
      </c>
      <c r="C121" s="232">
        <v>39194</v>
      </c>
      <c r="D121" s="260">
        <v>511</v>
      </c>
      <c r="E121" s="44"/>
      <c r="F121" s="2" t="s">
        <v>803</v>
      </c>
      <c r="G121" s="2" t="s">
        <v>913</v>
      </c>
    </row>
    <row r="122" spans="1:7" ht="18.75" x14ac:dyDescent="0.25">
      <c r="A122" s="54" t="s">
        <v>151</v>
      </c>
      <c r="B122" s="240" t="s">
        <v>1090</v>
      </c>
      <c r="C122" s="235">
        <v>39757</v>
      </c>
      <c r="D122" s="260">
        <v>278262</v>
      </c>
      <c r="E122" s="44"/>
      <c r="F122" s="2" t="s">
        <v>1437</v>
      </c>
      <c r="G122" s="2" t="s">
        <v>907</v>
      </c>
    </row>
    <row r="123" spans="1:7" ht="18.75" x14ac:dyDescent="0.25">
      <c r="A123" s="54" t="s">
        <v>151</v>
      </c>
      <c r="B123" s="263" t="s">
        <v>163</v>
      </c>
      <c r="C123" s="232">
        <v>39657</v>
      </c>
      <c r="D123" s="260">
        <v>73587</v>
      </c>
      <c r="E123" s="44"/>
      <c r="F123" s="2" t="s">
        <v>164</v>
      </c>
      <c r="G123" s="2" t="s">
        <v>1428</v>
      </c>
    </row>
    <row r="124" spans="1:7" ht="18.75" x14ac:dyDescent="0.25">
      <c r="A124" s="54" t="s">
        <v>151</v>
      </c>
      <c r="B124" s="203" t="s">
        <v>160</v>
      </c>
      <c r="C124" s="232">
        <v>131</v>
      </c>
      <c r="D124" s="260">
        <v>392624</v>
      </c>
      <c r="E124" s="44"/>
      <c r="F124" s="2" t="s">
        <v>440</v>
      </c>
      <c r="G124" s="2" t="s">
        <v>938</v>
      </c>
    </row>
    <row r="125" spans="1:7" ht="18.75" x14ac:dyDescent="0.25">
      <c r="A125" s="54" t="s">
        <v>151</v>
      </c>
      <c r="B125" s="203" t="s">
        <v>414</v>
      </c>
      <c r="C125" s="232">
        <v>39259</v>
      </c>
      <c r="D125" s="341">
        <v>878320</v>
      </c>
      <c r="E125" s="44"/>
      <c r="F125" s="2" t="s">
        <v>1374</v>
      </c>
      <c r="G125" s="2" t="s">
        <v>933</v>
      </c>
    </row>
    <row r="126" spans="1:7" ht="18.75" x14ac:dyDescent="0.25">
      <c r="A126" s="54" t="s">
        <v>151</v>
      </c>
      <c r="B126" s="203" t="s">
        <v>162</v>
      </c>
      <c r="C126" s="232">
        <v>142</v>
      </c>
      <c r="D126" s="260">
        <v>131319</v>
      </c>
      <c r="E126" s="44"/>
      <c r="F126" s="2" t="s">
        <v>838</v>
      </c>
      <c r="G126" s="2" t="s">
        <v>939</v>
      </c>
    </row>
    <row r="127" spans="1:7" ht="18.75" x14ac:dyDescent="0.25">
      <c r="A127" s="54" t="s">
        <v>151</v>
      </c>
      <c r="B127" s="203" t="s">
        <v>1135</v>
      </c>
      <c r="C127" s="232">
        <v>1</v>
      </c>
      <c r="D127" s="260">
        <v>117581</v>
      </c>
      <c r="E127" s="44"/>
      <c r="F127" s="2" t="s">
        <v>838</v>
      </c>
      <c r="G127" s="2" t="s">
        <v>772</v>
      </c>
    </row>
    <row r="128" spans="1:7" ht="18.75" x14ac:dyDescent="0.25">
      <c r="A128" s="54" t="s">
        <v>151</v>
      </c>
      <c r="B128" s="203" t="s">
        <v>1463</v>
      </c>
      <c r="C128" s="232">
        <v>39583</v>
      </c>
      <c r="D128" s="341">
        <v>912</v>
      </c>
      <c r="E128" s="44"/>
      <c r="F128" s="2" t="s">
        <v>1462</v>
      </c>
      <c r="G128" s="2" t="s">
        <v>1428</v>
      </c>
    </row>
    <row r="129" spans="1:7" ht="18.75" x14ac:dyDescent="0.25">
      <c r="A129" s="54" t="s">
        <v>151</v>
      </c>
      <c r="B129" s="203" t="s">
        <v>1586</v>
      </c>
      <c r="C129" s="232">
        <v>132</v>
      </c>
      <c r="D129" s="260">
        <v>21873</v>
      </c>
      <c r="E129" s="44"/>
      <c r="F129" s="2" t="s">
        <v>159</v>
      </c>
      <c r="G129" s="2" t="s">
        <v>937</v>
      </c>
    </row>
    <row r="130" spans="1:7" ht="18.75" x14ac:dyDescent="0.25">
      <c r="A130" s="54" t="s">
        <v>174</v>
      </c>
      <c r="B130" s="203" t="s">
        <v>1106</v>
      </c>
      <c r="C130" s="232">
        <v>39246</v>
      </c>
      <c r="D130" s="260">
        <v>316063</v>
      </c>
      <c r="E130" s="44"/>
      <c r="F130" s="2" t="s">
        <v>177</v>
      </c>
      <c r="G130" s="2" t="s">
        <v>101</v>
      </c>
    </row>
    <row r="131" spans="1:7" ht="18.75" x14ac:dyDescent="0.25">
      <c r="A131" s="54" t="s">
        <v>174</v>
      </c>
      <c r="B131" s="203" t="s">
        <v>178</v>
      </c>
      <c r="C131" s="232">
        <v>140</v>
      </c>
      <c r="D131" s="260">
        <v>277972</v>
      </c>
      <c r="E131" s="44"/>
      <c r="F131" s="2" t="s">
        <v>714</v>
      </c>
      <c r="G131" s="2" t="s">
        <v>179</v>
      </c>
    </row>
    <row r="132" spans="1:7" ht="18.75" x14ac:dyDescent="0.25">
      <c r="A132" s="54" t="s">
        <v>174</v>
      </c>
      <c r="B132" s="240" t="s">
        <v>175</v>
      </c>
      <c r="C132" s="232">
        <v>39497</v>
      </c>
      <c r="D132" s="260">
        <v>5707185</v>
      </c>
      <c r="E132" s="44"/>
      <c r="F132" s="2" t="s">
        <v>1677</v>
      </c>
      <c r="G132" s="2" t="s">
        <v>101</v>
      </c>
    </row>
    <row r="133" spans="1:7" ht="18.75" x14ac:dyDescent="0.25">
      <c r="A133" s="54" t="s">
        <v>174</v>
      </c>
      <c r="B133" s="203" t="s">
        <v>1120</v>
      </c>
      <c r="C133" s="232">
        <v>131</v>
      </c>
      <c r="D133" s="260">
        <v>309277</v>
      </c>
      <c r="E133" s="44"/>
      <c r="F133" s="2" t="s">
        <v>440</v>
      </c>
      <c r="G133" s="2" t="s">
        <v>432</v>
      </c>
    </row>
    <row r="134" spans="1:7" ht="18.75" x14ac:dyDescent="0.25">
      <c r="A134" s="54" t="s">
        <v>180</v>
      </c>
      <c r="B134" s="203" t="s">
        <v>181</v>
      </c>
      <c r="C134" s="232">
        <v>39787</v>
      </c>
      <c r="D134" s="260">
        <v>195481</v>
      </c>
      <c r="E134" s="44"/>
      <c r="F134" s="2" t="s">
        <v>182</v>
      </c>
      <c r="G134" s="2" t="s">
        <v>183</v>
      </c>
    </row>
    <row r="135" spans="1:7" ht="18.75" x14ac:dyDescent="0.25">
      <c r="A135" s="54" t="s">
        <v>180</v>
      </c>
      <c r="B135" s="203" t="s">
        <v>184</v>
      </c>
      <c r="C135" s="232">
        <v>150</v>
      </c>
      <c r="D135" s="260">
        <v>7153438</v>
      </c>
      <c r="E135" s="44"/>
      <c r="F135" s="2" t="s">
        <v>842</v>
      </c>
      <c r="G135" s="2" t="s">
        <v>101</v>
      </c>
    </row>
    <row r="136" spans="1:7" ht="18.75" x14ac:dyDescent="0.25">
      <c r="A136" s="54" t="s">
        <v>180</v>
      </c>
      <c r="B136" s="203" t="s">
        <v>1188</v>
      </c>
      <c r="C136" s="232">
        <v>131</v>
      </c>
      <c r="D136" s="260">
        <v>954311</v>
      </c>
      <c r="E136" s="44"/>
      <c r="F136" s="2" t="s">
        <v>440</v>
      </c>
      <c r="G136" s="2" t="s">
        <v>432</v>
      </c>
    </row>
    <row r="137" spans="1:7" ht="18.75" x14ac:dyDescent="0.25">
      <c r="A137" s="54" t="s">
        <v>180</v>
      </c>
      <c r="B137" s="203" t="s">
        <v>1191</v>
      </c>
      <c r="C137" s="232">
        <v>142</v>
      </c>
      <c r="D137" s="260">
        <v>86641</v>
      </c>
      <c r="E137" s="44"/>
      <c r="F137" s="2" t="s">
        <v>776</v>
      </c>
      <c r="G137" s="2" t="s">
        <v>815</v>
      </c>
    </row>
    <row r="138" spans="1:7" ht="18.75" x14ac:dyDescent="0.25">
      <c r="A138" s="54" t="s">
        <v>187</v>
      </c>
      <c r="B138" s="203" t="s">
        <v>190</v>
      </c>
      <c r="C138" s="232">
        <v>39275</v>
      </c>
      <c r="D138" s="260">
        <v>36906</v>
      </c>
      <c r="E138" s="44"/>
      <c r="F138" s="2" t="s">
        <v>191</v>
      </c>
      <c r="G138" s="2" t="s">
        <v>904</v>
      </c>
    </row>
    <row r="139" spans="1:7" ht="18.75" x14ac:dyDescent="0.25">
      <c r="A139" s="54" t="s">
        <v>187</v>
      </c>
      <c r="B139" s="203" t="s">
        <v>192</v>
      </c>
      <c r="C139" s="232">
        <v>39135</v>
      </c>
      <c r="D139" s="260">
        <v>1073063</v>
      </c>
      <c r="E139" s="44"/>
      <c r="F139" s="2" t="s">
        <v>193</v>
      </c>
      <c r="G139" s="2" t="s">
        <v>912</v>
      </c>
    </row>
    <row r="140" spans="1:7" ht="18.75" x14ac:dyDescent="0.25">
      <c r="A140" s="54" t="s">
        <v>187</v>
      </c>
      <c r="B140" s="203" t="s">
        <v>43</v>
      </c>
      <c r="C140" s="232">
        <v>150</v>
      </c>
      <c r="D140" s="260">
        <v>620597</v>
      </c>
      <c r="E140" s="44"/>
      <c r="F140" s="2" t="s">
        <v>1371</v>
      </c>
      <c r="G140" s="2" t="s">
        <v>101</v>
      </c>
    </row>
    <row r="141" spans="1:7" ht="18.75" x14ac:dyDescent="0.25">
      <c r="A141" s="54" t="s">
        <v>187</v>
      </c>
      <c r="B141" s="203" t="s">
        <v>1218</v>
      </c>
      <c r="C141" s="232">
        <v>131</v>
      </c>
      <c r="D141" s="341">
        <v>846408</v>
      </c>
      <c r="E141" s="44"/>
      <c r="F141" s="2" t="s">
        <v>440</v>
      </c>
      <c r="G141" s="2" t="s">
        <v>47</v>
      </c>
    </row>
    <row r="142" spans="1:7" ht="18.75" x14ac:dyDescent="0.25">
      <c r="A142" s="54" t="s">
        <v>197</v>
      </c>
      <c r="B142" s="203">
        <v>46699950</v>
      </c>
      <c r="C142" s="232">
        <v>131</v>
      </c>
      <c r="D142" s="260">
        <v>11159</v>
      </c>
      <c r="E142" s="44"/>
      <c r="F142" s="2" t="s">
        <v>440</v>
      </c>
      <c r="G142" s="2" t="s">
        <v>47</v>
      </c>
    </row>
    <row r="143" spans="1:7" ht="18.75" x14ac:dyDescent="0.25">
      <c r="A143" s="54" t="s">
        <v>197</v>
      </c>
      <c r="B143" s="203" t="s">
        <v>1136</v>
      </c>
      <c r="C143" s="232">
        <v>140</v>
      </c>
      <c r="D143" s="260">
        <v>460377</v>
      </c>
      <c r="E143" s="44"/>
      <c r="F143" s="2" t="s">
        <v>843</v>
      </c>
      <c r="G143" s="2" t="s">
        <v>435</v>
      </c>
    </row>
    <row r="144" spans="1:7" ht="18.75" x14ac:dyDescent="0.25">
      <c r="A144" s="54" t="s">
        <v>197</v>
      </c>
      <c r="B144" s="203" t="s">
        <v>1137</v>
      </c>
      <c r="C144" s="232">
        <v>140</v>
      </c>
      <c r="D144" s="260">
        <v>1280799</v>
      </c>
      <c r="E144" s="44"/>
      <c r="F144" s="2" t="s">
        <v>844</v>
      </c>
      <c r="G144" s="2" t="s">
        <v>435</v>
      </c>
    </row>
    <row r="145" spans="1:7" ht="18.75" x14ac:dyDescent="0.25">
      <c r="A145" s="54" t="s">
        <v>197</v>
      </c>
      <c r="B145" s="203" t="s">
        <v>1144</v>
      </c>
      <c r="C145" s="232">
        <v>39783</v>
      </c>
      <c r="D145" s="260">
        <v>177979</v>
      </c>
      <c r="E145" s="44"/>
      <c r="F145" s="2" t="s">
        <v>212</v>
      </c>
      <c r="G145" s="2" t="s">
        <v>213</v>
      </c>
    </row>
    <row r="146" spans="1:7" ht="18.75" x14ac:dyDescent="0.25">
      <c r="A146" s="54" t="s">
        <v>197</v>
      </c>
      <c r="B146" s="203" t="s">
        <v>1304</v>
      </c>
      <c r="C146" s="232">
        <v>39662</v>
      </c>
      <c r="D146" s="260">
        <v>527</v>
      </c>
      <c r="E146" s="44"/>
      <c r="F146" s="2" t="s">
        <v>1305</v>
      </c>
      <c r="G146" s="2" t="s">
        <v>1239</v>
      </c>
    </row>
    <row r="147" spans="1:7" ht="18.75" x14ac:dyDescent="0.25">
      <c r="A147" s="54" t="s">
        <v>197</v>
      </c>
      <c r="B147" s="203" t="s">
        <v>167</v>
      </c>
      <c r="C147" s="232">
        <v>39927</v>
      </c>
      <c r="D147" s="260">
        <v>63118</v>
      </c>
      <c r="E147" s="44"/>
      <c r="F147" s="2" t="s">
        <v>1367</v>
      </c>
      <c r="G147" s="2" t="s">
        <v>1239</v>
      </c>
    </row>
    <row r="148" spans="1:7" ht="18.75" x14ac:dyDescent="0.25">
      <c r="A148" s="54" t="s">
        <v>197</v>
      </c>
      <c r="B148" s="203" t="s">
        <v>1175</v>
      </c>
      <c r="C148" s="232">
        <v>39372</v>
      </c>
      <c r="D148" s="260">
        <v>27561</v>
      </c>
      <c r="E148" s="44"/>
      <c r="F148" s="2" t="s">
        <v>1613</v>
      </c>
      <c r="G148" s="2" t="s">
        <v>906</v>
      </c>
    </row>
    <row r="149" spans="1:7" ht="18.75" x14ac:dyDescent="0.25">
      <c r="A149" s="54" t="s">
        <v>197</v>
      </c>
      <c r="B149" s="203" t="s">
        <v>828</v>
      </c>
      <c r="C149" s="232">
        <v>39477</v>
      </c>
      <c r="D149" s="260">
        <v>77004</v>
      </c>
      <c r="E149" s="44"/>
      <c r="F149" s="2" t="s">
        <v>206</v>
      </c>
      <c r="G149" s="2" t="s">
        <v>903</v>
      </c>
    </row>
    <row r="150" spans="1:7" ht="18.75" x14ac:dyDescent="0.25">
      <c r="A150" s="54" t="s">
        <v>197</v>
      </c>
      <c r="B150" s="203" t="s">
        <v>991</v>
      </c>
      <c r="C150" s="232">
        <v>39308</v>
      </c>
      <c r="D150" s="260">
        <v>66076</v>
      </c>
      <c r="E150" s="44"/>
      <c r="F150" s="2" t="s">
        <v>109</v>
      </c>
      <c r="G150" s="2" t="s">
        <v>1213</v>
      </c>
    </row>
    <row r="151" spans="1:7" ht="18.75" x14ac:dyDescent="0.25">
      <c r="A151" s="54" t="s">
        <v>197</v>
      </c>
      <c r="B151" s="203" t="s">
        <v>993</v>
      </c>
      <c r="C151" s="232">
        <v>39587</v>
      </c>
      <c r="D151" s="260">
        <v>129432</v>
      </c>
      <c r="E151" s="44"/>
      <c r="F151" s="2" t="s">
        <v>992</v>
      </c>
      <c r="G151" s="2" t="s">
        <v>1214</v>
      </c>
    </row>
    <row r="152" spans="1:7" ht="18.75" x14ac:dyDescent="0.25">
      <c r="A152" s="54" t="s">
        <v>197</v>
      </c>
      <c r="B152" s="203" t="s">
        <v>1140</v>
      </c>
      <c r="C152" s="232">
        <v>39313</v>
      </c>
      <c r="D152" s="260">
        <v>74293</v>
      </c>
      <c r="E152" s="44"/>
      <c r="F152" s="2" t="s">
        <v>1141</v>
      </c>
      <c r="G152" s="2" t="s">
        <v>1215</v>
      </c>
    </row>
    <row r="153" spans="1:7" ht="18.75" x14ac:dyDescent="0.25">
      <c r="A153" s="54" t="s">
        <v>197</v>
      </c>
      <c r="B153" s="203" t="s">
        <v>1017</v>
      </c>
      <c r="C153" s="232">
        <v>39578</v>
      </c>
      <c r="D153" s="260">
        <v>86260</v>
      </c>
      <c r="E153" s="44"/>
      <c r="F153" s="2" t="s">
        <v>1016</v>
      </c>
      <c r="G153" s="2" t="s">
        <v>1216</v>
      </c>
    </row>
    <row r="154" spans="1:7" ht="18.75" x14ac:dyDescent="0.25">
      <c r="A154" s="54" t="s">
        <v>197</v>
      </c>
      <c r="B154" s="203" t="s">
        <v>967</v>
      </c>
      <c r="C154" s="232">
        <v>39581</v>
      </c>
      <c r="D154" s="260">
        <v>94901</v>
      </c>
      <c r="E154" s="44"/>
      <c r="F154" s="2" t="s">
        <v>1227</v>
      </c>
      <c r="G154" s="2" t="s">
        <v>979</v>
      </c>
    </row>
    <row r="155" spans="1:7" ht="18.75" x14ac:dyDescent="0.25">
      <c r="A155" s="54" t="s">
        <v>197</v>
      </c>
      <c r="B155" s="203" t="s">
        <v>1402</v>
      </c>
      <c r="C155" s="232">
        <v>39467</v>
      </c>
      <c r="D155" s="260">
        <v>50083</v>
      </c>
      <c r="E155" s="44"/>
      <c r="F155" s="2" t="s">
        <v>1403</v>
      </c>
      <c r="G155" s="2" t="s">
        <v>979</v>
      </c>
    </row>
    <row r="156" spans="1:7" ht="18.75" x14ac:dyDescent="0.25">
      <c r="A156" s="54" t="s">
        <v>197</v>
      </c>
      <c r="B156" s="203" t="s">
        <v>198</v>
      </c>
      <c r="C156" s="232">
        <v>39439</v>
      </c>
      <c r="D156" s="260">
        <v>8701</v>
      </c>
      <c r="E156" s="44"/>
      <c r="F156" s="2" t="s">
        <v>969</v>
      </c>
      <c r="G156" s="2" t="s">
        <v>199</v>
      </c>
    </row>
    <row r="157" spans="1:7" ht="18.75" x14ac:dyDescent="0.25">
      <c r="A157" s="54" t="s">
        <v>197</v>
      </c>
      <c r="B157" s="203" t="s">
        <v>209</v>
      </c>
      <c r="C157" s="232">
        <v>39793</v>
      </c>
      <c r="D157" s="260">
        <v>91505</v>
      </c>
      <c r="E157" s="44"/>
      <c r="F157" s="2" t="s">
        <v>210</v>
      </c>
      <c r="G157" s="2" t="s">
        <v>211</v>
      </c>
    </row>
    <row r="158" spans="1:7" ht="18.75" x14ac:dyDescent="0.25">
      <c r="A158" s="54" t="s">
        <v>197</v>
      </c>
      <c r="B158" s="203" t="s">
        <v>203</v>
      </c>
      <c r="C158" s="232">
        <v>39238</v>
      </c>
      <c r="D158" s="260">
        <v>209567</v>
      </c>
      <c r="E158" s="44"/>
      <c r="F158" s="2" t="s">
        <v>204</v>
      </c>
      <c r="G158" s="2" t="s">
        <v>912</v>
      </c>
    </row>
    <row r="159" spans="1:7" ht="18.75" x14ac:dyDescent="0.25">
      <c r="A159" s="54" t="s">
        <v>197</v>
      </c>
      <c r="B159" s="203" t="s">
        <v>200</v>
      </c>
      <c r="C159" s="232">
        <v>39340</v>
      </c>
      <c r="D159" s="260">
        <v>1041127</v>
      </c>
      <c r="E159" s="44"/>
      <c r="F159" s="2" t="s">
        <v>201</v>
      </c>
      <c r="G159" s="2" t="s">
        <v>911</v>
      </c>
    </row>
    <row r="160" spans="1:7" ht="18.75" x14ac:dyDescent="0.25">
      <c r="A160" s="54" t="s">
        <v>197</v>
      </c>
      <c r="B160" s="203" t="s">
        <v>214</v>
      </c>
      <c r="C160" s="232">
        <v>150</v>
      </c>
      <c r="D160" s="260">
        <v>28015</v>
      </c>
      <c r="E160" s="44"/>
      <c r="F160" s="2" t="s">
        <v>840</v>
      </c>
      <c r="G160" s="2" t="s">
        <v>215</v>
      </c>
    </row>
    <row r="161" spans="1:7" ht="18.75" x14ac:dyDescent="0.25">
      <c r="A161" s="54" t="s">
        <v>217</v>
      </c>
      <c r="B161" s="203" t="s">
        <v>221</v>
      </c>
      <c r="C161" s="232">
        <v>39036</v>
      </c>
      <c r="D161" s="260">
        <v>1264289</v>
      </c>
      <c r="E161" s="44"/>
      <c r="F161" s="2" t="s">
        <v>1549</v>
      </c>
      <c r="G161" s="2" t="s">
        <v>1024</v>
      </c>
    </row>
    <row r="162" spans="1:7" ht="18.75" x14ac:dyDescent="0.25">
      <c r="A162" s="54" t="s">
        <v>217</v>
      </c>
      <c r="B162" s="203" t="s">
        <v>1190</v>
      </c>
      <c r="C162" s="232">
        <v>1</v>
      </c>
      <c r="D162" s="260">
        <v>1589214</v>
      </c>
      <c r="E162" s="44"/>
      <c r="F162" s="2" t="s">
        <v>841</v>
      </c>
      <c r="G162" s="2" t="s">
        <v>288</v>
      </c>
    </row>
    <row r="163" spans="1:7" ht="18.75" x14ac:dyDescent="0.25">
      <c r="A163" s="54" t="s">
        <v>217</v>
      </c>
      <c r="B163" s="203" t="s">
        <v>1189</v>
      </c>
      <c r="C163" s="232">
        <v>131</v>
      </c>
      <c r="D163" s="260">
        <v>514464</v>
      </c>
      <c r="E163" s="44"/>
      <c r="F163" s="2" t="s">
        <v>440</v>
      </c>
      <c r="G163" s="2" t="s">
        <v>288</v>
      </c>
    </row>
    <row r="164" spans="1:7" ht="18.75" x14ac:dyDescent="0.25">
      <c r="A164" s="54" t="s">
        <v>217</v>
      </c>
      <c r="B164" s="203" t="s">
        <v>1604</v>
      </c>
      <c r="C164" s="232">
        <v>39132</v>
      </c>
      <c r="D164" s="260">
        <v>56912</v>
      </c>
      <c r="E164" s="44"/>
      <c r="F164" s="2" t="s">
        <v>220</v>
      </c>
      <c r="G164" s="2" t="s">
        <v>1023</v>
      </c>
    </row>
    <row r="165" spans="1:7" ht="18.75" x14ac:dyDescent="0.25">
      <c r="A165" s="54" t="s">
        <v>223</v>
      </c>
      <c r="B165" s="203" t="s">
        <v>230</v>
      </c>
      <c r="C165" s="232">
        <v>39381</v>
      </c>
      <c r="D165" s="260">
        <v>23658</v>
      </c>
      <c r="E165" s="44"/>
      <c r="F165" s="2" t="s">
        <v>231</v>
      </c>
      <c r="G165" s="2" t="s">
        <v>226</v>
      </c>
    </row>
    <row r="166" spans="1:7" ht="18.75" x14ac:dyDescent="0.25">
      <c r="A166" s="54" t="s">
        <v>223</v>
      </c>
      <c r="B166" s="240" t="s">
        <v>232</v>
      </c>
      <c r="C166" s="232">
        <v>140</v>
      </c>
      <c r="D166" s="260">
        <v>92121</v>
      </c>
      <c r="E166" s="44"/>
      <c r="F166" s="2" t="s">
        <v>839</v>
      </c>
      <c r="G166" s="2" t="s">
        <v>226</v>
      </c>
    </row>
    <row r="167" spans="1:7" ht="18.75" x14ac:dyDescent="0.25">
      <c r="A167" s="54" t="s">
        <v>223</v>
      </c>
      <c r="B167" s="203" t="s">
        <v>224</v>
      </c>
      <c r="C167" s="232">
        <v>39291</v>
      </c>
      <c r="D167" s="260">
        <v>74787</v>
      </c>
      <c r="E167" s="44"/>
      <c r="F167" s="2" t="s">
        <v>225</v>
      </c>
      <c r="G167" s="2" t="s">
        <v>226</v>
      </c>
    </row>
    <row r="168" spans="1:7" ht="18.75" x14ac:dyDescent="0.25">
      <c r="A168" s="54" t="s">
        <v>223</v>
      </c>
      <c r="B168" s="203" t="s">
        <v>228</v>
      </c>
      <c r="C168" s="232">
        <v>140</v>
      </c>
      <c r="D168" s="260">
        <v>767550</v>
      </c>
      <c r="E168" s="44"/>
      <c r="F168" s="2" t="s">
        <v>845</v>
      </c>
      <c r="G168" s="2" t="s">
        <v>229</v>
      </c>
    </row>
    <row r="169" spans="1:7" ht="18.75" x14ac:dyDescent="0.25">
      <c r="A169" s="54" t="s">
        <v>223</v>
      </c>
      <c r="B169" s="203" t="s">
        <v>771</v>
      </c>
      <c r="C169" s="232">
        <v>142</v>
      </c>
      <c r="D169" s="260">
        <v>6415</v>
      </c>
      <c r="E169" s="44"/>
      <c r="F169" s="2" t="s">
        <v>775</v>
      </c>
      <c r="G169" s="2" t="s">
        <v>1212</v>
      </c>
    </row>
    <row r="170" spans="1:7" ht="18.75" x14ac:dyDescent="0.25">
      <c r="A170" s="54" t="s">
        <v>223</v>
      </c>
      <c r="B170" s="203" t="s">
        <v>1192</v>
      </c>
      <c r="C170" s="232">
        <v>131</v>
      </c>
      <c r="D170" s="260">
        <v>302872</v>
      </c>
      <c r="E170" s="44"/>
      <c r="F170" s="2" t="s">
        <v>440</v>
      </c>
      <c r="G170" s="2" t="s">
        <v>47</v>
      </c>
    </row>
    <row r="171" spans="1:7" ht="18.75" x14ac:dyDescent="0.25">
      <c r="A171" s="54" t="s">
        <v>234</v>
      </c>
      <c r="B171" s="203" t="s">
        <v>1546</v>
      </c>
      <c r="C171" s="232">
        <v>131</v>
      </c>
      <c r="D171" s="260">
        <v>208297</v>
      </c>
      <c r="E171" s="44"/>
      <c r="F171" s="2" t="s">
        <v>440</v>
      </c>
      <c r="G171" s="2" t="s">
        <v>47</v>
      </c>
    </row>
    <row r="172" spans="1:7" ht="18.75" x14ac:dyDescent="0.25">
      <c r="A172" s="54" t="s">
        <v>235</v>
      </c>
      <c r="B172" s="203" t="s">
        <v>1178</v>
      </c>
      <c r="C172" s="232">
        <v>39010</v>
      </c>
      <c r="D172" s="260">
        <v>10826</v>
      </c>
      <c r="E172" s="44"/>
      <c r="F172" s="2" t="s">
        <v>437</v>
      </c>
      <c r="G172" s="2" t="s">
        <v>63</v>
      </c>
    </row>
    <row r="173" spans="1:7" ht="18.75" x14ac:dyDescent="0.25">
      <c r="A173" s="54" t="s">
        <v>235</v>
      </c>
      <c r="B173" s="203" t="s">
        <v>236</v>
      </c>
      <c r="C173" s="232">
        <v>39361</v>
      </c>
      <c r="D173" s="260">
        <v>71612</v>
      </c>
      <c r="E173" s="44"/>
      <c r="F173" s="2" t="s">
        <v>237</v>
      </c>
      <c r="G173" s="2" t="s">
        <v>38</v>
      </c>
    </row>
    <row r="174" spans="1:7" ht="18.75" x14ac:dyDescent="0.25">
      <c r="A174" s="54" t="s">
        <v>239</v>
      </c>
      <c r="B174" s="203">
        <v>71300126550</v>
      </c>
      <c r="C174" s="232">
        <v>39028</v>
      </c>
      <c r="D174" s="260">
        <v>516993</v>
      </c>
      <c r="E174" s="44"/>
      <c r="F174" s="2" t="s">
        <v>241</v>
      </c>
      <c r="G174" s="2" t="s">
        <v>721</v>
      </c>
    </row>
    <row r="175" spans="1:7" ht="18.75" x14ac:dyDescent="0.25">
      <c r="A175" s="54" t="s">
        <v>239</v>
      </c>
      <c r="B175" s="203">
        <v>71300126611</v>
      </c>
      <c r="C175" s="232">
        <v>39038</v>
      </c>
      <c r="D175" s="260">
        <v>409656</v>
      </c>
      <c r="E175" s="44"/>
      <c r="F175" s="2" t="s">
        <v>241</v>
      </c>
      <c r="G175" s="2" t="s">
        <v>722</v>
      </c>
    </row>
    <row r="176" spans="1:7" ht="18.75" x14ac:dyDescent="0.25">
      <c r="A176" s="54" t="s">
        <v>239</v>
      </c>
      <c r="B176" s="203">
        <v>71300126612</v>
      </c>
      <c r="C176" s="232">
        <v>39139</v>
      </c>
      <c r="D176" s="260">
        <v>264069</v>
      </c>
      <c r="E176" s="44"/>
      <c r="F176" s="2" t="s">
        <v>245</v>
      </c>
      <c r="G176" s="2" t="s">
        <v>723</v>
      </c>
    </row>
    <row r="177" spans="1:7" ht="18.75" x14ac:dyDescent="0.25">
      <c r="A177" s="54" t="s">
        <v>239</v>
      </c>
      <c r="B177" s="203">
        <v>71300126614</v>
      </c>
      <c r="C177" s="232">
        <v>39037</v>
      </c>
      <c r="D177" s="341">
        <v>451243</v>
      </c>
      <c r="E177" s="44"/>
      <c r="F177" s="2" t="s">
        <v>241</v>
      </c>
      <c r="G177" s="2" t="s">
        <v>724</v>
      </c>
    </row>
    <row r="178" spans="1:7" ht="18.75" x14ac:dyDescent="0.25">
      <c r="A178" s="54" t="s">
        <v>239</v>
      </c>
      <c r="B178" s="203">
        <v>71300126675</v>
      </c>
      <c r="C178" s="232">
        <v>39024</v>
      </c>
      <c r="D178" s="260">
        <v>228067</v>
      </c>
      <c r="E178" s="44"/>
      <c r="F178" s="2" t="s">
        <v>241</v>
      </c>
      <c r="G178" s="2" t="s">
        <v>725</v>
      </c>
    </row>
    <row r="179" spans="1:7" ht="18.75" x14ac:dyDescent="0.25">
      <c r="A179" s="54" t="s">
        <v>239</v>
      </c>
      <c r="B179" s="203">
        <v>71300126679</v>
      </c>
      <c r="C179" s="232">
        <v>39019</v>
      </c>
      <c r="D179" s="260">
        <v>336443</v>
      </c>
      <c r="E179" s="44"/>
      <c r="F179" s="2" t="s">
        <v>241</v>
      </c>
      <c r="G179" s="2" t="s">
        <v>726</v>
      </c>
    </row>
    <row r="180" spans="1:7" ht="18.75" x14ac:dyDescent="0.25">
      <c r="A180" s="54" t="s">
        <v>239</v>
      </c>
      <c r="B180" s="203">
        <v>71300126840</v>
      </c>
      <c r="C180" s="232">
        <v>39140</v>
      </c>
      <c r="D180" s="260">
        <v>410021</v>
      </c>
      <c r="E180" s="44"/>
      <c r="F180" s="2" t="s">
        <v>245</v>
      </c>
      <c r="G180" s="2" t="s">
        <v>727</v>
      </c>
    </row>
    <row r="181" spans="1:7" ht="18.75" x14ac:dyDescent="0.25">
      <c r="A181" s="54" t="s">
        <v>239</v>
      </c>
      <c r="B181" s="203">
        <v>71300126846</v>
      </c>
      <c r="C181" s="232">
        <v>39005</v>
      </c>
      <c r="D181" s="260">
        <v>271223</v>
      </c>
      <c r="E181" s="44"/>
      <c r="F181" s="2" t="s">
        <v>241</v>
      </c>
      <c r="G181" s="2" t="s">
        <v>728</v>
      </c>
    </row>
    <row r="182" spans="1:7" ht="18.75" x14ac:dyDescent="0.25">
      <c r="A182" s="54" t="s">
        <v>252</v>
      </c>
      <c r="B182" s="203" t="s">
        <v>1347</v>
      </c>
      <c r="C182" s="232">
        <v>39694</v>
      </c>
      <c r="D182" s="260">
        <v>1400</v>
      </c>
      <c r="E182" s="44"/>
      <c r="F182" s="2" t="s">
        <v>245</v>
      </c>
      <c r="G182" s="2" t="s">
        <v>1620</v>
      </c>
    </row>
    <row r="183" spans="1:7" ht="18.75" x14ac:dyDescent="0.25">
      <c r="A183" s="54" t="s">
        <v>252</v>
      </c>
      <c r="B183" s="203" t="s">
        <v>1346</v>
      </c>
      <c r="C183" s="232">
        <v>132</v>
      </c>
      <c r="D183" s="260">
        <v>130560</v>
      </c>
      <c r="E183" s="44"/>
      <c r="F183" s="2" t="s">
        <v>1348</v>
      </c>
      <c r="G183" s="2" t="s">
        <v>1621</v>
      </c>
    </row>
    <row r="184" spans="1:7" ht="18.75" x14ac:dyDescent="0.25">
      <c r="A184" s="54" t="s">
        <v>252</v>
      </c>
      <c r="B184" s="203" t="s">
        <v>1668</v>
      </c>
      <c r="C184" s="232">
        <v>39711</v>
      </c>
      <c r="D184" s="260">
        <v>43182</v>
      </c>
      <c r="E184" s="44"/>
      <c r="F184" s="2" t="s">
        <v>245</v>
      </c>
      <c r="G184" s="2" t="s">
        <v>1667</v>
      </c>
    </row>
    <row r="185" spans="1:7" ht="18.75" x14ac:dyDescent="0.25">
      <c r="A185" s="54" t="s">
        <v>252</v>
      </c>
      <c r="B185" s="203" t="s">
        <v>253</v>
      </c>
      <c r="C185" s="232">
        <v>39177</v>
      </c>
      <c r="D185" s="260">
        <v>893066</v>
      </c>
      <c r="E185" s="44"/>
      <c r="F185" s="2" t="s">
        <v>245</v>
      </c>
      <c r="G185" s="2" t="s">
        <v>1637</v>
      </c>
    </row>
    <row r="186" spans="1:7" ht="18.75" x14ac:dyDescent="0.25">
      <c r="A186" s="54" t="s">
        <v>252</v>
      </c>
      <c r="B186" s="203" t="s">
        <v>255</v>
      </c>
      <c r="C186" s="232">
        <v>39284</v>
      </c>
      <c r="D186" s="260">
        <v>339711</v>
      </c>
      <c r="E186" s="44"/>
      <c r="F186" s="2" t="s">
        <v>256</v>
      </c>
      <c r="G186" s="2" t="s">
        <v>1024</v>
      </c>
    </row>
    <row r="187" spans="1:7" ht="18.75" x14ac:dyDescent="0.25">
      <c r="A187" s="54" t="s">
        <v>252</v>
      </c>
      <c r="B187" s="203" t="s">
        <v>254</v>
      </c>
      <c r="C187" s="232">
        <v>39176</v>
      </c>
      <c r="D187" s="260">
        <v>679395</v>
      </c>
      <c r="E187" s="44"/>
      <c r="F187" s="2" t="s">
        <v>245</v>
      </c>
      <c r="G187" s="2" t="s">
        <v>1023</v>
      </c>
    </row>
    <row r="188" spans="1:7" ht="18.75" x14ac:dyDescent="0.25">
      <c r="A188" s="54" t="s">
        <v>252</v>
      </c>
      <c r="B188" s="203" t="s">
        <v>1628</v>
      </c>
      <c r="C188" s="232">
        <v>39704</v>
      </c>
      <c r="D188" s="260">
        <v>9784</v>
      </c>
      <c r="E188" s="44"/>
      <c r="F188" s="2" t="s">
        <v>245</v>
      </c>
      <c r="G188" s="2" t="s">
        <v>63</v>
      </c>
    </row>
    <row r="189" spans="1:7" ht="18.75" x14ac:dyDescent="0.25">
      <c r="A189" s="54" t="s">
        <v>267</v>
      </c>
      <c r="B189" s="203">
        <v>181156</v>
      </c>
      <c r="C189" s="232">
        <v>39445</v>
      </c>
      <c r="D189" s="260">
        <v>213607</v>
      </c>
      <c r="E189" s="44"/>
      <c r="F189" s="2" t="s">
        <v>245</v>
      </c>
      <c r="G189" s="2" t="s">
        <v>729</v>
      </c>
    </row>
    <row r="190" spans="1:7" ht="18.75" x14ac:dyDescent="0.25">
      <c r="A190" s="54" t="s">
        <v>267</v>
      </c>
      <c r="B190" s="203">
        <v>181183</v>
      </c>
      <c r="C190" s="232">
        <v>39446</v>
      </c>
      <c r="D190" s="260">
        <v>325481</v>
      </c>
      <c r="E190" s="44"/>
      <c r="F190" s="2" t="s">
        <v>245</v>
      </c>
      <c r="G190" s="2" t="s">
        <v>730</v>
      </c>
    </row>
    <row r="191" spans="1:7" ht="18.75" x14ac:dyDescent="0.25">
      <c r="A191" s="54" t="s">
        <v>267</v>
      </c>
      <c r="B191" s="203">
        <v>181237</v>
      </c>
      <c r="C191" s="232">
        <v>39447</v>
      </c>
      <c r="D191" s="260">
        <v>293306</v>
      </c>
      <c r="E191" s="44"/>
      <c r="F191" s="2" t="s">
        <v>245</v>
      </c>
      <c r="G191" s="2" t="s">
        <v>731</v>
      </c>
    </row>
    <row r="192" spans="1:7" ht="18.75" x14ac:dyDescent="0.25">
      <c r="A192" s="54" t="s">
        <v>267</v>
      </c>
      <c r="B192" s="203">
        <v>181317</v>
      </c>
      <c r="C192" s="232">
        <v>39296</v>
      </c>
      <c r="D192" s="260">
        <v>240096</v>
      </c>
      <c r="E192" s="44"/>
      <c r="F192" s="2" t="s">
        <v>245</v>
      </c>
      <c r="G192" s="2" t="s">
        <v>737</v>
      </c>
    </row>
    <row r="193" spans="1:7" ht="18.75" x14ac:dyDescent="0.25">
      <c r="A193" s="54" t="s">
        <v>267</v>
      </c>
      <c r="B193" s="240">
        <v>181320</v>
      </c>
      <c r="C193" s="235">
        <v>39297</v>
      </c>
      <c r="D193" s="260">
        <v>273795</v>
      </c>
      <c r="E193" s="44"/>
      <c r="F193" s="2" t="s">
        <v>245</v>
      </c>
      <c r="G193" s="2" t="s">
        <v>738</v>
      </c>
    </row>
    <row r="194" spans="1:7" ht="18.75" x14ac:dyDescent="0.25">
      <c r="A194" s="54" t="s">
        <v>267</v>
      </c>
      <c r="B194" s="203">
        <v>181321</v>
      </c>
      <c r="C194" s="232">
        <v>39448</v>
      </c>
      <c r="D194" s="260">
        <v>387475</v>
      </c>
      <c r="E194" s="44"/>
      <c r="F194" s="2" t="s">
        <v>245</v>
      </c>
      <c r="G194" s="2" t="s">
        <v>732</v>
      </c>
    </row>
    <row r="195" spans="1:7" ht="18.75" x14ac:dyDescent="0.25">
      <c r="A195" s="54" t="s">
        <v>267</v>
      </c>
      <c r="B195" s="203">
        <v>181345</v>
      </c>
      <c r="C195" s="232">
        <v>39294</v>
      </c>
      <c r="D195" s="260">
        <v>288694</v>
      </c>
      <c r="E195" s="44"/>
      <c r="F195" s="2" t="s">
        <v>245</v>
      </c>
      <c r="G195" s="2" t="s">
        <v>736</v>
      </c>
    </row>
    <row r="196" spans="1:7" ht="18.75" x14ac:dyDescent="0.25">
      <c r="A196" s="54" t="s">
        <v>267</v>
      </c>
      <c r="B196" s="203">
        <v>181795</v>
      </c>
      <c r="C196" s="232">
        <v>39298</v>
      </c>
      <c r="D196" s="260">
        <v>265871</v>
      </c>
      <c r="E196" s="44"/>
      <c r="F196" s="2" t="s">
        <v>245</v>
      </c>
      <c r="G196" s="2" t="s">
        <v>739</v>
      </c>
    </row>
    <row r="197" spans="1:7" ht="18.75" x14ac:dyDescent="0.25">
      <c r="A197" s="54" t="s">
        <v>267</v>
      </c>
      <c r="B197" s="203">
        <v>349452</v>
      </c>
      <c r="C197" s="232">
        <v>39449</v>
      </c>
      <c r="D197" s="260">
        <v>108484</v>
      </c>
      <c r="E197" s="44"/>
      <c r="F197" s="2" t="s">
        <v>245</v>
      </c>
      <c r="G197" s="2" t="s">
        <v>740</v>
      </c>
    </row>
    <row r="198" spans="1:7" ht="18.75" x14ac:dyDescent="0.25">
      <c r="A198" s="54" t="s">
        <v>267</v>
      </c>
      <c r="B198" s="203">
        <v>357873</v>
      </c>
      <c r="C198" s="232">
        <v>39450</v>
      </c>
      <c r="D198" s="265">
        <v>109704</v>
      </c>
      <c r="E198" s="44"/>
      <c r="F198" s="2" t="s">
        <v>245</v>
      </c>
      <c r="G198" s="2" t="s">
        <v>741</v>
      </c>
    </row>
    <row r="199" spans="1:7" ht="18.75" x14ac:dyDescent="0.25">
      <c r="A199" s="54" t="s">
        <v>267</v>
      </c>
      <c r="B199" s="203">
        <v>357875</v>
      </c>
      <c r="C199" s="232">
        <v>39454</v>
      </c>
      <c r="D199" s="260">
        <v>118218</v>
      </c>
      <c r="E199" s="44"/>
      <c r="F199" s="2" t="s">
        <v>245</v>
      </c>
      <c r="G199" s="2" t="s">
        <v>733</v>
      </c>
    </row>
    <row r="200" spans="1:7" ht="18.75" x14ac:dyDescent="0.25">
      <c r="A200" s="54" t="s">
        <v>267</v>
      </c>
      <c r="B200" s="203">
        <v>358168</v>
      </c>
      <c r="C200" s="232">
        <v>39457</v>
      </c>
      <c r="D200" s="260">
        <v>118036</v>
      </c>
      <c r="E200" s="44"/>
      <c r="F200" s="2" t="s">
        <v>245</v>
      </c>
      <c r="G200" s="2" t="s">
        <v>734</v>
      </c>
    </row>
    <row r="201" spans="1:7" ht="18.75" x14ac:dyDescent="0.25">
      <c r="A201" s="54" t="s">
        <v>267</v>
      </c>
      <c r="B201" s="203">
        <v>359329</v>
      </c>
      <c r="C201" s="232">
        <v>39458</v>
      </c>
      <c r="D201" s="260">
        <v>153550</v>
      </c>
      <c r="E201" s="44"/>
      <c r="F201" s="2" t="s">
        <v>245</v>
      </c>
      <c r="G201" s="2" t="s">
        <v>735</v>
      </c>
    </row>
    <row r="202" spans="1:7" ht="18.75" x14ac:dyDescent="0.25">
      <c r="A202" s="54" t="s">
        <v>267</v>
      </c>
      <c r="B202" s="203" t="s">
        <v>268</v>
      </c>
      <c r="C202" s="232">
        <v>39267</v>
      </c>
      <c r="D202" s="260">
        <v>20339</v>
      </c>
      <c r="E202" s="44"/>
      <c r="F202" s="2" t="s">
        <v>269</v>
      </c>
      <c r="G202" s="2" t="s">
        <v>257</v>
      </c>
    </row>
    <row r="203" spans="1:7" ht="18.75" x14ac:dyDescent="0.25">
      <c r="A203" s="54" t="s">
        <v>283</v>
      </c>
      <c r="B203" s="203" t="s">
        <v>289</v>
      </c>
      <c r="C203" s="232">
        <v>39131</v>
      </c>
      <c r="D203" s="260">
        <v>743356</v>
      </c>
      <c r="E203" s="44"/>
      <c r="F203" s="2" t="s">
        <v>290</v>
      </c>
      <c r="G203" s="2" t="s">
        <v>912</v>
      </c>
    </row>
    <row r="204" spans="1:7" ht="18.75" x14ac:dyDescent="0.25">
      <c r="A204" s="54" t="s">
        <v>283</v>
      </c>
      <c r="B204" s="203" t="s">
        <v>658</v>
      </c>
      <c r="C204" s="232">
        <v>140</v>
      </c>
      <c r="D204" s="260">
        <v>102118</v>
      </c>
      <c r="E204" s="44"/>
      <c r="F204" s="2" t="s">
        <v>704</v>
      </c>
      <c r="G204" s="2" t="s">
        <v>908</v>
      </c>
    </row>
    <row r="205" spans="1:7" ht="18.75" x14ac:dyDescent="0.25">
      <c r="A205" s="54" t="s">
        <v>283</v>
      </c>
      <c r="B205" s="203" t="s">
        <v>889</v>
      </c>
      <c r="C205" s="232">
        <v>140</v>
      </c>
      <c r="D205" s="260">
        <v>255139</v>
      </c>
      <c r="E205" s="44"/>
      <c r="F205" s="2" t="s">
        <v>890</v>
      </c>
      <c r="G205" s="2" t="s">
        <v>905</v>
      </c>
    </row>
    <row r="206" spans="1:7" ht="18.75" x14ac:dyDescent="0.25">
      <c r="A206" s="54" t="s">
        <v>283</v>
      </c>
      <c r="B206" s="203" t="s">
        <v>286</v>
      </c>
      <c r="C206" s="232">
        <v>39390</v>
      </c>
      <c r="D206" s="260">
        <v>41682</v>
      </c>
      <c r="E206" s="44"/>
      <c r="F206" s="2" t="s">
        <v>1425</v>
      </c>
      <c r="G206" s="2" t="s">
        <v>906</v>
      </c>
    </row>
    <row r="207" spans="1:7" ht="18.75" x14ac:dyDescent="0.25">
      <c r="A207" s="54" t="s">
        <v>283</v>
      </c>
      <c r="B207" s="203" t="s">
        <v>284</v>
      </c>
      <c r="C207" s="232">
        <v>39006</v>
      </c>
      <c r="D207" s="260">
        <v>81008</v>
      </c>
      <c r="E207" s="44"/>
      <c r="F207" s="2" t="s">
        <v>285</v>
      </c>
      <c r="G207" s="2" t="s">
        <v>911</v>
      </c>
    </row>
    <row r="208" spans="1:7" ht="18.75" x14ac:dyDescent="0.25">
      <c r="A208" s="54" t="s">
        <v>283</v>
      </c>
      <c r="B208" s="203" t="s">
        <v>1122</v>
      </c>
      <c r="C208" s="232">
        <v>30000</v>
      </c>
      <c r="D208" s="260">
        <v>1618056</v>
      </c>
      <c r="E208" s="44"/>
      <c r="F208" s="2" t="s">
        <v>700</v>
      </c>
      <c r="G208" s="2"/>
    </row>
    <row r="209" spans="1:7" ht="18.75" x14ac:dyDescent="0.25">
      <c r="A209" s="54" t="s">
        <v>283</v>
      </c>
      <c r="B209" s="203" t="s">
        <v>1139</v>
      </c>
      <c r="C209" s="232">
        <v>131</v>
      </c>
      <c r="D209" s="260">
        <v>689356</v>
      </c>
      <c r="E209" s="44"/>
      <c r="F209" s="2" t="s">
        <v>440</v>
      </c>
      <c r="G209" s="2" t="s">
        <v>47</v>
      </c>
    </row>
    <row r="210" spans="1:7" ht="18.75" x14ac:dyDescent="0.25">
      <c r="A210" s="54" t="s">
        <v>291</v>
      </c>
      <c r="B210" s="263" t="s">
        <v>1123</v>
      </c>
      <c r="C210" s="232">
        <v>30000</v>
      </c>
      <c r="D210" s="260">
        <v>703387</v>
      </c>
      <c r="E210" s="44"/>
      <c r="F210" s="2" t="s">
        <v>700</v>
      </c>
      <c r="G210" s="2" t="s">
        <v>63</v>
      </c>
    </row>
    <row r="211" spans="1:7" ht="18.75" x14ac:dyDescent="0.25">
      <c r="A211" s="54" t="s">
        <v>291</v>
      </c>
      <c r="B211" s="203" t="s">
        <v>1124</v>
      </c>
      <c r="C211" s="232">
        <v>131</v>
      </c>
      <c r="D211" s="260">
        <v>538324</v>
      </c>
      <c r="E211" s="44"/>
      <c r="F211" s="2" t="s">
        <v>440</v>
      </c>
      <c r="G211" s="2" t="s">
        <v>47</v>
      </c>
    </row>
    <row r="212" spans="1:7" ht="18.75" x14ac:dyDescent="0.25">
      <c r="A212" s="54" t="s">
        <v>291</v>
      </c>
      <c r="B212" s="203" t="s">
        <v>1125</v>
      </c>
      <c r="C212" s="232">
        <v>132</v>
      </c>
      <c r="D212" s="260">
        <v>12534</v>
      </c>
      <c r="E212" s="44"/>
      <c r="F212" s="2" t="s">
        <v>695</v>
      </c>
      <c r="G212" s="2" t="s">
        <v>47</v>
      </c>
    </row>
    <row r="213" spans="1:7" ht="18.75" x14ac:dyDescent="0.25">
      <c r="A213" s="54" t="s">
        <v>293</v>
      </c>
      <c r="B213" s="203">
        <v>114481072</v>
      </c>
      <c r="C213" s="232">
        <v>132</v>
      </c>
      <c r="D213" s="260">
        <v>152083</v>
      </c>
      <c r="E213" s="44"/>
      <c r="F213" s="2" t="s">
        <v>300</v>
      </c>
      <c r="G213" s="2" t="s">
        <v>47</v>
      </c>
    </row>
    <row r="214" spans="1:7" ht="18.75" x14ac:dyDescent="0.25">
      <c r="A214" s="54" t="s">
        <v>293</v>
      </c>
      <c r="B214" s="203" t="s">
        <v>1182</v>
      </c>
      <c r="C214" s="232">
        <v>30000</v>
      </c>
      <c r="D214" s="260">
        <v>2355157</v>
      </c>
      <c r="E214" s="44"/>
      <c r="F214" s="2" t="s">
        <v>700</v>
      </c>
      <c r="G214" s="2" t="s">
        <v>63</v>
      </c>
    </row>
    <row r="215" spans="1:7" ht="18.75" x14ac:dyDescent="0.25">
      <c r="A215" s="54" t="s">
        <v>293</v>
      </c>
      <c r="B215" s="203" t="s">
        <v>1184</v>
      </c>
      <c r="C215" s="232">
        <v>132</v>
      </c>
      <c r="D215" s="260">
        <v>592827</v>
      </c>
      <c r="E215" s="44"/>
      <c r="F215" s="2" t="s">
        <v>442</v>
      </c>
      <c r="G215" s="2" t="s">
        <v>47</v>
      </c>
    </row>
    <row r="216" spans="1:7" ht="18.75" x14ac:dyDescent="0.25">
      <c r="A216" s="54" t="s">
        <v>293</v>
      </c>
      <c r="B216" s="203" t="s">
        <v>1183</v>
      </c>
      <c r="C216" s="232">
        <v>131</v>
      </c>
      <c r="D216" s="260">
        <v>172659</v>
      </c>
      <c r="E216" s="44"/>
      <c r="F216" s="2" t="s">
        <v>440</v>
      </c>
      <c r="G216" s="2" t="s">
        <v>47</v>
      </c>
    </row>
    <row r="217" spans="1:7" ht="18.75" x14ac:dyDescent="0.25">
      <c r="A217" s="54" t="s">
        <v>293</v>
      </c>
      <c r="B217" s="203" t="s">
        <v>1138</v>
      </c>
      <c r="C217" s="232">
        <v>141</v>
      </c>
      <c r="D217" s="260">
        <v>22980</v>
      </c>
      <c r="E217" s="44"/>
      <c r="F217" s="2" t="s">
        <v>759</v>
      </c>
      <c r="G217" s="2" t="s">
        <v>760</v>
      </c>
    </row>
    <row r="218" spans="1:7" ht="18.75" x14ac:dyDescent="0.25">
      <c r="A218" s="54" t="s">
        <v>301</v>
      </c>
      <c r="B218" s="203" t="s">
        <v>1126</v>
      </c>
      <c r="C218" s="232">
        <v>30000</v>
      </c>
      <c r="D218" s="260">
        <v>347113</v>
      </c>
      <c r="E218" s="44"/>
      <c r="F218" s="2" t="s">
        <v>700</v>
      </c>
      <c r="G218" s="2" t="s">
        <v>63</v>
      </c>
    </row>
    <row r="219" spans="1:7" ht="18.75" x14ac:dyDescent="0.25">
      <c r="A219" s="54" t="s">
        <v>301</v>
      </c>
      <c r="B219" s="203" t="s">
        <v>1127</v>
      </c>
      <c r="C219" s="232">
        <v>132</v>
      </c>
      <c r="D219" s="260">
        <v>699434</v>
      </c>
      <c r="E219" s="44"/>
      <c r="F219" s="2" t="s">
        <v>442</v>
      </c>
      <c r="G219" s="2" t="s">
        <v>47</v>
      </c>
    </row>
    <row r="220" spans="1:7" ht="18.75" x14ac:dyDescent="0.25">
      <c r="A220" s="54" t="s">
        <v>301</v>
      </c>
      <c r="B220" s="203" t="s">
        <v>1128</v>
      </c>
      <c r="C220" s="232">
        <v>131</v>
      </c>
      <c r="D220" s="260">
        <v>92639</v>
      </c>
      <c r="E220" s="44"/>
      <c r="F220" s="2" t="s">
        <v>440</v>
      </c>
      <c r="G220" s="2" t="s">
        <v>47</v>
      </c>
    </row>
    <row r="221" spans="1:7" ht="18.75" x14ac:dyDescent="0.25">
      <c r="A221" s="54" t="s">
        <v>441</v>
      </c>
      <c r="B221" s="203" t="s">
        <v>1129</v>
      </c>
      <c r="C221" s="232">
        <v>131</v>
      </c>
      <c r="D221" s="260">
        <v>88883</v>
      </c>
      <c r="E221" s="44"/>
      <c r="F221" s="2" t="s">
        <v>440</v>
      </c>
      <c r="G221" s="2" t="s">
        <v>47</v>
      </c>
    </row>
    <row r="222" spans="1:7" ht="18.75" x14ac:dyDescent="0.25">
      <c r="A222" s="54" t="s">
        <v>441</v>
      </c>
      <c r="B222" s="203" t="s">
        <v>1130</v>
      </c>
      <c r="C222" s="238">
        <v>132</v>
      </c>
      <c r="D222" s="260">
        <v>112289</v>
      </c>
      <c r="E222" s="44"/>
      <c r="F222" s="2" t="s">
        <v>442</v>
      </c>
      <c r="G222" s="2" t="s">
        <v>47</v>
      </c>
    </row>
    <row r="223" spans="1:7" ht="18.75" x14ac:dyDescent="0.25">
      <c r="A223" s="54" t="s">
        <v>441</v>
      </c>
      <c r="B223" s="203" t="s">
        <v>1131</v>
      </c>
      <c r="C223" s="232">
        <v>30000</v>
      </c>
      <c r="D223" s="260">
        <v>143978</v>
      </c>
      <c r="E223" s="44"/>
      <c r="F223" s="2" t="s">
        <v>700</v>
      </c>
      <c r="G223" s="2" t="s">
        <v>63</v>
      </c>
    </row>
    <row r="224" spans="1:7" ht="18.75" x14ac:dyDescent="0.25">
      <c r="A224" s="54" t="s">
        <v>443</v>
      </c>
      <c r="B224" s="203" t="s">
        <v>1091</v>
      </c>
      <c r="C224" s="232">
        <v>131</v>
      </c>
      <c r="D224" s="260">
        <v>32342</v>
      </c>
      <c r="E224" s="44"/>
      <c r="F224" s="2" t="s">
        <v>440</v>
      </c>
      <c r="G224" s="2" t="s">
        <v>47</v>
      </c>
    </row>
    <row r="225" spans="1:7" ht="18.75" x14ac:dyDescent="0.25">
      <c r="A225" s="54" t="s">
        <v>443</v>
      </c>
      <c r="B225" s="203" t="s">
        <v>1180</v>
      </c>
      <c r="C225" s="232"/>
      <c r="D225" s="260">
        <v>9</v>
      </c>
      <c r="E225" s="44"/>
      <c r="F225" s="2"/>
      <c r="G225" s="2"/>
    </row>
    <row r="226" spans="1:7" ht="18.75" x14ac:dyDescent="0.25">
      <c r="A226" s="54"/>
      <c r="B226" s="203"/>
      <c r="C226" s="232"/>
      <c r="D226" s="260"/>
      <c r="E226" s="44"/>
      <c r="F226" s="2"/>
      <c r="G226" s="2"/>
    </row>
    <row r="227" spans="1:7" ht="18.75" x14ac:dyDescent="0.25">
      <c r="A227" s="54"/>
      <c r="B227" s="203"/>
      <c r="C227" s="232"/>
      <c r="D227" s="260"/>
      <c r="E227" s="44"/>
      <c r="F227" s="2"/>
      <c r="G227" s="2"/>
    </row>
    <row r="228" spans="1:7" ht="18.75" x14ac:dyDescent="0.25">
      <c r="A228" s="54"/>
      <c r="B228" s="203"/>
      <c r="C228" s="232"/>
      <c r="D228" s="260"/>
      <c r="E228" s="44"/>
      <c r="F228" s="2"/>
      <c r="G228" s="2"/>
    </row>
    <row r="229" spans="1:7" ht="18.75" x14ac:dyDescent="0.25">
      <c r="A229" s="54"/>
      <c r="B229" s="203"/>
      <c r="C229" s="232"/>
      <c r="D229" s="260"/>
      <c r="E229" s="44"/>
      <c r="F229" s="2"/>
      <c r="G229" s="2"/>
    </row>
    <row r="230" spans="1:7" ht="18.75" x14ac:dyDescent="0.25">
      <c r="A230" s="54"/>
      <c r="B230" s="203"/>
      <c r="C230" s="232"/>
      <c r="D230" s="260"/>
      <c r="E230" s="44"/>
      <c r="F230" s="2"/>
      <c r="G230" s="2"/>
    </row>
    <row r="231" spans="1:7" ht="18.75" x14ac:dyDescent="0.25">
      <c r="A231" s="54"/>
      <c r="B231" s="203"/>
      <c r="C231" s="232"/>
      <c r="D231" s="260"/>
      <c r="E231" s="44"/>
      <c r="F231" s="2"/>
      <c r="G231" s="2"/>
    </row>
    <row r="232" spans="1:7" ht="18.75" x14ac:dyDescent="0.25">
      <c r="A232" s="54"/>
      <c r="B232" s="203"/>
      <c r="C232" s="232"/>
      <c r="D232" s="260"/>
      <c r="E232" s="44"/>
      <c r="F232" s="2"/>
      <c r="G232" s="2"/>
    </row>
    <row r="233" spans="1:7" ht="18.75" x14ac:dyDescent="0.25">
      <c r="A233" s="54"/>
      <c r="B233" s="203"/>
      <c r="C233" s="232"/>
      <c r="D233" s="260"/>
      <c r="E233" s="44"/>
      <c r="F233" s="2"/>
      <c r="G233" s="2"/>
    </row>
    <row r="234" spans="1:7" ht="18.75" x14ac:dyDescent="0.25">
      <c r="A234" s="54"/>
      <c r="B234" s="203"/>
      <c r="C234" s="232"/>
      <c r="D234" s="260"/>
      <c r="E234" s="44"/>
      <c r="F234" s="2"/>
      <c r="G234" s="2"/>
    </row>
    <row r="235" spans="1:7" ht="18.75" x14ac:dyDescent="0.25">
      <c r="A235" s="54"/>
      <c r="B235" s="203"/>
      <c r="C235" s="232"/>
      <c r="D235" s="260"/>
      <c r="E235" s="44"/>
      <c r="F235" s="2"/>
      <c r="G235" s="2"/>
    </row>
    <row r="236" spans="1:7" ht="18.75" x14ac:dyDescent="0.25">
      <c r="A236" s="54"/>
      <c r="B236" s="203"/>
      <c r="C236" s="232"/>
      <c r="D236" s="260"/>
      <c r="E236" s="44"/>
      <c r="F236" s="2"/>
      <c r="G236" s="2"/>
    </row>
    <row r="237" spans="1:7" ht="18.75" x14ac:dyDescent="0.25">
      <c r="A237" s="54"/>
      <c r="B237" s="203"/>
      <c r="C237" s="232"/>
      <c r="D237" s="260"/>
      <c r="E237" s="44"/>
      <c r="F237" s="2"/>
      <c r="G237" s="2"/>
    </row>
    <row r="238" spans="1:7" ht="18.75" x14ac:dyDescent="0.25">
      <c r="A238" s="54"/>
      <c r="B238" s="203"/>
      <c r="C238" s="232"/>
      <c r="D238" s="260"/>
      <c r="E238" s="44"/>
      <c r="F238" s="2"/>
      <c r="G238" s="2"/>
    </row>
    <row r="239" spans="1:7" ht="18.75" x14ac:dyDescent="0.25">
      <c r="A239" s="54"/>
      <c r="B239" s="203"/>
      <c r="C239" s="232"/>
      <c r="D239" s="260"/>
      <c r="E239" s="44"/>
      <c r="F239" s="2"/>
      <c r="G239" s="2"/>
    </row>
    <row r="240" spans="1:7" ht="18.75" x14ac:dyDescent="0.25">
      <c r="A240" s="239"/>
      <c r="B240" s="231"/>
      <c r="C240" s="54"/>
      <c r="D240" s="343"/>
      <c r="E240" s="44"/>
      <c r="F240" s="44"/>
      <c r="G240" s="251"/>
    </row>
    <row r="241" spans="1:7" ht="18.75" x14ac:dyDescent="0.25">
      <c r="A241" s="239"/>
      <c r="B241" s="231"/>
      <c r="C241" s="54"/>
      <c r="D241" s="343"/>
      <c r="E241" s="44"/>
      <c r="F241" s="44"/>
      <c r="G241" s="251"/>
    </row>
    <row r="242" spans="1:7" ht="18.75" x14ac:dyDescent="0.25">
      <c r="A242" s="239"/>
      <c r="B242" s="231"/>
      <c r="C242" s="54"/>
      <c r="D242" s="343"/>
      <c r="E242" s="44"/>
      <c r="F242" s="44"/>
      <c r="G242" s="251"/>
    </row>
    <row r="243" spans="1:7" ht="18.75" x14ac:dyDescent="0.25">
      <c r="A243" s="239"/>
      <c r="B243" s="231"/>
      <c r="C243" s="54"/>
      <c r="D243" s="343"/>
      <c r="E243" s="44"/>
      <c r="F243" s="44"/>
      <c r="G243" s="251"/>
    </row>
    <row r="244" spans="1:7" ht="18.75" x14ac:dyDescent="0.25">
      <c r="A244" s="239"/>
      <c r="B244" s="231"/>
      <c r="C244" s="54"/>
      <c r="D244" s="343"/>
      <c r="E244" s="44"/>
      <c r="F244" s="44"/>
      <c r="G244" s="251"/>
    </row>
    <row r="245" spans="1:7" ht="18.75" x14ac:dyDescent="0.25">
      <c r="A245" s="239"/>
      <c r="B245" s="231"/>
      <c r="C245" s="54"/>
      <c r="D245" s="343"/>
      <c r="E245" s="44"/>
      <c r="F245" s="44"/>
      <c r="G245" s="251"/>
    </row>
    <row r="246" spans="1:7" ht="18.75" x14ac:dyDescent="0.25">
      <c r="A246" s="239"/>
      <c r="B246" s="231"/>
      <c r="C246" s="54"/>
      <c r="D246" s="343"/>
      <c r="E246" s="44"/>
      <c r="F246" s="44"/>
      <c r="G246" s="251"/>
    </row>
    <row r="247" spans="1:7" ht="18.75" x14ac:dyDescent="0.25">
      <c r="A247" s="239"/>
      <c r="B247" s="231"/>
      <c r="C247" s="54"/>
      <c r="D247" s="343"/>
      <c r="E247" s="44"/>
      <c r="F247" s="44"/>
      <c r="G247" s="251"/>
    </row>
    <row r="248" spans="1:7" ht="18.75" x14ac:dyDescent="0.25">
      <c r="A248" s="239"/>
      <c r="B248" s="231"/>
      <c r="C248" s="54"/>
      <c r="D248" s="343"/>
      <c r="E248" s="44"/>
      <c r="F248" s="44"/>
      <c r="G248" s="251"/>
    </row>
    <row r="249" spans="1:7" ht="18.75" x14ac:dyDescent="0.25">
      <c r="A249" s="239"/>
      <c r="B249" s="231"/>
      <c r="C249" s="54"/>
      <c r="D249" s="343"/>
      <c r="E249" s="44"/>
      <c r="F249" s="44"/>
      <c r="G249" s="251"/>
    </row>
    <row r="250" spans="1:7" ht="18.75" x14ac:dyDescent="0.25">
      <c r="A250" s="239"/>
      <c r="B250" s="231"/>
      <c r="C250" s="54"/>
      <c r="D250" s="343"/>
      <c r="E250" s="44"/>
      <c r="F250" s="44"/>
      <c r="G250" s="251"/>
    </row>
    <row r="251" spans="1:7" ht="18.75" x14ac:dyDescent="0.25">
      <c r="A251" s="239"/>
      <c r="B251" s="231"/>
      <c r="C251" s="54"/>
      <c r="D251" s="343"/>
      <c r="E251" s="44"/>
      <c r="F251" s="44"/>
      <c r="G251" s="251"/>
    </row>
    <row r="252" spans="1:7" ht="18.75" x14ac:dyDescent="0.25">
      <c r="A252" s="239"/>
      <c r="B252" s="231"/>
      <c r="C252" s="54"/>
      <c r="D252" s="343"/>
      <c r="E252" s="44"/>
      <c r="F252" s="44"/>
      <c r="G252" s="251"/>
    </row>
    <row r="253" spans="1:7" ht="18.75" x14ac:dyDescent="0.25">
      <c r="A253" s="239"/>
      <c r="B253" s="231"/>
      <c r="C253" s="54"/>
      <c r="D253" s="343"/>
      <c r="E253" s="44"/>
      <c r="F253" s="44"/>
      <c r="G253" s="251"/>
    </row>
    <row r="254" spans="1:7" ht="18.75" x14ac:dyDescent="0.25">
      <c r="A254" s="239"/>
      <c r="B254" s="231"/>
      <c r="C254" s="54"/>
      <c r="D254" s="343"/>
      <c r="E254" s="44"/>
      <c r="F254" s="44"/>
      <c r="G254" s="251"/>
    </row>
    <row r="255" spans="1:7" ht="18.75" x14ac:dyDescent="0.25">
      <c r="A255" s="239"/>
      <c r="B255" s="231"/>
      <c r="C255" s="54"/>
      <c r="D255" s="343"/>
      <c r="E255" s="44"/>
      <c r="F255" s="44"/>
      <c r="G255" s="251"/>
    </row>
    <row r="256" spans="1:7" ht="18.75" x14ac:dyDescent="0.25">
      <c r="A256" s="239"/>
      <c r="B256" s="231"/>
      <c r="C256" s="54"/>
      <c r="D256" s="343"/>
      <c r="E256" s="44"/>
      <c r="F256" s="44"/>
      <c r="G256" s="251"/>
    </row>
    <row r="257" spans="1:7" ht="18.75" x14ac:dyDescent="0.25">
      <c r="A257" s="239"/>
      <c r="B257" s="231"/>
      <c r="C257" s="54"/>
      <c r="D257" s="343"/>
      <c r="E257" s="44"/>
      <c r="F257" s="44"/>
      <c r="G257" s="251"/>
    </row>
    <row r="258" spans="1:7" ht="18.75" x14ac:dyDescent="0.25">
      <c r="A258" s="239"/>
      <c r="B258" s="231"/>
      <c r="C258" s="54"/>
      <c r="D258" s="343"/>
      <c r="E258" s="44"/>
      <c r="F258" s="44"/>
      <c r="G258" s="251"/>
    </row>
    <row r="259" spans="1:7" ht="18.75" x14ac:dyDescent="0.25">
      <c r="A259" s="239"/>
      <c r="B259" s="231"/>
      <c r="C259" s="54"/>
      <c r="D259" s="343"/>
      <c r="E259" s="44"/>
      <c r="F259" s="44"/>
      <c r="G259" s="251"/>
    </row>
    <row r="260" spans="1:7" ht="18.75" x14ac:dyDescent="0.25">
      <c r="A260" s="252"/>
      <c r="B260" s="253"/>
      <c r="C260" s="254"/>
      <c r="D260" s="344"/>
      <c r="E260" s="131"/>
      <c r="F260" s="131"/>
      <c r="G260" s="255"/>
    </row>
    <row r="261" spans="1:7" ht="18.75" x14ac:dyDescent="0.25">
      <c r="A261" s="239"/>
      <c r="B261" s="231"/>
      <c r="C261" s="54"/>
      <c r="D261" s="343"/>
      <c r="E261" s="458"/>
      <c r="F261" s="44"/>
      <c r="G261" s="251"/>
    </row>
    <row r="262" spans="1:7" ht="18.75" x14ac:dyDescent="0.25">
      <c r="A262" s="239"/>
      <c r="B262" s="231"/>
      <c r="C262" s="54"/>
      <c r="D262" s="343"/>
      <c r="E262" s="458"/>
      <c r="F262" s="44"/>
      <c r="G262" s="251"/>
    </row>
    <row r="263" spans="1:7" ht="18.75" x14ac:dyDescent="0.25">
      <c r="A263" s="239"/>
      <c r="B263" s="231"/>
      <c r="C263" s="54"/>
      <c r="D263" s="343"/>
      <c r="E263" s="458"/>
      <c r="F263" s="44"/>
      <c r="G263" s="251"/>
    </row>
    <row r="264" spans="1:7" ht="18.75" x14ac:dyDescent="0.25">
      <c r="A264" s="239"/>
      <c r="B264" s="231"/>
      <c r="C264" s="54"/>
      <c r="D264" s="343"/>
      <c r="E264" s="458"/>
      <c r="F264" s="44"/>
      <c r="G264" s="251"/>
    </row>
    <row r="265" spans="1:7" ht="18.75" x14ac:dyDescent="0.25">
      <c r="A265" s="239"/>
      <c r="B265" s="231"/>
      <c r="C265" s="54"/>
      <c r="D265" s="343"/>
      <c r="E265" s="458"/>
      <c r="F265" s="44"/>
      <c r="G265" s="251"/>
    </row>
    <row r="266" spans="1:7" ht="18.75" x14ac:dyDescent="0.25">
      <c r="A266" s="239"/>
      <c r="B266" s="231"/>
      <c r="C266" s="54"/>
      <c r="D266" s="343"/>
      <c r="E266" s="458"/>
      <c r="F266" s="44"/>
      <c r="G266" s="251"/>
    </row>
    <row r="267" spans="1:7" ht="18.75" x14ac:dyDescent="0.25">
      <c r="A267" s="239"/>
      <c r="B267" s="231"/>
      <c r="C267" s="54"/>
      <c r="D267" s="343"/>
      <c r="E267" s="458"/>
      <c r="F267" s="44"/>
      <c r="G267" s="251"/>
    </row>
    <row r="268" spans="1:7" ht="18.75" x14ac:dyDescent="0.25">
      <c r="A268" s="239"/>
      <c r="B268" s="231"/>
      <c r="C268" s="54"/>
      <c r="D268" s="343"/>
      <c r="E268" s="458"/>
      <c r="F268" s="44"/>
      <c r="G268" s="251"/>
    </row>
    <row r="269" spans="1:7" ht="18.75" x14ac:dyDescent="0.25">
      <c r="A269" s="239"/>
      <c r="B269" s="231"/>
      <c r="C269" s="54"/>
      <c r="D269" s="343"/>
      <c r="E269" s="458"/>
      <c r="F269" s="44"/>
      <c r="G269" s="251"/>
    </row>
    <row r="270" spans="1:7" ht="18.75" x14ac:dyDescent="0.25">
      <c r="A270" s="239"/>
      <c r="B270" s="231"/>
      <c r="C270" s="54"/>
      <c r="D270" s="343"/>
      <c r="E270" s="458"/>
      <c r="F270" s="44"/>
      <c r="G270" s="251"/>
    </row>
    <row r="271" spans="1:7" ht="18.75" x14ac:dyDescent="0.25">
      <c r="A271" s="239"/>
      <c r="B271" s="231"/>
      <c r="C271" s="54"/>
      <c r="D271" s="343"/>
      <c r="E271" s="458"/>
      <c r="F271" s="44"/>
      <c r="G271" s="251"/>
    </row>
    <row r="272" spans="1:7" ht="18.75" x14ac:dyDescent="0.25">
      <c r="A272" s="239"/>
      <c r="B272" s="231"/>
      <c r="C272" s="54"/>
      <c r="D272" s="343"/>
      <c r="E272" s="458"/>
      <c r="F272" s="44"/>
      <c r="G272" s="251"/>
    </row>
    <row r="273" spans="1:7" ht="18.75" x14ac:dyDescent="0.25">
      <c r="A273" s="239"/>
      <c r="B273" s="231"/>
      <c r="C273" s="54"/>
      <c r="D273" s="343"/>
      <c r="E273" s="458"/>
      <c r="F273" s="44"/>
      <c r="G273" s="251"/>
    </row>
    <row r="274" spans="1:7" ht="18.75" x14ac:dyDescent="0.25">
      <c r="A274" s="239"/>
      <c r="B274" s="231"/>
      <c r="C274" s="54"/>
      <c r="D274" s="343"/>
      <c r="E274" s="458"/>
      <c r="F274" s="44"/>
      <c r="G274" s="251"/>
    </row>
    <row r="275" spans="1:7" ht="18.75" x14ac:dyDescent="0.25">
      <c r="A275" s="239"/>
      <c r="B275" s="231"/>
      <c r="C275" s="54"/>
      <c r="D275" s="343"/>
      <c r="E275" s="458"/>
      <c r="F275" s="44"/>
      <c r="G275" s="251"/>
    </row>
    <row r="276" spans="1:7" ht="18.75" x14ac:dyDescent="0.25">
      <c r="A276" s="239"/>
      <c r="B276" s="231"/>
      <c r="C276" s="54"/>
      <c r="D276" s="343"/>
      <c r="E276" s="458"/>
      <c r="F276" s="44"/>
      <c r="G276" s="251"/>
    </row>
    <row r="277" spans="1:7" ht="18.75" x14ac:dyDescent="0.25">
      <c r="A277" s="239"/>
      <c r="B277" s="231"/>
      <c r="C277" s="54"/>
      <c r="D277" s="343"/>
      <c r="E277" s="458"/>
      <c r="F277" s="44"/>
      <c r="G277" s="251"/>
    </row>
    <row r="278" spans="1:7" ht="18.75" x14ac:dyDescent="0.25">
      <c r="A278" s="239"/>
      <c r="B278" s="231"/>
      <c r="C278" s="54"/>
      <c r="D278" s="343"/>
      <c r="E278" s="458"/>
      <c r="F278" s="44"/>
      <c r="G278" s="251"/>
    </row>
    <row r="279" spans="1:7" ht="18.75" x14ac:dyDescent="0.25">
      <c r="A279" s="239"/>
      <c r="B279" s="231"/>
      <c r="C279" s="54"/>
      <c r="D279" s="343"/>
      <c r="E279" s="458"/>
      <c r="F279" s="44"/>
      <c r="G279" s="251"/>
    </row>
    <row r="280" spans="1:7" ht="18.75" x14ac:dyDescent="0.25">
      <c r="A280" s="239"/>
      <c r="B280" s="231"/>
      <c r="C280" s="54"/>
      <c r="D280" s="343"/>
      <c r="E280" s="458"/>
      <c r="F280" s="44"/>
      <c r="G280" s="251"/>
    </row>
    <row r="281" spans="1:7" ht="18.75" x14ac:dyDescent="0.25">
      <c r="A281" s="239"/>
      <c r="B281" s="231"/>
      <c r="C281" s="54"/>
      <c r="D281" s="343"/>
      <c r="E281" s="458"/>
      <c r="F281" s="44"/>
      <c r="G281" s="251"/>
    </row>
    <row r="282" spans="1:7" ht="18.75" x14ac:dyDescent="0.25">
      <c r="A282" s="239"/>
      <c r="B282" s="231"/>
      <c r="C282" s="54"/>
      <c r="D282" s="343"/>
      <c r="E282" s="458"/>
      <c r="F282" s="44"/>
      <c r="G282" s="251"/>
    </row>
    <row r="283" spans="1:7" ht="18.75" x14ac:dyDescent="0.25">
      <c r="A283" s="239"/>
      <c r="B283" s="231"/>
      <c r="C283" s="54"/>
      <c r="D283" s="343"/>
      <c r="E283" s="458"/>
      <c r="F283" s="44"/>
      <c r="G283" s="251"/>
    </row>
    <row r="284" spans="1:7" ht="18.75" x14ac:dyDescent="0.25">
      <c r="A284" s="239"/>
      <c r="B284" s="231"/>
      <c r="C284" s="54"/>
      <c r="D284" s="343"/>
      <c r="E284" s="458"/>
      <c r="F284" s="44"/>
      <c r="G284" s="251"/>
    </row>
    <row r="285" spans="1:7" ht="18.75" x14ac:dyDescent="0.25">
      <c r="A285" s="239"/>
      <c r="B285" s="231"/>
      <c r="C285" s="54"/>
      <c r="D285" s="343"/>
      <c r="E285" s="458"/>
      <c r="F285" s="44"/>
      <c r="G285" s="251"/>
    </row>
    <row r="286" spans="1:7" ht="18.75" x14ac:dyDescent="0.25">
      <c r="A286" s="239"/>
      <c r="B286" s="231"/>
      <c r="C286" s="54"/>
      <c r="D286" s="343"/>
      <c r="E286" s="458"/>
      <c r="F286" s="44"/>
      <c r="G286" s="251"/>
    </row>
    <row r="287" spans="1:7" ht="18.75" x14ac:dyDescent="0.25">
      <c r="A287" s="239"/>
      <c r="B287" s="231"/>
      <c r="C287" s="54"/>
      <c r="D287" s="343"/>
      <c r="E287" s="458"/>
      <c r="F287" s="44"/>
      <c r="G287" s="251"/>
    </row>
    <row r="288" spans="1:7" ht="18.75" x14ac:dyDescent="0.25">
      <c r="A288" s="239"/>
      <c r="B288" s="231"/>
      <c r="C288" s="54"/>
      <c r="D288" s="343"/>
      <c r="E288" s="458"/>
      <c r="F288" s="44"/>
      <c r="G288" s="251"/>
    </row>
    <row r="289" spans="1:7" ht="18.75" x14ac:dyDescent="0.25">
      <c r="A289" s="239"/>
      <c r="B289" s="231"/>
      <c r="C289" s="54"/>
      <c r="D289" s="343"/>
      <c r="E289" s="458"/>
      <c r="F289" s="44"/>
      <c r="G289" s="251"/>
    </row>
    <row r="290" spans="1:7" ht="18.75" x14ac:dyDescent="0.25">
      <c r="A290" s="239"/>
      <c r="B290" s="231"/>
      <c r="C290" s="54"/>
      <c r="D290" s="343"/>
      <c r="E290" s="458"/>
      <c r="F290" s="44"/>
      <c r="G290" s="251"/>
    </row>
    <row r="291" spans="1:7" ht="18.75" x14ac:dyDescent="0.25">
      <c r="A291" s="239"/>
      <c r="B291" s="231"/>
      <c r="C291" s="54"/>
      <c r="D291" s="343"/>
      <c r="E291" s="458"/>
      <c r="F291" s="44"/>
      <c r="G291" s="251"/>
    </row>
    <row r="292" spans="1:7" ht="18.75" x14ac:dyDescent="0.25">
      <c r="A292" s="239"/>
      <c r="B292" s="231"/>
      <c r="C292" s="54"/>
      <c r="D292" s="343"/>
      <c r="E292" s="458"/>
      <c r="F292" s="44"/>
      <c r="G292" s="251"/>
    </row>
    <row r="293" spans="1:7" ht="18.75" x14ac:dyDescent="0.25">
      <c r="A293" s="239"/>
      <c r="B293" s="231"/>
      <c r="C293" s="54"/>
      <c r="D293" s="343"/>
      <c r="E293" s="458"/>
      <c r="F293" s="44"/>
      <c r="G293" s="251"/>
    </row>
    <row r="294" spans="1:7" ht="18.75" x14ac:dyDescent="0.25">
      <c r="A294" s="239"/>
      <c r="B294" s="231"/>
      <c r="C294" s="54"/>
      <c r="D294" s="343"/>
      <c r="E294" s="458"/>
      <c r="F294" s="44"/>
      <c r="G294" s="251"/>
    </row>
    <row r="295" spans="1:7" ht="18.75" x14ac:dyDescent="0.25">
      <c r="A295" s="239"/>
      <c r="B295" s="231"/>
      <c r="C295" s="54"/>
      <c r="D295" s="343"/>
      <c r="E295" s="458"/>
      <c r="F295" s="44"/>
      <c r="G295" s="251"/>
    </row>
    <row r="296" spans="1:7" ht="18.75" x14ac:dyDescent="0.25">
      <c r="A296" s="239"/>
      <c r="B296" s="231"/>
      <c r="C296" s="54"/>
      <c r="D296" s="343"/>
      <c r="E296" s="458"/>
      <c r="F296" s="44"/>
      <c r="G296" s="251"/>
    </row>
    <row r="297" spans="1:7" ht="18.75" x14ac:dyDescent="0.25">
      <c r="A297" s="239"/>
      <c r="B297" s="231"/>
      <c r="C297" s="54"/>
      <c r="D297" s="343"/>
      <c r="E297" s="458"/>
      <c r="F297" s="44"/>
      <c r="G297" s="251"/>
    </row>
    <row r="298" spans="1:7" ht="18.75" x14ac:dyDescent="0.25">
      <c r="A298" s="239"/>
      <c r="B298" s="231"/>
      <c r="C298" s="54"/>
      <c r="D298" s="343"/>
      <c r="E298" s="458"/>
      <c r="F298" s="44"/>
      <c r="G298" s="251"/>
    </row>
    <row r="299" spans="1:7" ht="18.75" x14ac:dyDescent="0.25">
      <c r="A299" s="239"/>
      <c r="B299" s="231"/>
      <c r="C299" s="54"/>
      <c r="D299" s="343"/>
      <c r="E299" s="458"/>
      <c r="F299" s="44"/>
      <c r="G299" s="251"/>
    </row>
    <row r="300" spans="1:7" ht="18.75" x14ac:dyDescent="0.25">
      <c r="A300" s="239"/>
      <c r="B300" s="231"/>
      <c r="C300" s="54"/>
      <c r="D300" s="343"/>
      <c r="E300" s="458"/>
      <c r="F300" s="44"/>
      <c r="G300" s="251"/>
    </row>
    <row r="301" spans="1:7" ht="18.75" x14ac:dyDescent="0.25">
      <c r="A301" s="239"/>
      <c r="B301" s="231"/>
      <c r="C301" s="54"/>
      <c r="D301" s="343"/>
      <c r="E301" s="458"/>
      <c r="F301" s="44"/>
      <c r="G301" s="251"/>
    </row>
  </sheetData>
  <conditionalFormatting sqref="A2:G238 A240:G255">
    <cfRule type="expression" dxfId="70" priority="6">
      <formula>MOD(RIGHT($A2,1),2)=0</formula>
    </cfRule>
    <cfRule type="expression" dxfId="69" priority="9">
      <formula>$A2="VARIOS"</formula>
    </cfRule>
  </conditionalFormatting>
  <conditionalFormatting sqref="A2:G238 A240:G257">
    <cfRule type="expression" priority="5" stopIfTrue="1">
      <formula>$A2="VCT00"</formula>
    </cfRule>
    <cfRule type="expression" dxfId="68" priority="7">
      <formula>$A2="VCT A.E.M"</formula>
    </cfRule>
  </conditionalFormatting>
  <conditionalFormatting sqref="A239:G239">
    <cfRule type="expression" dxfId="67" priority="2">
      <formula>MOD(RIGHT($A239,1),2)=0</formula>
    </cfRule>
    <cfRule type="expression" dxfId="66" priority="4">
      <formula>$A239="VARIOS"</formula>
    </cfRule>
  </conditionalFormatting>
  <conditionalFormatting sqref="A239:G239">
    <cfRule type="expression" priority="1" stopIfTrue="1">
      <formula>$A239="VCT00"</formula>
    </cfRule>
    <cfRule type="expression" dxfId="65" priority="3">
      <formula>$A239="VCT A.E.M"</formula>
    </cfRule>
  </conditionalFormatting>
  <pageMargins left="0.25" right="0.25" top="0.75" bottom="0.75" header="0.3" footer="0.3"/>
  <pageSetup paperSize="9" scale="7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PlantillaFinal">
                <anchor moveWithCells="1" sizeWithCells="1">
                  <from>
                    <xdr:col>7</xdr:col>
                    <xdr:colOff>323850</xdr:colOff>
                    <xdr:row>1</xdr:row>
                    <xdr:rowOff>114300</xdr:rowOff>
                  </from>
                  <to>
                    <xdr:col>9</xdr:col>
                    <xdr:colOff>666750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pageSetUpPr fitToPage="1"/>
  </sheetPr>
  <dimension ref="A1:J339"/>
  <sheetViews>
    <sheetView zoomScale="70" zoomScaleNormal="70" workbookViewId="0">
      <selection activeCell="J33" sqref="J33"/>
    </sheetView>
  </sheetViews>
  <sheetFormatPr baseColWidth="10" defaultColWidth="11.42578125" defaultRowHeight="15" x14ac:dyDescent="0.25"/>
  <cols>
    <col min="1" max="1" width="31.42578125" style="1" customWidth="1"/>
    <col min="2" max="2" width="13" style="1" bestFit="1" customWidth="1"/>
    <col min="3" max="3" width="49.5703125" style="1" bestFit="1" customWidth="1"/>
    <col min="4" max="4" width="53" style="1" bestFit="1" customWidth="1"/>
    <col min="5" max="5" width="17.7109375" style="308" customWidth="1"/>
    <col min="6" max="6" width="14" style="1" customWidth="1"/>
    <col min="7" max="7" width="16" style="308" bestFit="1" customWidth="1"/>
    <col min="8" max="8" width="21.42578125" style="308" bestFit="1" customWidth="1"/>
    <col min="9" max="16384" width="11.42578125" style="1"/>
  </cols>
  <sheetData>
    <row r="1" spans="1:10" ht="15.75" thickBot="1" x14ac:dyDescent="0.3">
      <c r="A1" s="292" t="s">
        <v>18</v>
      </c>
      <c r="B1" s="292" t="s">
        <v>0</v>
      </c>
      <c r="C1" s="293" t="s">
        <v>1</v>
      </c>
      <c r="D1" s="292" t="s">
        <v>2</v>
      </c>
      <c r="E1" s="307" t="s">
        <v>801</v>
      </c>
      <c r="F1" s="292" t="s">
        <v>671</v>
      </c>
      <c r="G1" s="307" t="s">
        <v>800</v>
      </c>
      <c r="H1" s="309" t="s">
        <v>802</v>
      </c>
    </row>
    <row r="2" spans="1:10" ht="15" customHeight="1" x14ac:dyDescent="0.25">
      <c r="A2" s="109" t="s">
        <v>416</v>
      </c>
      <c r="B2" s="332" t="s">
        <v>318</v>
      </c>
      <c r="C2" s="332" t="s">
        <v>450</v>
      </c>
      <c r="D2" s="332" t="s">
        <v>806</v>
      </c>
      <c r="E2" s="315">
        <v>21028</v>
      </c>
      <c r="F2" s="316">
        <v>30000</v>
      </c>
      <c r="G2" s="315">
        <v>21298</v>
      </c>
      <c r="H2" s="317">
        <v>270</v>
      </c>
    </row>
    <row r="3" spans="1:10" ht="15" customHeight="1" x14ac:dyDescent="0.25">
      <c r="A3" s="112" t="s">
        <v>1226</v>
      </c>
      <c r="B3" s="333" t="s">
        <v>318</v>
      </c>
      <c r="C3" s="333" t="s">
        <v>446</v>
      </c>
      <c r="D3" s="333" t="s">
        <v>899</v>
      </c>
      <c r="E3" s="318">
        <v>101357</v>
      </c>
      <c r="F3" s="319">
        <v>30000</v>
      </c>
      <c r="G3" s="318">
        <v>104039</v>
      </c>
      <c r="H3" s="320">
        <v>2682</v>
      </c>
    </row>
    <row r="4" spans="1:10" ht="15" customHeight="1" x14ac:dyDescent="0.25">
      <c r="A4" s="112" t="s">
        <v>415</v>
      </c>
      <c r="B4" s="333" t="s">
        <v>318</v>
      </c>
      <c r="C4" s="333" t="s">
        <v>805</v>
      </c>
      <c r="D4" s="333" t="s">
        <v>806</v>
      </c>
      <c r="E4" s="318">
        <v>13970</v>
      </c>
      <c r="F4" s="319">
        <v>30000</v>
      </c>
      <c r="G4" s="318">
        <v>14127</v>
      </c>
      <c r="H4" s="320">
        <v>157</v>
      </c>
    </row>
    <row r="5" spans="1:10" ht="15" customHeight="1" x14ac:dyDescent="0.25">
      <c r="A5" s="112" t="s">
        <v>713</v>
      </c>
      <c r="B5" s="333" t="s">
        <v>46</v>
      </c>
      <c r="C5" s="333" t="s">
        <v>1318</v>
      </c>
      <c r="D5" s="333" t="s">
        <v>1319</v>
      </c>
      <c r="E5" s="318">
        <v>230622</v>
      </c>
      <c r="F5" s="319">
        <v>30000</v>
      </c>
      <c r="G5" s="318">
        <v>237670</v>
      </c>
      <c r="H5" s="320">
        <v>7048</v>
      </c>
    </row>
    <row r="6" spans="1:10" ht="15" customHeight="1" x14ac:dyDescent="0.25">
      <c r="A6" s="112" t="s">
        <v>1122</v>
      </c>
      <c r="B6" s="333" t="s">
        <v>283</v>
      </c>
      <c r="C6" s="333" t="s">
        <v>700</v>
      </c>
      <c r="D6" s="333"/>
      <c r="E6" s="318">
        <v>1605796</v>
      </c>
      <c r="F6" s="319">
        <v>30000</v>
      </c>
      <c r="G6" s="318">
        <v>1618056</v>
      </c>
      <c r="H6" s="320">
        <v>12260</v>
      </c>
    </row>
    <row r="7" spans="1:10" ht="15" customHeight="1" x14ac:dyDescent="0.25">
      <c r="A7" s="112" t="s">
        <v>1123</v>
      </c>
      <c r="B7" s="333" t="s">
        <v>291</v>
      </c>
      <c r="C7" s="333" t="s">
        <v>700</v>
      </c>
      <c r="D7" s="333" t="s">
        <v>63</v>
      </c>
      <c r="E7" s="318">
        <v>693429</v>
      </c>
      <c r="F7" s="319">
        <v>30000</v>
      </c>
      <c r="G7" s="318">
        <v>703387</v>
      </c>
      <c r="H7" s="320">
        <v>9958</v>
      </c>
    </row>
    <row r="8" spans="1:10" x14ac:dyDescent="0.25">
      <c r="A8" s="112" t="s">
        <v>1182</v>
      </c>
      <c r="B8" s="333" t="s">
        <v>293</v>
      </c>
      <c r="C8" s="333" t="s">
        <v>700</v>
      </c>
      <c r="D8" s="333" t="s">
        <v>63</v>
      </c>
      <c r="E8" s="318">
        <v>2318170</v>
      </c>
      <c r="F8" s="319">
        <v>30000</v>
      </c>
      <c r="G8" s="318">
        <v>2355157</v>
      </c>
      <c r="H8" s="320">
        <v>36987</v>
      </c>
    </row>
    <row r="9" spans="1:10" x14ac:dyDescent="0.25">
      <c r="A9" s="112" t="s">
        <v>1126</v>
      </c>
      <c r="B9" s="333" t="s">
        <v>301</v>
      </c>
      <c r="C9" s="333" t="s">
        <v>700</v>
      </c>
      <c r="D9" s="333" t="s">
        <v>63</v>
      </c>
      <c r="E9" s="318">
        <v>342058</v>
      </c>
      <c r="F9" s="319">
        <v>30000</v>
      </c>
      <c r="G9" s="318">
        <v>347113</v>
      </c>
      <c r="H9" s="320">
        <v>5055</v>
      </c>
    </row>
    <row r="10" spans="1:10" x14ac:dyDescent="0.25">
      <c r="A10" s="112" t="s">
        <v>1131</v>
      </c>
      <c r="B10" s="333" t="s">
        <v>441</v>
      </c>
      <c r="C10" s="333" t="s">
        <v>700</v>
      </c>
      <c r="D10" s="333" t="s">
        <v>63</v>
      </c>
      <c r="E10" s="318">
        <v>141299</v>
      </c>
      <c r="F10" s="319">
        <v>30000</v>
      </c>
      <c r="G10" s="318">
        <v>143978</v>
      </c>
      <c r="H10" s="320">
        <v>2679</v>
      </c>
    </row>
    <row r="11" spans="1:10" ht="15" customHeight="1" thickBot="1" x14ac:dyDescent="0.3">
      <c r="A11" s="112">
        <v>95589744</v>
      </c>
      <c r="B11" s="333" t="s">
        <v>342</v>
      </c>
      <c r="C11" s="333" t="s">
        <v>357</v>
      </c>
      <c r="D11" s="333" t="s">
        <v>357</v>
      </c>
      <c r="E11" s="318">
        <v>2936161</v>
      </c>
      <c r="F11" s="319">
        <v>39000</v>
      </c>
      <c r="G11" s="318">
        <v>2955799</v>
      </c>
      <c r="H11" s="320">
        <v>19638</v>
      </c>
    </row>
    <row r="12" spans="1:10" ht="15" customHeight="1" thickBot="1" x14ac:dyDescent="0.3">
      <c r="A12" s="112">
        <v>71300126846</v>
      </c>
      <c r="B12" s="333" t="s">
        <v>239</v>
      </c>
      <c r="C12" s="333" t="s">
        <v>241</v>
      </c>
      <c r="D12" s="333" t="s">
        <v>728</v>
      </c>
      <c r="E12" s="318">
        <v>269434</v>
      </c>
      <c r="F12" s="319">
        <v>39005</v>
      </c>
      <c r="G12" s="318">
        <v>271223</v>
      </c>
      <c r="H12" s="320">
        <v>1789</v>
      </c>
      <c r="I12" s="278" t="s">
        <v>973</v>
      </c>
      <c r="J12" s="279">
        <f>COUNTIF(Tabla2[[#Data],[#Totals],[UltConsumo]],"n/a")</f>
        <v>1</v>
      </c>
    </row>
    <row r="13" spans="1:10" ht="15" customHeight="1" x14ac:dyDescent="0.25">
      <c r="A13" s="112" t="s">
        <v>284</v>
      </c>
      <c r="B13" s="333" t="s">
        <v>283</v>
      </c>
      <c r="C13" s="333" t="s">
        <v>285</v>
      </c>
      <c r="D13" s="333" t="s">
        <v>911</v>
      </c>
      <c r="E13" s="318">
        <v>80504</v>
      </c>
      <c r="F13" s="319">
        <v>39006</v>
      </c>
      <c r="G13" s="318">
        <v>81008</v>
      </c>
      <c r="H13" s="320">
        <v>504</v>
      </c>
    </row>
    <row r="14" spans="1:10" ht="15" customHeight="1" x14ac:dyDescent="0.25">
      <c r="A14" s="112" t="s">
        <v>1178</v>
      </c>
      <c r="B14" s="333" t="s">
        <v>235</v>
      </c>
      <c r="C14" s="333" t="s">
        <v>437</v>
      </c>
      <c r="D14" s="333" t="s">
        <v>63</v>
      </c>
      <c r="E14" s="318">
        <v>10689</v>
      </c>
      <c r="F14" s="319">
        <v>39010</v>
      </c>
      <c r="G14" s="318">
        <v>10826</v>
      </c>
      <c r="H14" s="320">
        <v>137</v>
      </c>
    </row>
    <row r="15" spans="1:10" x14ac:dyDescent="0.25">
      <c r="A15" s="112" t="s">
        <v>1143</v>
      </c>
      <c r="B15" s="333" t="s">
        <v>142</v>
      </c>
      <c r="C15" s="333" t="s">
        <v>428</v>
      </c>
      <c r="D15" s="333" t="s">
        <v>38</v>
      </c>
      <c r="E15" s="318">
        <v>11900</v>
      </c>
      <c r="F15" s="319">
        <v>39011</v>
      </c>
      <c r="G15" s="318">
        <v>12068</v>
      </c>
      <c r="H15" s="320">
        <v>168</v>
      </c>
    </row>
    <row r="16" spans="1:10" ht="15" customHeight="1" x14ac:dyDescent="0.25">
      <c r="A16" s="112" t="s">
        <v>41</v>
      </c>
      <c r="B16" s="333" t="s">
        <v>36</v>
      </c>
      <c r="C16" s="333" t="s">
        <v>1374</v>
      </c>
      <c r="D16" s="333" t="s">
        <v>38</v>
      </c>
      <c r="E16" s="318">
        <v>112873</v>
      </c>
      <c r="F16" s="321">
        <v>39014</v>
      </c>
      <c r="G16" s="318">
        <v>112873</v>
      </c>
      <c r="H16" s="320">
        <v>0</v>
      </c>
    </row>
    <row r="17" spans="1:8" ht="15" customHeight="1" x14ac:dyDescent="0.25">
      <c r="A17" s="112">
        <v>95589705</v>
      </c>
      <c r="B17" s="333" t="s">
        <v>342</v>
      </c>
      <c r="C17" s="333" t="s">
        <v>1374</v>
      </c>
      <c r="D17" s="333" t="s">
        <v>452</v>
      </c>
      <c r="E17" s="322">
        <v>987862</v>
      </c>
      <c r="F17" s="323">
        <v>39017</v>
      </c>
      <c r="G17" s="324">
        <v>1000631</v>
      </c>
      <c r="H17" s="320">
        <v>12769</v>
      </c>
    </row>
    <row r="18" spans="1:8" ht="15" customHeight="1" x14ac:dyDescent="0.25">
      <c r="A18" s="112">
        <v>71300126679</v>
      </c>
      <c r="B18" s="333" t="s">
        <v>239</v>
      </c>
      <c r="C18" s="333" t="s">
        <v>241</v>
      </c>
      <c r="D18" s="333" t="s">
        <v>726</v>
      </c>
      <c r="E18" s="318">
        <v>334359</v>
      </c>
      <c r="F18" s="325">
        <v>39019</v>
      </c>
      <c r="G18" s="318">
        <v>336443</v>
      </c>
      <c r="H18" s="320">
        <v>2084</v>
      </c>
    </row>
    <row r="19" spans="1:8" ht="15" customHeight="1" x14ac:dyDescent="0.25">
      <c r="A19" s="112" t="s">
        <v>114</v>
      </c>
      <c r="B19" s="333" t="s">
        <v>106</v>
      </c>
      <c r="C19" s="333" t="s">
        <v>97</v>
      </c>
      <c r="D19" s="333" t="s">
        <v>912</v>
      </c>
      <c r="E19" s="318">
        <v>64440</v>
      </c>
      <c r="F19" s="319">
        <v>39021</v>
      </c>
      <c r="G19" s="318">
        <v>64566</v>
      </c>
      <c r="H19" s="320">
        <v>126</v>
      </c>
    </row>
    <row r="20" spans="1:8" ht="15" customHeight="1" x14ac:dyDescent="0.25">
      <c r="A20" s="112" t="s">
        <v>1116</v>
      </c>
      <c r="B20" s="333" t="s">
        <v>90</v>
      </c>
      <c r="C20" s="333" t="s">
        <v>97</v>
      </c>
      <c r="D20" s="333" t="s">
        <v>941</v>
      </c>
      <c r="E20" s="318">
        <v>12284</v>
      </c>
      <c r="F20" s="319">
        <v>39022</v>
      </c>
      <c r="G20" s="318">
        <v>12462</v>
      </c>
      <c r="H20" s="320">
        <v>178</v>
      </c>
    </row>
    <row r="21" spans="1:8" ht="15" customHeight="1" x14ac:dyDescent="0.25">
      <c r="A21" s="112">
        <v>71300126675</v>
      </c>
      <c r="B21" s="333" t="s">
        <v>239</v>
      </c>
      <c r="C21" s="333" t="s">
        <v>241</v>
      </c>
      <c r="D21" s="333" t="s">
        <v>725</v>
      </c>
      <c r="E21" s="318">
        <v>227171</v>
      </c>
      <c r="F21" s="319">
        <v>39024</v>
      </c>
      <c r="G21" s="318">
        <v>228067</v>
      </c>
      <c r="H21" s="320">
        <v>896</v>
      </c>
    </row>
    <row r="22" spans="1:8" x14ac:dyDescent="0.25">
      <c r="A22" s="112">
        <v>71300126550</v>
      </c>
      <c r="B22" s="333" t="s">
        <v>239</v>
      </c>
      <c r="C22" s="333" t="s">
        <v>241</v>
      </c>
      <c r="D22" s="333" t="s">
        <v>721</v>
      </c>
      <c r="E22" s="318">
        <v>513444</v>
      </c>
      <c r="F22" s="319">
        <v>39028</v>
      </c>
      <c r="G22" s="318">
        <v>516993</v>
      </c>
      <c r="H22" s="320">
        <v>3549</v>
      </c>
    </row>
    <row r="23" spans="1:8" x14ac:dyDescent="0.25">
      <c r="A23" s="112" t="s">
        <v>221</v>
      </c>
      <c r="B23" s="333" t="s">
        <v>217</v>
      </c>
      <c r="C23" s="333" t="s">
        <v>1549</v>
      </c>
      <c r="D23" s="333" t="s">
        <v>1024</v>
      </c>
      <c r="E23" s="318">
        <v>1259471</v>
      </c>
      <c r="F23" s="319">
        <v>39036</v>
      </c>
      <c r="G23" s="318">
        <v>1264289</v>
      </c>
      <c r="H23" s="320">
        <v>4818</v>
      </c>
    </row>
    <row r="24" spans="1:8" x14ac:dyDescent="0.25">
      <c r="A24" s="112">
        <v>71300126614</v>
      </c>
      <c r="B24" s="333" t="s">
        <v>239</v>
      </c>
      <c r="C24" s="333" t="s">
        <v>241</v>
      </c>
      <c r="D24" s="333" t="s">
        <v>724</v>
      </c>
      <c r="E24" s="318">
        <v>451243</v>
      </c>
      <c r="F24" s="319">
        <v>39037</v>
      </c>
      <c r="G24" s="318">
        <v>451243</v>
      </c>
      <c r="H24" s="320">
        <v>0</v>
      </c>
    </row>
    <row r="25" spans="1:8" x14ac:dyDescent="0.25">
      <c r="A25" s="112">
        <v>71300126611</v>
      </c>
      <c r="B25" s="333" t="s">
        <v>239</v>
      </c>
      <c r="C25" s="333" t="s">
        <v>241</v>
      </c>
      <c r="D25" s="333" t="s">
        <v>722</v>
      </c>
      <c r="E25" s="318">
        <v>407298</v>
      </c>
      <c r="F25" s="319">
        <v>39038</v>
      </c>
      <c r="G25" s="318">
        <v>409656</v>
      </c>
      <c r="H25" s="320">
        <v>2358</v>
      </c>
    </row>
    <row r="26" spans="1:8" x14ac:dyDescent="0.25">
      <c r="A26" s="112" t="s">
        <v>1108</v>
      </c>
      <c r="B26" s="333" t="s">
        <v>90</v>
      </c>
      <c r="C26" s="333" t="s">
        <v>651</v>
      </c>
      <c r="D26" s="333" t="s">
        <v>937</v>
      </c>
      <c r="E26" s="318">
        <v>84357</v>
      </c>
      <c r="F26" s="319">
        <v>39044</v>
      </c>
      <c r="G26" s="318">
        <v>85458</v>
      </c>
      <c r="H26" s="318">
        <v>1101</v>
      </c>
    </row>
    <row r="27" spans="1:8" x14ac:dyDescent="0.25">
      <c r="A27" s="112" t="s">
        <v>1149</v>
      </c>
      <c r="B27" s="333" t="s">
        <v>342</v>
      </c>
      <c r="C27" s="333" t="s">
        <v>1411</v>
      </c>
      <c r="D27" s="333" t="s">
        <v>351</v>
      </c>
      <c r="E27" s="318">
        <v>24119903</v>
      </c>
      <c r="F27" s="319">
        <v>39053</v>
      </c>
      <c r="G27" s="318">
        <v>24279910</v>
      </c>
      <c r="H27" s="320">
        <v>160007</v>
      </c>
    </row>
    <row r="28" spans="1:8" x14ac:dyDescent="0.25">
      <c r="A28" s="112" t="s">
        <v>1109</v>
      </c>
      <c r="B28" s="333" t="s">
        <v>90</v>
      </c>
      <c r="C28" s="333" t="s">
        <v>102</v>
      </c>
      <c r="D28" s="333" t="s">
        <v>934</v>
      </c>
      <c r="E28" s="318">
        <v>6711</v>
      </c>
      <c r="F28" s="319">
        <v>39054</v>
      </c>
      <c r="G28" s="318">
        <v>6811</v>
      </c>
      <c r="H28" s="320">
        <v>100</v>
      </c>
    </row>
    <row r="29" spans="1:8" x14ac:dyDescent="0.25">
      <c r="A29" s="112" t="s">
        <v>1110</v>
      </c>
      <c r="B29" s="333" t="s">
        <v>90</v>
      </c>
      <c r="C29" s="333" t="s">
        <v>105</v>
      </c>
      <c r="D29" s="333" t="s">
        <v>938</v>
      </c>
      <c r="E29" s="318">
        <v>5222</v>
      </c>
      <c r="F29" s="319">
        <v>39057</v>
      </c>
      <c r="G29" s="318">
        <v>5523</v>
      </c>
      <c r="H29" s="320">
        <v>301</v>
      </c>
    </row>
    <row r="30" spans="1:8" x14ac:dyDescent="0.25">
      <c r="A30" s="112" t="s">
        <v>404</v>
      </c>
      <c r="B30" s="333" t="s">
        <v>614</v>
      </c>
      <c r="C30" s="333" t="s">
        <v>615</v>
      </c>
      <c r="D30" s="333" t="s">
        <v>618</v>
      </c>
      <c r="E30" s="318">
        <v>27824</v>
      </c>
      <c r="F30" s="319">
        <v>39065</v>
      </c>
      <c r="G30" s="318">
        <v>27860</v>
      </c>
      <c r="H30" s="320">
        <v>36</v>
      </c>
    </row>
    <row r="31" spans="1:8" x14ac:dyDescent="0.25">
      <c r="A31" s="112" t="s">
        <v>314</v>
      </c>
      <c r="B31" s="333" t="s">
        <v>310</v>
      </c>
      <c r="C31" s="333" t="s">
        <v>315</v>
      </c>
      <c r="D31" s="333" t="s">
        <v>316</v>
      </c>
      <c r="E31" s="318">
        <v>0</v>
      </c>
      <c r="F31" s="319">
        <v>39074</v>
      </c>
      <c r="G31" s="318">
        <v>0</v>
      </c>
      <c r="H31" s="320" t="s">
        <v>973</v>
      </c>
    </row>
    <row r="32" spans="1:8" x14ac:dyDescent="0.25">
      <c r="A32" s="112" t="s">
        <v>68</v>
      </c>
      <c r="B32" s="333" t="s">
        <v>55</v>
      </c>
      <c r="C32" s="333" t="s">
        <v>421</v>
      </c>
      <c r="D32" s="333" t="s">
        <v>69</v>
      </c>
      <c r="E32" s="318">
        <v>1021359</v>
      </c>
      <c r="F32" s="319">
        <v>39088</v>
      </c>
      <c r="G32" s="318">
        <v>1026091</v>
      </c>
      <c r="H32" s="320">
        <v>4732</v>
      </c>
    </row>
    <row r="33" spans="1:8" x14ac:dyDescent="0.25">
      <c r="A33" s="112" t="s">
        <v>1154</v>
      </c>
      <c r="B33" s="333" t="s">
        <v>342</v>
      </c>
      <c r="C33" s="333" t="s">
        <v>343</v>
      </c>
      <c r="D33" s="333" t="s">
        <v>344</v>
      </c>
      <c r="E33" s="318">
        <v>163479381</v>
      </c>
      <c r="F33" s="319">
        <v>39100</v>
      </c>
      <c r="G33" s="318">
        <v>165038109</v>
      </c>
      <c r="H33" s="320">
        <v>1558728</v>
      </c>
    </row>
    <row r="34" spans="1:8" x14ac:dyDescent="0.25">
      <c r="A34" s="112" t="s">
        <v>289</v>
      </c>
      <c r="B34" s="333" t="s">
        <v>283</v>
      </c>
      <c r="C34" s="333" t="s">
        <v>290</v>
      </c>
      <c r="D34" s="333" t="s">
        <v>912</v>
      </c>
      <c r="E34" s="318">
        <v>739353</v>
      </c>
      <c r="F34" s="319">
        <v>39131</v>
      </c>
      <c r="G34" s="318">
        <v>743356</v>
      </c>
      <c r="H34" s="320">
        <v>4003</v>
      </c>
    </row>
    <row r="35" spans="1:8" x14ac:dyDescent="0.25">
      <c r="A35" s="112" t="s">
        <v>1604</v>
      </c>
      <c r="B35" s="333" t="s">
        <v>217</v>
      </c>
      <c r="C35" s="333" t="s">
        <v>220</v>
      </c>
      <c r="D35" s="333" t="s">
        <v>1023</v>
      </c>
      <c r="E35" s="318">
        <v>49311</v>
      </c>
      <c r="F35" s="319">
        <v>39132</v>
      </c>
      <c r="G35" s="318">
        <v>56912</v>
      </c>
      <c r="H35" s="320">
        <v>7601</v>
      </c>
    </row>
    <row r="36" spans="1:8" x14ac:dyDescent="0.25">
      <c r="A36" s="112" t="s">
        <v>192</v>
      </c>
      <c r="B36" s="333" t="s">
        <v>187</v>
      </c>
      <c r="C36" s="333" t="s">
        <v>193</v>
      </c>
      <c r="D36" s="333" t="s">
        <v>912</v>
      </c>
      <c r="E36" s="318">
        <v>1062907</v>
      </c>
      <c r="F36" s="319">
        <v>39135</v>
      </c>
      <c r="G36" s="318">
        <v>1073063</v>
      </c>
      <c r="H36" s="320">
        <v>10156</v>
      </c>
    </row>
    <row r="37" spans="1:8" x14ac:dyDescent="0.25">
      <c r="A37" s="112">
        <v>71300126612</v>
      </c>
      <c r="B37" s="333" t="s">
        <v>239</v>
      </c>
      <c r="C37" s="333" t="s">
        <v>245</v>
      </c>
      <c r="D37" s="333" t="s">
        <v>723</v>
      </c>
      <c r="E37" s="318">
        <v>261578</v>
      </c>
      <c r="F37" s="319">
        <v>39139</v>
      </c>
      <c r="G37" s="318">
        <v>264069</v>
      </c>
      <c r="H37" s="320">
        <v>2491</v>
      </c>
    </row>
    <row r="38" spans="1:8" x14ac:dyDescent="0.25">
      <c r="A38" s="112">
        <v>71300126840</v>
      </c>
      <c r="B38" s="333" t="s">
        <v>239</v>
      </c>
      <c r="C38" s="333" t="s">
        <v>245</v>
      </c>
      <c r="D38" s="333" t="s">
        <v>727</v>
      </c>
      <c r="E38" s="318">
        <v>405370</v>
      </c>
      <c r="F38" s="319">
        <v>39140</v>
      </c>
      <c r="G38" s="318">
        <v>410021</v>
      </c>
      <c r="H38" s="320">
        <v>4651</v>
      </c>
    </row>
    <row r="39" spans="1:8" x14ac:dyDescent="0.25">
      <c r="A39" s="112">
        <v>95589721</v>
      </c>
      <c r="B39" s="333" t="s">
        <v>342</v>
      </c>
      <c r="C39" s="333" t="s">
        <v>1374</v>
      </c>
      <c r="D39" s="333" t="s">
        <v>367</v>
      </c>
      <c r="E39" s="318">
        <v>3249800</v>
      </c>
      <c r="F39" s="319">
        <v>39145</v>
      </c>
      <c r="G39" s="318">
        <v>3249811</v>
      </c>
      <c r="H39" s="320">
        <v>11</v>
      </c>
    </row>
    <row r="40" spans="1:8" x14ac:dyDescent="0.25">
      <c r="A40" s="112" t="s">
        <v>121</v>
      </c>
      <c r="B40" s="333" t="s">
        <v>120</v>
      </c>
      <c r="C40" s="333" t="s">
        <v>122</v>
      </c>
      <c r="D40" s="333" t="s">
        <v>916</v>
      </c>
      <c r="E40" s="318">
        <v>1148619</v>
      </c>
      <c r="F40" s="319">
        <v>39150</v>
      </c>
      <c r="G40" s="318">
        <v>1155235</v>
      </c>
      <c r="H40" s="320">
        <v>6616</v>
      </c>
    </row>
    <row r="41" spans="1:8" x14ac:dyDescent="0.25">
      <c r="A41" s="112" t="s">
        <v>61</v>
      </c>
      <c r="B41" s="333" t="s">
        <v>55</v>
      </c>
      <c r="C41" s="333" t="s">
        <v>62</v>
      </c>
      <c r="D41" s="333" t="s">
        <v>928</v>
      </c>
      <c r="E41" s="318">
        <v>231891</v>
      </c>
      <c r="F41" s="319">
        <v>39160</v>
      </c>
      <c r="G41" s="318">
        <v>231891</v>
      </c>
      <c r="H41" s="320">
        <v>0</v>
      </c>
    </row>
    <row r="42" spans="1:8" x14ac:dyDescent="0.25">
      <c r="A42" s="112" t="s">
        <v>1450</v>
      </c>
      <c r="B42" s="333" t="s">
        <v>106</v>
      </c>
      <c r="C42" s="333" t="s">
        <v>1449</v>
      </c>
      <c r="D42" s="333" t="s">
        <v>904</v>
      </c>
      <c r="E42" s="318">
        <v>10</v>
      </c>
      <c r="F42" s="319">
        <v>39169</v>
      </c>
      <c r="G42" s="318">
        <v>10</v>
      </c>
      <c r="H42" s="320">
        <v>0</v>
      </c>
    </row>
    <row r="43" spans="1:8" x14ac:dyDescent="0.25">
      <c r="A43" s="112" t="s">
        <v>254</v>
      </c>
      <c r="B43" s="333" t="s">
        <v>252</v>
      </c>
      <c r="C43" s="333" t="s">
        <v>245</v>
      </c>
      <c r="D43" s="333" t="s">
        <v>1023</v>
      </c>
      <c r="E43" s="318">
        <v>675674</v>
      </c>
      <c r="F43" s="319">
        <v>39176</v>
      </c>
      <c r="G43" s="318">
        <v>679395</v>
      </c>
      <c r="H43" s="320">
        <v>3721</v>
      </c>
    </row>
    <row r="44" spans="1:8" x14ac:dyDescent="0.25">
      <c r="A44" s="112" t="s">
        <v>253</v>
      </c>
      <c r="B44" s="333" t="s">
        <v>252</v>
      </c>
      <c r="C44" s="333" t="s">
        <v>245</v>
      </c>
      <c r="D44" s="333" t="s">
        <v>1637</v>
      </c>
      <c r="E44" s="318">
        <v>887181</v>
      </c>
      <c r="F44" s="319">
        <v>39177</v>
      </c>
      <c r="G44" s="318">
        <v>893066</v>
      </c>
      <c r="H44" s="320">
        <v>5885</v>
      </c>
    </row>
    <row r="45" spans="1:8" x14ac:dyDescent="0.25">
      <c r="A45" s="112" t="s">
        <v>138</v>
      </c>
      <c r="B45" s="333" t="s">
        <v>135</v>
      </c>
      <c r="C45" s="333" t="s">
        <v>425</v>
      </c>
      <c r="D45" s="333" t="s">
        <v>123</v>
      </c>
      <c r="E45" s="318">
        <v>310892</v>
      </c>
      <c r="F45" s="319">
        <v>39185</v>
      </c>
      <c r="G45" s="318">
        <v>316189</v>
      </c>
      <c r="H45" s="320">
        <v>5297</v>
      </c>
    </row>
    <row r="46" spans="1:8" x14ac:dyDescent="0.25">
      <c r="A46" s="112" t="s">
        <v>1157</v>
      </c>
      <c r="B46" s="333" t="s">
        <v>342</v>
      </c>
      <c r="C46" s="333" t="s">
        <v>349</v>
      </c>
      <c r="D46" s="333" t="s">
        <v>350</v>
      </c>
      <c r="E46" s="318">
        <v>4556847</v>
      </c>
      <c r="F46" s="319">
        <v>39189</v>
      </c>
      <c r="G46" s="318">
        <v>4599107</v>
      </c>
      <c r="H46" s="320">
        <v>42260</v>
      </c>
    </row>
    <row r="47" spans="1:8" x14ac:dyDescent="0.25">
      <c r="A47" s="112" t="s">
        <v>1089</v>
      </c>
      <c r="B47" s="333" t="s">
        <v>151</v>
      </c>
      <c r="C47" s="333" t="s">
        <v>803</v>
      </c>
      <c r="D47" s="333" t="s">
        <v>913</v>
      </c>
      <c r="E47" s="318">
        <v>511</v>
      </c>
      <c r="F47" s="319">
        <v>39194</v>
      </c>
      <c r="G47" s="318">
        <v>511</v>
      </c>
      <c r="H47" s="320">
        <v>0</v>
      </c>
    </row>
    <row r="48" spans="1:8" x14ac:dyDescent="0.25">
      <c r="A48" s="112" t="s">
        <v>1201</v>
      </c>
      <c r="B48" s="333" t="s">
        <v>90</v>
      </c>
      <c r="C48" s="333" t="s">
        <v>91</v>
      </c>
      <c r="D48" s="333" t="s">
        <v>92</v>
      </c>
      <c r="E48" s="318">
        <v>252077</v>
      </c>
      <c r="F48" s="319">
        <v>39196</v>
      </c>
      <c r="G48" s="318">
        <v>253311</v>
      </c>
      <c r="H48" s="320">
        <v>1234</v>
      </c>
    </row>
    <row r="49" spans="1:8" x14ac:dyDescent="0.25">
      <c r="A49" s="112" t="s">
        <v>1151</v>
      </c>
      <c r="B49" s="333" t="s">
        <v>342</v>
      </c>
      <c r="C49" s="333" t="s">
        <v>368</v>
      </c>
      <c r="D49" s="333" t="s">
        <v>369</v>
      </c>
      <c r="E49" s="318">
        <v>746904</v>
      </c>
      <c r="F49" s="319">
        <v>39202</v>
      </c>
      <c r="G49" s="318">
        <v>754342</v>
      </c>
      <c r="H49" s="320">
        <v>7438</v>
      </c>
    </row>
    <row r="50" spans="1:8" x14ac:dyDescent="0.25">
      <c r="A50" s="112" t="s">
        <v>1155</v>
      </c>
      <c r="B50" s="333" t="s">
        <v>342</v>
      </c>
      <c r="C50" s="333" t="s">
        <v>346</v>
      </c>
      <c r="D50" s="333" t="s">
        <v>347</v>
      </c>
      <c r="E50" s="318">
        <v>10366776</v>
      </c>
      <c r="F50" s="319">
        <v>39235</v>
      </c>
      <c r="G50" s="318">
        <v>10508964</v>
      </c>
      <c r="H50" s="320">
        <v>142188</v>
      </c>
    </row>
    <row r="51" spans="1:8" x14ac:dyDescent="0.25">
      <c r="A51" s="112" t="s">
        <v>203</v>
      </c>
      <c r="B51" s="333" t="s">
        <v>197</v>
      </c>
      <c r="C51" s="333" t="s">
        <v>204</v>
      </c>
      <c r="D51" s="333" t="s">
        <v>912</v>
      </c>
      <c r="E51" s="318">
        <v>208563</v>
      </c>
      <c r="F51" s="319">
        <v>39238</v>
      </c>
      <c r="G51" s="318">
        <v>209567</v>
      </c>
      <c r="H51" s="320">
        <v>1004</v>
      </c>
    </row>
    <row r="52" spans="1:8" x14ac:dyDescent="0.25">
      <c r="A52" s="112" t="s">
        <v>1102</v>
      </c>
      <c r="B52" s="333" t="s">
        <v>318</v>
      </c>
      <c r="C52" s="333" t="s">
        <v>1205</v>
      </c>
      <c r="D52" s="333" t="s">
        <v>1593</v>
      </c>
      <c r="E52" s="318">
        <v>7378718</v>
      </c>
      <c r="F52" s="319">
        <v>39241</v>
      </c>
      <c r="G52" s="318">
        <v>7420672</v>
      </c>
      <c r="H52" s="320">
        <v>41954</v>
      </c>
    </row>
    <row r="53" spans="1:8" x14ac:dyDescent="0.25">
      <c r="A53" s="112" t="s">
        <v>1195</v>
      </c>
      <c r="B53" s="333" t="s">
        <v>318</v>
      </c>
      <c r="C53" s="333" t="s">
        <v>1206</v>
      </c>
      <c r="D53" s="333" t="s">
        <v>1516</v>
      </c>
      <c r="E53" s="318">
        <v>4608951</v>
      </c>
      <c r="F53" s="319">
        <v>39241</v>
      </c>
      <c r="G53" s="318">
        <v>4637200</v>
      </c>
      <c r="H53" s="320">
        <v>28249</v>
      </c>
    </row>
    <row r="54" spans="1:8" x14ac:dyDescent="0.25">
      <c r="A54" s="112" t="s">
        <v>1106</v>
      </c>
      <c r="B54" s="333" t="s">
        <v>174</v>
      </c>
      <c r="C54" s="333" t="s">
        <v>177</v>
      </c>
      <c r="D54" s="333" t="s">
        <v>101</v>
      </c>
      <c r="E54" s="318">
        <v>298568</v>
      </c>
      <c r="F54" s="319">
        <v>39246</v>
      </c>
      <c r="G54" s="318">
        <v>316063</v>
      </c>
      <c r="H54" s="320">
        <v>17495</v>
      </c>
    </row>
    <row r="55" spans="1:8" x14ac:dyDescent="0.25">
      <c r="A55" s="112" t="s">
        <v>1452</v>
      </c>
      <c r="B55" s="333" t="s">
        <v>135</v>
      </c>
      <c r="C55" s="333" t="s">
        <v>1400</v>
      </c>
      <c r="D55" s="333" t="s">
        <v>683</v>
      </c>
      <c r="E55" s="318">
        <v>10123</v>
      </c>
      <c r="F55" s="319">
        <v>39247</v>
      </c>
      <c r="G55" s="318">
        <v>10588</v>
      </c>
      <c r="H55" s="320">
        <v>465</v>
      </c>
    </row>
    <row r="56" spans="1:8" x14ac:dyDescent="0.25">
      <c r="A56" s="112" t="s">
        <v>56</v>
      </c>
      <c r="B56" s="333" t="s">
        <v>55</v>
      </c>
      <c r="C56" s="333" t="s">
        <v>57</v>
      </c>
      <c r="D56" s="333" t="s">
        <v>58</v>
      </c>
      <c r="E56" s="318">
        <v>130232</v>
      </c>
      <c r="F56" s="319">
        <v>39254</v>
      </c>
      <c r="G56" s="318">
        <v>131022</v>
      </c>
      <c r="H56" s="320">
        <v>790</v>
      </c>
    </row>
    <row r="57" spans="1:8" x14ac:dyDescent="0.25">
      <c r="A57" s="112" t="s">
        <v>59</v>
      </c>
      <c r="B57" s="333" t="s">
        <v>55</v>
      </c>
      <c r="C57" s="333" t="s">
        <v>60</v>
      </c>
      <c r="D57" s="333" t="s">
        <v>58</v>
      </c>
      <c r="E57" s="318">
        <v>1231924</v>
      </c>
      <c r="F57" s="319">
        <v>39255</v>
      </c>
      <c r="G57" s="318">
        <v>1239454</v>
      </c>
      <c r="H57" s="320">
        <v>7530</v>
      </c>
    </row>
    <row r="58" spans="1:8" x14ac:dyDescent="0.25">
      <c r="A58" s="112" t="s">
        <v>414</v>
      </c>
      <c r="B58" s="333" t="s">
        <v>151</v>
      </c>
      <c r="C58" s="333" t="s">
        <v>1374</v>
      </c>
      <c r="D58" s="333" t="s">
        <v>933</v>
      </c>
      <c r="E58" s="318">
        <v>857127</v>
      </c>
      <c r="F58" s="319">
        <v>39259</v>
      </c>
      <c r="G58" s="318">
        <v>878320</v>
      </c>
      <c r="H58" s="320">
        <v>21193</v>
      </c>
    </row>
    <row r="59" spans="1:8" x14ac:dyDescent="0.25">
      <c r="A59" s="112" t="s">
        <v>268</v>
      </c>
      <c r="B59" s="333" t="s">
        <v>267</v>
      </c>
      <c r="C59" s="333" t="s">
        <v>269</v>
      </c>
      <c r="D59" s="333" t="s">
        <v>257</v>
      </c>
      <c r="E59" s="318">
        <v>20339</v>
      </c>
      <c r="F59" s="319">
        <v>39267</v>
      </c>
      <c r="G59" s="318">
        <v>20339</v>
      </c>
      <c r="H59" s="320">
        <v>0</v>
      </c>
    </row>
    <row r="60" spans="1:8" x14ac:dyDescent="0.25">
      <c r="A60" s="112" t="s">
        <v>340</v>
      </c>
      <c r="B60" s="333" t="s">
        <v>318</v>
      </c>
      <c r="C60" s="333" t="s">
        <v>341</v>
      </c>
      <c r="D60" s="333" t="s">
        <v>1598</v>
      </c>
      <c r="E60" s="318">
        <v>114944</v>
      </c>
      <c r="F60" s="319">
        <v>39270</v>
      </c>
      <c r="G60" s="318">
        <v>115474</v>
      </c>
      <c r="H60" s="320">
        <v>530</v>
      </c>
    </row>
    <row r="61" spans="1:8" x14ac:dyDescent="0.25">
      <c r="A61" s="112" t="s">
        <v>190</v>
      </c>
      <c r="B61" s="333" t="s">
        <v>187</v>
      </c>
      <c r="C61" s="333" t="s">
        <v>191</v>
      </c>
      <c r="D61" s="333" t="s">
        <v>904</v>
      </c>
      <c r="E61" s="318">
        <v>36703</v>
      </c>
      <c r="F61" s="319">
        <v>39275</v>
      </c>
      <c r="G61" s="318">
        <v>36906</v>
      </c>
      <c r="H61" s="320">
        <v>203</v>
      </c>
    </row>
    <row r="62" spans="1:8" x14ac:dyDescent="0.25">
      <c r="A62" s="112">
        <v>97560644</v>
      </c>
      <c r="B62" s="333" t="s">
        <v>342</v>
      </c>
      <c r="C62" s="333" t="s">
        <v>370</v>
      </c>
      <c r="D62" s="333" t="s">
        <v>371</v>
      </c>
      <c r="E62" s="318">
        <v>6208591</v>
      </c>
      <c r="F62" s="319">
        <v>39281</v>
      </c>
      <c r="G62" s="318">
        <v>6278957</v>
      </c>
      <c r="H62" s="320">
        <v>70366</v>
      </c>
    </row>
    <row r="63" spans="1:8" x14ac:dyDescent="0.25">
      <c r="A63" s="112" t="s">
        <v>255</v>
      </c>
      <c r="B63" s="333" t="s">
        <v>252</v>
      </c>
      <c r="C63" s="333" t="s">
        <v>256</v>
      </c>
      <c r="D63" s="333" t="s">
        <v>1024</v>
      </c>
      <c r="E63" s="318">
        <v>336914</v>
      </c>
      <c r="F63" s="319">
        <v>39284</v>
      </c>
      <c r="G63" s="318">
        <v>339711</v>
      </c>
      <c r="H63" s="320">
        <v>2797</v>
      </c>
    </row>
    <row r="64" spans="1:8" x14ac:dyDescent="0.25">
      <c r="A64" s="112" t="s">
        <v>417</v>
      </c>
      <c r="B64" s="333" t="s">
        <v>565</v>
      </c>
      <c r="C64" s="333" t="s">
        <v>572</v>
      </c>
      <c r="D64" s="333" t="s">
        <v>63</v>
      </c>
      <c r="E64" s="318">
        <v>37978</v>
      </c>
      <c r="F64" s="319">
        <v>39285</v>
      </c>
      <c r="G64" s="318">
        <v>38631</v>
      </c>
      <c r="H64" s="320">
        <v>653</v>
      </c>
    </row>
    <row r="65" spans="1:8" x14ac:dyDescent="0.25">
      <c r="A65" s="112" t="s">
        <v>657</v>
      </c>
      <c r="B65" s="333" t="s">
        <v>135</v>
      </c>
      <c r="C65" s="333" t="s">
        <v>425</v>
      </c>
      <c r="D65" s="333" t="s">
        <v>685</v>
      </c>
      <c r="E65" s="318">
        <v>9693</v>
      </c>
      <c r="F65" s="319">
        <v>39290</v>
      </c>
      <c r="G65" s="318">
        <v>9693</v>
      </c>
      <c r="H65" s="320">
        <v>0</v>
      </c>
    </row>
    <row r="66" spans="1:8" x14ac:dyDescent="0.25">
      <c r="A66" s="112" t="s">
        <v>224</v>
      </c>
      <c r="B66" s="333" t="s">
        <v>223</v>
      </c>
      <c r="C66" s="333" t="s">
        <v>225</v>
      </c>
      <c r="D66" s="333" t="s">
        <v>226</v>
      </c>
      <c r="E66" s="318">
        <v>74144</v>
      </c>
      <c r="F66" s="319">
        <v>39291</v>
      </c>
      <c r="G66" s="318">
        <v>74787</v>
      </c>
      <c r="H66" s="320">
        <v>643</v>
      </c>
    </row>
    <row r="67" spans="1:8" x14ac:dyDescent="0.25">
      <c r="A67" s="112">
        <v>181345</v>
      </c>
      <c r="B67" s="333" t="s">
        <v>267</v>
      </c>
      <c r="C67" s="333" t="s">
        <v>245</v>
      </c>
      <c r="D67" s="333" t="s">
        <v>736</v>
      </c>
      <c r="E67" s="318">
        <v>287057</v>
      </c>
      <c r="F67" s="319">
        <v>39294</v>
      </c>
      <c r="G67" s="318">
        <v>288694</v>
      </c>
      <c r="H67" s="320">
        <v>1637</v>
      </c>
    </row>
    <row r="68" spans="1:8" x14ac:dyDescent="0.25">
      <c r="A68" s="112">
        <v>181317</v>
      </c>
      <c r="B68" s="333" t="s">
        <v>267</v>
      </c>
      <c r="C68" s="333" t="s">
        <v>245</v>
      </c>
      <c r="D68" s="333" t="s">
        <v>737</v>
      </c>
      <c r="E68" s="318">
        <v>237247</v>
      </c>
      <c r="F68" s="319">
        <v>39296</v>
      </c>
      <c r="G68" s="318">
        <v>240096</v>
      </c>
      <c r="H68" s="320">
        <v>2849</v>
      </c>
    </row>
    <row r="69" spans="1:8" x14ac:dyDescent="0.25">
      <c r="A69" s="112">
        <v>181320</v>
      </c>
      <c r="B69" s="333" t="s">
        <v>267</v>
      </c>
      <c r="C69" s="333" t="s">
        <v>245</v>
      </c>
      <c r="D69" s="333" t="s">
        <v>738</v>
      </c>
      <c r="E69" s="318">
        <v>269228</v>
      </c>
      <c r="F69" s="319">
        <v>39297</v>
      </c>
      <c r="G69" s="318">
        <v>273795</v>
      </c>
      <c r="H69" s="320">
        <v>4567</v>
      </c>
    </row>
    <row r="70" spans="1:8" x14ac:dyDescent="0.25">
      <c r="A70" s="112">
        <v>181795</v>
      </c>
      <c r="B70" s="333" t="s">
        <v>267</v>
      </c>
      <c r="C70" s="333" t="s">
        <v>245</v>
      </c>
      <c r="D70" s="333" t="s">
        <v>739</v>
      </c>
      <c r="E70" s="318">
        <v>263432</v>
      </c>
      <c r="F70" s="319">
        <v>39298</v>
      </c>
      <c r="G70" s="318">
        <v>265871</v>
      </c>
      <c r="H70" s="320">
        <v>2439</v>
      </c>
    </row>
    <row r="71" spans="1:8" x14ac:dyDescent="0.25">
      <c r="A71" s="112" t="s">
        <v>1556</v>
      </c>
      <c r="B71" s="333" t="s">
        <v>558</v>
      </c>
      <c r="C71" s="333" t="s">
        <v>145</v>
      </c>
      <c r="D71" s="333" t="s">
        <v>1169</v>
      </c>
      <c r="E71" s="318">
        <v>42759</v>
      </c>
      <c r="F71" s="319">
        <v>39306</v>
      </c>
      <c r="G71" s="318">
        <v>43856</v>
      </c>
      <c r="H71" s="320">
        <v>1097</v>
      </c>
    </row>
    <row r="72" spans="1:8" x14ac:dyDescent="0.25">
      <c r="A72" s="112" t="s">
        <v>1557</v>
      </c>
      <c r="B72" s="333" t="s">
        <v>558</v>
      </c>
      <c r="C72" s="333" t="s">
        <v>145</v>
      </c>
      <c r="D72" s="333" t="s">
        <v>1170</v>
      </c>
      <c r="E72" s="318">
        <v>46306</v>
      </c>
      <c r="F72" s="319">
        <v>39307</v>
      </c>
      <c r="G72" s="318">
        <v>47409</v>
      </c>
      <c r="H72" s="320">
        <v>1103</v>
      </c>
    </row>
    <row r="73" spans="1:8" x14ac:dyDescent="0.25">
      <c r="A73" s="112" t="s">
        <v>991</v>
      </c>
      <c r="B73" s="333" t="s">
        <v>197</v>
      </c>
      <c r="C73" s="333" t="s">
        <v>109</v>
      </c>
      <c r="D73" s="333" t="s">
        <v>1213</v>
      </c>
      <c r="E73" s="318">
        <v>64604</v>
      </c>
      <c r="F73" s="319">
        <v>39308</v>
      </c>
      <c r="G73" s="318">
        <v>66076</v>
      </c>
      <c r="H73" s="320">
        <v>1472</v>
      </c>
    </row>
    <row r="74" spans="1:8" x14ac:dyDescent="0.25">
      <c r="A74" s="112" t="s">
        <v>1140</v>
      </c>
      <c r="B74" s="333" t="s">
        <v>197</v>
      </c>
      <c r="C74" s="333" t="s">
        <v>1141</v>
      </c>
      <c r="D74" s="333" t="s">
        <v>1215</v>
      </c>
      <c r="E74" s="318">
        <v>72712</v>
      </c>
      <c r="F74" s="319">
        <v>39313</v>
      </c>
      <c r="G74" s="318">
        <v>74293</v>
      </c>
      <c r="H74" s="320">
        <v>1581</v>
      </c>
    </row>
    <row r="75" spans="1:8" x14ac:dyDescent="0.25">
      <c r="A75" s="112" t="s">
        <v>1156</v>
      </c>
      <c r="B75" s="333" t="s">
        <v>342</v>
      </c>
      <c r="C75" s="333" t="s">
        <v>358</v>
      </c>
      <c r="D75" s="333" t="s">
        <v>359</v>
      </c>
      <c r="E75" s="318">
        <v>9038418</v>
      </c>
      <c r="F75" s="319">
        <v>39316</v>
      </c>
      <c r="G75" s="318">
        <v>9094209</v>
      </c>
      <c r="H75" s="320">
        <v>55791</v>
      </c>
    </row>
    <row r="76" spans="1:8" x14ac:dyDescent="0.25">
      <c r="A76" s="112" t="s">
        <v>1200</v>
      </c>
      <c r="B76" s="333" t="s">
        <v>120</v>
      </c>
      <c r="C76" s="333" t="s">
        <v>122</v>
      </c>
      <c r="D76" s="333" t="s">
        <v>134</v>
      </c>
      <c r="E76" s="318">
        <v>180551</v>
      </c>
      <c r="F76" s="319">
        <v>39323</v>
      </c>
      <c r="G76" s="318">
        <v>181191</v>
      </c>
      <c r="H76" s="320">
        <v>640</v>
      </c>
    </row>
    <row r="77" spans="1:8" x14ac:dyDescent="0.25">
      <c r="A77" s="112" t="s">
        <v>1288</v>
      </c>
      <c r="B77" s="333" t="s">
        <v>581</v>
      </c>
      <c r="C77" s="333" t="s">
        <v>1250</v>
      </c>
      <c r="D77" s="333" t="s">
        <v>600</v>
      </c>
      <c r="E77" s="318">
        <v>3487</v>
      </c>
      <c r="F77" s="319">
        <v>39324</v>
      </c>
      <c r="G77" s="318">
        <v>3495</v>
      </c>
      <c r="H77" s="320">
        <v>8</v>
      </c>
    </row>
    <row r="78" spans="1:8" x14ac:dyDescent="0.25">
      <c r="A78" s="112" t="s">
        <v>1641</v>
      </c>
      <c r="B78" s="333" t="s">
        <v>46</v>
      </c>
      <c r="C78" s="333" t="s">
        <v>51</v>
      </c>
      <c r="D78" s="333" t="s">
        <v>52</v>
      </c>
      <c r="E78" s="318">
        <v>80758</v>
      </c>
      <c r="F78" s="319">
        <v>39325</v>
      </c>
      <c r="G78" s="318">
        <v>81759</v>
      </c>
      <c r="H78" s="320">
        <v>1001</v>
      </c>
    </row>
    <row r="79" spans="1:8" x14ac:dyDescent="0.25">
      <c r="A79" s="112" t="s">
        <v>1177</v>
      </c>
      <c r="B79" s="333" t="s">
        <v>46</v>
      </c>
      <c r="C79" s="333" t="s">
        <v>51</v>
      </c>
      <c r="D79" s="333" t="s">
        <v>53</v>
      </c>
      <c r="E79" s="318">
        <v>179054</v>
      </c>
      <c r="F79" s="319">
        <v>39326</v>
      </c>
      <c r="G79" s="318">
        <v>179054</v>
      </c>
      <c r="H79" s="320">
        <v>0</v>
      </c>
    </row>
    <row r="80" spans="1:8" x14ac:dyDescent="0.25">
      <c r="A80" s="112" t="s">
        <v>1176</v>
      </c>
      <c r="B80" s="333" t="s">
        <v>46</v>
      </c>
      <c r="C80" s="333" t="s">
        <v>51</v>
      </c>
      <c r="D80" s="333" t="s">
        <v>54</v>
      </c>
      <c r="E80" s="318">
        <v>246240</v>
      </c>
      <c r="F80" s="319">
        <v>39328</v>
      </c>
      <c r="G80" s="318">
        <v>247455</v>
      </c>
      <c r="H80" s="320">
        <v>1215</v>
      </c>
    </row>
    <row r="81" spans="1:8" x14ac:dyDescent="0.25">
      <c r="A81" s="112">
        <v>500018</v>
      </c>
      <c r="B81" s="333" t="s">
        <v>22</v>
      </c>
      <c r="C81" s="333" t="s">
        <v>1374</v>
      </c>
      <c r="D81" s="333" t="s">
        <v>894</v>
      </c>
      <c r="E81" s="318">
        <v>42625</v>
      </c>
      <c r="F81" s="319">
        <v>39331</v>
      </c>
      <c r="G81" s="318">
        <v>42866</v>
      </c>
      <c r="H81" s="320">
        <v>9640</v>
      </c>
    </row>
    <row r="82" spans="1:8" x14ac:dyDescent="0.25">
      <c r="A82" s="112" t="s">
        <v>1358</v>
      </c>
      <c r="B82" s="333" t="s">
        <v>36</v>
      </c>
      <c r="C82" s="333" t="s">
        <v>1374</v>
      </c>
      <c r="D82" s="333" t="s">
        <v>38</v>
      </c>
      <c r="E82" s="318">
        <v>8772</v>
      </c>
      <c r="F82" s="319">
        <v>39333</v>
      </c>
      <c r="G82" s="318">
        <v>8772</v>
      </c>
      <c r="H82" s="320">
        <v>0</v>
      </c>
    </row>
    <row r="83" spans="1:8" x14ac:dyDescent="0.25">
      <c r="A83" s="112">
        <v>5215981</v>
      </c>
      <c r="B83" s="333" t="s">
        <v>32</v>
      </c>
      <c r="C83" s="333" t="s">
        <v>1374</v>
      </c>
      <c r="D83" s="333" t="s">
        <v>33</v>
      </c>
      <c r="E83" s="318">
        <v>423467</v>
      </c>
      <c r="F83" s="319">
        <v>39334</v>
      </c>
      <c r="G83" s="318">
        <v>428144</v>
      </c>
      <c r="H83" s="320">
        <v>4677</v>
      </c>
    </row>
    <row r="84" spans="1:8" x14ac:dyDescent="0.25">
      <c r="A84" s="112" t="s">
        <v>1554</v>
      </c>
      <c r="B84" s="333" t="s">
        <v>547</v>
      </c>
      <c r="C84" s="333" t="s">
        <v>145</v>
      </c>
      <c r="D84" s="333" t="s">
        <v>1172</v>
      </c>
      <c r="E84" s="318">
        <v>29026</v>
      </c>
      <c r="F84" s="319">
        <v>39337</v>
      </c>
      <c r="G84" s="318">
        <v>29382</v>
      </c>
      <c r="H84" s="320">
        <v>356</v>
      </c>
    </row>
    <row r="85" spans="1:8" x14ac:dyDescent="0.25">
      <c r="A85" s="112" t="s">
        <v>200</v>
      </c>
      <c r="B85" s="333" t="s">
        <v>197</v>
      </c>
      <c r="C85" s="333" t="s">
        <v>201</v>
      </c>
      <c r="D85" s="333" t="s">
        <v>911</v>
      </c>
      <c r="E85" s="318">
        <v>1037642</v>
      </c>
      <c r="F85" s="319">
        <v>39340</v>
      </c>
      <c r="G85" s="318">
        <v>1041127</v>
      </c>
      <c r="H85" s="320">
        <v>3485</v>
      </c>
    </row>
    <row r="86" spans="1:8" x14ac:dyDescent="0.25">
      <c r="A86" s="112" t="s">
        <v>381</v>
      </c>
      <c r="B86" s="333" t="s">
        <v>526</v>
      </c>
      <c r="C86" s="333" t="s">
        <v>1364</v>
      </c>
      <c r="D86" s="333" t="s">
        <v>123</v>
      </c>
      <c r="E86" s="318">
        <v>79248</v>
      </c>
      <c r="F86" s="319">
        <v>39342</v>
      </c>
      <c r="G86" s="318">
        <v>79282</v>
      </c>
      <c r="H86" s="320">
        <v>34</v>
      </c>
    </row>
    <row r="87" spans="1:8" x14ac:dyDescent="0.25">
      <c r="A87" s="112" t="s">
        <v>1542</v>
      </c>
      <c r="B87" s="333" t="s">
        <v>318</v>
      </c>
      <c r="C87" s="333" t="s">
        <v>1541</v>
      </c>
      <c r="D87" s="333" t="s">
        <v>1601</v>
      </c>
      <c r="E87" s="318">
        <v>8726</v>
      </c>
      <c r="F87" s="319">
        <v>39343</v>
      </c>
      <c r="G87" s="318">
        <v>9892</v>
      </c>
      <c r="H87" s="320">
        <v>1166</v>
      </c>
    </row>
    <row r="88" spans="1:8" x14ac:dyDescent="0.25">
      <c r="A88" s="112">
        <v>106230738</v>
      </c>
      <c r="B88" s="333" t="s">
        <v>508</v>
      </c>
      <c r="C88" s="333" t="s">
        <v>509</v>
      </c>
      <c r="D88" s="333" t="s">
        <v>510</v>
      </c>
      <c r="E88" s="318">
        <v>84244</v>
      </c>
      <c r="F88" s="319">
        <v>39354</v>
      </c>
      <c r="G88" s="318">
        <v>84244</v>
      </c>
      <c r="H88" s="320">
        <v>0</v>
      </c>
    </row>
    <row r="89" spans="1:8" x14ac:dyDescent="0.25">
      <c r="A89" s="112" t="s">
        <v>337</v>
      </c>
      <c r="B89" s="333" t="s">
        <v>318</v>
      </c>
      <c r="C89" s="333" t="s">
        <v>338</v>
      </c>
      <c r="D89" s="333" t="s">
        <v>1599</v>
      </c>
      <c r="E89" s="318">
        <v>118638</v>
      </c>
      <c r="F89" s="319">
        <v>39358</v>
      </c>
      <c r="G89" s="318">
        <v>119388</v>
      </c>
      <c r="H89" s="320">
        <v>750</v>
      </c>
    </row>
    <row r="90" spans="1:8" x14ac:dyDescent="0.25">
      <c r="A90" s="112" t="s">
        <v>236</v>
      </c>
      <c r="B90" s="333" t="s">
        <v>235</v>
      </c>
      <c r="C90" s="333" t="s">
        <v>237</v>
      </c>
      <c r="D90" s="333" t="s">
        <v>38</v>
      </c>
      <c r="E90" s="318">
        <v>71117</v>
      </c>
      <c r="F90" s="319">
        <v>39361</v>
      </c>
      <c r="G90" s="318">
        <v>71612</v>
      </c>
      <c r="H90" s="320">
        <v>495</v>
      </c>
    </row>
    <row r="91" spans="1:8" x14ac:dyDescent="0.25">
      <c r="A91" s="112" t="s">
        <v>1175</v>
      </c>
      <c r="B91" s="333" t="s">
        <v>197</v>
      </c>
      <c r="C91" s="333" t="s">
        <v>1613</v>
      </c>
      <c r="D91" s="333" t="s">
        <v>906</v>
      </c>
      <c r="E91" s="318">
        <v>27048</v>
      </c>
      <c r="F91" s="319">
        <v>39372</v>
      </c>
      <c r="G91" s="318">
        <v>27561</v>
      </c>
      <c r="H91" s="320">
        <v>513</v>
      </c>
    </row>
    <row r="92" spans="1:8" x14ac:dyDescent="0.25">
      <c r="A92" s="112">
        <v>99561370</v>
      </c>
      <c r="B92" s="333" t="s">
        <v>508</v>
      </c>
      <c r="C92" s="333" t="s">
        <v>1082</v>
      </c>
      <c r="D92" s="333"/>
      <c r="E92" s="318">
        <v>218216</v>
      </c>
      <c r="F92" s="319">
        <v>39376</v>
      </c>
      <c r="G92" s="318">
        <v>218217</v>
      </c>
      <c r="H92" s="320">
        <v>1</v>
      </c>
    </row>
    <row r="93" spans="1:8" x14ac:dyDescent="0.25">
      <c r="A93" s="112" t="s">
        <v>230</v>
      </c>
      <c r="B93" s="333" t="s">
        <v>223</v>
      </c>
      <c r="C93" s="333" t="s">
        <v>231</v>
      </c>
      <c r="D93" s="333" t="s">
        <v>226</v>
      </c>
      <c r="E93" s="318">
        <v>23505</v>
      </c>
      <c r="F93" s="319">
        <v>39381</v>
      </c>
      <c r="G93" s="318">
        <v>23658</v>
      </c>
      <c r="H93" s="320">
        <v>153</v>
      </c>
    </row>
    <row r="94" spans="1:8" x14ac:dyDescent="0.25">
      <c r="A94" s="112" t="s">
        <v>286</v>
      </c>
      <c r="B94" s="333" t="s">
        <v>283</v>
      </c>
      <c r="C94" s="333" t="s">
        <v>1425</v>
      </c>
      <c r="D94" s="333" t="s">
        <v>906</v>
      </c>
      <c r="E94" s="318">
        <v>41470</v>
      </c>
      <c r="F94" s="319">
        <v>39390</v>
      </c>
      <c r="G94" s="318">
        <v>41682</v>
      </c>
      <c r="H94" s="320">
        <v>212</v>
      </c>
    </row>
    <row r="95" spans="1:8" x14ac:dyDescent="0.25">
      <c r="A95" s="112" t="s">
        <v>1310</v>
      </c>
      <c r="B95" s="333" t="s">
        <v>318</v>
      </c>
      <c r="C95" s="333" t="s">
        <v>1417</v>
      </c>
      <c r="D95" s="333" t="s">
        <v>1596</v>
      </c>
      <c r="E95" s="318">
        <v>26951</v>
      </c>
      <c r="F95" s="319">
        <v>39397</v>
      </c>
      <c r="G95" s="318">
        <v>27207</v>
      </c>
      <c r="H95" s="320">
        <v>256</v>
      </c>
    </row>
    <row r="96" spans="1:8" x14ac:dyDescent="0.25">
      <c r="A96" s="112">
        <v>63000131</v>
      </c>
      <c r="B96" s="333" t="s">
        <v>526</v>
      </c>
      <c r="C96" s="333" t="s">
        <v>352</v>
      </c>
      <c r="D96" s="333" t="s">
        <v>123</v>
      </c>
      <c r="E96" s="318">
        <v>396621</v>
      </c>
      <c r="F96" s="319">
        <v>39405</v>
      </c>
      <c r="G96" s="318">
        <v>398315</v>
      </c>
      <c r="H96" s="320">
        <v>1694</v>
      </c>
    </row>
    <row r="97" spans="1:8" x14ac:dyDescent="0.25">
      <c r="A97" s="112" t="s">
        <v>1159</v>
      </c>
      <c r="B97" s="333" t="s">
        <v>342</v>
      </c>
      <c r="C97" s="333" t="s">
        <v>373</v>
      </c>
      <c r="D97" s="333" t="s">
        <v>374</v>
      </c>
      <c r="E97" s="318">
        <v>2711525</v>
      </c>
      <c r="F97" s="319">
        <v>39407</v>
      </c>
      <c r="G97" s="318">
        <v>2735540</v>
      </c>
      <c r="H97" s="320">
        <v>24015</v>
      </c>
    </row>
    <row r="98" spans="1:8" x14ac:dyDescent="0.25">
      <c r="A98" s="112" t="s">
        <v>1330</v>
      </c>
      <c r="B98" s="333" t="s">
        <v>135</v>
      </c>
      <c r="C98" s="333" t="s">
        <v>1067</v>
      </c>
      <c r="D98" s="333" t="s">
        <v>683</v>
      </c>
      <c r="E98" s="318">
        <v>151852</v>
      </c>
      <c r="F98" s="319">
        <v>39411</v>
      </c>
      <c r="G98" s="318">
        <v>154547</v>
      </c>
      <c r="H98" s="320">
        <v>2695</v>
      </c>
    </row>
    <row r="99" spans="1:8" x14ac:dyDescent="0.25">
      <c r="A99" s="112" t="s">
        <v>1150</v>
      </c>
      <c r="B99" s="333" t="s">
        <v>342</v>
      </c>
      <c r="C99" s="333" t="s">
        <v>362</v>
      </c>
      <c r="D99" s="333" t="s">
        <v>363</v>
      </c>
      <c r="E99" s="318">
        <v>1009808</v>
      </c>
      <c r="F99" s="319">
        <v>39413</v>
      </c>
      <c r="G99" s="318">
        <v>1011472</v>
      </c>
      <c r="H99" s="320">
        <v>1664</v>
      </c>
    </row>
    <row r="100" spans="1:8" x14ac:dyDescent="0.25">
      <c r="A100" s="112">
        <v>83363214</v>
      </c>
      <c r="B100" s="333" t="s">
        <v>526</v>
      </c>
      <c r="C100" s="333" t="s">
        <v>1425</v>
      </c>
      <c r="D100" s="333" t="s">
        <v>123</v>
      </c>
      <c r="E100" s="318">
        <v>108768</v>
      </c>
      <c r="F100" s="319">
        <v>39415</v>
      </c>
      <c r="G100" s="318">
        <v>108938</v>
      </c>
      <c r="H100" s="320">
        <v>170</v>
      </c>
    </row>
    <row r="101" spans="1:8" x14ac:dyDescent="0.25">
      <c r="A101" s="112">
        <v>18506393</v>
      </c>
      <c r="B101" s="333" t="s">
        <v>22</v>
      </c>
      <c r="C101" s="333" t="s">
        <v>1374</v>
      </c>
      <c r="D101" s="333" t="s">
        <v>895</v>
      </c>
      <c r="E101" s="318">
        <v>171746</v>
      </c>
      <c r="F101" s="319">
        <v>39416</v>
      </c>
      <c r="G101" s="318">
        <v>172271</v>
      </c>
      <c r="H101" s="320">
        <v>525</v>
      </c>
    </row>
    <row r="102" spans="1:8" x14ac:dyDescent="0.25">
      <c r="A102" s="112" t="s">
        <v>37</v>
      </c>
      <c r="B102" s="333" t="s">
        <v>36</v>
      </c>
      <c r="C102" s="333" t="s">
        <v>1374</v>
      </c>
      <c r="D102" s="333" t="s">
        <v>38</v>
      </c>
      <c r="E102" s="318">
        <v>719631</v>
      </c>
      <c r="F102" s="319">
        <v>39417</v>
      </c>
      <c r="G102" s="318">
        <v>719631</v>
      </c>
      <c r="H102" s="320">
        <v>0</v>
      </c>
    </row>
    <row r="103" spans="1:8" x14ac:dyDescent="0.25">
      <c r="A103" s="112" t="s">
        <v>1555</v>
      </c>
      <c r="B103" s="333" t="s">
        <v>547</v>
      </c>
      <c r="C103" s="333" t="s">
        <v>145</v>
      </c>
      <c r="D103" s="333" t="s">
        <v>1173</v>
      </c>
      <c r="E103" s="318">
        <v>27776</v>
      </c>
      <c r="F103" s="319">
        <v>39418</v>
      </c>
      <c r="G103" s="318">
        <v>27776</v>
      </c>
      <c r="H103" s="320">
        <v>0</v>
      </c>
    </row>
    <row r="104" spans="1:8" x14ac:dyDescent="0.25">
      <c r="A104" s="112" t="s">
        <v>27</v>
      </c>
      <c r="B104" s="333" t="s">
        <v>22</v>
      </c>
      <c r="C104" s="333" t="s">
        <v>1374</v>
      </c>
      <c r="D104" s="333" t="s">
        <v>898</v>
      </c>
      <c r="E104" s="318">
        <v>998826</v>
      </c>
      <c r="F104" s="319">
        <v>39426</v>
      </c>
      <c r="G104" s="318">
        <v>1007416</v>
      </c>
      <c r="H104" s="320">
        <v>8590</v>
      </c>
    </row>
    <row r="105" spans="1:8" x14ac:dyDescent="0.25">
      <c r="A105" s="112" t="s">
        <v>30</v>
      </c>
      <c r="B105" s="333" t="s">
        <v>22</v>
      </c>
      <c r="C105" s="333" t="s">
        <v>1374</v>
      </c>
      <c r="D105" s="333" t="s">
        <v>896</v>
      </c>
      <c r="E105" s="318">
        <v>691461</v>
      </c>
      <c r="F105" s="319">
        <v>39430</v>
      </c>
      <c r="G105" s="318">
        <v>697032</v>
      </c>
      <c r="H105" s="320">
        <v>5571</v>
      </c>
    </row>
    <row r="106" spans="1:8" x14ac:dyDescent="0.25">
      <c r="A106" s="112">
        <v>18506030</v>
      </c>
      <c r="B106" s="333" t="s">
        <v>544</v>
      </c>
      <c r="C106" s="333" t="s">
        <v>545</v>
      </c>
      <c r="D106" s="333" t="s">
        <v>1034</v>
      </c>
      <c r="E106" s="318">
        <v>3755</v>
      </c>
      <c r="F106" s="319">
        <v>39435</v>
      </c>
      <c r="G106" s="318">
        <v>3792</v>
      </c>
      <c r="H106" s="320">
        <v>37</v>
      </c>
    </row>
    <row r="107" spans="1:8" x14ac:dyDescent="0.25">
      <c r="A107" s="112" t="s">
        <v>198</v>
      </c>
      <c r="B107" s="333" t="s">
        <v>197</v>
      </c>
      <c r="C107" s="333" t="s">
        <v>969</v>
      </c>
      <c r="D107" s="333" t="s">
        <v>199</v>
      </c>
      <c r="E107" s="318">
        <v>8666</v>
      </c>
      <c r="F107" s="319">
        <v>39439</v>
      </c>
      <c r="G107" s="318">
        <v>8701</v>
      </c>
      <c r="H107" s="320">
        <v>35</v>
      </c>
    </row>
    <row r="108" spans="1:8" x14ac:dyDescent="0.25">
      <c r="A108" s="112">
        <v>181156</v>
      </c>
      <c r="B108" s="333" t="s">
        <v>267</v>
      </c>
      <c r="C108" s="333" t="s">
        <v>245</v>
      </c>
      <c r="D108" s="333" t="s">
        <v>729</v>
      </c>
      <c r="E108" s="318">
        <v>212940</v>
      </c>
      <c r="F108" s="319">
        <v>39445</v>
      </c>
      <c r="G108" s="318">
        <v>213607</v>
      </c>
      <c r="H108" s="320">
        <v>667</v>
      </c>
    </row>
    <row r="109" spans="1:8" x14ac:dyDescent="0.25">
      <c r="A109" s="112">
        <v>181183</v>
      </c>
      <c r="B109" s="333" t="s">
        <v>267</v>
      </c>
      <c r="C109" s="333" t="s">
        <v>245</v>
      </c>
      <c r="D109" s="333" t="s">
        <v>730</v>
      </c>
      <c r="E109" s="318">
        <v>323927</v>
      </c>
      <c r="F109" s="319">
        <v>39446</v>
      </c>
      <c r="G109" s="318">
        <v>325481</v>
      </c>
      <c r="H109" s="320">
        <v>1554</v>
      </c>
    </row>
    <row r="110" spans="1:8" x14ac:dyDescent="0.25">
      <c r="A110" s="112">
        <v>181237</v>
      </c>
      <c r="B110" s="333" t="s">
        <v>267</v>
      </c>
      <c r="C110" s="333" t="s">
        <v>245</v>
      </c>
      <c r="D110" s="333" t="s">
        <v>731</v>
      </c>
      <c r="E110" s="318">
        <v>292042</v>
      </c>
      <c r="F110" s="319">
        <v>39447</v>
      </c>
      <c r="G110" s="318">
        <v>293306</v>
      </c>
      <c r="H110" s="320">
        <v>1264</v>
      </c>
    </row>
    <row r="111" spans="1:8" x14ac:dyDescent="0.25">
      <c r="A111" s="112">
        <v>181321</v>
      </c>
      <c r="B111" s="333" t="s">
        <v>267</v>
      </c>
      <c r="C111" s="333" t="s">
        <v>245</v>
      </c>
      <c r="D111" s="333" t="s">
        <v>732</v>
      </c>
      <c r="E111" s="318">
        <v>384934</v>
      </c>
      <c r="F111" s="319">
        <v>39448</v>
      </c>
      <c r="G111" s="318">
        <v>387475</v>
      </c>
      <c r="H111" s="320">
        <v>2541</v>
      </c>
    </row>
    <row r="112" spans="1:8" x14ac:dyDescent="0.25">
      <c r="A112" s="112">
        <v>349452</v>
      </c>
      <c r="B112" s="333" t="s">
        <v>267</v>
      </c>
      <c r="C112" s="333" t="s">
        <v>245</v>
      </c>
      <c r="D112" s="333" t="s">
        <v>740</v>
      </c>
      <c r="E112" s="318">
        <v>106351</v>
      </c>
      <c r="F112" s="319">
        <v>39449</v>
      </c>
      <c r="G112" s="318">
        <v>108484</v>
      </c>
      <c r="H112" s="320">
        <v>2133</v>
      </c>
    </row>
    <row r="113" spans="1:8" x14ac:dyDescent="0.25">
      <c r="A113" s="112">
        <v>357873</v>
      </c>
      <c r="B113" s="333" t="s">
        <v>267</v>
      </c>
      <c r="C113" s="333" t="s">
        <v>245</v>
      </c>
      <c r="D113" s="333" t="s">
        <v>741</v>
      </c>
      <c r="E113" s="318">
        <v>106658</v>
      </c>
      <c r="F113" s="319">
        <v>39450</v>
      </c>
      <c r="G113" s="318">
        <v>109704</v>
      </c>
      <c r="H113" s="320">
        <v>3046</v>
      </c>
    </row>
    <row r="114" spans="1:8" x14ac:dyDescent="0.25">
      <c r="A114" s="112">
        <v>357875</v>
      </c>
      <c r="B114" s="333" t="s">
        <v>267</v>
      </c>
      <c r="C114" s="333" t="s">
        <v>245</v>
      </c>
      <c r="D114" s="333" t="s">
        <v>733</v>
      </c>
      <c r="E114" s="318">
        <v>115140</v>
      </c>
      <c r="F114" s="319">
        <v>39454</v>
      </c>
      <c r="G114" s="318">
        <v>118218</v>
      </c>
      <c r="H114" s="320">
        <v>3078</v>
      </c>
    </row>
    <row r="115" spans="1:8" x14ac:dyDescent="0.25">
      <c r="A115" s="112" t="s">
        <v>1551</v>
      </c>
      <c r="B115" s="333" t="s">
        <v>318</v>
      </c>
      <c r="C115" s="333" t="s">
        <v>1552</v>
      </c>
      <c r="D115" s="333" t="s">
        <v>1602</v>
      </c>
      <c r="E115" s="318">
        <v>26145</v>
      </c>
      <c r="F115" s="319">
        <v>39456</v>
      </c>
      <c r="G115" s="318">
        <v>26599</v>
      </c>
      <c r="H115" s="320">
        <v>454</v>
      </c>
    </row>
    <row r="116" spans="1:8" x14ac:dyDescent="0.25">
      <c r="A116" s="112">
        <v>358168</v>
      </c>
      <c r="B116" s="333" t="s">
        <v>267</v>
      </c>
      <c r="C116" s="333" t="s">
        <v>245</v>
      </c>
      <c r="D116" s="333" t="s">
        <v>734</v>
      </c>
      <c r="E116" s="318">
        <v>115907</v>
      </c>
      <c r="F116" s="319">
        <v>39457</v>
      </c>
      <c r="G116" s="318">
        <v>118036</v>
      </c>
      <c r="H116" s="320">
        <v>2129</v>
      </c>
    </row>
    <row r="117" spans="1:8" x14ac:dyDescent="0.25">
      <c r="A117" s="112">
        <v>359329</v>
      </c>
      <c r="B117" s="333" t="s">
        <v>267</v>
      </c>
      <c r="C117" s="333" t="s">
        <v>245</v>
      </c>
      <c r="D117" s="333" t="s">
        <v>735</v>
      </c>
      <c r="E117" s="318">
        <v>150595</v>
      </c>
      <c r="F117" s="319">
        <v>39458</v>
      </c>
      <c r="G117" s="318">
        <v>153550</v>
      </c>
      <c r="H117" s="320">
        <v>2955</v>
      </c>
    </row>
    <row r="118" spans="1:8" x14ac:dyDescent="0.25">
      <c r="A118" s="112" t="s">
        <v>1402</v>
      </c>
      <c r="B118" s="333" t="s">
        <v>197</v>
      </c>
      <c r="C118" s="333" t="s">
        <v>1403</v>
      </c>
      <c r="D118" s="333" t="s">
        <v>979</v>
      </c>
      <c r="E118" s="318">
        <v>49273</v>
      </c>
      <c r="F118" s="319">
        <v>39467</v>
      </c>
      <c r="G118" s="318">
        <v>50083</v>
      </c>
      <c r="H118" s="320">
        <v>810</v>
      </c>
    </row>
    <row r="119" spans="1:8" x14ac:dyDescent="0.25">
      <c r="A119" s="112">
        <v>95589698</v>
      </c>
      <c r="B119" s="333" t="s">
        <v>342</v>
      </c>
      <c r="C119" s="333" t="s">
        <v>364</v>
      </c>
      <c r="D119" s="333" t="s">
        <v>365</v>
      </c>
      <c r="E119" s="318">
        <v>7310970</v>
      </c>
      <c r="F119" s="319">
        <v>39471</v>
      </c>
      <c r="G119" s="318">
        <v>7340076</v>
      </c>
      <c r="H119" s="320">
        <v>29106</v>
      </c>
    </row>
    <row r="120" spans="1:8" x14ac:dyDescent="0.25">
      <c r="A120" s="112" t="s">
        <v>828</v>
      </c>
      <c r="B120" s="333" t="s">
        <v>197</v>
      </c>
      <c r="C120" s="333" t="s">
        <v>206</v>
      </c>
      <c r="D120" s="333" t="s">
        <v>903</v>
      </c>
      <c r="E120" s="318">
        <v>75974</v>
      </c>
      <c r="F120" s="319">
        <v>39477</v>
      </c>
      <c r="G120" s="318">
        <v>77004</v>
      </c>
      <c r="H120" s="320">
        <v>1030</v>
      </c>
    </row>
    <row r="121" spans="1:8" x14ac:dyDescent="0.25">
      <c r="A121" s="112">
        <v>94811334</v>
      </c>
      <c r="B121" s="333" t="s">
        <v>484</v>
      </c>
      <c r="C121" s="333" t="s">
        <v>490</v>
      </c>
      <c r="D121" s="333" t="s">
        <v>488</v>
      </c>
      <c r="E121" s="318">
        <v>3780511</v>
      </c>
      <c r="F121" s="319">
        <v>39483</v>
      </c>
      <c r="G121" s="318">
        <v>3783766</v>
      </c>
      <c r="H121" s="320">
        <v>3255</v>
      </c>
    </row>
    <row r="122" spans="1:8" x14ac:dyDescent="0.25">
      <c r="A122" s="112" t="s">
        <v>1152</v>
      </c>
      <c r="B122" s="333" t="s">
        <v>342</v>
      </c>
      <c r="C122" s="333" t="s">
        <v>354</v>
      </c>
      <c r="D122" s="333" t="s">
        <v>355</v>
      </c>
      <c r="E122" s="318">
        <v>2808960</v>
      </c>
      <c r="F122" s="319">
        <v>39486</v>
      </c>
      <c r="G122" s="318">
        <v>2829797</v>
      </c>
      <c r="H122" s="320">
        <v>20837</v>
      </c>
    </row>
    <row r="123" spans="1:8" x14ac:dyDescent="0.25">
      <c r="A123" s="112">
        <v>55158086</v>
      </c>
      <c r="B123" s="333" t="s">
        <v>32</v>
      </c>
      <c r="C123" s="333" t="s">
        <v>1374</v>
      </c>
      <c r="D123" s="333" t="s">
        <v>34</v>
      </c>
      <c r="E123" s="318">
        <v>8375</v>
      </c>
      <c r="F123" s="319">
        <v>39495</v>
      </c>
      <c r="G123" s="318">
        <v>8598</v>
      </c>
      <c r="H123" s="320">
        <v>6690</v>
      </c>
    </row>
    <row r="124" spans="1:8" x14ac:dyDescent="0.25">
      <c r="A124" s="112">
        <v>83363213</v>
      </c>
      <c r="B124" s="333" t="s">
        <v>318</v>
      </c>
      <c r="C124" s="333" t="s">
        <v>330</v>
      </c>
      <c r="D124" s="333" t="s">
        <v>902</v>
      </c>
      <c r="E124" s="318">
        <v>184315</v>
      </c>
      <c r="F124" s="319">
        <v>39496</v>
      </c>
      <c r="G124" s="318">
        <v>185338</v>
      </c>
      <c r="H124" s="320">
        <v>1023</v>
      </c>
    </row>
    <row r="125" spans="1:8" x14ac:dyDescent="0.25">
      <c r="A125" s="112" t="s">
        <v>175</v>
      </c>
      <c r="B125" s="333" t="s">
        <v>174</v>
      </c>
      <c r="C125" s="333" t="s">
        <v>1677</v>
      </c>
      <c r="D125" s="333" t="s">
        <v>101</v>
      </c>
      <c r="E125" s="318">
        <v>5658451</v>
      </c>
      <c r="F125" s="319">
        <v>39497</v>
      </c>
      <c r="G125" s="318">
        <v>5707185</v>
      </c>
      <c r="H125" s="320">
        <v>48734</v>
      </c>
    </row>
    <row r="126" spans="1:8" x14ac:dyDescent="0.25">
      <c r="A126" s="112" t="s">
        <v>1040</v>
      </c>
      <c r="B126" s="333" t="s">
        <v>484</v>
      </c>
      <c r="C126" s="333" t="s">
        <v>499</v>
      </c>
      <c r="D126" s="333" t="s">
        <v>500</v>
      </c>
      <c r="E126" s="318">
        <v>3257770</v>
      </c>
      <c r="F126" s="319">
        <v>39501</v>
      </c>
      <c r="G126" s="318">
        <v>3354009</v>
      </c>
      <c r="H126" s="320">
        <v>96239</v>
      </c>
    </row>
    <row r="127" spans="1:8" x14ac:dyDescent="0.25">
      <c r="A127" s="112" t="s">
        <v>1147</v>
      </c>
      <c r="B127" s="333" t="s">
        <v>342</v>
      </c>
      <c r="C127" s="333" t="s">
        <v>966</v>
      </c>
      <c r="D127" s="333" t="s">
        <v>819</v>
      </c>
      <c r="E127" s="318">
        <v>755891</v>
      </c>
      <c r="F127" s="319">
        <v>39509</v>
      </c>
      <c r="G127" s="318">
        <v>768906</v>
      </c>
      <c r="H127" s="320">
        <v>13015</v>
      </c>
    </row>
    <row r="128" spans="1:8" x14ac:dyDescent="0.25">
      <c r="A128" s="112" t="s">
        <v>1153</v>
      </c>
      <c r="B128" s="333" t="s">
        <v>342</v>
      </c>
      <c r="C128" s="333" t="s">
        <v>1678</v>
      </c>
      <c r="D128" s="333"/>
      <c r="E128" s="318">
        <v>8020730</v>
      </c>
      <c r="F128" s="319">
        <v>39514</v>
      </c>
      <c r="G128" s="318">
        <v>8075129</v>
      </c>
      <c r="H128" s="320">
        <v>54399</v>
      </c>
    </row>
    <row r="129" spans="1:8" x14ac:dyDescent="0.25">
      <c r="A129" s="112" t="s">
        <v>1199</v>
      </c>
      <c r="B129" s="333" t="s">
        <v>135</v>
      </c>
      <c r="C129" s="333" t="s">
        <v>702</v>
      </c>
      <c r="D129" s="333" t="s">
        <v>703</v>
      </c>
      <c r="E129" s="318">
        <v>415622</v>
      </c>
      <c r="F129" s="319">
        <v>39525</v>
      </c>
      <c r="G129" s="318">
        <v>423149</v>
      </c>
      <c r="H129" s="320">
        <v>7527</v>
      </c>
    </row>
    <row r="130" spans="1:8" x14ac:dyDescent="0.25">
      <c r="A130" s="112">
        <v>83061189</v>
      </c>
      <c r="B130" s="333" t="s">
        <v>484</v>
      </c>
      <c r="C130" s="333" t="s">
        <v>145</v>
      </c>
      <c r="D130" s="333" t="s">
        <v>982</v>
      </c>
      <c r="E130" s="318">
        <v>2814344</v>
      </c>
      <c r="F130" s="319">
        <v>39539</v>
      </c>
      <c r="G130" s="318">
        <v>2833229</v>
      </c>
      <c r="H130" s="320">
        <v>18885</v>
      </c>
    </row>
    <row r="131" spans="1:8" x14ac:dyDescent="0.25">
      <c r="A131" s="112" t="s">
        <v>655</v>
      </c>
      <c r="B131" s="333" t="s">
        <v>135</v>
      </c>
      <c r="C131" s="333" t="s">
        <v>425</v>
      </c>
      <c r="D131" s="333" t="s">
        <v>685</v>
      </c>
      <c r="E131" s="318">
        <v>1880</v>
      </c>
      <c r="F131" s="319">
        <v>39574</v>
      </c>
      <c r="G131" s="318">
        <v>1880</v>
      </c>
      <c r="H131" s="320">
        <v>0</v>
      </c>
    </row>
    <row r="132" spans="1:8" x14ac:dyDescent="0.25">
      <c r="A132" s="112" t="s">
        <v>140</v>
      </c>
      <c r="B132" s="333" t="s">
        <v>135</v>
      </c>
      <c r="C132" s="333" t="s">
        <v>1067</v>
      </c>
      <c r="D132" s="333" t="s">
        <v>683</v>
      </c>
      <c r="E132" s="318">
        <v>65588</v>
      </c>
      <c r="F132" s="319">
        <v>39577</v>
      </c>
      <c r="G132" s="318">
        <v>66647</v>
      </c>
      <c r="H132" s="318">
        <v>1059</v>
      </c>
    </row>
    <row r="133" spans="1:8" x14ac:dyDescent="0.25">
      <c r="A133" s="112" t="s">
        <v>1017</v>
      </c>
      <c r="B133" s="333" t="s">
        <v>197</v>
      </c>
      <c r="C133" s="333" t="s">
        <v>1016</v>
      </c>
      <c r="D133" s="333" t="s">
        <v>1216</v>
      </c>
      <c r="E133" s="318">
        <v>84172</v>
      </c>
      <c r="F133" s="319">
        <v>39578</v>
      </c>
      <c r="G133" s="318">
        <v>86260</v>
      </c>
      <c r="H133" s="320">
        <v>2088</v>
      </c>
    </row>
    <row r="134" spans="1:8" x14ac:dyDescent="0.25">
      <c r="A134" s="112" t="s">
        <v>967</v>
      </c>
      <c r="B134" s="333" t="s">
        <v>197</v>
      </c>
      <c r="C134" s="333" t="s">
        <v>1227</v>
      </c>
      <c r="D134" s="333" t="s">
        <v>979</v>
      </c>
      <c r="E134" s="318">
        <v>94400</v>
      </c>
      <c r="F134" s="319">
        <v>39581</v>
      </c>
      <c r="G134" s="318">
        <v>94901</v>
      </c>
      <c r="H134" s="320">
        <v>501</v>
      </c>
    </row>
    <row r="135" spans="1:8" x14ac:dyDescent="0.25">
      <c r="A135" s="112">
        <v>78126109</v>
      </c>
      <c r="B135" s="333" t="s">
        <v>508</v>
      </c>
      <c r="C135" s="333" t="s">
        <v>1082</v>
      </c>
      <c r="D135" s="333" t="s">
        <v>527</v>
      </c>
      <c r="E135" s="318">
        <v>453622</v>
      </c>
      <c r="F135" s="319">
        <v>39582</v>
      </c>
      <c r="G135" s="318">
        <v>454909</v>
      </c>
      <c r="H135" s="320">
        <v>1287</v>
      </c>
    </row>
    <row r="136" spans="1:8" x14ac:dyDescent="0.25">
      <c r="A136" s="112" t="s">
        <v>1463</v>
      </c>
      <c r="B136" s="333" t="s">
        <v>151</v>
      </c>
      <c r="C136" s="333" t="s">
        <v>1462</v>
      </c>
      <c r="D136" s="333" t="s">
        <v>1428</v>
      </c>
      <c r="E136" s="318">
        <v>829</v>
      </c>
      <c r="F136" s="319">
        <v>39583</v>
      </c>
      <c r="G136" s="318">
        <v>912</v>
      </c>
      <c r="H136" s="320">
        <v>83</v>
      </c>
    </row>
    <row r="137" spans="1:8" x14ac:dyDescent="0.25">
      <c r="A137" s="112" t="s">
        <v>993</v>
      </c>
      <c r="B137" s="333" t="s">
        <v>197</v>
      </c>
      <c r="C137" s="333" t="s">
        <v>992</v>
      </c>
      <c r="D137" s="333" t="s">
        <v>1214</v>
      </c>
      <c r="E137" s="318">
        <v>126153</v>
      </c>
      <c r="F137" s="319">
        <v>39587</v>
      </c>
      <c r="G137" s="318">
        <v>129432</v>
      </c>
      <c r="H137" s="320">
        <v>3279</v>
      </c>
    </row>
    <row r="138" spans="1:8" x14ac:dyDescent="0.25">
      <c r="A138" s="112" t="s">
        <v>1406</v>
      </c>
      <c r="B138" s="333" t="s">
        <v>342</v>
      </c>
      <c r="C138" s="333" t="s">
        <v>1407</v>
      </c>
      <c r="D138" s="333" t="s">
        <v>1408</v>
      </c>
      <c r="E138" s="318">
        <v>756560</v>
      </c>
      <c r="F138" s="319">
        <v>39593</v>
      </c>
      <c r="G138" s="318">
        <v>781971</v>
      </c>
      <c r="H138" s="320">
        <v>25411</v>
      </c>
    </row>
    <row r="139" spans="1:8" x14ac:dyDescent="0.25">
      <c r="A139" s="112" t="s">
        <v>25</v>
      </c>
      <c r="B139" s="333" t="s">
        <v>22</v>
      </c>
      <c r="C139" s="333" t="s">
        <v>1374</v>
      </c>
      <c r="D139" s="333" t="s">
        <v>897</v>
      </c>
      <c r="E139" s="318">
        <v>666301</v>
      </c>
      <c r="F139" s="319">
        <v>39638</v>
      </c>
      <c r="G139" s="318">
        <v>672052</v>
      </c>
      <c r="H139" s="320">
        <v>5751</v>
      </c>
    </row>
    <row r="140" spans="1:8" x14ac:dyDescent="0.25">
      <c r="A140" s="112" t="s">
        <v>1336</v>
      </c>
      <c r="B140" s="333" t="s">
        <v>147</v>
      </c>
      <c r="C140" s="333" t="s">
        <v>1337</v>
      </c>
      <c r="D140" s="333" t="s">
        <v>1298</v>
      </c>
      <c r="E140" s="318">
        <v>543844</v>
      </c>
      <c r="F140" s="319">
        <v>39644</v>
      </c>
      <c r="G140" s="318">
        <v>548574</v>
      </c>
      <c r="H140" s="320">
        <v>4730</v>
      </c>
    </row>
    <row r="141" spans="1:8" x14ac:dyDescent="0.25">
      <c r="A141" s="112" t="s">
        <v>1207</v>
      </c>
      <c r="B141" s="333" t="s">
        <v>142</v>
      </c>
      <c r="C141" s="333" t="s">
        <v>1219</v>
      </c>
      <c r="D141" s="333" t="s">
        <v>1239</v>
      </c>
      <c r="E141" s="318">
        <v>560094</v>
      </c>
      <c r="F141" s="319">
        <v>39645</v>
      </c>
      <c r="G141" s="318">
        <v>578700</v>
      </c>
      <c r="H141" s="320">
        <v>18606</v>
      </c>
    </row>
    <row r="142" spans="1:8" x14ac:dyDescent="0.25">
      <c r="A142" s="112" t="s">
        <v>1105</v>
      </c>
      <c r="B142" s="333" t="s">
        <v>318</v>
      </c>
      <c r="C142" s="333" t="s">
        <v>1204</v>
      </c>
      <c r="D142" s="333" t="s">
        <v>1592</v>
      </c>
      <c r="E142" s="318">
        <v>3637421</v>
      </c>
      <c r="F142" s="319">
        <v>39648</v>
      </c>
      <c r="G142" s="318">
        <v>3658554</v>
      </c>
      <c r="H142" s="320">
        <v>21133</v>
      </c>
    </row>
    <row r="143" spans="1:8" x14ac:dyDescent="0.25">
      <c r="A143" s="112" t="s">
        <v>1317</v>
      </c>
      <c r="B143" s="333" t="s">
        <v>318</v>
      </c>
      <c r="C143" s="333" t="s">
        <v>1203</v>
      </c>
      <c r="D143" s="333" t="s">
        <v>1519</v>
      </c>
      <c r="E143" s="318">
        <v>151400</v>
      </c>
      <c r="F143" s="319">
        <v>39648</v>
      </c>
      <c r="G143" s="318">
        <v>155382</v>
      </c>
      <c r="H143" s="320">
        <v>3982</v>
      </c>
    </row>
    <row r="144" spans="1:8" x14ac:dyDescent="0.25">
      <c r="A144" s="112" t="s">
        <v>1107</v>
      </c>
      <c r="B144" s="333" t="s">
        <v>90</v>
      </c>
      <c r="C144" s="333" t="s">
        <v>100</v>
      </c>
      <c r="D144" s="333" t="s">
        <v>933</v>
      </c>
      <c r="E144" s="318">
        <v>422361</v>
      </c>
      <c r="F144" s="319">
        <v>39650</v>
      </c>
      <c r="G144" s="318">
        <v>428609</v>
      </c>
      <c r="H144" s="320">
        <v>6248</v>
      </c>
    </row>
    <row r="145" spans="1:8" x14ac:dyDescent="0.25">
      <c r="A145" s="112" t="s">
        <v>163</v>
      </c>
      <c r="B145" s="333" t="s">
        <v>151</v>
      </c>
      <c r="C145" s="333" t="s">
        <v>164</v>
      </c>
      <c r="D145" s="333" t="s">
        <v>1428</v>
      </c>
      <c r="E145" s="318">
        <v>72441</v>
      </c>
      <c r="F145" s="319">
        <v>39657</v>
      </c>
      <c r="G145" s="318">
        <v>73587</v>
      </c>
      <c r="H145" s="320">
        <v>1146</v>
      </c>
    </row>
    <row r="146" spans="1:8" x14ac:dyDescent="0.25">
      <c r="A146" s="112" t="s">
        <v>405</v>
      </c>
      <c r="B146" s="333" t="s">
        <v>614</v>
      </c>
      <c r="C146" s="333" t="s">
        <v>615</v>
      </c>
      <c r="D146" s="333" t="s">
        <v>618</v>
      </c>
      <c r="E146" s="318">
        <v>39873.300000000003</v>
      </c>
      <c r="F146" s="319">
        <v>39658</v>
      </c>
      <c r="G146" s="318">
        <v>40285.300000000003</v>
      </c>
      <c r="H146" s="320">
        <v>412</v>
      </c>
    </row>
    <row r="147" spans="1:8" x14ac:dyDescent="0.25">
      <c r="A147" s="112" t="s">
        <v>1304</v>
      </c>
      <c r="B147" s="333" t="s">
        <v>197</v>
      </c>
      <c r="C147" s="333" t="s">
        <v>1305</v>
      </c>
      <c r="D147" s="333" t="s">
        <v>1239</v>
      </c>
      <c r="E147" s="318">
        <v>519</v>
      </c>
      <c r="F147" s="319">
        <v>39662</v>
      </c>
      <c r="G147" s="318">
        <v>527</v>
      </c>
      <c r="H147" s="320">
        <v>8</v>
      </c>
    </row>
    <row r="148" spans="1:8" x14ac:dyDescent="0.25">
      <c r="A148" s="112" t="s">
        <v>1294</v>
      </c>
      <c r="B148" s="333" t="s">
        <v>147</v>
      </c>
      <c r="C148" s="333" t="s">
        <v>145</v>
      </c>
      <c r="D148" s="333" t="s">
        <v>1298</v>
      </c>
      <c r="E148" s="318">
        <v>150205</v>
      </c>
      <c r="F148" s="319">
        <v>39664</v>
      </c>
      <c r="G148" s="318">
        <v>154819</v>
      </c>
      <c r="H148" s="320">
        <v>4614</v>
      </c>
    </row>
    <row r="149" spans="1:8" x14ac:dyDescent="0.25">
      <c r="A149" s="112" t="s">
        <v>1208</v>
      </c>
      <c r="B149" s="333" t="s">
        <v>147</v>
      </c>
      <c r="C149" s="333" t="s">
        <v>1219</v>
      </c>
      <c r="D149" s="333" t="s">
        <v>1239</v>
      </c>
      <c r="E149" s="318">
        <v>514640</v>
      </c>
      <c r="F149" s="319">
        <v>39666</v>
      </c>
      <c r="G149" s="318">
        <v>528020</v>
      </c>
      <c r="H149" s="320">
        <v>13380</v>
      </c>
    </row>
    <row r="150" spans="1:8" x14ac:dyDescent="0.25">
      <c r="A150" s="112" t="s">
        <v>1382</v>
      </c>
      <c r="B150" s="333" t="s">
        <v>342</v>
      </c>
      <c r="C150" s="333" t="s">
        <v>1374</v>
      </c>
      <c r="D150" s="333" t="s">
        <v>348</v>
      </c>
      <c r="E150" s="318">
        <v>28771065</v>
      </c>
      <c r="F150" s="319">
        <v>39667</v>
      </c>
      <c r="G150" s="318">
        <v>29769542</v>
      </c>
      <c r="H150" s="320">
        <v>998477</v>
      </c>
    </row>
    <row r="151" spans="1:8" x14ac:dyDescent="0.25">
      <c r="A151" s="112" t="s">
        <v>1375</v>
      </c>
      <c r="B151" s="333" t="s">
        <v>342</v>
      </c>
      <c r="C151" s="333" t="s">
        <v>1376</v>
      </c>
      <c r="D151" s="333" t="s">
        <v>1377</v>
      </c>
      <c r="E151" s="318">
        <v>598320</v>
      </c>
      <c r="F151" s="319">
        <v>39672</v>
      </c>
      <c r="G151" s="318">
        <v>619743</v>
      </c>
      <c r="H151" s="320">
        <v>21423</v>
      </c>
    </row>
    <row r="152" spans="1:8" x14ac:dyDescent="0.25">
      <c r="A152" s="112" t="s">
        <v>1235</v>
      </c>
      <c r="B152" s="333" t="s">
        <v>318</v>
      </c>
      <c r="C152" s="333" t="s">
        <v>1249</v>
      </c>
      <c r="D152" s="333" t="s">
        <v>1597</v>
      </c>
      <c r="E152" s="318">
        <v>3849</v>
      </c>
      <c r="F152" s="319">
        <v>39684</v>
      </c>
      <c r="G152" s="318">
        <v>3878</v>
      </c>
      <c r="H152" s="320">
        <v>29</v>
      </c>
    </row>
    <row r="153" spans="1:8" x14ac:dyDescent="0.25">
      <c r="A153" s="112" t="s">
        <v>1347</v>
      </c>
      <c r="B153" s="333" t="s">
        <v>252</v>
      </c>
      <c r="C153" s="333" t="s">
        <v>245</v>
      </c>
      <c r="D153" s="333" t="s">
        <v>1620</v>
      </c>
      <c r="E153" s="318">
        <v>1395</v>
      </c>
      <c r="F153" s="319">
        <v>39694</v>
      </c>
      <c r="G153" s="318">
        <v>1400</v>
      </c>
      <c r="H153" s="320">
        <v>5</v>
      </c>
    </row>
    <row r="154" spans="1:8" x14ac:dyDescent="0.25">
      <c r="A154" s="112" t="s">
        <v>1628</v>
      </c>
      <c r="B154" s="333" t="s">
        <v>252</v>
      </c>
      <c r="C154" s="333" t="s">
        <v>245</v>
      </c>
      <c r="D154" s="333" t="s">
        <v>63</v>
      </c>
      <c r="E154" s="318">
        <v>9381</v>
      </c>
      <c r="F154" s="319">
        <v>39704</v>
      </c>
      <c r="G154" s="318">
        <v>9784</v>
      </c>
      <c r="H154" s="320">
        <v>403</v>
      </c>
    </row>
    <row r="155" spans="1:8" x14ac:dyDescent="0.25">
      <c r="A155" s="112" t="s">
        <v>185</v>
      </c>
      <c r="B155" s="333" t="s">
        <v>180</v>
      </c>
      <c r="C155" s="333" t="s">
        <v>1630</v>
      </c>
      <c r="D155" s="333" t="s">
        <v>101</v>
      </c>
      <c r="E155" s="318">
        <v>32310</v>
      </c>
      <c r="F155" s="319">
        <v>39705</v>
      </c>
      <c r="G155" s="318">
        <v>32310</v>
      </c>
      <c r="H155" s="320">
        <v>0</v>
      </c>
    </row>
    <row r="156" spans="1:8" x14ac:dyDescent="0.25">
      <c r="A156" s="112">
        <v>502036281</v>
      </c>
      <c r="B156" s="333" t="s">
        <v>106</v>
      </c>
      <c r="C156" s="333" t="s">
        <v>1626</v>
      </c>
      <c r="D156" s="333" t="s">
        <v>101</v>
      </c>
      <c r="E156" s="318">
        <v>6000</v>
      </c>
      <c r="F156" s="319">
        <v>39706</v>
      </c>
      <c r="G156" s="318">
        <v>7092</v>
      </c>
      <c r="H156" s="320">
        <v>1092</v>
      </c>
    </row>
    <row r="157" spans="1:8" x14ac:dyDescent="0.25">
      <c r="A157" s="112">
        <v>141201860</v>
      </c>
      <c r="B157" s="333" t="s">
        <v>419</v>
      </c>
      <c r="C157" s="333" t="s">
        <v>1638</v>
      </c>
      <c r="D157" s="333" t="s">
        <v>1639</v>
      </c>
      <c r="E157" s="318">
        <v>80</v>
      </c>
      <c r="F157" s="319">
        <v>39708</v>
      </c>
      <c r="G157" s="318">
        <v>99</v>
      </c>
      <c r="H157" s="320">
        <v>19</v>
      </c>
    </row>
    <row r="158" spans="1:8" x14ac:dyDescent="0.25">
      <c r="A158" s="112">
        <v>1021184090</v>
      </c>
      <c r="B158" s="333" t="s">
        <v>301</v>
      </c>
      <c r="C158" s="333" t="s">
        <v>1656</v>
      </c>
      <c r="D158" s="333" t="s">
        <v>47</v>
      </c>
      <c r="E158" s="318">
        <v>8100</v>
      </c>
      <c r="F158" s="319">
        <v>39710</v>
      </c>
      <c r="G158" s="318">
        <v>8250</v>
      </c>
      <c r="H158" s="320">
        <v>150</v>
      </c>
    </row>
    <row r="159" spans="1:8" x14ac:dyDescent="0.25">
      <c r="A159" s="112" t="s">
        <v>1668</v>
      </c>
      <c r="B159" s="333" t="s">
        <v>252</v>
      </c>
      <c r="C159" s="333" t="s">
        <v>245</v>
      </c>
      <c r="D159" s="333" t="s">
        <v>1667</v>
      </c>
      <c r="E159" s="318">
        <v>3764</v>
      </c>
      <c r="F159" s="319">
        <v>39711</v>
      </c>
      <c r="G159" s="318">
        <v>43182</v>
      </c>
      <c r="H159" s="320">
        <v>39418</v>
      </c>
    </row>
    <row r="160" spans="1:8" x14ac:dyDescent="0.25">
      <c r="A160" s="112">
        <v>142100532</v>
      </c>
      <c r="B160" s="333" t="s">
        <v>46</v>
      </c>
      <c r="C160" s="333" t="s">
        <v>145</v>
      </c>
      <c r="D160" s="333" t="s">
        <v>1693</v>
      </c>
      <c r="E160" s="318">
        <v>80</v>
      </c>
      <c r="F160" s="319">
        <v>39712</v>
      </c>
      <c r="G160" s="318">
        <v>80</v>
      </c>
      <c r="H160" s="320">
        <v>0</v>
      </c>
    </row>
    <row r="161" spans="1:8" x14ac:dyDescent="0.25">
      <c r="A161" s="112" t="s">
        <v>165</v>
      </c>
      <c r="B161" s="333" t="s">
        <v>151</v>
      </c>
      <c r="C161" s="333" t="s">
        <v>1680</v>
      </c>
      <c r="D161" s="333" t="s">
        <v>964</v>
      </c>
      <c r="E161" s="318">
        <v>813415</v>
      </c>
      <c r="F161" s="319">
        <v>39725</v>
      </c>
      <c r="G161" s="318">
        <v>820369</v>
      </c>
      <c r="H161" s="320">
        <v>6954</v>
      </c>
    </row>
    <row r="162" spans="1:8" x14ac:dyDescent="0.25">
      <c r="A162" s="112">
        <v>95589730</v>
      </c>
      <c r="B162" s="333" t="s">
        <v>342</v>
      </c>
      <c r="C162" s="333" t="s">
        <v>360</v>
      </c>
      <c r="D162" s="333" t="s">
        <v>361</v>
      </c>
      <c r="E162" s="318">
        <v>9456761</v>
      </c>
      <c r="F162" s="319">
        <v>39729</v>
      </c>
      <c r="G162" s="318">
        <v>9497244</v>
      </c>
      <c r="H162" s="320">
        <v>40483</v>
      </c>
    </row>
    <row r="163" spans="1:8" x14ac:dyDescent="0.25">
      <c r="A163" s="112" t="s">
        <v>1536</v>
      </c>
      <c r="B163" s="333" t="s">
        <v>135</v>
      </c>
      <c r="C163" s="333" t="s">
        <v>1535</v>
      </c>
      <c r="D163" s="333" t="s">
        <v>1537</v>
      </c>
      <c r="E163" s="318">
        <v>21055</v>
      </c>
      <c r="F163" s="319">
        <v>39730</v>
      </c>
      <c r="G163" s="318">
        <v>22576</v>
      </c>
      <c r="H163" s="320">
        <v>1521</v>
      </c>
    </row>
    <row r="164" spans="1:8" x14ac:dyDescent="0.25">
      <c r="A164" s="112" t="s">
        <v>87</v>
      </c>
      <c r="B164" s="333" t="s">
        <v>86</v>
      </c>
      <c r="C164" s="333" t="s">
        <v>88</v>
      </c>
      <c r="D164" s="333" t="s">
        <v>89</v>
      </c>
      <c r="E164" s="318">
        <v>9653444</v>
      </c>
      <c r="F164" s="319">
        <v>39742</v>
      </c>
      <c r="G164" s="318">
        <v>9723740</v>
      </c>
      <c r="H164" s="320">
        <v>70296</v>
      </c>
    </row>
    <row r="165" spans="1:8" x14ac:dyDescent="0.25">
      <c r="A165" s="112" t="s">
        <v>1469</v>
      </c>
      <c r="B165" s="333" t="s">
        <v>135</v>
      </c>
      <c r="C165" s="333" t="s">
        <v>195</v>
      </c>
      <c r="D165" s="333" t="s">
        <v>1491</v>
      </c>
      <c r="E165" s="318">
        <v>13984</v>
      </c>
      <c r="F165" s="319">
        <v>39746</v>
      </c>
      <c r="G165" s="318">
        <v>14499</v>
      </c>
      <c r="H165" s="320">
        <v>515</v>
      </c>
    </row>
    <row r="166" spans="1:8" x14ac:dyDescent="0.25">
      <c r="A166" s="112" t="s">
        <v>1090</v>
      </c>
      <c r="B166" s="333" t="s">
        <v>151</v>
      </c>
      <c r="C166" s="333" t="s">
        <v>1437</v>
      </c>
      <c r="D166" s="333" t="s">
        <v>907</v>
      </c>
      <c r="E166" s="318">
        <v>274342</v>
      </c>
      <c r="F166" s="319">
        <v>39757</v>
      </c>
      <c r="G166" s="318">
        <v>278262</v>
      </c>
      <c r="H166" s="320">
        <v>3920</v>
      </c>
    </row>
    <row r="167" spans="1:8" x14ac:dyDescent="0.25">
      <c r="A167" s="112" t="s">
        <v>1158</v>
      </c>
      <c r="B167" s="333" t="s">
        <v>342</v>
      </c>
      <c r="C167" s="333" t="s">
        <v>1362</v>
      </c>
      <c r="D167" s="333" t="s">
        <v>372</v>
      </c>
      <c r="E167" s="318">
        <v>241525881</v>
      </c>
      <c r="F167" s="319">
        <v>39760</v>
      </c>
      <c r="G167" s="318">
        <v>244491502</v>
      </c>
      <c r="H167" s="320">
        <v>2965621</v>
      </c>
    </row>
    <row r="168" spans="1:8" x14ac:dyDescent="0.25">
      <c r="A168" s="112" t="s">
        <v>1144</v>
      </c>
      <c r="B168" s="333" t="s">
        <v>197</v>
      </c>
      <c r="C168" s="333" t="s">
        <v>212</v>
      </c>
      <c r="D168" s="333" t="s">
        <v>213</v>
      </c>
      <c r="E168" s="318">
        <v>177245</v>
      </c>
      <c r="F168" s="319">
        <v>39783</v>
      </c>
      <c r="G168" s="318">
        <v>177979</v>
      </c>
      <c r="H168" s="320">
        <v>734</v>
      </c>
    </row>
    <row r="169" spans="1:8" x14ac:dyDescent="0.25">
      <c r="A169" s="112" t="s">
        <v>181</v>
      </c>
      <c r="B169" s="333" t="s">
        <v>180</v>
      </c>
      <c r="C169" s="333" t="s">
        <v>182</v>
      </c>
      <c r="D169" s="333" t="s">
        <v>183</v>
      </c>
      <c r="E169" s="318">
        <v>194519</v>
      </c>
      <c r="F169" s="319">
        <v>39787</v>
      </c>
      <c r="G169" s="318">
        <v>195481</v>
      </c>
      <c r="H169" s="320">
        <v>962</v>
      </c>
    </row>
    <row r="170" spans="1:8" x14ac:dyDescent="0.25">
      <c r="A170" s="112" t="s">
        <v>209</v>
      </c>
      <c r="B170" s="333" t="s">
        <v>197</v>
      </c>
      <c r="C170" s="333" t="s">
        <v>210</v>
      </c>
      <c r="D170" s="333" t="s">
        <v>211</v>
      </c>
      <c r="E170" s="318">
        <v>91139</v>
      </c>
      <c r="F170" s="319">
        <v>39793</v>
      </c>
      <c r="G170" s="318">
        <v>91505</v>
      </c>
      <c r="H170" s="320">
        <v>366</v>
      </c>
    </row>
    <row r="171" spans="1:8" x14ac:dyDescent="0.25">
      <c r="A171" s="112" t="s">
        <v>1568</v>
      </c>
      <c r="B171" s="333" t="s">
        <v>645</v>
      </c>
      <c r="C171" s="333" t="s">
        <v>594</v>
      </c>
      <c r="D171" s="333" t="s">
        <v>1569</v>
      </c>
      <c r="E171" s="318">
        <v>275943</v>
      </c>
      <c r="F171" s="319">
        <v>39803</v>
      </c>
      <c r="G171" s="318">
        <v>275943</v>
      </c>
      <c r="H171" s="320">
        <v>0</v>
      </c>
    </row>
    <row r="172" spans="1:8" x14ac:dyDescent="0.25">
      <c r="A172" s="112">
        <v>85006713</v>
      </c>
      <c r="B172" s="333" t="s">
        <v>632</v>
      </c>
      <c r="C172" s="333" t="s">
        <v>594</v>
      </c>
      <c r="D172" s="333" t="s">
        <v>638</v>
      </c>
      <c r="E172" s="318">
        <v>1337680</v>
      </c>
      <c r="F172" s="319">
        <v>39810</v>
      </c>
      <c r="G172" s="318">
        <v>1353408</v>
      </c>
      <c r="H172" s="320">
        <v>15728</v>
      </c>
    </row>
    <row r="173" spans="1:8" x14ac:dyDescent="0.25">
      <c r="A173" s="112" t="s">
        <v>1241</v>
      </c>
      <c r="B173" s="333" t="s">
        <v>535</v>
      </c>
      <c r="C173" s="333" t="s">
        <v>1243</v>
      </c>
      <c r="D173" s="333" t="s">
        <v>1244</v>
      </c>
      <c r="E173" s="318">
        <v>1827</v>
      </c>
      <c r="F173" s="319">
        <v>39819</v>
      </c>
      <c r="G173" s="318">
        <v>1840</v>
      </c>
      <c r="H173" s="320">
        <v>13</v>
      </c>
    </row>
    <row r="174" spans="1:8" x14ac:dyDescent="0.25">
      <c r="A174" s="112" t="s">
        <v>1648</v>
      </c>
      <c r="B174" s="333" t="s">
        <v>1472</v>
      </c>
      <c r="C174" s="333" t="s">
        <v>1632</v>
      </c>
      <c r="D174" s="333" t="s">
        <v>1649</v>
      </c>
      <c r="E174" s="318">
        <v>117</v>
      </c>
      <c r="F174" s="319">
        <v>39823</v>
      </c>
      <c r="G174" s="318">
        <v>145</v>
      </c>
      <c r="H174" s="320">
        <v>28</v>
      </c>
    </row>
    <row r="175" spans="1:8" x14ac:dyDescent="0.25">
      <c r="A175" s="112">
        <v>42522472</v>
      </c>
      <c r="B175" s="333" t="s">
        <v>614</v>
      </c>
      <c r="C175" s="333" t="s">
        <v>615</v>
      </c>
      <c r="D175" s="333" t="s">
        <v>1650</v>
      </c>
      <c r="E175" s="318">
        <v>5834</v>
      </c>
      <c r="F175" s="319">
        <v>39824</v>
      </c>
      <c r="G175" s="318">
        <v>7726</v>
      </c>
      <c r="H175" s="320">
        <v>1892</v>
      </c>
    </row>
    <row r="176" spans="1:8" x14ac:dyDescent="0.25">
      <c r="A176" s="112">
        <v>547463</v>
      </c>
      <c r="B176" s="333" t="s">
        <v>581</v>
      </c>
      <c r="C176" s="333" t="s">
        <v>598</v>
      </c>
      <c r="D176" s="333" t="s">
        <v>599</v>
      </c>
      <c r="E176" s="318">
        <v>21647</v>
      </c>
      <c r="F176" s="319">
        <v>39832</v>
      </c>
      <c r="G176" s="318">
        <v>21730</v>
      </c>
      <c r="H176" s="320">
        <v>83</v>
      </c>
    </row>
    <row r="177" spans="1:8" x14ac:dyDescent="0.25">
      <c r="A177" s="112" t="s">
        <v>389</v>
      </c>
      <c r="B177" s="333" t="s">
        <v>581</v>
      </c>
      <c r="C177" s="333" t="s">
        <v>587</v>
      </c>
      <c r="D177" s="333" t="s">
        <v>588</v>
      </c>
      <c r="E177" s="318">
        <v>124602</v>
      </c>
      <c r="F177" s="319">
        <v>39835</v>
      </c>
      <c r="G177" s="318">
        <v>125421</v>
      </c>
      <c r="H177" s="320">
        <v>819</v>
      </c>
    </row>
    <row r="178" spans="1:8" x14ac:dyDescent="0.25">
      <c r="A178" s="112" t="s">
        <v>1512</v>
      </c>
      <c r="B178" s="333" t="s">
        <v>581</v>
      </c>
      <c r="C178" s="333" t="s">
        <v>1311</v>
      </c>
      <c r="D178" s="333" t="s">
        <v>1478</v>
      </c>
      <c r="E178" s="318">
        <v>6563.2</v>
      </c>
      <c r="F178" s="319">
        <v>39852</v>
      </c>
      <c r="G178" s="318">
        <v>6563.2</v>
      </c>
      <c r="H178" s="320">
        <v>0</v>
      </c>
    </row>
    <row r="179" spans="1:8" x14ac:dyDescent="0.25">
      <c r="A179" s="112" t="s">
        <v>1614</v>
      </c>
      <c r="B179" s="333" t="s">
        <v>581</v>
      </c>
      <c r="C179" s="333" t="s">
        <v>1477</v>
      </c>
      <c r="D179" s="333" t="s">
        <v>1478</v>
      </c>
      <c r="E179" s="318">
        <v>1194</v>
      </c>
      <c r="F179" s="319">
        <v>39853</v>
      </c>
      <c r="G179" s="318">
        <v>1226.4000000000001</v>
      </c>
      <c r="H179" s="320">
        <v>32.400000000000091</v>
      </c>
    </row>
    <row r="180" spans="1:8" x14ac:dyDescent="0.25">
      <c r="A180" s="112">
        <v>219472272</v>
      </c>
      <c r="B180" s="333" t="s">
        <v>1472</v>
      </c>
      <c r="C180" s="333" t="s">
        <v>1473</v>
      </c>
      <c r="D180" s="333" t="s">
        <v>1474</v>
      </c>
      <c r="E180" s="318">
        <v>16554</v>
      </c>
      <c r="F180" s="319">
        <v>39857</v>
      </c>
      <c r="G180" s="318">
        <v>16554</v>
      </c>
      <c r="H180" s="320">
        <v>0</v>
      </c>
    </row>
    <row r="181" spans="1:8" x14ac:dyDescent="0.25">
      <c r="A181" s="112">
        <v>11808535</v>
      </c>
      <c r="B181" s="333" t="s">
        <v>581</v>
      </c>
      <c r="C181" s="333" t="s">
        <v>594</v>
      </c>
      <c r="D181" s="333" t="s">
        <v>597</v>
      </c>
      <c r="E181" s="318">
        <v>43785</v>
      </c>
      <c r="F181" s="319">
        <v>39858</v>
      </c>
      <c r="G181" s="318">
        <v>43909</v>
      </c>
      <c r="H181" s="320">
        <v>124</v>
      </c>
    </row>
    <row r="182" spans="1:8" x14ac:dyDescent="0.25">
      <c r="A182" s="112">
        <v>10283585</v>
      </c>
      <c r="B182" s="333" t="s">
        <v>581</v>
      </c>
      <c r="C182" s="333" t="s">
        <v>594</v>
      </c>
      <c r="D182" s="333" t="s">
        <v>600</v>
      </c>
      <c r="E182" s="318">
        <v>90120.8</v>
      </c>
      <c r="F182" s="319">
        <v>39859</v>
      </c>
      <c r="G182" s="318">
        <v>90453.2</v>
      </c>
      <c r="H182" s="320">
        <v>332.39999999999418</v>
      </c>
    </row>
    <row r="183" spans="1:8" x14ac:dyDescent="0.25">
      <c r="A183" s="112" t="s">
        <v>410</v>
      </c>
      <c r="B183" s="333" t="s">
        <v>614</v>
      </c>
      <c r="C183" s="333" t="s">
        <v>615</v>
      </c>
      <c r="D183" s="333" t="s">
        <v>618</v>
      </c>
      <c r="E183" s="318">
        <v>6314</v>
      </c>
      <c r="F183" s="319">
        <v>39861</v>
      </c>
      <c r="G183" s="318">
        <v>6361.7</v>
      </c>
      <c r="H183" s="320">
        <v>47.699999999999818</v>
      </c>
    </row>
    <row r="184" spans="1:8" x14ac:dyDescent="0.25">
      <c r="A184" s="112" t="s">
        <v>409</v>
      </c>
      <c r="B184" s="333" t="s">
        <v>614</v>
      </c>
      <c r="C184" s="333" t="s">
        <v>1632</v>
      </c>
      <c r="D184" s="333" t="s">
        <v>1635</v>
      </c>
      <c r="E184" s="318">
        <v>494</v>
      </c>
      <c r="F184" s="319">
        <v>39870</v>
      </c>
      <c r="G184" s="318">
        <v>536</v>
      </c>
      <c r="H184" s="320">
        <v>42</v>
      </c>
    </row>
    <row r="185" spans="1:8" x14ac:dyDescent="0.25">
      <c r="A185" s="112" t="s">
        <v>1572</v>
      </c>
      <c r="B185" s="333" t="s">
        <v>645</v>
      </c>
      <c r="C185" s="333" t="s">
        <v>594</v>
      </c>
      <c r="D185" s="333" t="s">
        <v>1569</v>
      </c>
      <c r="E185" s="318">
        <v>124126</v>
      </c>
      <c r="F185" s="319">
        <v>39871</v>
      </c>
      <c r="G185" s="318">
        <v>124126</v>
      </c>
      <c r="H185" s="320">
        <v>0</v>
      </c>
    </row>
    <row r="186" spans="1:8" x14ac:dyDescent="0.25">
      <c r="A186" s="112" t="s">
        <v>1575</v>
      </c>
      <c r="B186" s="333" t="s">
        <v>645</v>
      </c>
      <c r="C186" s="333" t="s">
        <v>594</v>
      </c>
      <c r="D186" s="333" t="s">
        <v>1569</v>
      </c>
      <c r="E186" s="318">
        <v>100804</v>
      </c>
      <c r="F186" s="319">
        <v>39872</v>
      </c>
      <c r="G186" s="318">
        <v>100804</v>
      </c>
      <c r="H186" s="320">
        <v>0</v>
      </c>
    </row>
    <row r="187" spans="1:8" x14ac:dyDescent="0.25">
      <c r="A187" s="112">
        <v>17070</v>
      </c>
      <c r="B187" s="333" t="s">
        <v>632</v>
      </c>
      <c r="C187" s="333" t="s">
        <v>1273</v>
      </c>
      <c r="D187" s="333" t="s">
        <v>634</v>
      </c>
      <c r="E187" s="318">
        <v>17435</v>
      </c>
      <c r="F187" s="319">
        <v>39873</v>
      </c>
      <c r="G187" s="318">
        <v>17465</v>
      </c>
      <c r="H187" s="320">
        <v>30</v>
      </c>
    </row>
    <row r="188" spans="1:8" x14ac:dyDescent="0.25">
      <c r="A188" s="112">
        <v>4492967</v>
      </c>
      <c r="B188" s="333" t="s">
        <v>581</v>
      </c>
      <c r="C188" s="333" t="s">
        <v>517</v>
      </c>
      <c r="D188" s="333" t="s">
        <v>628</v>
      </c>
      <c r="E188" s="318">
        <v>22574</v>
      </c>
      <c r="F188" s="319">
        <v>39875</v>
      </c>
      <c r="G188" s="318">
        <v>22679</v>
      </c>
      <c r="H188" s="320">
        <v>105</v>
      </c>
    </row>
    <row r="189" spans="1:8" x14ac:dyDescent="0.25">
      <c r="A189" s="112">
        <v>50564017</v>
      </c>
      <c r="B189" s="333" t="s">
        <v>632</v>
      </c>
      <c r="C189" s="333" t="s">
        <v>594</v>
      </c>
      <c r="D189" s="333" t="s">
        <v>636</v>
      </c>
      <c r="E189" s="318">
        <v>276499.20000000001</v>
      </c>
      <c r="F189" s="319">
        <v>39878</v>
      </c>
      <c r="G189" s="318">
        <v>277885.59999999998</v>
      </c>
      <c r="H189" s="320">
        <v>1386.3999999999651</v>
      </c>
    </row>
    <row r="190" spans="1:8" x14ac:dyDescent="0.25">
      <c r="A190" s="112" t="s">
        <v>402</v>
      </c>
      <c r="B190" s="333" t="s">
        <v>614</v>
      </c>
      <c r="C190" s="333" t="s">
        <v>615</v>
      </c>
      <c r="D190" s="333" t="s">
        <v>618</v>
      </c>
      <c r="E190" s="318">
        <v>87190</v>
      </c>
      <c r="F190" s="319">
        <v>39881</v>
      </c>
      <c r="G190" s="318">
        <v>87190</v>
      </c>
      <c r="H190" s="320">
        <v>0</v>
      </c>
    </row>
    <row r="191" spans="1:8" x14ac:dyDescent="0.25">
      <c r="A191" s="112" t="s">
        <v>403</v>
      </c>
      <c r="B191" s="333" t="s">
        <v>614</v>
      </c>
      <c r="C191" s="333" t="s">
        <v>615</v>
      </c>
      <c r="D191" s="333" t="s">
        <v>618</v>
      </c>
      <c r="E191" s="318">
        <v>78641</v>
      </c>
      <c r="F191" s="319">
        <v>39882</v>
      </c>
      <c r="G191" s="318">
        <v>78697</v>
      </c>
      <c r="H191" s="320">
        <v>56</v>
      </c>
    </row>
    <row r="192" spans="1:8" x14ac:dyDescent="0.25">
      <c r="A192" s="112" t="s">
        <v>1662</v>
      </c>
      <c r="B192" s="333" t="s">
        <v>614</v>
      </c>
      <c r="C192" s="333" t="s">
        <v>615</v>
      </c>
      <c r="D192" s="333" t="s">
        <v>1229</v>
      </c>
      <c r="E192" s="318">
        <v>128.1</v>
      </c>
      <c r="F192" s="319">
        <v>39886</v>
      </c>
      <c r="G192" s="318">
        <v>182.6</v>
      </c>
      <c r="H192" s="320">
        <v>54.5</v>
      </c>
    </row>
    <row r="193" spans="1:8" x14ac:dyDescent="0.25">
      <c r="A193" s="112">
        <v>73321615</v>
      </c>
      <c r="B193" s="333" t="s">
        <v>581</v>
      </c>
      <c r="C193" s="333" t="s">
        <v>603</v>
      </c>
      <c r="D193" s="333" t="s">
        <v>604</v>
      </c>
      <c r="E193" s="318">
        <v>441085</v>
      </c>
      <c r="F193" s="319">
        <v>39890</v>
      </c>
      <c r="G193" s="318">
        <v>444055</v>
      </c>
      <c r="H193" s="320">
        <v>2970</v>
      </c>
    </row>
    <row r="194" spans="1:8" x14ac:dyDescent="0.25">
      <c r="A194" s="112" t="s">
        <v>393</v>
      </c>
      <c r="B194" s="333" t="s">
        <v>581</v>
      </c>
      <c r="C194" s="333" t="s">
        <v>1258</v>
      </c>
      <c r="D194" s="333" t="s">
        <v>585</v>
      </c>
      <c r="E194" s="318">
        <v>606407</v>
      </c>
      <c r="F194" s="319">
        <v>39895</v>
      </c>
      <c r="G194" s="318">
        <v>608873</v>
      </c>
      <c r="H194" s="320">
        <v>2466</v>
      </c>
    </row>
    <row r="195" spans="1:8" x14ac:dyDescent="0.25">
      <c r="A195" s="112" t="s">
        <v>1494</v>
      </c>
      <c r="B195" s="333" t="s">
        <v>614</v>
      </c>
      <c r="C195" s="333" t="s">
        <v>615</v>
      </c>
      <c r="D195" s="333" t="s">
        <v>618</v>
      </c>
      <c r="E195" s="318">
        <v>4433.8</v>
      </c>
      <c r="F195" s="319">
        <v>39899</v>
      </c>
      <c r="G195" s="318">
        <v>4506.8999999999996</v>
      </c>
      <c r="H195" s="320">
        <v>73.099999999999454</v>
      </c>
    </row>
    <row r="196" spans="1:8" x14ac:dyDescent="0.25">
      <c r="A196" s="112" t="s">
        <v>380</v>
      </c>
      <c r="B196" s="333" t="s">
        <v>508</v>
      </c>
      <c r="C196" s="333" t="s">
        <v>511</v>
      </c>
      <c r="D196" s="333" t="s">
        <v>512</v>
      </c>
      <c r="E196" s="318">
        <v>1162160</v>
      </c>
      <c r="F196" s="319">
        <v>39901</v>
      </c>
      <c r="G196" s="318">
        <v>1165537</v>
      </c>
      <c r="H196" s="320">
        <v>3377</v>
      </c>
    </row>
    <row r="197" spans="1:8" x14ac:dyDescent="0.25">
      <c r="A197" s="112" t="s">
        <v>1526</v>
      </c>
      <c r="B197" s="333" t="s">
        <v>558</v>
      </c>
      <c r="C197" s="333" t="s">
        <v>1521</v>
      </c>
      <c r="D197" s="333" t="s">
        <v>1522</v>
      </c>
      <c r="E197" s="318">
        <v>6716</v>
      </c>
      <c r="F197" s="319">
        <v>39906</v>
      </c>
      <c r="G197" s="318">
        <v>7769</v>
      </c>
      <c r="H197" s="320">
        <v>1053</v>
      </c>
    </row>
    <row r="198" spans="1:8" x14ac:dyDescent="0.25">
      <c r="A198" s="112" t="s">
        <v>1652</v>
      </c>
      <c r="B198" s="333" t="s">
        <v>574</v>
      </c>
      <c r="C198" s="333" t="s">
        <v>1653</v>
      </c>
      <c r="D198" s="333" t="s">
        <v>1654</v>
      </c>
      <c r="E198" s="318">
        <v>33</v>
      </c>
      <c r="F198" s="319">
        <v>39912</v>
      </c>
      <c r="G198" s="318">
        <v>54</v>
      </c>
      <c r="H198" s="320">
        <v>21</v>
      </c>
    </row>
    <row r="199" spans="1:8" x14ac:dyDescent="0.25">
      <c r="A199" s="112">
        <v>29218</v>
      </c>
      <c r="B199" s="333" t="s">
        <v>550</v>
      </c>
      <c r="C199" s="333" t="s">
        <v>551</v>
      </c>
      <c r="D199" s="333" t="s">
        <v>552</v>
      </c>
      <c r="E199" s="318">
        <v>268861</v>
      </c>
      <c r="F199" s="319">
        <v>39921</v>
      </c>
      <c r="G199" s="318">
        <v>269156</v>
      </c>
      <c r="H199" s="320">
        <v>295</v>
      </c>
    </row>
    <row r="200" spans="1:8" x14ac:dyDescent="0.25">
      <c r="A200" s="112" t="s">
        <v>167</v>
      </c>
      <c r="B200" s="333" t="s">
        <v>197</v>
      </c>
      <c r="C200" s="333" t="s">
        <v>1367</v>
      </c>
      <c r="D200" s="333" t="s">
        <v>1239</v>
      </c>
      <c r="E200" s="318">
        <v>60349</v>
      </c>
      <c r="F200" s="319">
        <v>39927</v>
      </c>
      <c r="G200" s="318">
        <v>63118</v>
      </c>
      <c r="H200" s="320">
        <v>2769</v>
      </c>
    </row>
    <row r="201" spans="1:8" x14ac:dyDescent="0.25">
      <c r="A201" s="112">
        <v>94823397</v>
      </c>
      <c r="B201" s="333" t="s">
        <v>484</v>
      </c>
      <c r="C201" s="333" t="s">
        <v>1688</v>
      </c>
      <c r="D201" s="333" t="s">
        <v>486</v>
      </c>
      <c r="E201" s="318">
        <v>2320873</v>
      </c>
      <c r="F201" s="319">
        <v>39929</v>
      </c>
      <c r="G201" s="318">
        <v>2330576</v>
      </c>
      <c r="H201" s="320">
        <v>9703</v>
      </c>
    </row>
    <row r="202" spans="1:8" x14ac:dyDescent="0.25">
      <c r="A202" s="112" t="s">
        <v>1520</v>
      </c>
      <c r="B202" s="333" t="s">
        <v>558</v>
      </c>
      <c r="C202" s="333" t="s">
        <v>1521</v>
      </c>
      <c r="D202" s="333" t="s">
        <v>1522</v>
      </c>
      <c r="E202" s="318">
        <v>10709</v>
      </c>
      <c r="F202" s="319">
        <v>39933</v>
      </c>
      <c r="G202" s="318">
        <v>11927</v>
      </c>
      <c r="H202" s="320">
        <v>1218</v>
      </c>
    </row>
    <row r="203" spans="1:8" x14ac:dyDescent="0.25">
      <c r="A203" s="112" t="s">
        <v>382</v>
      </c>
      <c r="B203" s="333" t="s">
        <v>526</v>
      </c>
      <c r="C203" s="333" t="s">
        <v>530</v>
      </c>
      <c r="D203" s="333" t="s">
        <v>123</v>
      </c>
      <c r="E203" s="318">
        <v>19844</v>
      </c>
      <c r="F203" s="319">
        <v>39936</v>
      </c>
      <c r="G203" s="318">
        <v>19913</v>
      </c>
      <c r="H203" s="320">
        <v>2760</v>
      </c>
    </row>
    <row r="204" spans="1:8" x14ac:dyDescent="0.25">
      <c r="A204" s="112">
        <v>57868732</v>
      </c>
      <c r="B204" s="333" t="s">
        <v>508</v>
      </c>
      <c r="C204" s="333" t="s">
        <v>515</v>
      </c>
      <c r="D204" s="333" t="s">
        <v>516</v>
      </c>
      <c r="E204" s="318">
        <v>14687</v>
      </c>
      <c r="F204" s="319">
        <v>39939</v>
      </c>
      <c r="G204" s="318">
        <v>14735</v>
      </c>
      <c r="H204" s="320">
        <v>48</v>
      </c>
    </row>
    <row r="205" spans="1:8" x14ac:dyDescent="0.25">
      <c r="A205" s="112">
        <v>61560</v>
      </c>
      <c r="B205" s="333" t="s">
        <v>508</v>
      </c>
      <c r="C205" s="333" t="s">
        <v>517</v>
      </c>
      <c r="D205" s="333" t="s">
        <v>518</v>
      </c>
      <c r="E205" s="318">
        <v>1135</v>
      </c>
      <c r="F205" s="319">
        <v>39945</v>
      </c>
      <c r="G205" s="318">
        <v>1135</v>
      </c>
      <c r="H205" s="320">
        <v>0</v>
      </c>
    </row>
    <row r="206" spans="1:8" x14ac:dyDescent="0.25">
      <c r="A206" s="112">
        <v>94811340</v>
      </c>
      <c r="B206" s="333" t="s">
        <v>484</v>
      </c>
      <c r="C206" s="333" t="s">
        <v>487</v>
      </c>
      <c r="D206" s="333" t="s">
        <v>488</v>
      </c>
      <c r="E206" s="318">
        <v>6377848</v>
      </c>
      <c r="F206" s="319">
        <v>39947</v>
      </c>
      <c r="G206" s="318">
        <v>6379501</v>
      </c>
      <c r="H206" s="320">
        <v>1653</v>
      </c>
    </row>
    <row r="207" spans="1:8" x14ac:dyDescent="0.25">
      <c r="A207" s="112" t="s">
        <v>1530</v>
      </c>
      <c r="B207" s="333" t="s">
        <v>565</v>
      </c>
      <c r="C207" s="333" t="s">
        <v>1531</v>
      </c>
      <c r="D207" s="333" t="s">
        <v>1532</v>
      </c>
      <c r="E207" s="318">
        <v>221470</v>
      </c>
      <c r="F207" s="319">
        <v>39951</v>
      </c>
      <c r="G207" s="318">
        <v>227648</v>
      </c>
      <c r="H207" s="320">
        <v>6178</v>
      </c>
    </row>
    <row r="208" spans="1:8" x14ac:dyDescent="0.25">
      <c r="A208" s="112">
        <v>11700447</v>
      </c>
      <c r="B208" s="333" t="s">
        <v>535</v>
      </c>
      <c r="C208" s="333" t="s">
        <v>536</v>
      </c>
      <c r="D208" s="333" t="s">
        <v>537</v>
      </c>
      <c r="E208" s="318">
        <v>404518</v>
      </c>
      <c r="F208" s="319">
        <v>39953</v>
      </c>
      <c r="G208" s="318">
        <v>407352</v>
      </c>
      <c r="H208" s="320">
        <v>2834</v>
      </c>
    </row>
    <row r="209" spans="1:8" x14ac:dyDescent="0.25">
      <c r="A209" s="112" t="s">
        <v>1524</v>
      </c>
      <c r="B209" s="333" t="s">
        <v>558</v>
      </c>
      <c r="C209" s="333" t="s">
        <v>1521</v>
      </c>
      <c r="D209" s="333" t="s">
        <v>1522</v>
      </c>
      <c r="E209" s="318">
        <v>12040</v>
      </c>
      <c r="F209" s="319">
        <v>39956</v>
      </c>
      <c r="G209" s="318">
        <v>13369</v>
      </c>
      <c r="H209" s="320">
        <v>1329</v>
      </c>
    </row>
    <row r="210" spans="1:8" x14ac:dyDescent="0.25">
      <c r="A210" s="112" t="s">
        <v>1525</v>
      </c>
      <c r="B210" s="333" t="s">
        <v>558</v>
      </c>
      <c r="C210" s="333" t="s">
        <v>1521</v>
      </c>
      <c r="D210" s="333" t="s">
        <v>1522</v>
      </c>
      <c r="E210" s="318">
        <v>15065</v>
      </c>
      <c r="F210" s="319">
        <v>39957</v>
      </c>
      <c r="G210" s="318">
        <v>17132</v>
      </c>
      <c r="H210" s="320">
        <v>2067</v>
      </c>
    </row>
    <row r="211" spans="1:8" x14ac:dyDescent="0.25">
      <c r="A211" s="112">
        <v>99561366</v>
      </c>
      <c r="B211" s="333" t="s">
        <v>508</v>
      </c>
      <c r="C211" s="333" t="s">
        <v>1688</v>
      </c>
      <c r="D211" s="333" t="s">
        <v>1603</v>
      </c>
      <c r="E211" s="318">
        <v>60297</v>
      </c>
      <c r="F211" s="319">
        <v>39960</v>
      </c>
      <c r="G211" s="318">
        <v>61682</v>
      </c>
      <c r="H211" s="320">
        <v>1385</v>
      </c>
    </row>
    <row r="212" spans="1:8" x14ac:dyDescent="0.25">
      <c r="A212" s="112">
        <v>218013106</v>
      </c>
      <c r="B212" s="333" t="s">
        <v>565</v>
      </c>
      <c r="C212" s="333" t="s">
        <v>1341</v>
      </c>
      <c r="D212" s="333" t="s">
        <v>1671</v>
      </c>
      <c r="E212" s="318">
        <v>50</v>
      </c>
      <c r="F212" s="319">
        <v>39970</v>
      </c>
      <c r="G212" s="318">
        <v>97</v>
      </c>
      <c r="H212" s="320">
        <v>47</v>
      </c>
    </row>
    <row r="213" spans="1:8" x14ac:dyDescent="0.25">
      <c r="A213" s="112">
        <v>94811345</v>
      </c>
      <c r="B213" s="333" t="s">
        <v>484</v>
      </c>
      <c r="C213" s="333" t="s">
        <v>495</v>
      </c>
      <c r="D213" s="333" t="s">
        <v>496</v>
      </c>
      <c r="E213" s="318">
        <v>4255152</v>
      </c>
      <c r="F213" s="319">
        <v>39975</v>
      </c>
      <c r="G213" s="318">
        <v>4281913</v>
      </c>
      <c r="H213" s="320">
        <v>26761</v>
      </c>
    </row>
    <row r="214" spans="1:8" x14ac:dyDescent="0.25">
      <c r="A214" s="112">
        <v>20583312</v>
      </c>
      <c r="B214" s="333" t="s">
        <v>526</v>
      </c>
      <c r="C214" s="333" t="s">
        <v>530</v>
      </c>
      <c r="D214" s="333" t="s">
        <v>123</v>
      </c>
      <c r="E214" s="318">
        <v>6457</v>
      </c>
      <c r="F214" s="319">
        <v>39978</v>
      </c>
      <c r="G214" s="318">
        <v>6524</v>
      </c>
      <c r="H214" s="320">
        <v>1340</v>
      </c>
    </row>
    <row r="215" spans="1:8" x14ac:dyDescent="0.25">
      <c r="A215" s="112">
        <v>5355249</v>
      </c>
      <c r="B215" s="333" t="s">
        <v>565</v>
      </c>
      <c r="C215" s="333" t="s">
        <v>566</v>
      </c>
      <c r="D215" s="333" t="s">
        <v>567</v>
      </c>
      <c r="E215" s="318">
        <v>8179</v>
      </c>
      <c r="F215" s="319">
        <v>39992</v>
      </c>
      <c r="G215" s="318">
        <v>8228</v>
      </c>
      <c r="H215" s="320">
        <v>980</v>
      </c>
    </row>
    <row r="216" spans="1:8" x14ac:dyDescent="0.25">
      <c r="A216" s="112" t="s">
        <v>383</v>
      </c>
      <c r="B216" s="333" t="s">
        <v>565</v>
      </c>
      <c r="C216" s="333" t="s">
        <v>568</v>
      </c>
      <c r="D216" s="333" t="s">
        <v>569</v>
      </c>
      <c r="E216" s="318">
        <v>204813</v>
      </c>
      <c r="F216" s="319">
        <v>39993</v>
      </c>
      <c r="G216" s="318">
        <v>207122</v>
      </c>
      <c r="H216" s="320">
        <v>2309</v>
      </c>
    </row>
    <row r="217" spans="1:8" x14ac:dyDescent="0.25">
      <c r="A217" s="112" t="s">
        <v>384</v>
      </c>
      <c r="B217" s="333" t="s">
        <v>565</v>
      </c>
      <c r="C217" s="333" t="s">
        <v>570</v>
      </c>
      <c r="D217" s="333" t="s">
        <v>569</v>
      </c>
      <c r="E217" s="318">
        <v>724031</v>
      </c>
      <c r="F217" s="319">
        <v>39995</v>
      </c>
      <c r="G217" s="318">
        <v>724447</v>
      </c>
      <c r="H217" s="320">
        <v>416</v>
      </c>
    </row>
    <row r="218" spans="1:8" x14ac:dyDescent="0.25">
      <c r="A218" s="112"/>
      <c r="B218" s="333"/>
      <c r="C218" s="333"/>
      <c r="D218" s="333"/>
      <c r="E218" s="318"/>
      <c r="F218" s="319"/>
      <c r="G218" s="318"/>
      <c r="H218" s="320"/>
    </row>
    <row r="219" spans="1:8" x14ac:dyDescent="0.25">
      <c r="A219" s="112"/>
      <c r="B219" s="333"/>
      <c r="C219" s="333"/>
      <c r="D219" s="333"/>
      <c r="E219" s="318"/>
      <c r="F219" s="319"/>
      <c r="G219" s="318"/>
      <c r="H219" s="320"/>
    </row>
    <row r="220" spans="1:8" x14ac:dyDescent="0.25">
      <c r="A220" s="112"/>
      <c r="B220" s="333"/>
      <c r="C220" s="333"/>
      <c r="D220" s="333"/>
      <c r="E220" s="318"/>
      <c r="F220" s="319"/>
      <c r="G220" s="318"/>
      <c r="H220" s="320"/>
    </row>
    <row r="221" spans="1:8" x14ac:dyDescent="0.25">
      <c r="A221" s="112"/>
      <c r="B221" s="333"/>
      <c r="C221" s="333"/>
      <c r="D221" s="333"/>
      <c r="E221" s="318"/>
      <c r="F221" s="319"/>
      <c r="G221" s="318"/>
      <c r="H221" s="320"/>
    </row>
    <row r="222" spans="1:8" x14ac:dyDescent="0.25">
      <c r="A222" s="112"/>
      <c r="B222" s="333"/>
      <c r="C222" s="333"/>
      <c r="D222" s="333"/>
      <c r="E222" s="318"/>
      <c r="F222" s="319"/>
      <c r="G222" s="318"/>
      <c r="H222" s="320"/>
    </row>
    <row r="223" spans="1:8" x14ac:dyDescent="0.25">
      <c r="A223" s="112"/>
      <c r="B223" s="333"/>
      <c r="C223" s="333"/>
      <c r="D223" s="333"/>
      <c r="E223" s="318"/>
      <c r="F223" s="319"/>
      <c r="G223" s="318"/>
      <c r="H223" s="320"/>
    </row>
    <row r="224" spans="1:8" x14ac:dyDescent="0.25">
      <c r="A224" s="112"/>
      <c r="B224" s="333"/>
      <c r="C224" s="333"/>
      <c r="D224" s="333"/>
      <c r="E224" s="318"/>
      <c r="F224" s="319"/>
      <c r="G224" s="318"/>
      <c r="H224" s="320"/>
    </row>
    <row r="225" spans="1:8" x14ac:dyDescent="0.25">
      <c r="A225" s="112"/>
      <c r="B225" s="333"/>
      <c r="C225" s="333"/>
      <c r="D225" s="333"/>
      <c r="E225" s="318"/>
      <c r="F225" s="319"/>
      <c r="G225" s="318"/>
      <c r="H225" s="320"/>
    </row>
    <row r="226" spans="1:8" x14ac:dyDescent="0.25">
      <c r="A226" s="112"/>
      <c r="B226" s="333"/>
      <c r="C226" s="333"/>
      <c r="D226" s="333"/>
      <c r="E226" s="318"/>
      <c r="F226" s="319"/>
      <c r="G226" s="318"/>
      <c r="H226" s="320"/>
    </row>
    <row r="227" spans="1:8" x14ac:dyDescent="0.25">
      <c r="A227" s="312"/>
      <c r="B227" s="333"/>
      <c r="C227" s="333"/>
      <c r="D227" s="333"/>
      <c r="E227" s="326"/>
      <c r="F227" s="319"/>
      <c r="G227" s="326"/>
      <c r="H227" s="327"/>
    </row>
    <row r="228" spans="1:8" x14ac:dyDescent="0.25">
      <c r="A228" s="312"/>
      <c r="B228" s="334"/>
      <c r="C228" s="334"/>
      <c r="D228" s="334"/>
      <c r="E228" s="326"/>
      <c r="F228" s="328"/>
      <c r="G228" s="326"/>
      <c r="H228" s="327"/>
    </row>
    <row r="229" spans="1:8" x14ac:dyDescent="0.25">
      <c r="A229" s="312"/>
      <c r="B229" s="334"/>
      <c r="C229" s="334"/>
      <c r="D229" s="334"/>
      <c r="E229" s="326"/>
      <c r="F229" s="328"/>
      <c r="G229" s="326"/>
      <c r="H229" s="327"/>
    </row>
    <row r="230" spans="1:8" x14ac:dyDescent="0.25">
      <c r="A230" s="312"/>
      <c r="B230" s="334"/>
      <c r="C230" s="334"/>
      <c r="D230" s="334"/>
      <c r="E230" s="326"/>
      <c r="F230" s="328"/>
      <c r="G230" s="326"/>
      <c r="H230" s="327"/>
    </row>
    <row r="231" spans="1:8" x14ac:dyDescent="0.25">
      <c r="A231" s="313"/>
      <c r="B231" s="335"/>
      <c r="C231" s="335"/>
      <c r="D231" s="335"/>
      <c r="E231" s="329"/>
      <c r="F231" s="330"/>
      <c r="G231" s="329"/>
      <c r="H231" s="331"/>
    </row>
    <row r="232" spans="1:8" x14ac:dyDescent="0.25">
      <c r="A232" s="313"/>
      <c r="B232" s="335"/>
      <c r="C232" s="335"/>
      <c r="D232" s="335"/>
      <c r="E232" s="329"/>
      <c r="F232" s="330"/>
      <c r="G232" s="329"/>
      <c r="H232" s="331"/>
    </row>
    <row r="233" spans="1:8" x14ac:dyDescent="0.25">
      <c r="A233" s="312"/>
      <c r="B233" s="334"/>
      <c r="C233" s="334"/>
      <c r="D233" s="334"/>
      <c r="E233" s="326"/>
      <c r="F233" s="328"/>
      <c r="G233" s="326"/>
      <c r="H233" s="327"/>
    </row>
    <row r="234" spans="1:8" x14ac:dyDescent="0.25">
      <c r="A234" s="312"/>
      <c r="B234" s="334"/>
      <c r="C234" s="334"/>
      <c r="D234" s="334"/>
      <c r="E234" s="326"/>
      <c r="F234" s="328"/>
      <c r="G234" s="326"/>
      <c r="H234" s="327"/>
    </row>
    <row r="235" spans="1:8" x14ac:dyDescent="0.25">
      <c r="A235" s="313"/>
      <c r="B235" s="335"/>
      <c r="C235" s="335"/>
      <c r="D235" s="335"/>
      <c r="E235" s="329"/>
      <c r="F235" s="330"/>
      <c r="G235" s="329"/>
      <c r="H235" s="331"/>
    </row>
    <row r="236" spans="1:8" x14ac:dyDescent="0.25">
      <c r="A236" s="313"/>
      <c r="B236" s="335"/>
      <c r="C236" s="335"/>
      <c r="D236" s="335"/>
      <c r="E236" s="329"/>
      <c r="F236" s="330"/>
      <c r="G236" s="329"/>
      <c r="H236" s="331"/>
    </row>
    <row r="237" spans="1:8" x14ac:dyDescent="0.25">
      <c r="A237" s="312"/>
      <c r="B237" s="334"/>
      <c r="C237" s="334"/>
      <c r="D237" s="334"/>
      <c r="E237" s="326"/>
      <c r="F237" s="328"/>
      <c r="G237" s="326"/>
      <c r="H237" s="327"/>
    </row>
    <row r="238" spans="1:8" x14ac:dyDescent="0.25">
      <c r="A238" s="312"/>
      <c r="B238" s="334"/>
      <c r="C238" s="334"/>
      <c r="D238" s="334"/>
      <c r="E238" s="326"/>
      <c r="F238" s="328"/>
      <c r="G238" s="326"/>
      <c r="H238" s="327"/>
    </row>
    <row r="239" spans="1:8" x14ac:dyDescent="0.25">
      <c r="A239" s="312"/>
      <c r="B239" s="334"/>
      <c r="C239" s="334"/>
      <c r="D239" s="334"/>
      <c r="E239" s="326"/>
      <c r="F239" s="328"/>
      <c r="G239" s="326"/>
      <c r="H239" s="327"/>
    </row>
    <row r="240" spans="1:8" x14ac:dyDescent="0.25">
      <c r="A240" s="312"/>
      <c r="B240" s="334"/>
      <c r="C240" s="334"/>
      <c r="D240" s="334"/>
      <c r="E240" s="326"/>
      <c r="F240" s="328"/>
      <c r="G240" s="326"/>
      <c r="H240" s="327"/>
    </row>
    <row r="241" spans="1:8" x14ac:dyDescent="0.25">
      <c r="A241" s="312"/>
      <c r="B241" s="334"/>
      <c r="C241" s="334"/>
      <c r="D241" s="334"/>
      <c r="E241" s="326"/>
      <c r="F241" s="328"/>
      <c r="G241" s="326"/>
      <c r="H241" s="327"/>
    </row>
    <row r="242" spans="1:8" x14ac:dyDescent="0.25">
      <c r="A242" s="312"/>
      <c r="B242" s="334"/>
      <c r="C242" s="334"/>
      <c r="D242" s="334"/>
      <c r="E242" s="326"/>
      <c r="F242" s="328"/>
      <c r="G242" s="326"/>
      <c r="H242" s="327"/>
    </row>
    <row r="243" spans="1:8" x14ac:dyDescent="0.25">
      <c r="A243" s="312"/>
      <c r="B243" s="334"/>
      <c r="C243" s="334"/>
      <c r="D243" s="334"/>
      <c r="E243" s="326"/>
      <c r="F243" s="328"/>
      <c r="G243" s="326"/>
      <c r="H243" s="327"/>
    </row>
    <row r="244" spans="1:8" x14ac:dyDescent="0.25">
      <c r="A244" s="312"/>
      <c r="B244" s="334"/>
      <c r="C244" s="334"/>
      <c r="D244" s="334"/>
      <c r="E244" s="326"/>
      <c r="F244" s="328"/>
      <c r="G244" s="326"/>
      <c r="H244" s="327"/>
    </row>
    <row r="245" spans="1:8" x14ac:dyDescent="0.25">
      <c r="A245" s="312"/>
      <c r="B245" s="334"/>
      <c r="C245" s="334"/>
      <c r="D245" s="334"/>
      <c r="E245" s="326"/>
      <c r="F245" s="328"/>
      <c r="G245" s="326"/>
      <c r="H245" s="327"/>
    </row>
    <row r="246" spans="1:8" x14ac:dyDescent="0.25">
      <c r="A246" s="312"/>
      <c r="B246" s="334"/>
      <c r="C246" s="334"/>
      <c r="D246" s="334"/>
      <c r="E246" s="326"/>
      <c r="F246" s="328"/>
      <c r="G246" s="326"/>
      <c r="H246" s="327"/>
    </row>
    <row r="247" spans="1:8" x14ac:dyDescent="0.25">
      <c r="A247" s="312"/>
      <c r="B247" s="334"/>
      <c r="C247" s="334"/>
      <c r="D247" s="334"/>
      <c r="E247" s="326"/>
      <c r="F247" s="328"/>
      <c r="G247" s="326"/>
      <c r="H247" s="327"/>
    </row>
    <row r="248" spans="1:8" x14ac:dyDescent="0.25">
      <c r="A248" s="312"/>
      <c r="B248" s="334"/>
      <c r="C248" s="334"/>
      <c r="D248" s="334"/>
      <c r="E248" s="326"/>
      <c r="F248" s="328"/>
      <c r="G248" s="326"/>
      <c r="H248" s="327"/>
    </row>
    <row r="249" spans="1:8" x14ac:dyDescent="0.25">
      <c r="A249" s="312"/>
      <c r="B249" s="334"/>
      <c r="C249" s="334"/>
      <c r="D249" s="334"/>
      <c r="E249" s="326"/>
      <c r="F249" s="328"/>
      <c r="G249" s="326"/>
      <c r="H249" s="327"/>
    </row>
    <row r="250" spans="1:8" x14ac:dyDescent="0.25">
      <c r="A250" s="312"/>
      <c r="B250" s="334"/>
      <c r="C250" s="334"/>
      <c r="D250" s="334"/>
      <c r="E250" s="326"/>
      <c r="F250" s="328"/>
      <c r="G250" s="326"/>
      <c r="H250" s="327"/>
    </row>
    <row r="251" spans="1:8" x14ac:dyDescent="0.25">
      <c r="A251" s="312"/>
      <c r="B251" s="334"/>
      <c r="C251" s="334"/>
      <c r="D251" s="334"/>
      <c r="E251" s="326"/>
      <c r="F251" s="328"/>
      <c r="G251" s="326"/>
      <c r="H251" s="327"/>
    </row>
    <row r="252" spans="1:8" x14ac:dyDescent="0.25">
      <c r="A252" s="312"/>
      <c r="B252" s="334"/>
      <c r="C252" s="334"/>
      <c r="D252" s="334"/>
      <c r="E252" s="326"/>
      <c r="F252" s="328"/>
      <c r="G252" s="326"/>
      <c r="H252" s="327"/>
    </row>
    <row r="253" spans="1:8" x14ac:dyDescent="0.25">
      <c r="A253" s="312"/>
      <c r="B253" s="334"/>
      <c r="C253" s="334"/>
      <c r="D253" s="334"/>
      <c r="E253" s="326"/>
      <c r="F253" s="328"/>
      <c r="G253" s="326"/>
      <c r="H253" s="327"/>
    </row>
    <row r="254" spans="1:8" x14ac:dyDescent="0.25">
      <c r="A254" s="312"/>
      <c r="B254" s="334"/>
      <c r="C254" s="334"/>
      <c r="D254" s="334"/>
      <c r="E254" s="326"/>
      <c r="F254" s="328"/>
      <c r="G254" s="326"/>
      <c r="H254" s="327"/>
    </row>
    <row r="255" spans="1:8" x14ac:dyDescent="0.25">
      <c r="A255" s="312"/>
      <c r="B255" s="334"/>
      <c r="C255" s="334"/>
      <c r="D255" s="334"/>
      <c r="E255" s="326"/>
      <c r="F255" s="328"/>
      <c r="G255" s="326"/>
      <c r="H255" s="327"/>
    </row>
    <row r="256" spans="1:8" x14ac:dyDescent="0.25">
      <c r="A256" s="312"/>
      <c r="B256" s="334"/>
      <c r="C256" s="334"/>
      <c r="D256" s="334"/>
      <c r="E256" s="326"/>
      <c r="F256" s="328"/>
      <c r="G256" s="326"/>
      <c r="H256" s="327"/>
    </row>
    <row r="257" spans="1:8" x14ac:dyDescent="0.25">
      <c r="A257" s="312"/>
      <c r="B257" s="334"/>
      <c r="C257" s="334"/>
      <c r="D257" s="334"/>
      <c r="E257" s="326"/>
      <c r="F257" s="328"/>
      <c r="G257" s="326"/>
      <c r="H257" s="327"/>
    </row>
    <row r="258" spans="1:8" x14ac:dyDescent="0.25">
      <c r="A258" s="312"/>
      <c r="B258" s="334"/>
      <c r="C258" s="334"/>
      <c r="D258" s="334"/>
      <c r="E258" s="326"/>
      <c r="F258" s="328"/>
      <c r="G258" s="326"/>
      <c r="H258" s="327"/>
    </row>
    <row r="259" spans="1:8" x14ac:dyDescent="0.25">
      <c r="A259" s="312"/>
      <c r="B259" s="334"/>
      <c r="C259" s="334"/>
      <c r="D259" s="334"/>
      <c r="E259" s="326"/>
      <c r="F259" s="328"/>
      <c r="G259" s="326"/>
      <c r="H259" s="327"/>
    </row>
    <row r="260" spans="1:8" x14ac:dyDescent="0.25">
      <c r="A260" s="312"/>
      <c r="B260" s="334"/>
      <c r="C260" s="334"/>
      <c r="D260" s="334"/>
      <c r="E260" s="326"/>
      <c r="F260" s="328"/>
      <c r="G260" s="326"/>
      <c r="H260" s="327"/>
    </row>
    <row r="261" spans="1:8" x14ac:dyDescent="0.25">
      <c r="A261" s="312"/>
      <c r="B261" s="334"/>
      <c r="C261" s="334"/>
      <c r="D261" s="334"/>
      <c r="E261" s="326"/>
      <c r="F261" s="328"/>
      <c r="G261" s="326"/>
      <c r="H261" s="327"/>
    </row>
    <row r="262" spans="1:8" x14ac:dyDescent="0.25">
      <c r="A262" s="312"/>
      <c r="B262" s="334"/>
      <c r="C262" s="334"/>
      <c r="D262" s="334"/>
      <c r="E262" s="326"/>
      <c r="F262" s="328"/>
      <c r="G262" s="326"/>
      <c r="H262" s="327"/>
    </row>
    <row r="263" spans="1:8" x14ac:dyDescent="0.25">
      <c r="A263" s="312"/>
      <c r="B263" s="334"/>
      <c r="C263" s="334"/>
      <c r="D263" s="334"/>
      <c r="E263" s="326"/>
      <c r="F263" s="328"/>
      <c r="G263" s="326"/>
      <c r="H263" s="327"/>
    </row>
    <row r="264" spans="1:8" x14ac:dyDescent="0.25">
      <c r="A264" s="312"/>
      <c r="B264" s="334"/>
      <c r="C264" s="334"/>
      <c r="D264" s="334"/>
      <c r="E264" s="326"/>
      <c r="F264" s="328"/>
      <c r="G264" s="326"/>
      <c r="H264" s="327"/>
    </row>
    <row r="265" spans="1:8" x14ac:dyDescent="0.25">
      <c r="A265" s="312"/>
      <c r="B265" s="334"/>
      <c r="C265" s="334"/>
      <c r="D265" s="334"/>
      <c r="E265" s="326"/>
      <c r="F265" s="328"/>
      <c r="G265" s="326"/>
      <c r="H265" s="327"/>
    </row>
    <row r="266" spans="1:8" x14ac:dyDescent="0.25">
      <c r="A266" s="312"/>
      <c r="B266" s="334"/>
      <c r="C266" s="334"/>
      <c r="D266" s="334"/>
      <c r="E266" s="326"/>
      <c r="F266" s="328"/>
      <c r="G266" s="326"/>
      <c r="H266" s="327"/>
    </row>
    <row r="267" spans="1:8" x14ac:dyDescent="0.25">
      <c r="A267" s="312"/>
      <c r="B267" s="334"/>
      <c r="C267" s="334"/>
      <c r="D267" s="334"/>
      <c r="E267" s="326"/>
      <c r="F267" s="328"/>
      <c r="G267" s="326"/>
      <c r="H267" s="327"/>
    </row>
    <row r="268" spans="1:8" x14ac:dyDescent="0.25">
      <c r="A268" s="312"/>
      <c r="B268" s="334"/>
      <c r="C268" s="334"/>
      <c r="D268" s="334"/>
      <c r="E268" s="326"/>
      <c r="F268" s="328"/>
      <c r="G268" s="326"/>
      <c r="H268" s="327"/>
    </row>
    <row r="269" spans="1:8" x14ac:dyDescent="0.25">
      <c r="A269" s="312"/>
      <c r="B269" s="334"/>
      <c r="C269" s="334"/>
      <c r="D269" s="334"/>
      <c r="E269" s="326"/>
      <c r="F269" s="328"/>
      <c r="G269" s="326"/>
      <c r="H269" s="327"/>
    </row>
    <row r="270" spans="1:8" x14ac:dyDescent="0.25">
      <c r="A270" s="312"/>
      <c r="B270" s="334"/>
      <c r="C270" s="334"/>
      <c r="D270" s="334"/>
      <c r="E270" s="326"/>
      <c r="F270" s="328"/>
      <c r="G270" s="326"/>
      <c r="H270" s="327"/>
    </row>
    <row r="271" spans="1:8" x14ac:dyDescent="0.25">
      <c r="A271" s="312"/>
      <c r="B271" s="334"/>
      <c r="C271" s="334"/>
      <c r="D271" s="334"/>
      <c r="E271" s="326"/>
      <c r="F271" s="328"/>
      <c r="G271" s="326"/>
      <c r="H271" s="327"/>
    </row>
    <row r="272" spans="1:8" x14ac:dyDescent="0.25">
      <c r="A272" s="312"/>
      <c r="B272" s="334"/>
      <c r="C272" s="334"/>
      <c r="D272" s="334"/>
      <c r="E272" s="326"/>
      <c r="F272" s="328"/>
      <c r="G272" s="326"/>
      <c r="H272" s="327"/>
    </row>
    <row r="273" spans="1:8" x14ac:dyDescent="0.25">
      <c r="A273" s="312"/>
      <c r="B273" s="334"/>
      <c r="C273" s="334"/>
      <c r="D273" s="334"/>
      <c r="E273" s="326"/>
      <c r="F273" s="328"/>
      <c r="G273" s="326"/>
      <c r="H273" s="327"/>
    </row>
    <row r="274" spans="1:8" x14ac:dyDescent="0.25">
      <c r="A274" s="312"/>
      <c r="B274" s="334"/>
      <c r="C274" s="334"/>
      <c r="D274" s="334"/>
      <c r="E274" s="326"/>
      <c r="F274" s="328"/>
      <c r="G274" s="326"/>
      <c r="H274" s="327"/>
    </row>
    <row r="275" spans="1:8" x14ac:dyDescent="0.25">
      <c r="A275" s="312"/>
      <c r="B275" s="334"/>
      <c r="C275" s="334"/>
      <c r="D275" s="334"/>
      <c r="E275" s="326"/>
      <c r="F275" s="328"/>
      <c r="G275" s="326"/>
      <c r="H275" s="327"/>
    </row>
    <row r="276" spans="1:8" x14ac:dyDescent="0.25">
      <c r="A276" s="312"/>
      <c r="B276" s="334"/>
      <c r="C276" s="334"/>
      <c r="D276" s="334"/>
      <c r="E276" s="326"/>
      <c r="F276" s="328"/>
      <c r="G276" s="326"/>
      <c r="H276" s="327"/>
    </row>
    <row r="277" spans="1:8" x14ac:dyDescent="0.25">
      <c r="A277" s="312"/>
      <c r="B277" s="334"/>
      <c r="C277" s="334"/>
      <c r="D277" s="334"/>
      <c r="E277" s="326"/>
      <c r="F277" s="328"/>
      <c r="G277" s="326"/>
      <c r="H277" s="327"/>
    </row>
    <row r="278" spans="1:8" x14ac:dyDescent="0.25">
      <c r="A278" s="312"/>
      <c r="B278" s="334"/>
      <c r="C278" s="334"/>
      <c r="D278" s="334"/>
      <c r="E278" s="326"/>
      <c r="F278" s="328"/>
      <c r="G278" s="326"/>
      <c r="H278" s="327"/>
    </row>
    <row r="279" spans="1:8" x14ac:dyDescent="0.25">
      <c r="A279" s="312"/>
      <c r="B279" s="334"/>
      <c r="C279" s="334"/>
      <c r="D279" s="334"/>
      <c r="E279" s="326"/>
      <c r="F279" s="328"/>
      <c r="G279" s="326"/>
      <c r="H279" s="327"/>
    </row>
    <row r="280" spans="1:8" x14ac:dyDescent="0.25">
      <c r="A280" s="312"/>
      <c r="B280" s="334"/>
      <c r="C280" s="334"/>
      <c r="D280" s="334"/>
      <c r="E280" s="326"/>
      <c r="F280" s="328"/>
      <c r="G280" s="326"/>
      <c r="H280" s="327"/>
    </row>
    <row r="281" spans="1:8" x14ac:dyDescent="0.25">
      <c r="A281" s="312"/>
      <c r="B281" s="334"/>
      <c r="C281" s="334"/>
      <c r="D281" s="334"/>
      <c r="E281" s="326"/>
      <c r="F281" s="328"/>
      <c r="G281" s="326"/>
      <c r="H281" s="327"/>
    </row>
    <row r="282" spans="1:8" x14ac:dyDescent="0.25">
      <c r="A282" s="312"/>
      <c r="B282" s="334"/>
      <c r="C282" s="334"/>
      <c r="D282" s="334"/>
      <c r="E282" s="326"/>
      <c r="F282" s="328"/>
      <c r="G282" s="326"/>
      <c r="H282" s="327"/>
    </row>
    <row r="283" spans="1:8" x14ac:dyDescent="0.25">
      <c r="A283" s="312"/>
      <c r="B283" s="334"/>
      <c r="C283" s="334"/>
      <c r="D283" s="334"/>
      <c r="E283" s="326"/>
      <c r="F283" s="328"/>
      <c r="G283" s="326"/>
      <c r="H283" s="327"/>
    </row>
    <row r="284" spans="1:8" x14ac:dyDescent="0.25">
      <c r="A284" s="312"/>
      <c r="B284" s="334"/>
      <c r="C284" s="334"/>
      <c r="D284" s="334"/>
      <c r="E284" s="326"/>
      <c r="F284" s="328"/>
      <c r="G284" s="326"/>
      <c r="H284" s="327"/>
    </row>
    <row r="285" spans="1:8" x14ac:dyDescent="0.25">
      <c r="A285" s="312"/>
      <c r="B285" s="334"/>
      <c r="C285" s="334"/>
      <c r="D285" s="334"/>
      <c r="E285" s="326"/>
      <c r="F285" s="328"/>
      <c r="G285" s="326"/>
      <c r="H285" s="327"/>
    </row>
    <row r="286" spans="1:8" x14ac:dyDescent="0.25">
      <c r="A286" s="312"/>
      <c r="B286" s="334"/>
      <c r="C286" s="334"/>
      <c r="D286" s="334"/>
      <c r="E286" s="326"/>
      <c r="F286" s="328"/>
      <c r="G286" s="326"/>
      <c r="H286" s="327"/>
    </row>
    <row r="287" spans="1:8" x14ac:dyDescent="0.25">
      <c r="A287" s="312"/>
      <c r="B287" s="334"/>
      <c r="C287" s="334"/>
      <c r="D287" s="334"/>
      <c r="E287" s="326"/>
      <c r="F287" s="328"/>
      <c r="G287" s="326"/>
      <c r="H287" s="327"/>
    </row>
    <row r="288" spans="1:8" x14ac:dyDescent="0.25">
      <c r="A288" s="312"/>
      <c r="B288" s="334"/>
      <c r="C288" s="334"/>
      <c r="D288" s="334"/>
      <c r="E288" s="326"/>
      <c r="F288" s="328"/>
      <c r="G288" s="326"/>
      <c r="H288" s="327"/>
    </row>
    <row r="289" spans="1:8" x14ac:dyDescent="0.25">
      <c r="A289" s="312"/>
      <c r="B289" s="334"/>
      <c r="C289" s="334"/>
      <c r="D289" s="334"/>
      <c r="E289" s="326"/>
      <c r="F289" s="328"/>
      <c r="G289" s="326"/>
      <c r="H289" s="327"/>
    </row>
    <row r="290" spans="1:8" x14ac:dyDescent="0.25">
      <c r="A290" s="312"/>
      <c r="B290" s="334"/>
      <c r="C290" s="334"/>
      <c r="D290" s="334"/>
      <c r="E290" s="326"/>
      <c r="F290" s="328"/>
      <c r="G290" s="326"/>
      <c r="H290" s="327"/>
    </row>
    <row r="291" spans="1:8" x14ac:dyDescent="0.25">
      <c r="A291" s="312"/>
      <c r="B291" s="334"/>
      <c r="C291" s="334"/>
      <c r="D291" s="334"/>
      <c r="E291" s="326"/>
      <c r="F291" s="328"/>
      <c r="G291" s="326"/>
      <c r="H291" s="327"/>
    </row>
    <row r="292" spans="1:8" x14ac:dyDescent="0.25">
      <c r="A292" s="312"/>
      <c r="B292" s="334"/>
      <c r="C292" s="334"/>
      <c r="D292" s="334"/>
      <c r="E292" s="326"/>
      <c r="F292" s="328"/>
      <c r="G292" s="326"/>
      <c r="H292" s="327"/>
    </row>
    <row r="293" spans="1:8" x14ac:dyDescent="0.25">
      <c r="A293" s="312"/>
      <c r="B293" s="334"/>
      <c r="C293" s="334"/>
      <c r="D293" s="334"/>
      <c r="E293" s="326"/>
      <c r="F293" s="328"/>
      <c r="G293" s="326"/>
      <c r="H293" s="327"/>
    </row>
    <row r="294" spans="1:8" x14ac:dyDescent="0.25">
      <c r="A294" s="312"/>
      <c r="B294" s="334"/>
      <c r="C294" s="334"/>
      <c r="D294" s="334"/>
      <c r="E294" s="326"/>
      <c r="F294" s="328"/>
      <c r="G294" s="326"/>
      <c r="H294" s="327"/>
    </row>
    <row r="295" spans="1:8" x14ac:dyDescent="0.25">
      <c r="A295" s="312"/>
      <c r="B295" s="334"/>
      <c r="C295" s="334"/>
      <c r="D295" s="334"/>
      <c r="E295" s="326"/>
      <c r="F295" s="328"/>
      <c r="G295" s="326"/>
      <c r="H295" s="327"/>
    </row>
    <row r="296" spans="1:8" x14ac:dyDescent="0.25">
      <c r="A296" s="312"/>
      <c r="B296" s="334"/>
      <c r="C296" s="334"/>
      <c r="D296" s="334"/>
      <c r="E296" s="326"/>
      <c r="F296" s="328"/>
      <c r="G296" s="326"/>
      <c r="H296" s="327"/>
    </row>
    <row r="297" spans="1:8" x14ac:dyDescent="0.25">
      <c r="A297" s="312"/>
      <c r="B297" s="334"/>
      <c r="C297" s="334"/>
      <c r="D297" s="334"/>
      <c r="E297" s="326"/>
      <c r="F297" s="328"/>
      <c r="G297" s="326"/>
      <c r="H297" s="327"/>
    </row>
    <row r="298" spans="1:8" x14ac:dyDescent="0.25">
      <c r="A298" s="312"/>
      <c r="B298" s="334"/>
      <c r="C298" s="334"/>
      <c r="D298" s="334"/>
      <c r="E298" s="326"/>
      <c r="F298" s="328"/>
      <c r="G298" s="326"/>
      <c r="H298" s="327"/>
    </row>
    <row r="299" spans="1:8" x14ac:dyDescent="0.25">
      <c r="A299" s="312"/>
      <c r="B299" s="334"/>
      <c r="C299" s="334"/>
      <c r="D299" s="334"/>
      <c r="E299" s="326"/>
      <c r="F299" s="328"/>
      <c r="G299" s="326"/>
      <c r="H299" s="327"/>
    </row>
    <row r="300" spans="1:8" x14ac:dyDescent="0.25">
      <c r="A300" s="312"/>
      <c r="B300" s="334"/>
      <c r="C300" s="334"/>
      <c r="D300" s="334"/>
      <c r="E300" s="326"/>
      <c r="F300" s="328"/>
      <c r="G300" s="326"/>
      <c r="H300" s="327"/>
    </row>
    <row r="301" spans="1:8" x14ac:dyDescent="0.25">
      <c r="A301" s="312"/>
      <c r="B301" s="334"/>
      <c r="C301" s="334"/>
      <c r="D301" s="334"/>
      <c r="E301" s="326"/>
      <c r="F301" s="328"/>
      <c r="G301" s="326"/>
      <c r="H301" s="327"/>
    </row>
    <row r="302" spans="1:8" x14ac:dyDescent="0.25">
      <c r="A302" s="312"/>
      <c r="B302" s="334"/>
      <c r="C302" s="334"/>
      <c r="D302" s="334"/>
      <c r="E302" s="326"/>
      <c r="F302" s="328"/>
      <c r="G302" s="326"/>
      <c r="H302" s="327"/>
    </row>
    <row r="303" spans="1:8" x14ac:dyDescent="0.25">
      <c r="A303" s="312"/>
      <c r="B303" s="334"/>
      <c r="C303" s="334"/>
      <c r="D303" s="334"/>
      <c r="E303" s="326"/>
      <c r="F303" s="328"/>
      <c r="G303" s="326"/>
      <c r="H303" s="327"/>
    </row>
    <row r="304" spans="1:8" x14ac:dyDescent="0.25">
      <c r="A304" s="312"/>
      <c r="B304" s="334"/>
      <c r="C304" s="334"/>
      <c r="D304" s="334"/>
      <c r="E304" s="326"/>
      <c r="F304" s="328"/>
      <c r="G304" s="326"/>
      <c r="H304" s="327"/>
    </row>
    <row r="305" spans="1:8" x14ac:dyDescent="0.25">
      <c r="A305" s="312"/>
      <c r="B305" s="334"/>
      <c r="C305" s="334"/>
      <c r="D305" s="334"/>
      <c r="E305" s="326"/>
      <c r="F305" s="328"/>
      <c r="G305" s="326"/>
      <c r="H305" s="327"/>
    </row>
    <row r="306" spans="1:8" x14ac:dyDescent="0.25">
      <c r="A306" s="312"/>
      <c r="B306" s="334"/>
      <c r="C306" s="334"/>
      <c r="D306" s="334"/>
      <c r="E306" s="326"/>
      <c r="F306" s="328"/>
      <c r="G306" s="326"/>
      <c r="H306" s="327"/>
    </row>
    <row r="307" spans="1:8" x14ac:dyDescent="0.25">
      <c r="A307" s="312"/>
      <c r="B307" s="334"/>
      <c r="C307" s="334"/>
      <c r="D307" s="334"/>
      <c r="E307" s="326"/>
      <c r="F307" s="328"/>
      <c r="G307" s="326"/>
      <c r="H307" s="327"/>
    </row>
    <row r="308" spans="1:8" x14ac:dyDescent="0.25">
      <c r="A308" s="312"/>
      <c r="B308" s="334"/>
      <c r="C308" s="334"/>
      <c r="D308" s="334"/>
      <c r="E308" s="326"/>
      <c r="F308" s="328"/>
      <c r="G308" s="326"/>
      <c r="H308" s="327"/>
    </row>
    <row r="309" spans="1:8" x14ac:dyDescent="0.25">
      <c r="A309" s="312"/>
      <c r="B309" s="334"/>
      <c r="C309" s="334"/>
      <c r="D309" s="334"/>
      <c r="E309" s="326"/>
      <c r="F309" s="328"/>
      <c r="G309" s="326"/>
      <c r="H309" s="327"/>
    </row>
    <row r="310" spans="1:8" x14ac:dyDescent="0.25">
      <c r="A310" s="312"/>
      <c r="B310" s="334"/>
      <c r="C310" s="334"/>
      <c r="D310" s="334"/>
      <c r="E310" s="326"/>
      <c r="F310" s="328"/>
      <c r="G310" s="326"/>
      <c r="H310" s="327"/>
    </row>
    <row r="311" spans="1:8" x14ac:dyDescent="0.25">
      <c r="A311" s="312"/>
      <c r="B311" s="334"/>
      <c r="C311" s="334"/>
      <c r="D311" s="334"/>
      <c r="E311" s="326"/>
      <c r="F311" s="328"/>
      <c r="G311" s="326"/>
      <c r="H311" s="327"/>
    </row>
    <row r="312" spans="1:8" x14ac:dyDescent="0.25">
      <c r="A312" s="312"/>
      <c r="B312" s="334"/>
      <c r="C312" s="334"/>
      <c r="D312" s="334"/>
      <c r="E312" s="326"/>
      <c r="F312" s="328"/>
      <c r="G312" s="326"/>
      <c r="H312" s="327"/>
    </row>
    <row r="313" spans="1:8" x14ac:dyDescent="0.25">
      <c r="A313" s="312"/>
      <c r="B313" s="334"/>
      <c r="C313" s="334"/>
      <c r="D313" s="334"/>
      <c r="E313" s="326"/>
      <c r="F313" s="328"/>
      <c r="G313" s="326"/>
      <c r="H313" s="327"/>
    </row>
    <row r="314" spans="1:8" x14ac:dyDescent="0.25">
      <c r="A314" s="312"/>
      <c r="B314" s="334"/>
      <c r="C314" s="334"/>
      <c r="D314" s="334"/>
      <c r="E314" s="326"/>
      <c r="F314" s="328"/>
      <c r="G314" s="326"/>
      <c r="H314" s="327"/>
    </row>
    <row r="315" spans="1:8" x14ac:dyDescent="0.25">
      <c r="A315" s="312"/>
      <c r="B315" s="334"/>
      <c r="C315" s="334"/>
      <c r="D315" s="334"/>
      <c r="E315" s="326"/>
      <c r="F315" s="328"/>
      <c r="G315" s="326"/>
      <c r="H315" s="327"/>
    </row>
    <row r="316" spans="1:8" x14ac:dyDescent="0.25">
      <c r="A316" s="312"/>
      <c r="B316" s="334"/>
      <c r="C316" s="334"/>
      <c r="D316" s="334"/>
      <c r="E316" s="326"/>
      <c r="F316" s="328"/>
      <c r="G316" s="326"/>
      <c r="H316" s="327"/>
    </row>
    <row r="317" spans="1:8" x14ac:dyDescent="0.25">
      <c r="A317" s="312"/>
      <c r="B317" s="334"/>
      <c r="C317" s="334"/>
      <c r="D317" s="334"/>
      <c r="E317" s="326"/>
      <c r="F317" s="328"/>
      <c r="G317" s="326"/>
      <c r="H317" s="327"/>
    </row>
    <row r="318" spans="1:8" x14ac:dyDescent="0.25">
      <c r="A318" s="312"/>
      <c r="B318" s="334"/>
      <c r="C318" s="334"/>
      <c r="D318" s="334"/>
      <c r="E318" s="326"/>
      <c r="F318" s="328"/>
      <c r="G318" s="326"/>
      <c r="H318" s="327"/>
    </row>
    <row r="319" spans="1:8" x14ac:dyDescent="0.25">
      <c r="A319" s="312"/>
      <c r="B319" s="334"/>
      <c r="C319" s="334"/>
      <c r="D319" s="334"/>
      <c r="E319" s="326"/>
      <c r="F319" s="328"/>
      <c r="G319" s="326"/>
      <c r="H319" s="327"/>
    </row>
    <row r="320" spans="1:8" x14ac:dyDescent="0.25">
      <c r="A320" s="312"/>
      <c r="B320" s="334"/>
      <c r="C320" s="334"/>
      <c r="D320" s="334"/>
      <c r="E320" s="326"/>
      <c r="F320" s="328"/>
      <c r="G320" s="326"/>
      <c r="H320" s="327"/>
    </row>
    <row r="321" spans="1:8" x14ac:dyDescent="0.25">
      <c r="A321" s="312"/>
      <c r="B321" s="334"/>
      <c r="C321" s="334"/>
      <c r="D321" s="334"/>
      <c r="E321" s="326"/>
      <c r="F321" s="328"/>
      <c r="G321" s="326"/>
      <c r="H321" s="327"/>
    </row>
    <row r="322" spans="1:8" x14ac:dyDescent="0.25">
      <c r="A322" s="312"/>
      <c r="B322" s="334"/>
      <c r="C322" s="334"/>
      <c r="D322" s="334"/>
      <c r="E322" s="326"/>
      <c r="F322" s="328"/>
      <c r="G322" s="326"/>
      <c r="H322" s="327"/>
    </row>
    <row r="323" spans="1:8" x14ac:dyDescent="0.25">
      <c r="A323" s="312"/>
      <c r="B323" s="334"/>
      <c r="C323" s="334"/>
      <c r="D323" s="334"/>
      <c r="E323" s="326"/>
      <c r="F323" s="328"/>
      <c r="G323" s="326"/>
      <c r="H323" s="327"/>
    </row>
    <row r="324" spans="1:8" x14ac:dyDescent="0.25">
      <c r="A324" s="312"/>
      <c r="B324" s="334"/>
      <c r="C324" s="334"/>
      <c r="D324" s="334"/>
      <c r="E324" s="326"/>
      <c r="F324" s="328"/>
      <c r="G324" s="326"/>
      <c r="H324" s="327"/>
    </row>
    <row r="325" spans="1:8" x14ac:dyDescent="0.25">
      <c r="A325" s="312"/>
      <c r="B325" s="334"/>
      <c r="C325" s="334"/>
      <c r="D325" s="334"/>
      <c r="E325" s="326"/>
      <c r="F325" s="328"/>
      <c r="G325" s="326"/>
      <c r="H325" s="327"/>
    </row>
    <row r="326" spans="1:8" x14ac:dyDescent="0.25">
      <c r="A326" s="312"/>
      <c r="B326" s="334"/>
      <c r="C326" s="334"/>
      <c r="D326" s="334"/>
      <c r="E326" s="326"/>
      <c r="F326" s="328"/>
      <c r="G326" s="326"/>
      <c r="H326" s="327"/>
    </row>
    <row r="327" spans="1:8" x14ac:dyDescent="0.25">
      <c r="A327" s="312"/>
      <c r="B327" s="334"/>
      <c r="C327" s="334"/>
      <c r="D327" s="334"/>
      <c r="E327" s="326"/>
      <c r="F327" s="328"/>
      <c r="G327" s="326"/>
      <c r="H327" s="327"/>
    </row>
    <row r="328" spans="1:8" x14ac:dyDescent="0.25">
      <c r="A328" s="312"/>
      <c r="B328" s="334"/>
      <c r="C328" s="334"/>
      <c r="D328" s="334"/>
      <c r="E328" s="326"/>
      <c r="F328" s="328"/>
      <c r="G328" s="326"/>
      <c r="H328" s="327"/>
    </row>
    <row r="329" spans="1:8" x14ac:dyDescent="0.25">
      <c r="A329" s="312"/>
      <c r="B329" s="334"/>
      <c r="C329" s="334"/>
      <c r="D329" s="334"/>
      <c r="E329" s="326"/>
      <c r="F329" s="328"/>
      <c r="G329" s="326"/>
      <c r="H329" s="327"/>
    </row>
    <row r="330" spans="1:8" x14ac:dyDescent="0.25">
      <c r="A330" s="312"/>
      <c r="B330" s="334"/>
      <c r="C330" s="334"/>
      <c r="D330" s="334"/>
      <c r="E330" s="326"/>
      <c r="F330" s="328"/>
      <c r="G330" s="326"/>
      <c r="H330" s="327"/>
    </row>
    <row r="331" spans="1:8" x14ac:dyDescent="0.25">
      <c r="A331" s="312"/>
      <c r="B331" s="334"/>
      <c r="C331" s="334"/>
      <c r="D331" s="334"/>
      <c r="E331" s="326"/>
      <c r="F331" s="328"/>
      <c r="G331" s="326"/>
      <c r="H331" s="327"/>
    </row>
    <row r="332" spans="1:8" x14ac:dyDescent="0.25">
      <c r="A332" s="312"/>
      <c r="B332" s="334"/>
      <c r="C332" s="334"/>
      <c r="D332" s="334"/>
      <c r="E332" s="326"/>
      <c r="F332" s="328"/>
      <c r="G332" s="326"/>
      <c r="H332" s="327"/>
    </row>
    <row r="333" spans="1:8" x14ac:dyDescent="0.25">
      <c r="A333" s="312"/>
      <c r="B333" s="334"/>
      <c r="C333" s="334"/>
      <c r="D333" s="334"/>
      <c r="E333" s="326"/>
      <c r="F333" s="328"/>
      <c r="G333" s="326"/>
      <c r="H333" s="327"/>
    </row>
    <row r="334" spans="1:8" x14ac:dyDescent="0.25">
      <c r="A334" s="312"/>
      <c r="B334" s="334"/>
      <c r="C334" s="334"/>
      <c r="D334" s="334"/>
      <c r="E334" s="326"/>
      <c r="F334" s="328"/>
      <c r="G334" s="326"/>
      <c r="H334" s="327"/>
    </row>
    <row r="335" spans="1:8" x14ac:dyDescent="0.25">
      <c r="A335" s="312"/>
      <c r="B335" s="334"/>
      <c r="C335" s="334"/>
      <c r="D335" s="334"/>
      <c r="E335" s="326"/>
      <c r="F335" s="328"/>
      <c r="G335" s="326"/>
      <c r="H335" s="327"/>
    </row>
    <row r="336" spans="1:8" x14ac:dyDescent="0.25">
      <c r="A336" s="312"/>
      <c r="B336" s="334"/>
      <c r="C336" s="334"/>
      <c r="D336" s="334"/>
      <c r="E336" s="326"/>
      <c r="F336" s="328"/>
      <c r="G336" s="326"/>
      <c r="H336" s="327"/>
    </row>
    <row r="337" spans="1:8" x14ac:dyDescent="0.25">
      <c r="A337" s="312"/>
      <c r="B337" s="334"/>
      <c r="C337" s="334"/>
      <c r="D337" s="334"/>
      <c r="E337" s="326"/>
      <c r="F337" s="328"/>
      <c r="G337" s="326"/>
      <c r="H337" s="327"/>
    </row>
    <row r="338" spans="1:8" x14ac:dyDescent="0.25">
      <c r="A338" s="312"/>
      <c r="B338" s="334"/>
      <c r="C338" s="334"/>
      <c r="D338" s="334"/>
      <c r="E338" s="326"/>
      <c r="F338" s="328"/>
      <c r="G338" s="326"/>
      <c r="H338" s="327"/>
    </row>
    <row r="339" spans="1:8" x14ac:dyDescent="0.25">
      <c r="A339" s="312"/>
      <c r="B339" s="334"/>
      <c r="C339" s="334"/>
      <c r="D339" s="334"/>
      <c r="E339" s="326"/>
      <c r="F339" s="328"/>
      <c r="G339" s="326"/>
      <c r="H339" s="327"/>
    </row>
  </sheetData>
  <conditionalFormatting sqref="I12">
    <cfRule type="cellIs" dxfId="52" priority="1" operator="equal">
      <formula>"N/A"</formula>
    </cfRule>
  </conditionalFormatting>
  <pageMargins left="0.7" right="0.7" top="0.75" bottom="0.75" header="0.3" footer="0.3"/>
  <pageSetup paperSize="9" scale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Ozaeta">
                <anchor moveWithCells="1" siz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14</xdr:col>
                    <xdr:colOff>466725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A1:G148"/>
  <sheetViews>
    <sheetView zoomScale="70" zoomScaleNormal="70" workbookViewId="0">
      <selection activeCell="A2" sqref="A2:G69"/>
    </sheetView>
  </sheetViews>
  <sheetFormatPr baseColWidth="10" defaultRowHeight="15" x14ac:dyDescent="0.25"/>
  <cols>
    <col min="1" max="1" width="25.42578125" bestFit="1" customWidth="1"/>
    <col min="2" max="2" width="7.85546875" bestFit="1" customWidth="1"/>
    <col min="3" max="3" width="7.42578125" bestFit="1" customWidth="1"/>
    <col min="4" max="4" width="13.5703125" style="226" bestFit="1" customWidth="1"/>
    <col min="5" max="5" width="20.140625" bestFit="1" customWidth="1"/>
    <col min="6" max="6" width="50" bestFit="1" customWidth="1"/>
    <col min="7" max="7" width="46.7109375" bestFit="1" customWidth="1"/>
    <col min="8" max="8" width="20.140625" bestFit="1" customWidth="1"/>
    <col min="9" max="17" width="20.5703125" bestFit="1" customWidth="1"/>
    <col min="18" max="18" width="20.140625" bestFit="1" customWidth="1"/>
    <col min="19" max="19" width="19.7109375" bestFit="1" customWidth="1"/>
    <col min="20" max="20" width="20.140625" bestFit="1" customWidth="1"/>
  </cols>
  <sheetData>
    <row r="1" spans="1:7" x14ac:dyDescent="0.25">
      <c r="A1" s="2" t="s">
        <v>18</v>
      </c>
      <c r="B1" s="2" t="s">
        <v>0</v>
      </c>
      <c r="C1" s="2" t="s">
        <v>671</v>
      </c>
      <c r="D1" s="229" t="s">
        <v>1527</v>
      </c>
      <c r="E1" s="229" t="s">
        <v>1528</v>
      </c>
      <c r="F1" s="2" t="s">
        <v>1</v>
      </c>
      <c r="G1" s="2" t="s">
        <v>2</v>
      </c>
    </row>
    <row r="2" spans="1:7" x14ac:dyDescent="0.25">
      <c r="A2" s="1">
        <v>83061189</v>
      </c>
      <c r="B2" s="1" t="s">
        <v>484</v>
      </c>
      <c r="C2" s="1">
        <v>39539</v>
      </c>
      <c r="D2" s="1">
        <v>2833229</v>
      </c>
      <c r="E2" s="1"/>
      <c r="F2" s="1" t="s">
        <v>145</v>
      </c>
      <c r="G2" s="1" t="s">
        <v>982</v>
      </c>
    </row>
    <row r="3" spans="1:7" x14ac:dyDescent="0.25">
      <c r="A3" s="1">
        <v>94811334</v>
      </c>
      <c r="B3" s="1" t="s">
        <v>484</v>
      </c>
      <c r="C3" s="1">
        <v>39483</v>
      </c>
      <c r="D3" s="1">
        <v>3783766</v>
      </c>
      <c r="E3" s="1"/>
      <c r="F3" s="1" t="s">
        <v>490</v>
      </c>
      <c r="G3" s="1" t="s">
        <v>488</v>
      </c>
    </row>
    <row r="4" spans="1:7" x14ac:dyDescent="0.25">
      <c r="A4" s="1">
        <v>94811340</v>
      </c>
      <c r="B4" s="1" t="s">
        <v>484</v>
      </c>
      <c r="C4" s="1">
        <v>39947</v>
      </c>
      <c r="D4" s="1">
        <v>6379501</v>
      </c>
      <c r="E4" s="1"/>
      <c r="F4" s="1" t="s">
        <v>487</v>
      </c>
      <c r="G4" s="1" t="s">
        <v>488</v>
      </c>
    </row>
    <row r="5" spans="1:7" x14ac:dyDescent="0.25">
      <c r="A5" s="1">
        <v>94811345</v>
      </c>
      <c r="B5" s="1" t="s">
        <v>484</v>
      </c>
      <c r="C5" s="1">
        <v>39975</v>
      </c>
      <c r="D5" s="1">
        <v>4281913</v>
      </c>
      <c r="E5" s="1"/>
      <c r="F5" s="1" t="s">
        <v>495</v>
      </c>
      <c r="G5" s="1" t="s">
        <v>496</v>
      </c>
    </row>
    <row r="6" spans="1:7" x14ac:dyDescent="0.25">
      <c r="A6" s="1">
        <v>94823397</v>
      </c>
      <c r="B6" s="1" t="s">
        <v>484</v>
      </c>
      <c r="C6" s="1">
        <v>39929</v>
      </c>
      <c r="D6" s="1">
        <v>2330576</v>
      </c>
      <c r="E6" s="1"/>
      <c r="F6" s="1" t="s">
        <v>1688</v>
      </c>
      <c r="G6" s="1" t="s">
        <v>486</v>
      </c>
    </row>
    <row r="7" spans="1:7" x14ac:dyDescent="0.25">
      <c r="A7" s="1" t="s">
        <v>1040</v>
      </c>
      <c r="B7" s="1" t="s">
        <v>484</v>
      </c>
      <c r="C7" s="1">
        <v>39501</v>
      </c>
      <c r="D7" s="1">
        <v>3354009</v>
      </c>
      <c r="E7" s="1"/>
      <c r="F7" s="1" t="s">
        <v>499</v>
      </c>
      <c r="G7" s="1" t="s">
        <v>500</v>
      </c>
    </row>
    <row r="8" spans="1:7" x14ac:dyDescent="0.25">
      <c r="A8" s="1">
        <v>5355250</v>
      </c>
      <c r="B8" s="1" t="s">
        <v>502</v>
      </c>
      <c r="C8" s="1">
        <v>2</v>
      </c>
      <c r="D8" s="1">
        <v>15900</v>
      </c>
      <c r="E8" s="1"/>
      <c r="F8" s="1" t="s">
        <v>503</v>
      </c>
      <c r="G8" s="1"/>
    </row>
    <row r="9" spans="1:7" x14ac:dyDescent="0.25">
      <c r="A9" s="1">
        <v>61560</v>
      </c>
      <c r="B9" s="1" t="s">
        <v>508</v>
      </c>
      <c r="C9" s="1">
        <v>39945</v>
      </c>
      <c r="D9" s="1">
        <v>1135</v>
      </c>
      <c r="E9" s="1"/>
      <c r="F9" s="1" t="s">
        <v>517</v>
      </c>
      <c r="G9" s="1" t="s">
        <v>518</v>
      </c>
    </row>
    <row r="10" spans="1:7" x14ac:dyDescent="0.25">
      <c r="A10" s="1">
        <v>57868732</v>
      </c>
      <c r="B10" s="1" t="s">
        <v>508</v>
      </c>
      <c r="C10" s="1">
        <v>39939</v>
      </c>
      <c r="D10" s="1">
        <v>14735</v>
      </c>
      <c r="E10" s="1"/>
      <c r="F10" s="1" t="s">
        <v>515</v>
      </c>
      <c r="G10" s="1" t="s">
        <v>516</v>
      </c>
    </row>
    <row r="11" spans="1:7" x14ac:dyDescent="0.25">
      <c r="A11" s="1">
        <v>78126109</v>
      </c>
      <c r="B11" s="1" t="s">
        <v>508</v>
      </c>
      <c r="C11" s="1">
        <v>39582</v>
      </c>
      <c r="D11" s="1">
        <v>454909</v>
      </c>
      <c r="E11" s="1"/>
      <c r="F11" s="1" t="s">
        <v>1082</v>
      </c>
      <c r="G11" s="1" t="s">
        <v>527</v>
      </c>
    </row>
    <row r="12" spans="1:7" x14ac:dyDescent="0.25">
      <c r="A12" s="1">
        <v>99561366</v>
      </c>
      <c r="B12" s="1" t="s">
        <v>508</v>
      </c>
      <c r="C12" s="1">
        <v>39960</v>
      </c>
      <c r="D12" s="1">
        <v>61682</v>
      </c>
      <c r="E12" s="1"/>
      <c r="F12" s="1" t="s">
        <v>1688</v>
      </c>
      <c r="G12" s="1" t="s">
        <v>1603</v>
      </c>
    </row>
    <row r="13" spans="1:7" x14ac:dyDescent="0.25">
      <c r="A13" s="1">
        <v>99561370</v>
      </c>
      <c r="B13" s="1" t="s">
        <v>508</v>
      </c>
      <c r="C13" s="1">
        <v>39376</v>
      </c>
      <c r="D13" s="1">
        <v>218217</v>
      </c>
      <c r="E13" s="1"/>
      <c r="F13" s="1" t="s">
        <v>1082</v>
      </c>
      <c r="G13" s="1"/>
    </row>
    <row r="14" spans="1:7" x14ac:dyDescent="0.25">
      <c r="A14" s="1">
        <v>106230738</v>
      </c>
      <c r="B14" s="1" t="s">
        <v>508</v>
      </c>
      <c r="C14" s="1">
        <v>39354</v>
      </c>
      <c r="D14" s="1">
        <v>84244</v>
      </c>
      <c r="E14" s="1"/>
      <c r="F14" s="1" t="s">
        <v>509</v>
      </c>
      <c r="G14" s="1" t="s">
        <v>510</v>
      </c>
    </row>
    <row r="15" spans="1:7" x14ac:dyDescent="0.25">
      <c r="A15" s="1" t="s">
        <v>1447</v>
      </c>
      <c r="B15" s="1" t="s">
        <v>508</v>
      </c>
      <c r="C15" s="1">
        <v>2</v>
      </c>
      <c r="D15" s="1">
        <v>4421</v>
      </c>
      <c r="E15" s="1"/>
      <c r="F15" s="1" t="s">
        <v>523</v>
      </c>
      <c r="G15" s="1"/>
    </row>
    <row r="16" spans="1:7" x14ac:dyDescent="0.25">
      <c r="A16" s="1" t="s">
        <v>1559</v>
      </c>
      <c r="B16" s="1" t="s">
        <v>508</v>
      </c>
      <c r="C16" s="1">
        <v>2</v>
      </c>
      <c r="D16" s="1">
        <v>322057</v>
      </c>
      <c r="E16" s="1"/>
      <c r="F16" s="1" t="s">
        <v>1558</v>
      </c>
      <c r="G16" s="1" t="s">
        <v>1558</v>
      </c>
    </row>
    <row r="17" spans="1:7" x14ac:dyDescent="0.25">
      <c r="A17" s="1" t="s">
        <v>380</v>
      </c>
      <c r="B17" s="1" t="s">
        <v>508</v>
      </c>
      <c r="C17" s="1">
        <v>39901</v>
      </c>
      <c r="D17" s="1">
        <v>1165537</v>
      </c>
      <c r="E17" s="1"/>
      <c r="F17" s="1" t="s">
        <v>511</v>
      </c>
      <c r="G17" s="1" t="s">
        <v>512</v>
      </c>
    </row>
    <row r="18" spans="1:7" x14ac:dyDescent="0.25">
      <c r="A18" s="1" t="s">
        <v>1028</v>
      </c>
      <c r="B18" s="1" t="s">
        <v>508</v>
      </c>
      <c r="C18" s="1">
        <v>2</v>
      </c>
      <c r="D18" s="1">
        <v>5210</v>
      </c>
      <c r="E18" s="1"/>
      <c r="F18" s="1" t="s">
        <v>524</v>
      </c>
      <c r="G18" s="1" t="s">
        <v>525</v>
      </c>
    </row>
    <row r="19" spans="1:7" x14ac:dyDescent="0.25">
      <c r="A19" s="1" t="s">
        <v>1056</v>
      </c>
      <c r="B19" s="1" t="s">
        <v>508</v>
      </c>
      <c r="C19" s="1">
        <v>2</v>
      </c>
      <c r="D19" s="1">
        <v>52191</v>
      </c>
      <c r="E19" s="1"/>
      <c r="F19" s="1" t="s">
        <v>1057</v>
      </c>
      <c r="G19" s="1"/>
    </row>
    <row r="20" spans="1:7" x14ac:dyDescent="0.25">
      <c r="A20" s="1">
        <v>5669713</v>
      </c>
      <c r="B20" s="1" t="s">
        <v>526</v>
      </c>
      <c r="C20" s="1">
        <v>2</v>
      </c>
      <c r="D20" s="1">
        <v>22630</v>
      </c>
      <c r="E20" s="1"/>
      <c r="F20" s="1" t="s">
        <v>534</v>
      </c>
      <c r="G20" s="1" t="s">
        <v>123</v>
      </c>
    </row>
    <row r="21" spans="1:7" x14ac:dyDescent="0.25">
      <c r="A21" s="1">
        <v>20583312</v>
      </c>
      <c r="B21" s="1" t="s">
        <v>526</v>
      </c>
      <c r="C21" s="1">
        <v>39978</v>
      </c>
      <c r="D21" s="1">
        <v>6524</v>
      </c>
      <c r="E21" s="1"/>
      <c r="F21" s="1" t="s">
        <v>530</v>
      </c>
      <c r="G21" s="1" t="s">
        <v>123</v>
      </c>
    </row>
    <row r="22" spans="1:7" x14ac:dyDescent="0.25">
      <c r="A22" s="1">
        <v>20583455</v>
      </c>
      <c r="B22" s="1" t="s">
        <v>526</v>
      </c>
      <c r="C22" s="1">
        <v>2</v>
      </c>
      <c r="D22" s="1">
        <v>204519</v>
      </c>
      <c r="E22" s="1"/>
      <c r="F22" s="1" t="s">
        <v>533</v>
      </c>
      <c r="G22" s="1" t="s">
        <v>47</v>
      </c>
    </row>
    <row r="23" spans="1:7" x14ac:dyDescent="0.25">
      <c r="A23" s="1">
        <v>63000131</v>
      </c>
      <c r="B23" s="1" t="s">
        <v>526</v>
      </c>
      <c r="C23" s="1">
        <v>39405</v>
      </c>
      <c r="D23" s="1">
        <v>398315</v>
      </c>
      <c r="E23" s="1"/>
      <c r="F23" s="1" t="s">
        <v>352</v>
      </c>
      <c r="G23" s="1" t="s">
        <v>123</v>
      </c>
    </row>
    <row r="24" spans="1:7" x14ac:dyDescent="0.25">
      <c r="A24" s="1">
        <v>83363214</v>
      </c>
      <c r="B24" s="1" t="s">
        <v>526</v>
      </c>
      <c r="C24" s="1">
        <v>39415</v>
      </c>
      <c r="D24" s="1">
        <v>108938</v>
      </c>
      <c r="E24" s="1"/>
      <c r="F24" s="1" t="s">
        <v>1425</v>
      </c>
      <c r="G24" s="1" t="s">
        <v>123</v>
      </c>
    </row>
    <row r="25" spans="1:7" x14ac:dyDescent="0.25">
      <c r="A25" s="1" t="s">
        <v>382</v>
      </c>
      <c r="B25" s="1" t="s">
        <v>526</v>
      </c>
      <c r="C25" s="1">
        <v>39936</v>
      </c>
      <c r="D25" s="1">
        <v>19913</v>
      </c>
      <c r="E25" s="1"/>
      <c r="F25" s="1" t="s">
        <v>530</v>
      </c>
      <c r="G25" s="1" t="s">
        <v>123</v>
      </c>
    </row>
    <row r="26" spans="1:7" x14ac:dyDescent="0.25">
      <c r="A26" s="1" t="s">
        <v>381</v>
      </c>
      <c r="B26" s="1" t="s">
        <v>526</v>
      </c>
      <c r="C26" s="1">
        <v>39342</v>
      </c>
      <c r="D26" s="1">
        <v>79282</v>
      </c>
      <c r="E26" s="1"/>
      <c r="F26" s="1" t="s">
        <v>1364</v>
      </c>
      <c r="G26" s="1" t="s">
        <v>123</v>
      </c>
    </row>
    <row r="27" spans="1:7" x14ac:dyDescent="0.25">
      <c r="A27" s="1"/>
      <c r="B27" s="1" t="s">
        <v>526</v>
      </c>
      <c r="C27" s="1">
        <v>2</v>
      </c>
      <c r="D27" s="1">
        <v>0</v>
      </c>
      <c r="E27" s="1"/>
      <c r="F27" s="1" t="s">
        <v>794</v>
      </c>
      <c r="G27" s="1" t="s">
        <v>527</v>
      </c>
    </row>
    <row r="28" spans="1:7" x14ac:dyDescent="0.25">
      <c r="A28" s="1">
        <v>11313825</v>
      </c>
      <c r="B28" s="1" t="s">
        <v>535</v>
      </c>
      <c r="C28" s="1">
        <v>2</v>
      </c>
      <c r="D28" s="1">
        <v>100301</v>
      </c>
      <c r="E28" s="1"/>
      <c r="F28" s="1" t="s">
        <v>541</v>
      </c>
      <c r="G28" s="1"/>
    </row>
    <row r="29" spans="1:7" x14ac:dyDescent="0.25">
      <c r="A29" s="1">
        <v>11700447</v>
      </c>
      <c r="B29" s="1" t="s">
        <v>535</v>
      </c>
      <c r="C29" s="1">
        <v>39953</v>
      </c>
      <c r="D29" s="1">
        <v>407352</v>
      </c>
      <c r="E29" s="1"/>
      <c r="F29" s="1" t="s">
        <v>536</v>
      </c>
      <c r="G29" s="1" t="s">
        <v>537</v>
      </c>
    </row>
    <row r="30" spans="1:7" x14ac:dyDescent="0.25">
      <c r="A30" s="1">
        <v>53035468</v>
      </c>
      <c r="B30" s="1" t="s">
        <v>535</v>
      </c>
      <c r="C30" s="1">
        <v>2</v>
      </c>
      <c r="D30" s="1">
        <v>734996</v>
      </c>
      <c r="E30" s="1"/>
      <c r="F30" s="1" t="s">
        <v>542</v>
      </c>
      <c r="G30" s="1"/>
    </row>
    <row r="31" spans="1:7" x14ac:dyDescent="0.25">
      <c r="A31" s="1" t="s">
        <v>1241</v>
      </c>
      <c r="B31" s="1" t="s">
        <v>535</v>
      </c>
      <c r="C31" s="1">
        <v>39819</v>
      </c>
      <c r="D31" s="1">
        <v>1840</v>
      </c>
      <c r="E31" s="1"/>
      <c r="F31" s="1" t="s">
        <v>1243</v>
      </c>
      <c r="G31" s="1" t="s">
        <v>1244</v>
      </c>
    </row>
    <row r="32" spans="1:7" x14ac:dyDescent="0.25">
      <c r="A32" s="1"/>
      <c r="B32" s="1" t="s">
        <v>535</v>
      </c>
      <c r="C32" s="1">
        <v>2</v>
      </c>
      <c r="D32" s="1">
        <v>0</v>
      </c>
      <c r="E32" s="1"/>
      <c r="F32" s="1" t="s">
        <v>540</v>
      </c>
      <c r="G32" s="1"/>
    </row>
    <row r="33" spans="1:7" x14ac:dyDescent="0.25">
      <c r="A33" s="1">
        <v>18506030</v>
      </c>
      <c r="B33" s="1" t="s">
        <v>544</v>
      </c>
      <c r="C33" s="1">
        <v>39435</v>
      </c>
      <c r="D33" s="1">
        <v>3792</v>
      </c>
      <c r="E33" s="1"/>
      <c r="F33" s="1" t="s">
        <v>545</v>
      </c>
      <c r="G33" s="1" t="s">
        <v>1034</v>
      </c>
    </row>
    <row r="34" spans="1:7" x14ac:dyDescent="0.25">
      <c r="A34" s="1" t="s">
        <v>1033</v>
      </c>
      <c r="B34" s="1" t="s">
        <v>544</v>
      </c>
      <c r="C34" s="1">
        <v>2</v>
      </c>
      <c r="D34" s="1">
        <v>25713</v>
      </c>
      <c r="E34" s="1"/>
      <c r="F34" s="1" t="s">
        <v>546</v>
      </c>
      <c r="G34" s="1" t="s">
        <v>47</v>
      </c>
    </row>
    <row r="35" spans="1:7" x14ac:dyDescent="0.25">
      <c r="A35" s="1" t="s">
        <v>1053</v>
      </c>
      <c r="B35" s="1" t="s">
        <v>544</v>
      </c>
      <c r="C35" s="1">
        <v>2</v>
      </c>
      <c r="D35" s="1">
        <v>0</v>
      </c>
      <c r="E35" s="1"/>
      <c r="F35" s="1" t="s">
        <v>1048</v>
      </c>
      <c r="G35" s="1" t="s">
        <v>47</v>
      </c>
    </row>
    <row r="36" spans="1:7" x14ac:dyDescent="0.25">
      <c r="A36" s="1" t="s">
        <v>1054</v>
      </c>
      <c r="B36" s="1" t="s">
        <v>544</v>
      </c>
      <c r="C36" s="1">
        <v>2</v>
      </c>
      <c r="D36" s="1">
        <v>0</v>
      </c>
      <c r="E36" s="1"/>
      <c r="F36" s="1" t="s">
        <v>1055</v>
      </c>
      <c r="G36" s="1" t="s">
        <v>47</v>
      </c>
    </row>
    <row r="37" spans="1:7" x14ac:dyDescent="0.25">
      <c r="A37" s="1">
        <v>5356221</v>
      </c>
      <c r="B37" s="1" t="s">
        <v>547</v>
      </c>
      <c r="C37" s="1">
        <v>2</v>
      </c>
      <c r="D37" s="1">
        <v>20078</v>
      </c>
      <c r="E37" s="1"/>
      <c r="F37" s="1" t="s">
        <v>988</v>
      </c>
      <c r="G37" s="1" t="s">
        <v>548</v>
      </c>
    </row>
    <row r="38" spans="1:7" x14ac:dyDescent="0.25">
      <c r="A38" s="1">
        <v>5356224</v>
      </c>
      <c r="B38" s="1" t="s">
        <v>547</v>
      </c>
      <c r="C38" s="1">
        <v>2</v>
      </c>
      <c r="D38" s="1">
        <v>7459</v>
      </c>
      <c r="E38" s="1"/>
      <c r="F38" s="1" t="s">
        <v>549</v>
      </c>
      <c r="G38" s="1" t="s">
        <v>47</v>
      </c>
    </row>
    <row r="39" spans="1:7" x14ac:dyDescent="0.25">
      <c r="A39" s="1" t="s">
        <v>1555</v>
      </c>
      <c r="B39" s="1" t="s">
        <v>547</v>
      </c>
      <c r="C39" s="1">
        <v>39418</v>
      </c>
      <c r="D39" s="1">
        <v>27776</v>
      </c>
      <c r="E39" s="1"/>
      <c r="F39" s="1" t="s">
        <v>145</v>
      </c>
      <c r="G39" s="1" t="s">
        <v>1173</v>
      </c>
    </row>
    <row r="40" spans="1:7" x14ac:dyDescent="0.25">
      <c r="A40" s="1" t="s">
        <v>1554</v>
      </c>
      <c r="B40" s="1" t="s">
        <v>547</v>
      </c>
      <c r="C40" s="1">
        <v>39337</v>
      </c>
      <c r="D40" s="1">
        <v>29382</v>
      </c>
      <c r="E40" s="1"/>
      <c r="F40" s="1" t="s">
        <v>145</v>
      </c>
      <c r="G40" s="1" t="s">
        <v>1172</v>
      </c>
    </row>
    <row r="41" spans="1:7" x14ac:dyDescent="0.25">
      <c r="A41" s="1">
        <v>29218</v>
      </c>
      <c r="B41" s="1" t="s">
        <v>550</v>
      </c>
      <c r="C41" s="1">
        <v>39921</v>
      </c>
      <c r="D41" s="1">
        <v>269156</v>
      </c>
      <c r="E41" s="1"/>
      <c r="F41" s="1" t="s">
        <v>551</v>
      </c>
      <c r="G41" s="1" t="s">
        <v>552</v>
      </c>
    </row>
    <row r="42" spans="1:7" x14ac:dyDescent="0.25">
      <c r="A42" s="1">
        <v>5355254</v>
      </c>
      <c r="B42" s="1" t="s">
        <v>550</v>
      </c>
      <c r="C42" s="1">
        <v>2</v>
      </c>
      <c r="D42" s="1">
        <v>24448</v>
      </c>
      <c r="E42" s="1"/>
      <c r="F42" s="1" t="s">
        <v>553</v>
      </c>
      <c r="G42" s="1" t="s">
        <v>47</v>
      </c>
    </row>
    <row r="43" spans="1:7" x14ac:dyDescent="0.25">
      <c r="A43" s="1">
        <v>5355253</v>
      </c>
      <c r="B43" s="1" t="s">
        <v>554</v>
      </c>
      <c r="C43" s="1">
        <v>2</v>
      </c>
      <c r="D43" s="1">
        <v>16357</v>
      </c>
      <c r="E43" s="1"/>
      <c r="F43" s="1" t="s">
        <v>555</v>
      </c>
      <c r="G43" s="1" t="s">
        <v>1035</v>
      </c>
    </row>
    <row r="44" spans="1:7" x14ac:dyDescent="0.25">
      <c r="A44" s="1">
        <v>5355248</v>
      </c>
      <c r="B44" s="1" t="s">
        <v>556</v>
      </c>
      <c r="C44" s="1">
        <v>2</v>
      </c>
      <c r="D44" s="1">
        <v>17870</v>
      </c>
      <c r="E44" s="1"/>
      <c r="F44" s="1" t="s">
        <v>557</v>
      </c>
      <c r="G44" s="1"/>
    </row>
    <row r="45" spans="1:7" x14ac:dyDescent="0.25">
      <c r="A45" s="1">
        <v>531109</v>
      </c>
      <c r="B45" s="1" t="s">
        <v>558</v>
      </c>
      <c r="C45" s="1">
        <v>2</v>
      </c>
      <c r="D45" s="1">
        <v>14212</v>
      </c>
      <c r="E45" s="1"/>
      <c r="F45" s="1" t="s">
        <v>563</v>
      </c>
      <c r="G45" s="1" t="s">
        <v>123</v>
      </c>
    </row>
    <row r="46" spans="1:7" x14ac:dyDescent="0.25">
      <c r="A46" s="1">
        <v>5356220</v>
      </c>
      <c r="B46" s="1" t="s">
        <v>558</v>
      </c>
      <c r="C46" s="1">
        <v>2</v>
      </c>
      <c r="D46" s="1">
        <v>3771</v>
      </c>
      <c r="E46" s="1"/>
      <c r="F46" s="1" t="s">
        <v>564</v>
      </c>
      <c r="G46" s="1" t="s">
        <v>1036</v>
      </c>
    </row>
    <row r="47" spans="1:7" x14ac:dyDescent="0.25">
      <c r="A47" s="1">
        <v>5356228</v>
      </c>
      <c r="B47" s="1" t="s">
        <v>558</v>
      </c>
      <c r="C47" s="1">
        <v>2</v>
      </c>
      <c r="D47" s="1">
        <v>14810</v>
      </c>
      <c r="E47" s="1"/>
      <c r="F47" s="1" t="s">
        <v>1037</v>
      </c>
      <c r="G47" s="1" t="s">
        <v>123</v>
      </c>
    </row>
    <row r="48" spans="1:7" x14ac:dyDescent="0.25">
      <c r="A48" s="1">
        <v>535661921</v>
      </c>
      <c r="B48" s="1" t="s">
        <v>558</v>
      </c>
      <c r="C48" s="1">
        <v>2</v>
      </c>
      <c r="D48" s="1">
        <v>15787</v>
      </c>
      <c r="E48" s="1"/>
      <c r="F48" s="1" t="s">
        <v>562</v>
      </c>
      <c r="G48" s="1" t="s">
        <v>123</v>
      </c>
    </row>
    <row r="49" spans="1:7" x14ac:dyDescent="0.25">
      <c r="A49" s="1" t="s">
        <v>1557</v>
      </c>
      <c r="B49" s="1" t="s">
        <v>558</v>
      </c>
      <c r="C49" s="1">
        <v>39307</v>
      </c>
      <c r="D49" s="1">
        <v>47409</v>
      </c>
      <c r="E49" s="1"/>
      <c r="F49" s="1" t="s">
        <v>145</v>
      </c>
      <c r="G49" s="1" t="s">
        <v>1170</v>
      </c>
    </row>
    <row r="50" spans="1:7" x14ac:dyDescent="0.25">
      <c r="A50" s="1" t="s">
        <v>1556</v>
      </c>
      <c r="B50" s="1" t="s">
        <v>558</v>
      </c>
      <c r="C50" s="1">
        <v>39306</v>
      </c>
      <c r="D50" s="1">
        <v>43856</v>
      </c>
      <c r="E50" s="1"/>
      <c r="F50" s="1" t="s">
        <v>145</v>
      </c>
      <c r="G50" s="1" t="s">
        <v>1169</v>
      </c>
    </row>
    <row r="51" spans="1:7" x14ac:dyDescent="0.25">
      <c r="A51" s="1" t="s">
        <v>1526</v>
      </c>
      <c r="B51" s="1" t="s">
        <v>558</v>
      </c>
      <c r="C51" s="1">
        <v>39906</v>
      </c>
      <c r="D51" s="1">
        <v>7769</v>
      </c>
      <c r="E51" s="1"/>
      <c r="F51" s="1" t="s">
        <v>1521</v>
      </c>
      <c r="G51" s="1" t="s">
        <v>1522</v>
      </c>
    </row>
    <row r="52" spans="1:7" x14ac:dyDescent="0.25">
      <c r="A52" s="1" t="s">
        <v>1520</v>
      </c>
      <c r="B52" s="1" t="s">
        <v>558</v>
      </c>
      <c r="C52" s="1">
        <v>39933</v>
      </c>
      <c r="D52" s="1">
        <v>11927</v>
      </c>
      <c r="E52" s="1"/>
      <c r="F52" s="1" t="s">
        <v>1521</v>
      </c>
      <c r="G52" s="1" t="s">
        <v>1522</v>
      </c>
    </row>
    <row r="53" spans="1:7" x14ac:dyDescent="0.25">
      <c r="A53" s="1" t="s">
        <v>1524</v>
      </c>
      <c r="B53" s="1" t="s">
        <v>558</v>
      </c>
      <c r="C53" s="1">
        <v>39956</v>
      </c>
      <c r="D53" s="1">
        <v>13369</v>
      </c>
      <c r="E53" s="1"/>
      <c r="F53" s="1" t="s">
        <v>1521</v>
      </c>
      <c r="G53" s="1" t="s">
        <v>1522</v>
      </c>
    </row>
    <row r="54" spans="1:7" x14ac:dyDescent="0.25">
      <c r="A54" s="1" t="s">
        <v>1525</v>
      </c>
      <c r="B54" s="1" t="s">
        <v>558</v>
      </c>
      <c r="C54" s="1">
        <v>39957</v>
      </c>
      <c r="D54" s="1">
        <v>17132</v>
      </c>
      <c r="E54" s="1"/>
      <c r="F54" s="1" t="s">
        <v>1521</v>
      </c>
      <c r="G54" s="1" t="s">
        <v>1522</v>
      </c>
    </row>
    <row r="55" spans="1:7" x14ac:dyDescent="0.25">
      <c r="A55" s="1">
        <v>502004989</v>
      </c>
      <c r="B55" s="1" t="s">
        <v>1561</v>
      </c>
      <c r="C55" s="1">
        <v>2</v>
      </c>
      <c r="D55" s="1">
        <v>111674</v>
      </c>
      <c r="E55" s="1"/>
      <c r="F55" s="1" t="s">
        <v>1562</v>
      </c>
      <c r="G55" s="1" t="s">
        <v>1563</v>
      </c>
    </row>
    <row r="56" spans="1:7" x14ac:dyDescent="0.25">
      <c r="A56" s="1">
        <v>5355249</v>
      </c>
      <c r="B56" s="1" t="s">
        <v>565</v>
      </c>
      <c r="C56" s="1">
        <v>39992</v>
      </c>
      <c r="D56" s="1">
        <v>8228</v>
      </c>
      <c r="E56" s="1"/>
      <c r="F56" s="1" t="s">
        <v>566</v>
      </c>
      <c r="G56" s="1" t="s">
        <v>567</v>
      </c>
    </row>
    <row r="57" spans="1:7" x14ac:dyDescent="0.25">
      <c r="A57" s="1">
        <v>218013106</v>
      </c>
      <c r="B57" s="1" t="s">
        <v>565</v>
      </c>
      <c r="C57" s="1">
        <v>39970</v>
      </c>
      <c r="D57" s="1">
        <v>97</v>
      </c>
      <c r="E57" s="1"/>
      <c r="F57" s="1" t="s">
        <v>1341</v>
      </c>
      <c r="G57" s="1" t="s">
        <v>1671</v>
      </c>
    </row>
    <row r="58" spans="1:7" x14ac:dyDescent="0.25">
      <c r="A58" s="1" t="s">
        <v>417</v>
      </c>
      <c r="B58" s="1" t="s">
        <v>565</v>
      </c>
      <c r="C58" s="1">
        <v>39285</v>
      </c>
      <c r="D58" s="1">
        <v>38631</v>
      </c>
      <c r="E58" s="1"/>
      <c r="F58" s="1" t="s">
        <v>572</v>
      </c>
      <c r="G58" s="1" t="s">
        <v>63</v>
      </c>
    </row>
    <row r="59" spans="1:7" x14ac:dyDescent="0.25">
      <c r="A59" s="1" t="s">
        <v>384</v>
      </c>
      <c r="B59" s="1" t="s">
        <v>565</v>
      </c>
      <c r="C59" s="1">
        <v>39995</v>
      </c>
      <c r="D59" s="1">
        <v>724447</v>
      </c>
      <c r="E59" s="1"/>
      <c r="F59" s="1" t="s">
        <v>570</v>
      </c>
      <c r="G59" s="1" t="s">
        <v>569</v>
      </c>
    </row>
    <row r="60" spans="1:7" x14ac:dyDescent="0.25">
      <c r="A60" s="1" t="s">
        <v>383</v>
      </c>
      <c r="B60" s="1" t="s">
        <v>565</v>
      </c>
      <c r="C60" s="1">
        <v>39993</v>
      </c>
      <c r="D60" s="1">
        <v>207122</v>
      </c>
      <c r="E60" s="1"/>
      <c r="F60" s="1" t="s">
        <v>568</v>
      </c>
      <c r="G60" s="1" t="s">
        <v>569</v>
      </c>
    </row>
    <row r="61" spans="1:7" x14ac:dyDescent="0.25">
      <c r="A61" s="1" t="s">
        <v>1530</v>
      </c>
      <c r="B61" s="1" t="s">
        <v>565</v>
      </c>
      <c r="C61" s="1">
        <v>39951</v>
      </c>
      <c r="D61" s="1">
        <v>227648</v>
      </c>
      <c r="E61" s="1"/>
      <c r="F61" s="1" t="s">
        <v>1531</v>
      </c>
      <c r="G61" s="1" t="s">
        <v>1532</v>
      </c>
    </row>
    <row r="62" spans="1:7" x14ac:dyDescent="0.25">
      <c r="A62" s="1"/>
      <c r="B62" s="1" t="s">
        <v>565</v>
      </c>
      <c r="C62" s="1">
        <v>2</v>
      </c>
      <c r="D62" s="1">
        <v>0</v>
      </c>
      <c r="E62" s="1"/>
      <c r="F62" s="1" t="s">
        <v>571</v>
      </c>
      <c r="G62" s="1"/>
    </row>
    <row r="63" spans="1:7" x14ac:dyDescent="0.25">
      <c r="A63" s="1">
        <v>114014011</v>
      </c>
      <c r="B63" s="1" t="s">
        <v>574</v>
      </c>
      <c r="C63" s="1">
        <v>2</v>
      </c>
      <c r="D63" s="1">
        <v>0</v>
      </c>
      <c r="E63" s="1"/>
      <c r="F63" s="1" t="s">
        <v>1052</v>
      </c>
      <c r="G63" s="1" t="s">
        <v>1044</v>
      </c>
    </row>
    <row r="64" spans="1:7" x14ac:dyDescent="0.25">
      <c r="A64" s="1" t="s">
        <v>1652</v>
      </c>
      <c r="B64" s="1" t="s">
        <v>574</v>
      </c>
      <c r="C64" s="1">
        <v>39912</v>
      </c>
      <c r="D64" s="1">
        <v>54</v>
      </c>
      <c r="E64" s="1"/>
      <c r="F64" s="1" t="s">
        <v>1653</v>
      </c>
      <c r="G64" s="1" t="s">
        <v>1654</v>
      </c>
    </row>
    <row r="65" spans="1:7" x14ac:dyDescent="0.25">
      <c r="A65" s="1" t="s">
        <v>1051</v>
      </c>
      <c r="B65" s="1" t="s">
        <v>574</v>
      </c>
      <c r="C65" s="1">
        <v>2</v>
      </c>
      <c r="D65" s="1">
        <v>94489</v>
      </c>
      <c r="E65" s="1"/>
      <c r="F65" s="1" t="s">
        <v>1487</v>
      </c>
      <c r="G65" s="1" t="s">
        <v>1489</v>
      </c>
    </row>
    <row r="66" spans="1:7" x14ac:dyDescent="0.25">
      <c r="A66" s="1" t="s">
        <v>1045</v>
      </c>
      <c r="B66" s="1" t="s">
        <v>574</v>
      </c>
      <c r="C66" s="1">
        <v>2</v>
      </c>
      <c r="D66" s="1">
        <v>121679</v>
      </c>
      <c r="E66" s="1"/>
      <c r="F66" s="1" t="s">
        <v>1488</v>
      </c>
      <c r="G66" s="1" t="s">
        <v>1490</v>
      </c>
    </row>
    <row r="67" spans="1:7" x14ac:dyDescent="0.25">
      <c r="A67" s="1" t="s">
        <v>1047</v>
      </c>
      <c r="B67" s="1" t="s">
        <v>574</v>
      </c>
      <c r="C67" s="1">
        <v>2</v>
      </c>
      <c r="D67" s="1">
        <v>0</v>
      </c>
      <c r="E67" s="1"/>
      <c r="F67" s="1" t="s">
        <v>1048</v>
      </c>
      <c r="G67" s="1" t="s">
        <v>47</v>
      </c>
    </row>
    <row r="68" spans="1:7" x14ac:dyDescent="0.25">
      <c r="A68" s="1" t="s">
        <v>1049</v>
      </c>
      <c r="B68" s="1" t="s">
        <v>574</v>
      </c>
      <c r="C68" s="1">
        <v>2</v>
      </c>
      <c r="D68" s="1">
        <v>0</v>
      </c>
      <c r="E68" s="1"/>
      <c r="F68" s="1" t="s">
        <v>1048</v>
      </c>
      <c r="G68" s="1" t="s">
        <v>1044</v>
      </c>
    </row>
    <row r="69" spans="1:7" x14ac:dyDescent="0.25">
      <c r="A69" s="1" t="s">
        <v>1043</v>
      </c>
      <c r="B69" s="1" t="s">
        <v>574</v>
      </c>
      <c r="C69" s="1">
        <v>2</v>
      </c>
      <c r="D69" s="1">
        <v>485942</v>
      </c>
      <c r="E69" s="1"/>
      <c r="F69" s="1" t="s">
        <v>577</v>
      </c>
      <c r="G69" s="1" t="s">
        <v>1044</v>
      </c>
    </row>
    <row r="70" spans="1:7" x14ac:dyDescent="0.25">
      <c r="A70" s="1"/>
      <c r="B70" s="1"/>
      <c r="C70" s="1"/>
      <c r="D70" s="1"/>
      <c r="E70" s="1"/>
      <c r="F70" s="1"/>
      <c r="G70" s="1"/>
    </row>
    <row r="71" spans="1:7" x14ac:dyDescent="0.25">
      <c r="A71" s="1"/>
      <c r="B71" s="1"/>
      <c r="C71" s="1"/>
      <c r="D71" s="1"/>
      <c r="E71" s="1"/>
      <c r="F71" s="1"/>
      <c r="G71" s="1"/>
    </row>
    <row r="72" spans="1:7" x14ac:dyDescent="0.25">
      <c r="A72" s="1"/>
      <c r="B72" s="1"/>
      <c r="C72" s="1"/>
      <c r="D72" s="1"/>
      <c r="E72" s="1"/>
      <c r="F72" s="1"/>
      <c r="G72" s="1"/>
    </row>
    <row r="73" spans="1:7" x14ac:dyDescent="0.25">
      <c r="A73" s="1"/>
      <c r="B73" s="1"/>
      <c r="C73" s="1"/>
      <c r="D73" s="1"/>
      <c r="E73" s="1"/>
      <c r="F73" s="1"/>
      <c r="G73" s="1"/>
    </row>
    <row r="74" spans="1:7" x14ac:dyDescent="0.25">
      <c r="A74" s="1"/>
      <c r="B74" s="1"/>
      <c r="C74" s="1"/>
      <c r="D74" s="1"/>
      <c r="E74" s="1"/>
      <c r="F74" s="1"/>
      <c r="G74" s="1"/>
    </row>
    <row r="75" spans="1:7" x14ac:dyDescent="0.25">
      <c r="A75" s="1"/>
      <c r="B75" s="1"/>
      <c r="C75" s="1"/>
      <c r="D75" s="1"/>
      <c r="E75" s="1"/>
      <c r="F75" s="1"/>
      <c r="G75" s="1"/>
    </row>
    <row r="76" spans="1:7" x14ac:dyDescent="0.25">
      <c r="A76" s="1"/>
      <c r="B76" s="1"/>
      <c r="C76" s="1"/>
      <c r="D76" s="1"/>
      <c r="E76" s="1"/>
      <c r="F76" s="1"/>
      <c r="G76" s="1"/>
    </row>
    <row r="77" spans="1:7" x14ac:dyDescent="0.25">
      <c r="A77" s="1"/>
      <c r="B77" s="1"/>
      <c r="C77" s="1"/>
      <c r="D77" s="1"/>
      <c r="E77" s="1"/>
      <c r="F77" s="1"/>
      <c r="G77" s="1"/>
    </row>
    <row r="78" spans="1:7" x14ac:dyDescent="0.25">
      <c r="A78" s="1"/>
      <c r="B78" s="1"/>
      <c r="C78" s="1"/>
      <c r="D78" s="1"/>
      <c r="E78" s="1"/>
      <c r="F78" s="1"/>
      <c r="G78" s="1"/>
    </row>
    <row r="79" spans="1:7" x14ac:dyDescent="0.25">
      <c r="A79" s="1"/>
      <c r="B79" s="1"/>
      <c r="C79" s="1"/>
      <c r="D79" s="1"/>
      <c r="E79" s="1"/>
      <c r="F79" s="1"/>
      <c r="G79" s="1"/>
    </row>
    <row r="80" spans="1:7" x14ac:dyDescent="0.25">
      <c r="A80" s="1"/>
      <c r="B80" s="1"/>
      <c r="C80" s="1"/>
      <c r="D80" s="1"/>
      <c r="E80" s="1"/>
      <c r="F80" s="1"/>
      <c r="G80" s="1"/>
    </row>
    <row r="81" spans="5:5" x14ac:dyDescent="0.25">
      <c r="E81" s="2"/>
    </row>
    <row r="82" spans="5:5" x14ac:dyDescent="0.25">
      <c r="E82" s="2"/>
    </row>
    <row r="83" spans="5:5" x14ac:dyDescent="0.25">
      <c r="E83" s="2"/>
    </row>
    <row r="84" spans="5:5" x14ac:dyDescent="0.25">
      <c r="E84" s="2"/>
    </row>
    <row r="85" spans="5:5" x14ac:dyDescent="0.25">
      <c r="E85" s="2"/>
    </row>
    <row r="86" spans="5:5" x14ac:dyDescent="0.25">
      <c r="E86" s="2"/>
    </row>
    <row r="87" spans="5:5" x14ac:dyDescent="0.25">
      <c r="E87" s="2"/>
    </row>
    <row r="88" spans="5:5" x14ac:dyDescent="0.25">
      <c r="E88" s="2"/>
    </row>
    <row r="89" spans="5:5" x14ac:dyDescent="0.25">
      <c r="E89" s="2"/>
    </row>
    <row r="90" spans="5:5" x14ac:dyDescent="0.25">
      <c r="E90" s="2"/>
    </row>
    <row r="91" spans="5:5" x14ac:dyDescent="0.25">
      <c r="E91" s="2"/>
    </row>
    <row r="92" spans="5:5" x14ac:dyDescent="0.25">
      <c r="E92" s="2"/>
    </row>
    <row r="93" spans="5:5" x14ac:dyDescent="0.25">
      <c r="E93" s="2"/>
    </row>
    <row r="94" spans="5:5" x14ac:dyDescent="0.25">
      <c r="E94" s="2"/>
    </row>
    <row r="95" spans="5:5" x14ac:dyDescent="0.25">
      <c r="E95" s="2"/>
    </row>
    <row r="96" spans="5:5" x14ac:dyDescent="0.25">
      <c r="E96" s="2"/>
    </row>
    <row r="97" spans="5:5" x14ac:dyDescent="0.25">
      <c r="E97" s="2"/>
    </row>
    <row r="98" spans="5:5" x14ac:dyDescent="0.25">
      <c r="E98" s="2"/>
    </row>
    <row r="99" spans="5:5" x14ac:dyDescent="0.25">
      <c r="E99" s="2"/>
    </row>
    <row r="100" spans="5:5" x14ac:dyDescent="0.25">
      <c r="E100" s="2"/>
    </row>
    <row r="101" spans="5:5" x14ac:dyDescent="0.25">
      <c r="E101" s="2"/>
    </row>
    <row r="102" spans="5:5" x14ac:dyDescent="0.25">
      <c r="E102" s="2"/>
    </row>
    <row r="103" spans="5:5" x14ac:dyDescent="0.25">
      <c r="E103" s="2"/>
    </row>
    <row r="104" spans="5:5" x14ac:dyDescent="0.25">
      <c r="E104" s="2"/>
    </row>
    <row r="105" spans="5:5" x14ac:dyDescent="0.25">
      <c r="E105" s="2"/>
    </row>
    <row r="106" spans="5:5" x14ac:dyDescent="0.25">
      <c r="E106" s="2"/>
    </row>
    <row r="107" spans="5:5" x14ac:dyDescent="0.25">
      <c r="E107" s="2"/>
    </row>
    <row r="108" spans="5:5" x14ac:dyDescent="0.25">
      <c r="E108" s="2"/>
    </row>
    <row r="109" spans="5:5" x14ac:dyDescent="0.25">
      <c r="E109" s="2"/>
    </row>
    <row r="110" spans="5:5" x14ac:dyDescent="0.25">
      <c r="E110" s="2"/>
    </row>
    <row r="111" spans="5:5" x14ac:dyDescent="0.25">
      <c r="E111" s="2"/>
    </row>
    <row r="112" spans="5:5" x14ac:dyDescent="0.25">
      <c r="E112" s="2"/>
    </row>
    <row r="113" spans="5:5" x14ac:dyDescent="0.25">
      <c r="E113" s="2"/>
    </row>
    <row r="114" spans="5:5" x14ac:dyDescent="0.25">
      <c r="E114" s="2"/>
    </row>
    <row r="115" spans="5:5" x14ac:dyDescent="0.25">
      <c r="E115" s="2"/>
    </row>
    <row r="116" spans="5:5" x14ac:dyDescent="0.25">
      <c r="E116" s="2"/>
    </row>
    <row r="117" spans="5:5" x14ac:dyDescent="0.25">
      <c r="E117" s="2"/>
    </row>
    <row r="118" spans="5:5" x14ac:dyDescent="0.25">
      <c r="E118" s="2"/>
    </row>
    <row r="119" spans="5:5" x14ac:dyDescent="0.25">
      <c r="E119" s="2"/>
    </row>
    <row r="120" spans="5:5" x14ac:dyDescent="0.25">
      <c r="E120" s="2"/>
    </row>
    <row r="121" spans="5:5" x14ac:dyDescent="0.25">
      <c r="E121" s="2"/>
    </row>
    <row r="122" spans="5:5" x14ac:dyDescent="0.25">
      <c r="E122" s="2"/>
    </row>
    <row r="123" spans="5:5" x14ac:dyDescent="0.25">
      <c r="E123" s="2"/>
    </row>
    <row r="124" spans="5:5" x14ac:dyDescent="0.25">
      <c r="E124" s="2"/>
    </row>
    <row r="125" spans="5:5" x14ac:dyDescent="0.25">
      <c r="E125" s="2"/>
    </row>
    <row r="126" spans="5:5" x14ac:dyDescent="0.25">
      <c r="E126" s="2"/>
    </row>
    <row r="127" spans="5:5" x14ac:dyDescent="0.25">
      <c r="E127" s="2"/>
    </row>
    <row r="128" spans="5:5" x14ac:dyDescent="0.25">
      <c r="E128" s="2"/>
    </row>
    <row r="129" spans="5:5" x14ac:dyDescent="0.25">
      <c r="E129" s="2"/>
    </row>
    <row r="130" spans="5:5" x14ac:dyDescent="0.25">
      <c r="E130" s="2"/>
    </row>
    <row r="131" spans="5:5" x14ac:dyDescent="0.25">
      <c r="E131" s="2"/>
    </row>
    <row r="132" spans="5:5" x14ac:dyDescent="0.25">
      <c r="E132" s="2"/>
    </row>
    <row r="133" spans="5:5" x14ac:dyDescent="0.25">
      <c r="E133" s="2"/>
    </row>
    <row r="134" spans="5:5" x14ac:dyDescent="0.25">
      <c r="E134" s="2"/>
    </row>
    <row r="135" spans="5:5" x14ac:dyDescent="0.25">
      <c r="E135" s="2"/>
    </row>
    <row r="136" spans="5:5" x14ac:dyDescent="0.25">
      <c r="E136" s="2"/>
    </row>
    <row r="137" spans="5:5" x14ac:dyDescent="0.25">
      <c r="E137" s="2"/>
    </row>
    <row r="138" spans="5:5" x14ac:dyDescent="0.25">
      <c r="E138" s="2"/>
    </row>
    <row r="139" spans="5:5" x14ac:dyDescent="0.25">
      <c r="E139" s="2"/>
    </row>
    <row r="140" spans="5:5" x14ac:dyDescent="0.25">
      <c r="E140" s="2"/>
    </row>
    <row r="141" spans="5:5" x14ac:dyDescent="0.25">
      <c r="E141" s="2"/>
    </row>
    <row r="142" spans="5:5" x14ac:dyDescent="0.25">
      <c r="E142" s="2"/>
    </row>
    <row r="143" spans="5:5" x14ac:dyDescent="0.25">
      <c r="E143" s="2"/>
    </row>
    <row r="144" spans="5:5" x14ac:dyDescent="0.25">
      <c r="E144" s="2"/>
    </row>
    <row r="145" spans="1:7" x14ac:dyDescent="0.25">
      <c r="E145" s="2"/>
    </row>
    <row r="146" spans="1:7" x14ac:dyDescent="0.25">
      <c r="E146" s="2"/>
    </row>
    <row r="147" spans="1:7" x14ac:dyDescent="0.25">
      <c r="E147" s="2"/>
    </row>
    <row r="148" spans="1:7" x14ac:dyDescent="0.25">
      <c r="A148" s="2"/>
      <c r="B148" s="2"/>
      <c r="C148" s="2"/>
      <c r="E148" s="2"/>
      <c r="F148" s="2"/>
      <c r="G148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8" r:id="rId4" name="Button 4">
              <controlPr defaultSize="0" print="0" autoFill="0" autoPict="0" macro="[0]!PlantillaSagunto">
                <anchor moveWithCells="1" sizeWithCells="1">
                  <from>
                    <xdr:col>7</xdr:col>
                    <xdr:colOff>457200</xdr:colOff>
                    <xdr:row>1</xdr:row>
                    <xdr:rowOff>171450</xdr:rowOff>
                  </from>
                  <to>
                    <xdr:col>8</xdr:col>
                    <xdr:colOff>1114425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pageSetUpPr fitToPage="1"/>
  </sheetPr>
  <dimension ref="A1:J67"/>
  <sheetViews>
    <sheetView zoomScale="70" zoomScaleNormal="70" workbookViewId="0">
      <selection activeCell="G60" sqref="A2:G60"/>
    </sheetView>
  </sheetViews>
  <sheetFormatPr baseColWidth="10" defaultRowHeight="15" x14ac:dyDescent="0.25"/>
  <cols>
    <col min="1" max="1" width="16.7109375" bestFit="1" customWidth="1"/>
    <col min="2" max="2" width="29" bestFit="1" customWidth="1"/>
    <col min="3" max="3" width="11.28515625" bestFit="1" customWidth="1"/>
    <col min="4" max="4" width="17.5703125" bestFit="1" customWidth="1"/>
    <col min="5" max="5" width="13.85546875" bestFit="1" customWidth="1"/>
    <col min="6" max="6" width="48.28515625" bestFit="1" customWidth="1"/>
    <col min="7" max="7" width="44.5703125" bestFit="1" customWidth="1"/>
  </cols>
  <sheetData>
    <row r="1" spans="1:10" x14ac:dyDescent="0.25">
      <c r="A1" s="2" t="s">
        <v>0</v>
      </c>
      <c r="B1" s="2" t="s">
        <v>18</v>
      </c>
      <c r="C1" s="2" t="s">
        <v>671</v>
      </c>
      <c r="D1" s="260" t="s">
        <v>800</v>
      </c>
      <c r="E1" s="229" t="s">
        <v>1529</v>
      </c>
      <c r="F1" s="2" t="s">
        <v>1</v>
      </c>
      <c r="G1" s="2" t="s">
        <v>2</v>
      </c>
    </row>
    <row r="2" spans="1:10" ht="18.75" x14ac:dyDescent="0.25">
      <c r="A2" s="54" t="s">
        <v>579</v>
      </c>
      <c r="B2" s="410">
        <v>78226859</v>
      </c>
      <c r="C2" s="232">
        <v>0</v>
      </c>
      <c r="D2" s="260">
        <v>21619994</v>
      </c>
      <c r="E2" s="261"/>
      <c r="F2" s="2" t="s">
        <v>21</v>
      </c>
      <c r="G2" s="2" t="s">
        <v>580</v>
      </c>
    </row>
    <row r="3" spans="1:10" ht="18.75" x14ac:dyDescent="0.25">
      <c r="A3" s="54" t="s">
        <v>581</v>
      </c>
      <c r="B3" s="368">
        <v>79007</v>
      </c>
      <c r="C3" s="232">
        <v>3</v>
      </c>
      <c r="D3" s="260">
        <v>98539.7</v>
      </c>
      <c r="E3" s="44"/>
      <c r="F3" s="2" t="s">
        <v>1252</v>
      </c>
      <c r="G3" s="2" t="s">
        <v>583</v>
      </c>
    </row>
    <row r="4" spans="1:10" ht="18.75" x14ac:dyDescent="0.25">
      <c r="A4" s="54" t="s">
        <v>581</v>
      </c>
      <c r="B4" s="368">
        <v>79062</v>
      </c>
      <c r="C4" s="232">
        <v>3</v>
      </c>
      <c r="D4" s="260">
        <v>56935.4</v>
      </c>
      <c r="E4" s="44"/>
      <c r="F4" s="2" t="s">
        <v>21</v>
      </c>
      <c r="G4" s="2" t="s">
        <v>583</v>
      </c>
    </row>
    <row r="5" spans="1:10" ht="18.75" x14ac:dyDescent="0.25">
      <c r="A5" s="54" t="s">
        <v>581</v>
      </c>
      <c r="B5" s="368">
        <v>547463</v>
      </c>
      <c r="C5" s="232">
        <v>39832</v>
      </c>
      <c r="D5" s="260">
        <v>21730</v>
      </c>
      <c r="E5" s="44"/>
      <c r="F5" s="2" t="s">
        <v>598</v>
      </c>
      <c r="G5" s="2" t="s">
        <v>599</v>
      </c>
    </row>
    <row r="6" spans="1:10" ht="18.75" x14ac:dyDescent="0.25">
      <c r="A6" s="54" t="s">
        <v>581</v>
      </c>
      <c r="B6" s="368">
        <v>4492967</v>
      </c>
      <c r="C6" s="232">
        <v>39875</v>
      </c>
      <c r="D6" s="260">
        <v>22679</v>
      </c>
      <c r="E6" s="44"/>
      <c r="F6" s="2" t="s">
        <v>517</v>
      </c>
      <c r="G6" s="2" t="s">
        <v>628</v>
      </c>
    </row>
    <row r="7" spans="1:10" ht="18.75" x14ac:dyDescent="0.25">
      <c r="A7" s="54" t="s">
        <v>581</v>
      </c>
      <c r="B7" s="368">
        <v>10283585</v>
      </c>
      <c r="C7" s="232">
        <v>39859</v>
      </c>
      <c r="D7" s="260">
        <v>90453.2</v>
      </c>
      <c r="E7" s="44"/>
      <c r="F7" s="2" t="s">
        <v>594</v>
      </c>
      <c r="G7" s="2" t="s">
        <v>600</v>
      </c>
    </row>
    <row r="8" spans="1:10" ht="18.75" x14ac:dyDescent="0.25">
      <c r="A8" s="54" t="s">
        <v>581</v>
      </c>
      <c r="B8" s="368">
        <v>11808535</v>
      </c>
      <c r="C8" s="232">
        <v>39858</v>
      </c>
      <c r="D8" s="260">
        <v>43909</v>
      </c>
      <c r="E8" s="44"/>
      <c r="F8" s="2" t="s">
        <v>594</v>
      </c>
      <c r="G8" s="2" t="s">
        <v>597</v>
      </c>
    </row>
    <row r="9" spans="1:10" ht="18.75" x14ac:dyDescent="0.25">
      <c r="A9" s="54" t="s">
        <v>581</v>
      </c>
      <c r="B9" s="368">
        <v>32973653</v>
      </c>
      <c r="C9" s="232">
        <v>3</v>
      </c>
      <c r="D9" s="260">
        <v>11324</v>
      </c>
      <c r="E9" s="44"/>
      <c r="F9" s="2" t="s">
        <v>21</v>
      </c>
      <c r="G9" s="2" t="s">
        <v>1285</v>
      </c>
    </row>
    <row r="10" spans="1:10" ht="18.75" x14ac:dyDescent="0.25">
      <c r="A10" s="54" t="s">
        <v>581</v>
      </c>
      <c r="B10" s="368">
        <v>73321615</v>
      </c>
      <c r="C10" s="232">
        <v>39890</v>
      </c>
      <c r="D10" s="260">
        <v>444055</v>
      </c>
      <c r="E10" s="44"/>
      <c r="F10" s="2" t="s">
        <v>603</v>
      </c>
      <c r="G10" s="2" t="s">
        <v>604</v>
      </c>
    </row>
    <row r="11" spans="1:10" ht="18.75" x14ac:dyDescent="0.25">
      <c r="A11" s="374" t="s">
        <v>581</v>
      </c>
      <c r="B11" s="447" t="s">
        <v>1512</v>
      </c>
      <c r="C11" s="232">
        <v>39852</v>
      </c>
      <c r="D11" s="425">
        <v>6563.2</v>
      </c>
      <c r="E11" s="44"/>
      <c r="F11" s="2" t="s">
        <v>1311</v>
      </c>
      <c r="G11" s="424" t="s">
        <v>1478</v>
      </c>
    </row>
    <row r="12" spans="1:10" ht="18.75" x14ac:dyDescent="0.25">
      <c r="A12" s="374" t="s">
        <v>581</v>
      </c>
      <c r="B12" s="410" t="s">
        <v>1614</v>
      </c>
      <c r="C12" s="232">
        <v>39853</v>
      </c>
      <c r="D12" s="425">
        <v>1226.4000000000001</v>
      </c>
      <c r="E12" s="44"/>
      <c r="F12" s="2" t="s">
        <v>1477</v>
      </c>
      <c r="G12" s="424" t="s">
        <v>1478</v>
      </c>
    </row>
    <row r="13" spans="1:10" ht="18.75" x14ac:dyDescent="0.25">
      <c r="A13" s="54" t="s">
        <v>581</v>
      </c>
      <c r="B13" s="435" t="s">
        <v>394</v>
      </c>
      <c r="C13" s="232">
        <v>3</v>
      </c>
      <c r="D13" s="425">
        <v>15928.9</v>
      </c>
      <c r="E13" s="44"/>
      <c r="F13" s="2" t="s">
        <v>21</v>
      </c>
      <c r="G13" s="424" t="s">
        <v>600</v>
      </c>
    </row>
    <row r="14" spans="1:10" ht="18.75" x14ac:dyDescent="0.25">
      <c r="A14" s="54" t="s">
        <v>581</v>
      </c>
      <c r="B14" s="368" t="s">
        <v>398</v>
      </c>
      <c r="C14" s="232">
        <v>0</v>
      </c>
      <c r="D14" s="260">
        <v>3385338</v>
      </c>
      <c r="E14" s="44"/>
      <c r="F14" s="2" t="s">
        <v>21</v>
      </c>
      <c r="G14" s="2" t="s">
        <v>585</v>
      </c>
      <c r="J14" s="234"/>
    </row>
    <row r="15" spans="1:10" ht="18.75" x14ac:dyDescent="0.25">
      <c r="A15" s="54" t="s">
        <v>581</v>
      </c>
      <c r="B15" s="368" t="s">
        <v>393</v>
      </c>
      <c r="C15" s="232">
        <v>39895</v>
      </c>
      <c r="D15" s="260">
        <v>608873</v>
      </c>
      <c r="E15" s="44"/>
      <c r="F15" s="2" t="s">
        <v>1258</v>
      </c>
      <c r="G15" s="2" t="s">
        <v>585</v>
      </c>
    </row>
    <row r="16" spans="1:10" ht="18.75" x14ac:dyDescent="0.25">
      <c r="A16" s="54" t="s">
        <v>581</v>
      </c>
      <c r="B16" s="368" t="s">
        <v>392</v>
      </c>
      <c r="C16" s="232">
        <v>3</v>
      </c>
      <c r="D16" s="260">
        <v>2083</v>
      </c>
      <c r="E16" s="44"/>
      <c r="F16" s="2" t="s">
        <v>21</v>
      </c>
      <c r="G16" s="2" t="s">
        <v>585</v>
      </c>
    </row>
    <row r="17" spans="1:7" ht="18.75" x14ac:dyDescent="0.25">
      <c r="A17" s="54" t="s">
        <v>581</v>
      </c>
      <c r="B17" s="368" t="s">
        <v>391</v>
      </c>
      <c r="C17" s="232">
        <v>3</v>
      </c>
      <c r="D17" s="260">
        <v>335247</v>
      </c>
      <c r="E17" s="44"/>
      <c r="F17" s="2" t="s">
        <v>21</v>
      </c>
      <c r="G17" s="2" t="s">
        <v>585</v>
      </c>
    </row>
    <row r="18" spans="1:7" ht="18.75" x14ac:dyDescent="0.25">
      <c r="A18" s="54" t="s">
        <v>581</v>
      </c>
      <c r="B18" s="368" t="s">
        <v>390</v>
      </c>
      <c r="C18" s="232">
        <v>3</v>
      </c>
      <c r="D18" s="260">
        <v>30143</v>
      </c>
      <c r="E18" s="44"/>
      <c r="F18" s="2" t="s">
        <v>21</v>
      </c>
      <c r="G18" s="2" t="s">
        <v>585</v>
      </c>
    </row>
    <row r="19" spans="1:7" ht="18.75" x14ac:dyDescent="0.25">
      <c r="A19" s="54" t="s">
        <v>581</v>
      </c>
      <c r="B19" s="368" t="s">
        <v>389</v>
      </c>
      <c r="C19" s="232">
        <v>39835</v>
      </c>
      <c r="D19" s="260">
        <v>125421</v>
      </c>
      <c r="E19" s="44"/>
      <c r="F19" s="2" t="s">
        <v>587</v>
      </c>
      <c r="G19" s="2" t="s">
        <v>588</v>
      </c>
    </row>
    <row r="20" spans="1:7" ht="18.75" x14ac:dyDescent="0.25">
      <c r="A20" s="54" t="s">
        <v>581</v>
      </c>
      <c r="B20" s="368" t="s">
        <v>385</v>
      </c>
      <c r="C20" s="232">
        <v>3</v>
      </c>
      <c r="D20" s="260">
        <v>807664</v>
      </c>
      <c r="E20" s="44"/>
      <c r="F20" s="2" t="s">
        <v>21</v>
      </c>
      <c r="G20" s="2" t="s">
        <v>585</v>
      </c>
    </row>
    <row r="21" spans="1:7" ht="18.75" x14ac:dyDescent="0.25">
      <c r="A21" s="54" t="s">
        <v>581</v>
      </c>
      <c r="B21" s="368" t="s">
        <v>397</v>
      </c>
      <c r="C21" s="232">
        <v>3</v>
      </c>
      <c r="D21" s="260">
        <v>176716</v>
      </c>
      <c r="E21" s="44"/>
      <c r="F21" s="2" t="s">
        <v>21</v>
      </c>
      <c r="G21" s="2" t="s">
        <v>585</v>
      </c>
    </row>
    <row r="22" spans="1:7" ht="18.75" x14ac:dyDescent="0.25">
      <c r="A22" s="54" t="s">
        <v>581</v>
      </c>
      <c r="B22" s="368" t="s">
        <v>396</v>
      </c>
      <c r="C22" s="232">
        <v>3</v>
      </c>
      <c r="D22" s="260">
        <v>17</v>
      </c>
      <c r="E22" s="44"/>
      <c r="F22" s="2" t="s">
        <v>21</v>
      </c>
      <c r="G22" s="2" t="s">
        <v>585</v>
      </c>
    </row>
    <row r="23" spans="1:7" ht="18.75" x14ac:dyDescent="0.25">
      <c r="A23" s="54" t="s">
        <v>581</v>
      </c>
      <c r="B23" s="368" t="s">
        <v>386</v>
      </c>
      <c r="C23" s="232">
        <v>0</v>
      </c>
      <c r="D23" s="260">
        <v>495931</v>
      </c>
      <c r="E23" s="44"/>
      <c r="F23" s="2" t="s">
        <v>21</v>
      </c>
      <c r="G23" s="2" t="s">
        <v>585</v>
      </c>
    </row>
    <row r="24" spans="1:7" ht="18.75" x14ac:dyDescent="0.25">
      <c r="A24" s="54" t="s">
        <v>581</v>
      </c>
      <c r="B24" s="368" t="s">
        <v>387</v>
      </c>
      <c r="C24" s="232">
        <v>0</v>
      </c>
      <c r="D24" s="260">
        <v>795010</v>
      </c>
      <c r="E24" s="44"/>
      <c r="F24" s="2" t="s">
        <v>21</v>
      </c>
      <c r="G24" s="2" t="s">
        <v>585</v>
      </c>
    </row>
    <row r="25" spans="1:7" ht="18.75" x14ac:dyDescent="0.25">
      <c r="A25" s="54" t="s">
        <v>581</v>
      </c>
      <c r="B25" s="368" t="s">
        <v>399</v>
      </c>
      <c r="C25" s="232">
        <v>3</v>
      </c>
      <c r="D25" s="260">
        <v>57831</v>
      </c>
      <c r="E25" s="44"/>
      <c r="F25" s="2" t="s">
        <v>21</v>
      </c>
      <c r="G25" s="2" t="s">
        <v>585</v>
      </c>
    </row>
    <row r="26" spans="1:7" ht="18.75" x14ac:dyDescent="0.25">
      <c r="A26" s="54" t="s">
        <v>581</v>
      </c>
      <c r="B26" s="368" t="s">
        <v>400</v>
      </c>
      <c r="C26" s="232">
        <v>3</v>
      </c>
      <c r="D26" s="260">
        <v>30</v>
      </c>
      <c r="E26" s="44"/>
      <c r="F26" s="2" t="s">
        <v>21</v>
      </c>
      <c r="G26" s="2" t="s">
        <v>585</v>
      </c>
    </row>
    <row r="27" spans="1:7" ht="18.75" x14ac:dyDescent="0.25">
      <c r="A27" s="54" t="s">
        <v>581</v>
      </c>
      <c r="B27" s="368" t="s">
        <v>395</v>
      </c>
      <c r="C27" s="232">
        <v>3</v>
      </c>
      <c r="D27" s="260">
        <v>4301</v>
      </c>
      <c r="E27" s="44"/>
      <c r="F27" s="2" t="s">
        <v>21</v>
      </c>
      <c r="G27" s="2" t="s">
        <v>602</v>
      </c>
    </row>
    <row r="28" spans="1:7" ht="18.75" x14ac:dyDescent="0.25">
      <c r="A28" s="54" t="s">
        <v>581</v>
      </c>
      <c r="B28" s="368" t="s">
        <v>1287</v>
      </c>
      <c r="C28" s="232">
        <v>3</v>
      </c>
      <c r="D28" s="260">
        <v>27768</v>
      </c>
      <c r="E28" s="44"/>
      <c r="F28" s="2" t="s">
        <v>21</v>
      </c>
      <c r="G28" s="2" t="s">
        <v>611</v>
      </c>
    </row>
    <row r="29" spans="1:7" ht="18.75" x14ac:dyDescent="0.25">
      <c r="A29" s="54" t="s">
        <v>581</v>
      </c>
      <c r="B29" s="368" t="s">
        <v>1288</v>
      </c>
      <c r="C29" s="232">
        <v>39324</v>
      </c>
      <c r="D29" s="260">
        <v>3495</v>
      </c>
      <c r="E29" s="44"/>
      <c r="F29" s="2" t="s">
        <v>1250</v>
      </c>
      <c r="G29" s="2" t="s">
        <v>600</v>
      </c>
    </row>
    <row r="30" spans="1:7" ht="18.75" x14ac:dyDescent="0.25">
      <c r="A30" s="54" t="s">
        <v>614</v>
      </c>
      <c r="B30" s="368">
        <v>42522472</v>
      </c>
      <c r="C30" s="232">
        <v>39824</v>
      </c>
      <c r="D30" s="260">
        <v>7726</v>
      </c>
      <c r="E30" s="44"/>
      <c r="F30" s="2" t="s">
        <v>615</v>
      </c>
      <c r="G30" s="2" t="s">
        <v>1650</v>
      </c>
    </row>
    <row r="31" spans="1:7" ht="18.75" x14ac:dyDescent="0.25">
      <c r="A31" s="54" t="s">
        <v>614</v>
      </c>
      <c r="B31" s="435" t="s">
        <v>1494</v>
      </c>
      <c r="C31" s="232">
        <v>39899</v>
      </c>
      <c r="D31" s="260">
        <v>4506.8999999999996</v>
      </c>
      <c r="E31" s="300"/>
      <c r="F31" s="2" t="s">
        <v>615</v>
      </c>
      <c r="G31" s="2" t="s">
        <v>618</v>
      </c>
    </row>
    <row r="32" spans="1:7" ht="18.75" x14ac:dyDescent="0.25">
      <c r="A32" s="262" t="s">
        <v>614</v>
      </c>
      <c r="B32" s="411" t="s">
        <v>401</v>
      </c>
      <c r="C32" s="235">
        <v>3</v>
      </c>
      <c r="D32" s="341">
        <v>766764</v>
      </c>
      <c r="E32" s="44"/>
      <c r="F32" s="371" t="s">
        <v>21</v>
      </c>
      <c r="G32" s="371" t="s">
        <v>618</v>
      </c>
    </row>
    <row r="33" spans="1:7" ht="18.75" x14ac:dyDescent="0.25">
      <c r="A33" s="54" t="s">
        <v>614</v>
      </c>
      <c r="B33" s="368" t="s">
        <v>402</v>
      </c>
      <c r="C33" s="232">
        <v>39881</v>
      </c>
      <c r="D33" s="260">
        <v>87190</v>
      </c>
      <c r="E33" s="44"/>
      <c r="F33" s="2" t="s">
        <v>615</v>
      </c>
      <c r="G33" s="2" t="s">
        <v>618</v>
      </c>
    </row>
    <row r="34" spans="1:7" ht="18.75" x14ac:dyDescent="0.25">
      <c r="A34" s="54" t="s">
        <v>614</v>
      </c>
      <c r="B34" s="368" t="s">
        <v>403</v>
      </c>
      <c r="C34" s="232">
        <v>39882</v>
      </c>
      <c r="D34" s="260">
        <v>78697</v>
      </c>
      <c r="E34" s="44"/>
      <c r="F34" s="2" t="s">
        <v>615</v>
      </c>
      <c r="G34" s="2" t="s">
        <v>618</v>
      </c>
    </row>
    <row r="35" spans="1:7" ht="18.75" x14ac:dyDescent="0.25">
      <c r="A35" s="54" t="s">
        <v>614</v>
      </c>
      <c r="B35" s="368" t="s">
        <v>404</v>
      </c>
      <c r="C35" s="232">
        <v>39065</v>
      </c>
      <c r="D35" s="260">
        <v>27860</v>
      </c>
      <c r="E35" s="44"/>
      <c r="F35" s="2" t="s">
        <v>615</v>
      </c>
      <c r="G35" s="2" t="s">
        <v>618</v>
      </c>
    </row>
    <row r="36" spans="1:7" ht="18.75" x14ac:dyDescent="0.25">
      <c r="A36" s="54" t="s">
        <v>614</v>
      </c>
      <c r="B36" s="368" t="s">
        <v>410</v>
      </c>
      <c r="C36" s="232">
        <v>39861</v>
      </c>
      <c r="D36" s="260">
        <v>6361.7</v>
      </c>
      <c r="E36" s="44"/>
      <c r="F36" s="2" t="s">
        <v>615</v>
      </c>
      <c r="G36" s="2" t="s">
        <v>618</v>
      </c>
    </row>
    <row r="37" spans="1:7" ht="18.75" x14ac:dyDescent="0.25">
      <c r="A37" s="54" t="s">
        <v>614</v>
      </c>
      <c r="B37" s="368" t="s">
        <v>405</v>
      </c>
      <c r="C37" s="232">
        <v>39658</v>
      </c>
      <c r="D37" s="260">
        <v>40285.300000000003</v>
      </c>
      <c r="E37" s="44"/>
      <c r="F37" s="2" t="s">
        <v>615</v>
      </c>
      <c r="G37" s="2" t="s">
        <v>618</v>
      </c>
    </row>
    <row r="38" spans="1:7" ht="18.75" x14ac:dyDescent="0.25">
      <c r="A38" s="54" t="s">
        <v>614</v>
      </c>
      <c r="B38" s="368" t="s">
        <v>406</v>
      </c>
      <c r="C38" s="232">
        <v>3</v>
      </c>
      <c r="D38" s="260">
        <v>16679.400000000001</v>
      </c>
      <c r="E38" s="44"/>
      <c r="F38" s="2" t="s">
        <v>21</v>
      </c>
      <c r="G38" s="2" t="s">
        <v>618</v>
      </c>
    </row>
    <row r="39" spans="1:7" ht="18.75" x14ac:dyDescent="0.25">
      <c r="A39" s="54" t="s">
        <v>614</v>
      </c>
      <c r="B39" s="368" t="s">
        <v>407</v>
      </c>
      <c r="C39" s="232">
        <v>3</v>
      </c>
      <c r="D39" s="260">
        <v>602.5</v>
      </c>
      <c r="E39" s="44"/>
      <c r="F39" s="2" t="s">
        <v>21</v>
      </c>
      <c r="G39" s="2" t="s">
        <v>618</v>
      </c>
    </row>
    <row r="40" spans="1:7" ht="18.75" x14ac:dyDescent="0.25">
      <c r="A40" s="54" t="s">
        <v>614</v>
      </c>
      <c r="B40" s="368" t="s">
        <v>408</v>
      </c>
      <c r="C40" s="232">
        <v>3</v>
      </c>
      <c r="D40" s="260">
        <v>121933.9</v>
      </c>
      <c r="E40" s="44"/>
      <c r="F40" s="2" t="s">
        <v>21</v>
      </c>
      <c r="G40" s="2" t="s">
        <v>618</v>
      </c>
    </row>
    <row r="41" spans="1:7" ht="18.75" x14ac:dyDescent="0.25">
      <c r="A41" s="54" t="s">
        <v>614</v>
      </c>
      <c r="B41" s="412" t="s">
        <v>1662</v>
      </c>
      <c r="C41" s="232">
        <v>39886</v>
      </c>
      <c r="D41" s="290">
        <v>182.6</v>
      </c>
      <c r="E41" s="44"/>
      <c r="F41" s="2" t="s">
        <v>615</v>
      </c>
      <c r="G41" s="2" t="s">
        <v>1229</v>
      </c>
    </row>
    <row r="42" spans="1:7" ht="18.75" x14ac:dyDescent="0.25">
      <c r="A42" s="54" t="s">
        <v>632</v>
      </c>
      <c r="B42" s="368">
        <v>17070</v>
      </c>
      <c r="C42" s="232">
        <v>39873</v>
      </c>
      <c r="D42" s="260">
        <v>17465</v>
      </c>
      <c r="E42" s="44"/>
      <c r="F42" s="2" t="s">
        <v>1273</v>
      </c>
      <c r="G42" s="2" t="s">
        <v>634</v>
      </c>
    </row>
    <row r="43" spans="1:7" ht="18.75" x14ac:dyDescent="0.25">
      <c r="A43" s="54" t="s">
        <v>632</v>
      </c>
      <c r="B43" s="368">
        <v>30574059</v>
      </c>
      <c r="C43" s="232">
        <v>3</v>
      </c>
      <c r="D43" s="260">
        <v>218183.5</v>
      </c>
      <c r="E43" s="44"/>
      <c r="F43" s="2" t="s">
        <v>21</v>
      </c>
      <c r="G43" s="2" t="s">
        <v>641</v>
      </c>
    </row>
    <row r="44" spans="1:7" ht="18.75" x14ac:dyDescent="0.25">
      <c r="A44" s="54" t="s">
        <v>632</v>
      </c>
      <c r="B44" s="368">
        <v>50564017</v>
      </c>
      <c r="C44" s="232">
        <v>39878</v>
      </c>
      <c r="D44" s="260">
        <v>277885.59999999998</v>
      </c>
      <c r="E44" s="44"/>
      <c r="F44" s="2" t="s">
        <v>594</v>
      </c>
      <c r="G44" s="2" t="s">
        <v>636</v>
      </c>
    </row>
    <row r="45" spans="1:7" ht="18.75" x14ac:dyDescent="0.25">
      <c r="A45" s="54" t="s">
        <v>632</v>
      </c>
      <c r="B45" s="368">
        <v>85006713</v>
      </c>
      <c r="C45" s="232">
        <v>39810</v>
      </c>
      <c r="D45" s="260">
        <v>1353408</v>
      </c>
      <c r="E45" s="44"/>
      <c r="F45" s="2" t="s">
        <v>594</v>
      </c>
      <c r="G45" s="2" t="s">
        <v>638</v>
      </c>
    </row>
    <row r="46" spans="1:7" ht="18.75" x14ac:dyDescent="0.25">
      <c r="A46" s="54" t="s">
        <v>632</v>
      </c>
      <c r="B46" s="368" t="s">
        <v>411</v>
      </c>
      <c r="C46" s="232">
        <v>3</v>
      </c>
      <c r="D46" s="260">
        <v>716846.6</v>
      </c>
      <c r="E46" s="44"/>
      <c r="F46" s="2" t="s">
        <v>639</v>
      </c>
      <c r="G46" s="2" t="s">
        <v>638</v>
      </c>
    </row>
    <row r="47" spans="1:7" ht="18.75" x14ac:dyDescent="0.25">
      <c r="A47" s="54" t="s">
        <v>643</v>
      </c>
      <c r="B47" s="368">
        <v>50767753</v>
      </c>
      <c r="C47" s="232">
        <v>3</v>
      </c>
      <c r="D47" s="260">
        <v>3101</v>
      </c>
      <c r="E47" s="44"/>
      <c r="F47" s="2" t="s">
        <v>21</v>
      </c>
      <c r="G47" s="2" t="s">
        <v>1276</v>
      </c>
    </row>
    <row r="48" spans="1:7" ht="18.75" x14ac:dyDescent="0.25">
      <c r="A48" s="54" t="s">
        <v>643</v>
      </c>
      <c r="B48" s="368">
        <v>50767755</v>
      </c>
      <c r="C48" s="232">
        <v>3</v>
      </c>
      <c r="D48" s="260">
        <v>9711</v>
      </c>
      <c r="E48" s="44"/>
      <c r="F48" s="2" t="s">
        <v>21</v>
      </c>
      <c r="G48" s="2" t="s">
        <v>1276</v>
      </c>
    </row>
    <row r="49" spans="1:7" ht="18.75" x14ac:dyDescent="0.25">
      <c r="A49" s="54" t="s">
        <v>643</v>
      </c>
      <c r="B49" s="368" t="s">
        <v>412</v>
      </c>
      <c r="C49" s="232">
        <v>0</v>
      </c>
      <c r="D49" s="260">
        <v>667764</v>
      </c>
      <c r="E49" s="44"/>
      <c r="F49" s="2" t="s">
        <v>21</v>
      </c>
      <c r="G49" s="2" t="s">
        <v>1276</v>
      </c>
    </row>
    <row r="50" spans="1:7" ht="18.75" x14ac:dyDescent="0.25">
      <c r="A50" s="54" t="s">
        <v>1472</v>
      </c>
      <c r="B50" s="368">
        <v>219472272</v>
      </c>
      <c r="C50" s="232">
        <v>39857</v>
      </c>
      <c r="D50" s="260">
        <v>16554</v>
      </c>
      <c r="E50" s="44"/>
      <c r="F50" s="2" t="s">
        <v>1473</v>
      </c>
      <c r="G50" s="2" t="s">
        <v>1474</v>
      </c>
    </row>
    <row r="51" spans="1:7" ht="18.75" x14ac:dyDescent="0.25">
      <c r="A51" s="54" t="s">
        <v>645</v>
      </c>
      <c r="B51" s="368" t="s">
        <v>1572</v>
      </c>
      <c r="C51" s="232">
        <v>39871</v>
      </c>
      <c r="D51" s="425">
        <v>124126</v>
      </c>
      <c r="E51" s="44"/>
      <c r="F51" s="2" t="s">
        <v>594</v>
      </c>
      <c r="G51" s="299" t="s">
        <v>1569</v>
      </c>
    </row>
    <row r="52" spans="1:7" ht="18.75" x14ac:dyDescent="0.25">
      <c r="A52" s="54" t="s">
        <v>645</v>
      </c>
      <c r="B52" s="368" t="s">
        <v>1575</v>
      </c>
      <c r="C52" s="232">
        <v>39872</v>
      </c>
      <c r="D52" s="425">
        <v>100804</v>
      </c>
      <c r="E52" s="44"/>
      <c r="F52" s="2" t="s">
        <v>594</v>
      </c>
      <c r="G52" s="299" t="s">
        <v>1569</v>
      </c>
    </row>
    <row r="53" spans="1:7" ht="18.75" x14ac:dyDescent="0.25">
      <c r="A53" s="54" t="s">
        <v>645</v>
      </c>
      <c r="B53" s="368" t="s">
        <v>1568</v>
      </c>
      <c r="C53" s="232">
        <v>39803</v>
      </c>
      <c r="D53" s="425">
        <v>275943</v>
      </c>
      <c r="E53" s="131"/>
      <c r="F53" s="2" t="s">
        <v>594</v>
      </c>
      <c r="G53" s="299" t="s">
        <v>1569</v>
      </c>
    </row>
    <row r="54" spans="1:7" ht="18.75" x14ac:dyDescent="0.25">
      <c r="A54" s="54" t="s">
        <v>645</v>
      </c>
      <c r="B54" s="368" t="s">
        <v>1575</v>
      </c>
      <c r="C54" s="232">
        <v>39872</v>
      </c>
      <c r="D54" s="425">
        <v>100804</v>
      </c>
      <c r="E54" s="131"/>
      <c r="F54" s="2" t="s">
        <v>594</v>
      </c>
      <c r="G54" s="299" t="s">
        <v>1569</v>
      </c>
    </row>
    <row r="55" spans="1:7" ht="18.75" x14ac:dyDescent="0.25">
      <c r="A55" s="54" t="s">
        <v>645</v>
      </c>
      <c r="B55" s="368" t="s">
        <v>1568</v>
      </c>
      <c r="C55" s="232">
        <v>39803</v>
      </c>
      <c r="D55" s="425">
        <v>275943</v>
      </c>
      <c r="E55" s="44"/>
      <c r="F55" s="2" t="s">
        <v>594</v>
      </c>
      <c r="G55" s="299" t="s">
        <v>1569</v>
      </c>
    </row>
    <row r="56" spans="1:7" ht="18.75" x14ac:dyDescent="0.25">
      <c r="A56" s="54" t="s">
        <v>645</v>
      </c>
      <c r="B56" s="368" t="s">
        <v>1568</v>
      </c>
      <c r="C56" s="232">
        <v>39803</v>
      </c>
      <c r="D56" s="425">
        <v>275941</v>
      </c>
      <c r="E56" s="413"/>
      <c r="F56" s="2" t="s">
        <v>594</v>
      </c>
      <c r="G56" s="299" t="s">
        <v>1569</v>
      </c>
    </row>
    <row r="57" spans="1:7" ht="18.75" x14ac:dyDescent="0.25">
      <c r="A57" s="54" t="s">
        <v>645</v>
      </c>
      <c r="B57" s="368">
        <v>502100624</v>
      </c>
      <c r="C57" s="232">
        <v>39814</v>
      </c>
      <c r="D57" s="425">
        <v>16294</v>
      </c>
      <c r="E57" s="413"/>
      <c r="F57" s="2" t="s">
        <v>1578</v>
      </c>
      <c r="G57" s="299" t="s">
        <v>1569</v>
      </c>
    </row>
    <row r="58" spans="1:7" ht="18.75" x14ac:dyDescent="0.25">
      <c r="A58" s="54" t="s">
        <v>645</v>
      </c>
      <c r="B58" s="368" t="s">
        <v>1572</v>
      </c>
      <c r="C58" s="232">
        <v>39871</v>
      </c>
      <c r="D58" s="425">
        <v>124063</v>
      </c>
      <c r="E58" s="413"/>
      <c r="F58" s="2" t="s">
        <v>594</v>
      </c>
      <c r="G58" s="299" t="s">
        <v>1569</v>
      </c>
    </row>
    <row r="59" spans="1:7" ht="18.75" x14ac:dyDescent="0.25">
      <c r="A59" s="54" t="s">
        <v>645</v>
      </c>
      <c r="B59" s="368" t="s">
        <v>1575</v>
      </c>
      <c r="C59" s="232">
        <v>39872</v>
      </c>
      <c r="D59" s="425">
        <v>100779</v>
      </c>
      <c r="E59" s="413"/>
      <c r="F59" s="2" t="s">
        <v>594</v>
      </c>
      <c r="G59" s="299" t="s">
        <v>1569</v>
      </c>
    </row>
    <row r="60" spans="1:7" ht="18.75" x14ac:dyDescent="0.25">
      <c r="A60" s="54" t="s">
        <v>645</v>
      </c>
      <c r="B60" s="368" t="s">
        <v>1568</v>
      </c>
      <c r="C60" s="232">
        <v>39803</v>
      </c>
      <c r="D60" s="425">
        <v>275941</v>
      </c>
      <c r="E60" s="472"/>
      <c r="F60" s="2" t="s">
        <v>594</v>
      </c>
      <c r="G60" s="299" t="s">
        <v>1569</v>
      </c>
    </row>
    <row r="61" spans="1:7" x14ac:dyDescent="0.25">
      <c r="D61" s="226"/>
      <c r="E61" s="473"/>
    </row>
    <row r="62" spans="1:7" x14ac:dyDescent="0.25">
      <c r="D62" s="226"/>
      <c r="E62" s="473"/>
    </row>
    <row r="63" spans="1:7" x14ac:dyDescent="0.25">
      <c r="D63" s="226"/>
      <c r="E63" s="473"/>
    </row>
    <row r="64" spans="1:7" x14ac:dyDescent="0.25">
      <c r="D64" s="226"/>
      <c r="E64" s="473"/>
    </row>
    <row r="65" spans="4:5" x14ac:dyDescent="0.25">
      <c r="D65" s="226"/>
      <c r="E65" s="473"/>
    </row>
    <row r="66" spans="4:5" x14ac:dyDescent="0.25">
      <c r="D66" s="226"/>
      <c r="E66" s="473"/>
    </row>
    <row r="67" spans="4:5" x14ac:dyDescent="0.25">
      <c r="D67" s="226"/>
      <c r="E67" s="473"/>
    </row>
  </sheetData>
  <conditionalFormatting sqref="E2:E60">
    <cfRule type="expression" dxfId="22" priority="2">
      <formula>MOD(RIGHT($A2,1),2)=0</formula>
    </cfRule>
    <cfRule type="expression" dxfId="21" priority="4">
      <formula>$A2="VARIOS"</formula>
    </cfRule>
  </conditionalFormatting>
  <conditionalFormatting sqref="E2:E60">
    <cfRule type="expression" priority="1" stopIfTrue="1">
      <formula>$A2="VCT00"</formula>
    </cfRule>
    <cfRule type="expression" dxfId="20" priority="3">
      <formula>$A2="VCT A.E.M"</formula>
    </cfRule>
  </conditionalFormatting>
  <pageMargins left="0.25" right="0.25" top="0.75" bottom="0.75" header="0.3" footer="0.3"/>
  <pageSetup paperSize="9"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PlantillaGrandia">
                <anchor moveWithCells="1" sizeWithCells="1">
                  <from>
                    <xdr:col>8</xdr:col>
                    <xdr:colOff>66675</xdr:colOff>
                    <xdr:row>1</xdr:row>
                    <xdr:rowOff>152400</xdr:rowOff>
                  </from>
                  <to>
                    <xdr:col>10</xdr:col>
                    <xdr:colOff>542925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/>
  <dimension ref="A2:J37"/>
  <sheetViews>
    <sheetView topLeftCell="A19" workbookViewId="0">
      <selection activeCell="F19" sqref="F19"/>
    </sheetView>
  </sheetViews>
  <sheetFormatPr baseColWidth="10" defaultRowHeight="15" x14ac:dyDescent="0.25"/>
  <cols>
    <col min="1" max="1" width="11.5703125" style="2"/>
    <col min="2" max="2" width="17.28515625" style="2" bestFit="1" customWidth="1"/>
    <col min="3" max="3" width="20.140625" style="2" bestFit="1" customWidth="1"/>
    <col min="4" max="4" width="9.7109375" style="2" bestFit="1" customWidth="1"/>
    <col min="5" max="5" width="8.42578125" style="2" bestFit="1" customWidth="1"/>
    <col min="6" max="6" width="25.85546875" style="2" bestFit="1" customWidth="1"/>
    <col min="7" max="7" width="20.5703125" style="299" customWidth="1"/>
    <col min="8" max="8" width="56.42578125" style="2" bestFit="1" customWidth="1"/>
  </cols>
  <sheetData>
    <row r="2" spans="1:10" x14ac:dyDescent="0.25">
      <c r="A2" s="2" t="s">
        <v>743</v>
      </c>
      <c r="B2" s="2" t="s">
        <v>742</v>
      </c>
      <c r="C2" s="2" t="s">
        <v>18</v>
      </c>
      <c r="D2" s="2" t="s">
        <v>0</v>
      </c>
      <c r="E2" s="2" t="s">
        <v>671</v>
      </c>
      <c r="F2" s="2" t="s">
        <v>1</v>
      </c>
      <c r="G2" s="299" t="s">
        <v>745</v>
      </c>
      <c r="H2" s="2" t="s">
        <v>746</v>
      </c>
      <c r="I2" t="s">
        <v>711</v>
      </c>
      <c r="J2" t="s">
        <v>712</v>
      </c>
    </row>
    <row r="3" spans="1:10" x14ac:dyDescent="0.25">
      <c r="A3" s="229">
        <v>42785</v>
      </c>
      <c r="B3" s="2" t="s">
        <v>748</v>
      </c>
      <c r="C3" s="34">
        <v>37477744</v>
      </c>
      <c r="D3" s="2" t="s">
        <v>749</v>
      </c>
      <c r="E3" s="2">
        <v>132</v>
      </c>
      <c r="F3" s="2" t="s">
        <v>21</v>
      </c>
      <c r="G3" s="299" t="s">
        <v>749</v>
      </c>
      <c r="H3" s="2" t="s">
        <v>797</v>
      </c>
    </row>
    <row r="4" spans="1:10" x14ac:dyDescent="0.25">
      <c r="A4" s="228">
        <v>42829</v>
      </c>
      <c r="B4" s="1" t="s">
        <v>744</v>
      </c>
      <c r="C4" s="1">
        <v>20581330</v>
      </c>
      <c r="D4" s="1" t="s">
        <v>680</v>
      </c>
      <c r="E4" s="1">
        <v>150</v>
      </c>
      <c r="F4" s="1" t="s">
        <v>21</v>
      </c>
      <c r="G4" s="314" t="s">
        <v>20</v>
      </c>
      <c r="H4" s="1" t="s">
        <v>798</v>
      </c>
      <c r="I4" s="1"/>
      <c r="J4" s="1"/>
    </row>
    <row r="5" spans="1:10" x14ac:dyDescent="0.25">
      <c r="A5" s="228">
        <v>42829</v>
      </c>
      <c r="B5" s="1" t="s">
        <v>744</v>
      </c>
      <c r="C5" s="1" t="s">
        <v>788</v>
      </c>
      <c r="D5" s="1" t="s">
        <v>822</v>
      </c>
      <c r="E5" s="1" t="s">
        <v>789</v>
      </c>
      <c r="F5" s="1"/>
      <c r="G5" s="314"/>
      <c r="H5" s="1" t="s">
        <v>823</v>
      </c>
      <c r="I5" s="1"/>
      <c r="J5" s="1"/>
    </row>
    <row r="6" spans="1:10" x14ac:dyDescent="0.25">
      <c r="A6" s="229">
        <v>42829</v>
      </c>
      <c r="B6" s="2" t="s">
        <v>744</v>
      </c>
      <c r="D6" s="2" t="s">
        <v>318</v>
      </c>
      <c r="H6" s="2" t="s">
        <v>799</v>
      </c>
    </row>
    <row r="7" spans="1:10" x14ac:dyDescent="0.25">
      <c r="A7" s="229">
        <v>42830</v>
      </c>
      <c r="B7" s="2" t="s">
        <v>748</v>
      </c>
      <c r="C7" s="2" t="s">
        <v>755</v>
      </c>
      <c r="D7" s="2" t="s">
        <v>764</v>
      </c>
      <c r="E7" s="2">
        <v>140</v>
      </c>
      <c r="F7" s="2" t="s">
        <v>767</v>
      </c>
      <c r="H7" s="2" t="s">
        <v>793</v>
      </c>
    </row>
    <row r="8" spans="1:10" x14ac:dyDescent="0.25">
      <c r="A8" s="229">
        <v>42830</v>
      </c>
      <c r="B8" s="2" t="s">
        <v>748</v>
      </c>
      <c r="C8" s="2" t="s">
        <v>758</v>
      </c>
      <c r="D8" s="2" t="s">
        <v>765</v>
      </c>
      <c r="E8" s="2">
        <v>140</v>
      </c>
      <c r="F8" s="2" t="s">
        <v>767</v>
      </c>
      <c r="H8" s="2" t="s">
        <v>793</v>
      </c>
    </row>
    <row r="9" spans="1:10" x14ac:dyDescent="0.25">
      <c r="A9" s="229">
        <v>42830</v>
      </c>
      <c r="B9" s="2" t="s">
        <v>748</v>
      </c>
      <c r="C9" s="2" t="s">
        <v>761</v>
      </c>
      <c r="D9" s="2" t="s">
        <v>766</v>
      </c>
      <c r="E9" s="2">
        <v>140</v>
      </c>
      <c r="F9" s="2" t="s">
        <v>767</v>
      </c>
      <c r="H9" s="2" t="s">
        <v>793</v>
      </c>
    </row>
    <row r="10" spans="1:10" x14ac:dyDescent="0.25">
      <c r="A10" s="229">
        <v>42830</v>
      </c>
      <c r="B10" s="2" t="s">
        <v>748</v>
      </c>
      <c r="C10" s="2" t="s">
        <v>771</v>
      </c>
      <c r="D10" s="2" t="s">
        <v>779</v>
      </c>
      <c r="E10" s="2">
        <v>140</v>
      </c>
      <c r="F10" s="2" t="s">
        <v>783</v>
      </c>
      <c r="H10" s="2" t="s">
        <v>793</v>
      </c>
    </row>
    <row r="11" spans="1:10" x14ac:dyDescent="0.25">
      <c r="A11" s="229">
        <v>42830</v>
      </c>
      <c r="B11" s="2" t="s">
        <v>748</v>
      </c>
      <c r="C11" s="2" t="s">
        <v>771</v>
      </c>
      <c r="D11" s="2" t="s">
        <v>780</v>
      </c>
      <c r="E11" s="2">
        <v>140</v>
      </c>
      <c r="F11" s="2" t="s">
        <v>784</v>
      </c>
      <c r="H11" s="2" t="s">
        <v>793</v>
      </c>
    </row>
    <row r="12" spans="1:10" x14ac:dyDescent="0.25">
      <c r="A12" s="229">
        <v>42830</v>
      </c>
      <c r="B12" s="2" t="s">
        <v>748</v>
      </c>
      <c r="C12" s="2" t="s">
        <v>771</v>
      </c>
      <c r="D12" s="2" t="s">
        <v>781</v>
      </c>
      <c r="E12" s="2">
        <v>140</v>
      </c>
      <c r="F12" s="2" t="s">
        <v>783</v>
      </c>
      <c r="H12" s="2" t="s">
        <v>793</v>
      </c>
    </row>
    <row r="13" spans="1:10" x14ac:dyDescent="0.25">
      <c r="A13" s="229">
        <v>42830</v>
      </c>
      <c r="B13" s="2" t="s">
        <v>748</v>
      </c>
      <c r="C13" s="2" t="s">
        <v>771</v>
      </c>
      <c r="D13" s="2" t="s">
        <v>782</v>
      </c>
      <c r="E13" s="2">
        <v>140</v>
      </c>
      <c r="F13" s="2" t="s">
        <v>784</v>
      </c>
      <c r="H13" s="2" t="s">
        <v>793</v>
      </c>
    </row>
    <row r="14" spans="1:10" x14ac:dyDescent="0.25">
      <c r="A14" s="229">
        <v>42830</v>
      </c>
      <c r="B14" s="2" t="s">
        <v>748</v>
      </c>
      <c r="C14" s="2" t="s">
        <v>788</v>
      </c>
      <c r="D14" s="2" t="s">
        <v>789</v>
      </c>
      <c r="E14" s="2" t="s">
        <v>789</v>
      </c>
      <c r="F14" s="2" t="s">
        <v>790</v>
      </c>
      <c r="G14" s="299" t="s">
        <v>791</v>
      </c>
      <c r="H14" s="2" t="s">
        <v>792</v>
      </c>
    </row>
    <row r="15" spans="1:10" x14ac:dyDescent="0.25">
      <c r="A15" s="229">
        <v>42834</v>
      </c>
      <c r="B15" s="2" t="s">
        <v>795</v>
      </c>
      <c r="C15" s="2" t="s">
        <v>788</v>
      </c>
      <c r="D15" s="2" t="s">
        <v>789</v>
      </c>
      <c r="E15" s="2" t="s">
        <v>789</v>
      </c>
      <c r="H15" s="2" t="s">
        <v>796</v>
      </c>
    </row>
    <row r="16" spans="1:10" x14ac:dyDescent="0.25">
      <c r="A16" s="229">
        <v>42857</v>
      </c>
      <c r="B16" s="2" t="s">
        <v>748</v>
      </c>
      <c r="C16" s="2">
        <v>11210006</v>
      </c>
      <c r="I16" s="2"/>
      <c r="J16" s="2"/>
    </row>
    <row r="17" spans="1:10" x14ac:dyDescent="0.25">
      <c r="A17" s="229">
        <v>42857</v>
      </c>
      <c r="B17" s="2" t="s">
        <v>744</v>
      </c>
      <c r="C17" s="2">
        <v>15051354408</v>
      </c>
      <c r="D17" s="2" t="s">
        <v>235</v>
      </c>
      <c r="E17" s="2">
        <v>150</v>
      </c>
      <c r="F17" s="2" t="s">
        <v>809</v>
      </c>
      <c r="H17" s="2" t="s">
        <v>808</v>
      </c>
      <c r="I17" s="2"/>
      <c r="J17" s="2"/>
    </row>
    <row r="18" spans="1:10" x14ac:dyDescent="0.25">
      <c r="A18" s="229">
        <v>42857</v>
      </c>
      <c r="B18" s="2" t="s">
        <v>744</v>
      </c>
      <c r="C18" s="2" t="s">
        <v>650</v>
      </c>
      <c r="D18" s="2" t="s">
        <v>90</v>
      </c>
      <c r="E18" s="2">
        <v>39027</v>
      </c>
      <c r="F18" s="2" t="s">
        <v>811</v>
      </c>
      <c r="H18" s="2" t="s">
        <v>810</v>
      </c>
      <c r="I18" s="2"/>
      <c r="J18" s="2"/>
    </row>
    <row r="19" spans="1:10" x14ac:dyDescent="0.25">
      <c r="A19" s="229">
        <v>42978</v>
      </c>
      <c r="B19" s="2" t="s">
        <v>744</v>
      </c>
      <c r="C19" s="2">
        <v>39305</v>
      </c>
      <c r="D19" s="2" t="s">
        <v>581</v>
      </c>
      <c r="E19" s="2">
        <v>39305</v>
      </c>
      <c r="F19" s="2" t="s">
        <v>961</v>
      </c>
      <c r="I19" s="2"/>
      <c r="J19" s="2"/>
    </row>
    <row r="20" spans="1:10" x14ac:dyDescent="0.25">
      <c r="C20" s="2">
        <v>7107776</v>
      </c>
      <c r="D20" s="2" t="s">
        <v>581</v>
      </c>
      <c r="E20" s="2">
        <v>39478</v>
      </c>
      <c r="F20" s="2" t="s">
        <v>962</v>
      </c>
    </row>
    <row r="21" spans="1:10" x14ac:dyDescent="0.25">
      <c r="A21" s="229">
        <v>43151</v>
      </c>
      <c r="B21" s="2" t="s">
        <v>744</v>
      </c>
      <c r="C21" s="2">
        <v>20583455</v>
      </c>
      <c r="D21" s="2" t="s">
        <v>526</v>
      </c>
      <c r="E21" s="2">
        <v>2</v>
      </c>
      <c r="F21" s="2" t="s">
        <v>1031</v>
      </c>
      <c r="H21" s="2" t="s">
        <v>1032</v>
      </c>
      <c r="I21" t="s">
        <v>1039</v>
      </c>
    </row>
    <row r="22" spans="1:10" ht="18.75" x14ac:dyDescent="0.25">
      <c r="A22" s="229">
        <v>43151</v>
      </c>
      <c r="B22" s="2" t="s">
        <v>744</v>
      </c>
      <c r="C22" s="203">
        <v>5356192</v>
      </c>
      <c r="D22" s="2" t="s">
        <v>558</v>
      </c>
      <c r="E22" s="2">
        <v>2</v>
      </c>
      <c r="F22" s="2" t="s">
        <v>562</v>
      </c>
      <c r="H22" s="2" t="s">
        <v>1038</v>
      </c>
      <c r="I22" t="s">
        <v>1039</v>
      </c>
    </row>
    <row r="23" spans="1:10" x14ac:dyDescent="0.25">
      <c r="A23" s="229">
        <v>43152</v>
      </c>
      <c r="B23" s="2" t="s">
        <v>748</v>
      </c>
      <c r="C23" s="2" t="s">
        <v>1056</v>
      </c>
      <c r="D23" s="2" t="s">
        <v>508</v>
      </c>
      <c r="H23" s="2" t="s">
        <v>1061</v>
      </c>
    </row>
    <row r="24" spans="1:10" x14ac:dyDescent="0.25">
      <c r="A24" s="229">
        <v>43152</v>
      </c>
      <c r="B24" s="2" t="s">
        <v>748</v>
      </c>
      <c r="C24" s="2">
        <v>62079903</v>
      </c>
      <c r="D24" s="2" t="s">
        <v>508</v>
      </c>
      <c r="H24" s="2" t="s">
        <v>1061</v>
      </c>
    </row>
    <row r="25" spans="1:10" x14ac:dyDescent="0.25">
      <c r="A25" s="229">
        <v>43152</v>
      </c>
      <c r="B25" s="2" t="s">
        <v>748</v>
      </c>
      <c r="C25" s="2" t="s">
        <v>1053</v>
      </c>
      <c r="D25" s="2" t="s">
        <v>1062</v>
      </c>
      <c r="F25" s="2" t="s">
        <v>1063</v>
      </c>
      <c r="H25" s="2" t="s">
        <v>1061</v>
      </c>
    </row>
    <row r="26" spans="1:10" x14ac:dyDescent="0.25">
      <c r="A26" s="229">
        <v>43152</v>
      </c>
      <c r="B26" s="2" t="s">
        <v>748</v>
      </c>
      <c r="C26" s="2" t="s">
        <v>1054</v>
      </c>
      <c r="D26" s="2" t="s">
        <v>1062</v>
      </c>
      <c r="F26" s="2" t="s">
        <v>1055</v>
      </c>
      <c r="H26" s="2" t="s">
        <v>1061</v>
      </c>
    </row>
    <row r="27" spans="1:10" x14ac:dyDescent="0.25">
      <c r="A27" s="229">
        <v>43152</v>
      </c>
      <c r="B27" s="2" t="s">
        <v>748</v>
      </c>
      <c r="C27" s="2" t="s">
        <v>1047</v>
      </c>
      <c r="D27" s="2" t="s">
        <v>574</v>
      </c>
      <c r="F27" s="2" t="s">
        <v>1064</v>
      </c>
      <c r="H27" s="2" t="s">
        <v>1061</v>
      </c>
    </row>
    <row r="28" spans="1:10" x14ac:dyDescent="0.25">
      <c r="A28" s="229">
        <v>43152</v>
      </c>
      <c r="B28" s="2" t="s">
        <v>748</v>
      </c>
      <c r="C28" s="2" t="s">
        <v>1049</v>
      </c>
      <c r="D28" s="2" t="s">
        <v>574</v>
      </c>
      <c r="F28" s="2" t="s">
        <v>1064</v>
      </c>
      <c r="H28" s="2" t="s">
        <v>1061</v>
      </c>
    </row>
    <row r="29" spans="1:10" x14ac:dyDescent="0.25">
      <c r="A29" s="229">
        <v>43152</v>
      </c>
      <c r="B29" s="2" t="s">
        <v>748</v>
      </c>
      <c r="C29" s="2" t="s">
        <v>1043</v>
      </c>
      <c r="D29" s="2" t="s">
        <v>574</v>
      </c>
      <c r="F29" s="2" t="s">
        <v>1065</v>
      </c>
      <c r="H29" s="2" t="s">
        <v>1061</v>
      </c>
    </row>
    <row r="30" spans="1:10" x14ac:dyDescent="0.25">
      <c r="A30" s="229">
        <v>43152</v>
      </c>
      <c r="B30" s="2" t="s">
        <v>748</v>
      </c>
      <c r="C30" s="2" t="s">
        <v>1045</v>
      </c>
      <c r="D30" s="2" t="s">
        <v>574</v>
      </c>
      <c r="F30" s="2" t="s">
        <v>1046</v>
      </c>
      <c r="H30" s="2" t="s">
        <v>1061</v>
      </c>
    </row>
    <row r="31" spans="1:10" x14ac:dyDescent="0.25">
      <c r="A31" s="229">
        <v>43152</v>
      </c>
      <c r="B31" s="2" t="s">
        <v>748</v>
      </c>
      <c r="C31" s="2" t="s">
        <v>1051</v>
      </c>
      <c r="D31" s="2" t="s">
        <v>574</v>
      </c>
      <c r="F31" s="2" t="s">
        <v>1050</v>
      </c>
      <c r="H31" s="2" t="s">
        <v>1061</v>
      </c>
    </row>
    <row r="32" spans="1:10" x14ac:dyDescent="0.25">
      <c r="A32" s="229">
        <v>43152</v>
      </c>
      <c r="B32" s="2" t="s">
        <v>748</v>
      </c>
      <c r="C32" s="2">
        <v>11414011</v>
      </c>
      <c r="D32" s="2" t="s">
        <v>574</v>
      </c>
      <c r="F32" s="2" t="s">
        <v>1066</v>
      </c>
      <c r="H32" s="2" t="s">
        <v>1061</v>
      </c>
    </row>
    <row r="33" spans="1:9" x14ac:dyDescent="0.25">
      <c r="A33" s="229">
        <v>43301</v>
      </c>
      <c r="B33" s="2" t="s">
        <v>748</v>
      </c>
      <c r="C33" s="2" t="s">
        <v>1241</v>
      </c>
      <c r="D33" s="2" t="s">
        <v>535</v>
      </c>
      <c r="E33" s="2">
        <v>39819</v>
      </c>
      <c r="F33" s="2" t="s">
        <v>1243</v>
      </c>
      <c r="G33" s="299" t="s">
        <v>1244</v>
      </c>
    </row>
    <row r="34" spans="1:9" x14ac:dyDescent="0.25">
      <c r="A34" s="229">
        <v>43301</v>
      </c>
      <c r="B34" s="2" t="s">
        <v>748</v>
      </c>
      <c r="C34" s="2" t="s">
        <v>1240</v>
      </c>
      <c r="D34" s="2" t="s">
        <v>508</v>
      </c>
      <c r="E34" s="2">
        <v>39510</v>
      </c>
      <c r="F34" s="2" t="s">
        <v>1082</v>
      </c>
      <c r="G34" s="299" t="s">
        <v>1242</v>
      </c>
    </row>
    <row r="35" spans="1:9" x14ac:dyDescent="0.25">
      <c r="A35" s="229">
        <v>43369</v>
      </c>
      <c r="B35" s="2" t="s">
        <v>744</v>
      </c>
      <c r="C35" s="2">
        <v>49311166</v>
      </c>
      <c r="D35" s="2" t="s">
        <v>645</v>
      </c>
      <c r="E35" s="2">
        <v>3</v>
      </c>
      <c r="F35" s="2" t="s">
        <v>21</v>
      </c>
      <c r="G35" s="299" t="s">
        <v>609</v>
      </c>
      <c r="H35" s="2" t="s">
        <v>1302</v>
      </c>
      <c r="I35" t="s">
        <v>1303</v>
      </c>
    </row>
    <row r="36" spans="1:9" x14ac:dyDescent="0.25">
      <c r="A36" s="229">
        <v>43370</v>
      </c>
      <c r="B36" s="2" t="s">
        <v>748</v>
      </c>
      <c r="C36" s="2" t="s">
        <v>1294</v>
      </c>
      <c r="D36" s="2" t="s">
        <v>147</v>
      </c>
      <c r="E36" s="2">
        <v>39664</v>
      </c>
      <c r="F36" s="2" t="s">
        <v>145</v>
      </c>
      <c r="G36" s="299" t="s">
        <v>1295</v>
      </c>
    </row>
    <row r="37" spans="1:9" x14ac:dyDescent="0.25">
      <c r="A37" s="229">
        <v>43383</v>
      </c>
      <c r="B37" s="2" t="s">
        <v>748</v>
      </c>
      <c r="C37" s="2" t="s">
        <v>1304</v>
      </c>
      <c r="D37" s="2" t="s">
        <v>197</v>
      </c>
      <c r="E37" s="2">
        <v>39662</v>
      </c>
      <c r="F37" s="2" t="s">
        <v>1305</v>
      </c>
      <c r="G37" s="299" t="s">
        <v>1307</v>
      </c>
      <c r="H37" s="2" t="s">
        <v>1308</v>
      </c>
      <c r="I37" t="s">
        <v>1309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E8"/>
  <sheetViews>
    <sheetView workbookViewId="0">
      <selection activeCell="B2" sqref="B2"/>
    </sheetView>
  </sheetViews>
  <sheetFormatPr baseColWidth="10" defaultRowHeight="15" x14ac:dyDescent="0.25"/>
  <cols>
    <col min="1" max="1" width="16" customWidth="1"/>
    <col min="2" max="2" width="56.7109375" customWidth="1"/>
  </cols>
  <sheetData>
    <row r="1" spans="1:5" ht="15.75" thickBot="1" x14ac:dyDescent="0.3">
      <c r="A1" t="s">
        <v>958</v>
      </c>
      <c r="B1" s="256" t="s">
        <v>944</v>
      </c>
      <c r="C1" s="257">
        <v>393263060</v>
      </c>
      <c r="D1" s="258">
        <v>20000</v>
      </c>
      <c r="E1" s="258" t="s">
        <v>119</v>
      </c>
    </row>
    <row r="2" spans="1:5" ht="15.75" thickBot="1" x14ac:dyDescent="0.3">
      <c r="A2" t="s">
        <v>971</v>
      </c>
      <c r="B2" s="256" t="s">
        <v>945</v>
      </c>
      <c r="C2" s="257">
        <v>383127592</v>
      </c>
      <c r="D2" s="258" t="s">
        <v>946</v>
      </c>
      <c r="E2" s="258" t="s">
        <v>119</v>
      </c>
    </row>
    <row r="3" spans="1:5" ht="15.75" thickBot="1" x14ac:dyDescent="0.3">
      <c r="A3" t="s">
        <v>972</v>
      </c>
      <c r="B3" s="256" t="s">
        <v>947</v>
      </c>
      <c r="C3" s="257">
        <v>383107842</v>
      </c>
      <c r="D3" s="258" t="s">
        <v>948</v>
      </c>
      <c r="E3" s="258" t="s">
        <v>119</v>
      </c>
    </row>
    <row r="4" spans="1:5" ht="15.75" thickBot="1" x14ac:dyDescent="0.3">
      <c r="A4" t="s">
        <v>956</v>
      </c>
      <c r="B4" s="256" t="s">
        <v>949</v>
      </c>
      <c r="C4" s="257">
        <v>273154588</v>
      </c>
      <c r="D4" s="258">
        <v>20000</v>
      </c>
      <c r="E4" s="258" t="s">
        <v>119</v>
      </c>
    </row>
    <row r="5" spans="1:5" ht="15.75" thickBot="1" x14ac:dyDescent="0.3">
      <c r="A5" t="s">
        <v>957</v>
      </c>
      <c r="B5" s="256" t="s">
        <v>950</v>
      </c>
      <c r="C5" s="257">
        <v>273154450</v>
      </c>
      <c r="D5" s="258">
        <v>20000</v>
      </c>
      <c r="E5" s="258" t="s">
        <v>119</v>
      </c>
    </row>
    <row r="6" spans="1:5" ht="15.75" thickBot="1" x14ac:dyDescent="0.3">
      <c r="A6" t="s">
        <v>959</v>
      </c>
      <c r="B6" s="256" t="s">
        <v>951</v>
      </c>
      <c r="C6" s="257">
        <v>265897907</v>
      </c>
      <c r="D6" s="258">
        <v>20000</v>
      </c>
      <c r="E6" s="258" t="s">
        <v>119</v>
      </c>
    </row>
    <row r="7" spans="1:5" ht="15.75" thickBot="1" x14ac:dyDescent="0.3">
      <c r="A7" t="s">
        <v>955</v>
      </c>
      <c r="B7" s="256" t="s">
        <v>952</v>
      </c>
      <c r="C7" s="257">
        <v>265897786</v>
      </c>
      <c r="D7" s="258">
        <v>20000</v>
      </c>
      <c r="E7" s="258" t="s">
        <v>119</v>
      </c>
    </row>
    <row r="8" spans="1:5" ht="15.75" thickBot="1" x14ac:dyDescent="0.3">
      <c r="A8" t="s">
        <v>954</v>
      </c>
      <c r="B8" s="256" t="s">
        <v>953</v>
      </c>
      <c r="C8" s="257">
        <v>265898031</v>
      </c>
      <c r="D8" s="258">
        <v>20000</v>
      </c>
      <c r="E8" s="258" t="s">
        <v>119</v>
      </c>
    </row>
  </sheetData>
  <hyperlinks>
    <hyperlink ref="C1" r:id="rId1" display="javascript:showDetalle('0393263060','ELE', '05400101');" xr:uid="{00000000-0004-0000-0A00-000000000000}"/>
    <hyperlink ref="C2" r:id="rId2" display="javascript:showDetalle('0383127592','ELE', '05400101');" xr:uid="{00000000-0004-0000-0A00-000001000000}"/>
    <hyperlink ref="C3" r:id="rId3" display="javascript:showDetalle('0383107842','ELE', '05400101');" xr:uid="{00000000-0004-0000-0A00-000002000000}"/>
    <hyperlink ref="C4" r:id="rId4" display="javascript:showDetalle('0273154588','ELE', '05400101');" xr:uid="{00000000-0004-0000-0A00-000003000000}"/>
    <hyperlink ref="C5" r:id="rId5" display="javascript:showDetalle('0273154450','ELE', '05400101');" xr:uid="{00000000-0004-0000-0A00-000004000000}"/>
    <hyperlink ref="C6" r:id="rId6" display="javascript:showDetalle('0265897907','ELE', '05400101');" xr:uid="{00000000-0004-0000-0A00-000005000000}"/>
    <hyperlink ref="C7" r:id="rId7" display="javascript:showDetalle('0265897786','ELE', '05400101');" xr:uid="{00000000-0004-0000-0A00-000006000000}"/>
    <hyperlink ref="C8" r:id="rId8" display="javascript:showDetalle('0265898031','ELE', '05400101');" xr:uid="{00000000-0004-0000-0A00-000007000000}"/>
  </hyperlinks>
  <pageMargins left="0.7" right="0.7" top="0.75" bottom="0.75" header="0.3" footer="0.3"/>
  <drawing r:id="rId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5A2E0AF9AC0D34FA843353C9887EB4B" ma:contentTypeVersion="9" ma:contentTypeDescription="Crear nuevo documento." ma:contentTypeScope="" ma:versionID="9ab309d8fc908c97857c2dee0a7e3dc6">
  <xsd:schema xmlns:xsd="http://www.w3.org/2001/XMLSchema" xmlns:xs="http://www.w3.org/2001/XMLSchema" xmlns:p="http://schemas.microsoft.com/office/2006/metadata/properties" xmlns:ns3="1d3435b2-0aa4-4a21-b634-c17b86113209" xmlns:ns4="1f54dbb8-440c-46b1-a18c-8825db74e590" targetNamespace="http://schemas.microsoft.com/office/2006/metadata/properties" ma:root="true" ma:fieldsID="772db372ab3f97d71c53b18ca04bc37e" ns3:_="" ns4:_="">
    <xsd:import namespace="1d3435b2-0aa4-4a21-b634-c17b86113209"/>
    <xsd:import namespace="1f54dbb8-440c-46b1-a18c-8825db74e59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3435b2-0aa4-4a21-b634-c17b8611320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54dbb8-440c-46b1-a18c-8825db74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3362B32-1664-409A-963A-55B4F5AD1142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1d3435b2-0aa4-4a21-b634-c17b86113209"/>
    <ds:schemaRef ds:uri="http://schemas.microsoft.com/office/infopath/2007/PartnerControls"/>
    <ds:schemaRef ds:uri="1f54dbb8-440c-46b1-a18c-8825db74e590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F289E9B-5335-42EB-8F84-A30DA25E13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3435b2-0aa4-4a21-b634-c17b86113209"/>
    <ds:schemaRef ds:uri="1f54dbb8-440c-46b1-a18c-8825db74e5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AF22462-7009-4398-B3B3-542B6BD6DA2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</vt:i4>
      </vt:variant>
    </vt:vector>
  </HeadingPairs>
  <TitlesOfParts>
    <vt:vector size="14" baseType="lpstr">
      <vt:lpstr>Lecturas</vt:lpstr>
      <vt:lpstr>Facturacion</vt:lpstr>
      <vt:lpstr>AuxAutoCon</vt:lpstr>
      <vt:lpstr>AutoConsumos</vt:lpstr>
      <vt:lpstr>Resumen</vt:lpstr>
      <vt:lpstr>Plantilla</vt:lpstr>
      <vt:lpstr>A Ozaeta</vt:lpstr>
      <vt:lpstr>Plantilla Sagunto</vt:lpstr>
      <vt:lpstr>Plantilla Gandia</vt:lpstr>
      <vt:lpstr>Movimientos</vt:lpstr>
      <vt:lpstr>Contratos</vt:lpstr>
      <vt:lpstr>AutoConsumos!Área_de_impresión</vt:lpstr>
      <vt:lpstr>Lecturas!Área_de_impresión</vt:lpstr>
      <vt:lpstr>Plantilla!Área_de_impresión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Núñez</dc:creator>
  <cp:lastModifiedBy>Adrián de Haro Ortega</cp:lastModifiedBy>
  <cp:lastPrinted>2019-04-18T10:34:02Z</cp:lastPrinted>
  <dcterms:created xsi:type="dcterms:W3CDTF">2016-10-06T06:47:31Z</dcterms:created>
  <dcterms:modified xsi:type="dcterms:W3CDTF">2023-06-14T08:00:54Z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0x010100B5A2E0AF9AC0D34FA843353C9887EB4B</vt:lpwstr>
  </property>
</Properties>
</file>